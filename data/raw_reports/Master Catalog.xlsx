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_Listings" sheetId="1" r:id="rId5"/>
    <sheet state="visible" name="Product_Master" sheetId="2" r:id="rId6"/>
    <sheet state="visible" name="Pack_Master" sheetId="3" r:id="rId7"/>
    <sheet state="visible" name="Pricing_&amp;_Profit_Control" sheetId="4" r:id="rId8"/>
    <sheet state="visible" name="Pricing_Rules" sheetId="5" r:id="rId9"/>
    <sheet state="visible" name="Gap_Dashboard" sheetId="6" r:id="rId10"/>
    <sheet state="visible" name="Shipping_Rate_Card" sheetId="7" r:id="rId11"/>
    <sheet state="visible" name="Config" sheetId="8" r:id="rId12"/>
  </sheets>
  <definedNames>
    <definedName hidden="1" localSheetId="0" name="_xlnm._FilterDatabase">Channel_Listings!$A$1:$A$2063</definedName>
    <definedName hidden="1" localSheetId="1" name="_xlnm._FilterDatabase">Product_Master!$A$1:$AA$352</definedName>
    <definedName hidden="1" localSheetId="3" name="_xlnm._FilterDatabase">'Pricing_&amp;_Profit_Control'!$C$1:$Z$116</definedName>
  </definedNames>
  <calcPr/>
</workbook>
</file>

<file path=xl/sharedStrings.xml><?xml version="1.0" encoding="utf-8"?>
<sst xmlns="http://schemas.openxmlformats.org/spreadsheetml/2006/main" count="10092" uniqueCount="1892">
  <si>
    <t>Marketplace</t>
  </si>
  <si>
    <t>Category</t>
  </si>
  <si>
    <t>Channel_SKU</t>
  </si>
  <si>
    <t>Pack_SKU</t>
  </si>
  <si>
    <t>Listing_Status</t>
  </si>
  <si>
    <t>ASIN_FSN_ID</t>
  </si>
  <si>
    <t>Listing_URL</t>
  </si>
  <si>
    <t>Last_Updated</t>
  </si>
  <si>
    <t>Comment</t>
  </si>
  <si>
    <t>Amazon</t>
  </si>
  <si>
    <t>14-32DR-R138</t>
  </si>
  <si>
    <t>ARMSLEEVES-HALF-BLACK</t>
  </si>
  <si>
    <t>LIVE</t>
  </si>
  <si>
    <t>2L-4L4E-SECU</t>
  </si>
  <si>
    <t>BANDANA-PATTERN-MULTICOLOR-PK10</t>
  </si>
  <si>
    <t>2W-LKH7-FA8Z</t>
  </si>
  <si>
    <t>CAP-BASEBALL-PLAIN-WHITE</t>
  </si>
  <si>
    <t>48-J9LB-ACWM</t>
  </si>
  <si>
    <t>MASK-HALF-BLUE-PK1</t>
  </si>
  <si>
    <t>59-10E8-ZXMS</t>
  </si>
  <si>
    <t>CAP-GOLF-CHARCOAL</t>
  </si>
  <si>
    <t>8D-6GQZ-DKR2</t>
  </si>
  <si>
    <t>BANDANA-PATTERN-MULTICOLOR-PK5</t>
  </si>
  <si>
    <t>96-7KTF-QMRW</t>
  </si>
  <si>
    <t>A-TSHIRT-BLACK-PRINT-AMPM-L</t>
  </si>
  <si>
    <t>TSHIRT-BLACK-L</t>
  </si>
  <si>
    <t>B0DH3D29MC</t>
  </si>
  <si>
    <t>A-TSHIRT-BLACK-PRINT-AMPM-M</t>
  </si>
  <si>
    <t>TSHIRT-BLACK-M</t>
  </si>
  <si>
    <t>B0DH3F2MKH</t>
  </si>
  <si>
    <t>A-TSHIRT-BLACK-PRINT-AMPM-XL</t>
  </si>
  <si>
    <t>TSHIRT-BLACK-XL</t>
  </si>
  <si>
    <t>B0DH3DKJPF</t>
  </si>
  <si>
    <t>A-TSHIRT-BLACK-PRINT-AMPM-XXL</t>
  </si>
  <si>
    <t>TSHIRT-BLACK-XXL</t>
  </si>
  <si>
    <t>B0DH3CL2GX</t>
  </si>
  <si>
    <t>A-TSHIRT-BLACK-PRINT-ARTISLIFE-L</t>
  </si>
  <si>
    <t>B0DH3D1GBY</t>
  </si>
  <si>
    <t>A-TSHIRT-BLACK-PRINT-ARTISLIFE-M</t>
  </si>
  <si>
    <t>B0DH3DHTX8</t>
  </si>
  <si>
    <t>A-TSHIRT-BLACK-PRINT-ARTISLIFE-XL</t>
  </si>
  <si>
    <t>B0DH3F9Y8R</t>
  </si>
  <si>
    <t>A-TSHIRT-BLACK-PRINT-ARTISLIFE-XXL</t>
  </si>
  <si>
    <t>B0DH3CVPR8</t>
  </si>
  <si>
    <t>A-TSHIRT-BLACK-PRINT-BETHEUNIQUEONE-L</t>
  </si>
  <si>
    <t>B0DH3DKDT2</t>
  </si>
  <si>
    <t>A-TSHIRT-BLACK-PRINT-BETHEUNIQUEONE-M</t>
  </si>
  <si>
    <t>B0DH3DHLVL</t>
  </si>
  <si>
    <t>A-TSHIRT-BLACK-PRINT-BETHEUNIQUEONE-XL</t>
  </si>
  <si>
    <t>B0DH3FGBRD</t>
  </si>
  <si>
    <t>A-TSHIRT-BLACK-PRINT-BETHEUNIQUEONE-XXL</t>
  </si>
  <si>
    <t>B0DH3FJBS8</t>
  </si>
  <si>
    <t>A-TSHIRT-BLACK-PRINT-BRITISHARMY-L</t>
  </si>
  <si>
    <t>B0DH3DW8L5</t>
  </si>
  <si>
    <t>A-TSHIRT-BLACK-PRINT-BRITISHARMY-M</t>
  </si>
  <si>
    <t>B0DH3CJT6D</t>
  </si>
  <si>
    <t>A-TSHIRT-BLACK-PRINT-BRITISHARMY-XL</t>
  </si>
  <si>
    <t>B0DH3CWVPX</t>
  </si>
  <si>
    <t>A-TSHIRT-BLACK-PRINT-BRITISHARMY-XXL</t>
  </si>
  <si>
    <t>B0DH3F6WQ1</t>
  </si>
  <si>
    <t>A-TSHIRT-BLACK-PRINT-COFFEE-L</t>
  </si>
  <si>
    <t>B0DH3DFFR5</t>
  </si>
  <si>
    <t>A-TSHIRT-BLACK-PRINT-COFFEE-M</t>
  </si>
  <si>
    <t>B0DH3DDZNM</t>
  </si>
  <si>
    <t>A-TSHIRT-BLACK-PRINT-COFFEE-XL</t>
  </si>
  <si>
    <t>B0DH3D2W2R</t>
  </si>
  <si>
    <t>A-TSHIRT-BLACK-PRINT-COFFEE-XXL</t>
  </si>
  <si>
    <t>B0DH3DCNQY</t>
  </si>
  <si>
    <t>A-TSHIRT-BLACK-PRINT-FUTURISTICSPACE-L</t>
  </si>
  <si>
    <t>B0DH3CR8HK</t>
  </si>
  <si>
    <t>A-TSHIRT-BLACK-PRINT-FUTURISTICSPACE-M</t>
  </si>
  <si>
    <t>B0DH3DZJMX</t>
  </si>
  <si>
    <t>A-TSHIRT-BLACK-PRINT-FUTURISTICSPACE-XL</t>
  </si>
  <si>
    <t>B0DH3FKJGX</t>
  </si>
  <si>
    <t>A-TSHIRT-BLACK-PRINT-FUTURISTICSPACE-XXL</t>
  </si>
  <si>
    <t>B0DH3CGHLQ</t>
  </si>
  <si>
    <t>A-TSHIRT-BLACK-PRINT-GREATTHINGSAWAIT-L</t>
  </si>
  <si>
    <t>B0DH3D8TZQ</t>
  </si>
  <si>
    <t>A-TSHIRT-BLACK-PRINT-GREATTHINGSAWAIT-M</t>
  </si>
  <si>
    <t>B0DH3CH7C8</t>
  </si>
  <si>
    <t>A-TSHIRT-BLACK-PRINT-GREATTHINGSAWAIT-XL</t>
  </si>
  <si>
    <t>B0DH3DYHX9</t>
  </si>
  <si>
    <t>A-TSHIRT-BLACK-PRINT-GTAWAITS-2XL</t>
  </si>
  <si>
    <t>B0DH3DVG77</t>
  </si>
  <si>
    <t>A-TSHIRT-BLACK-PRINT-MOONCHILD-L</t>
  </si>
  <si>
    <t>B0DH3DKJPQ</t>
  </si>
  <si>
    <t>A-TSHIRT-BLACK-PRINT-MOONCHILD-M</t>
  </si>
  <si>
    <t>B0DH3CKFBW</t>
  </si>
  <si>
    <t>A-TSHIRT-BLACK-PRINT-MOONCHILD-XL</t>
  </si>
  <si>
    <t>B0DH3D4N5S</t>
  </si>
  <si>
    <t>A-TSHIRT-BLACK-PRINT-MOONCHILD-XXL</t>
  </si>
  <si>
    <t>B0DH3DNYYZ</t>
  </si>
  <si>
    <t>A-TSHIRT-BLACK-PRINT-SARCASM-L</t>
  </si>
  <si>
    <t>B0DH3DJTF3</t>
  </si>
  <si>
    <t>A-TSHIRT-BLACK-PRINT-SARCASM-M</t>
  </si>
  <si>
    <t>B0DH3F15LR</t>
  </si>
  <si>
    <t>A-TSHIRT-BLACK-PRINT-SARCASM-XL</t>
  </si>
  <si>
    <t>B0DH3DGST6</t>
  </si>
  <si>
    <t>A-TSHIRT-BLACK-PRINT-SARCASM-XXL</t>
  </si>
  <si>
    <t>B0DH3F24FH</t>
  </si>
  <si>
    <t>A-TSHIRT-BLACK-PRINT-SOCOOL-L</t>
  </si>
  <si>
    <t>B0DH3DXZ54</t>
  </si>
  <si>
    <t>A-TSHIRT-BLACK-PRINT-SOCOOL-M</t>
  </si>
  <si>
    <t>B0DH3G13ZG</t>
  </si>
  <si>
    <t>A-TSHIRT-BLACK-PRINT-SOCOOL-XL</t>
  </si>
  <si>
    <t>B0DH3DH1QX</t>
  </si>
  <si>
    <t>A-TSHIRT-BLACK-PRINT-SOCOOL-XXL</t>
  </si>
  <si>
    <t>B0DH3DBVT4</t>
  </si>
  <si>
    <t>A-TSHIRT-BLACK-PRINT-SUCCESSFORMULA-L</t>
  </si>
  <si>
    <t>B0DH3DYHX8</t>
  </si>
  <si>
    <t>A-TSHIRT-BLACK-PRINT-SUCCESSFORMULA-M</t>
  </si>
  <si>
    <t>B0DH3FGKWC</t>
  </si>
  <si>
    <t>A-TSHIRT-BLACK-PRINT-SUCCESSFORMULA-XL</t>
  </si>
  <si>
    <t>B0DH3F5WSW</t>
  </si>
  <si>
    <t>A-TSHIRT-BLACK-PRINT-SUCCESSFORMULA-XXL</t>
  </si>
  <si>
    <t>B0DH3DJ4C5</t>
  </si>
  <si>
    <t>A-TSHIRT-BLACK-PRINT-SUN-L</t>
  </si>
  <si>
    <t>B0DH3CR29B</t>
  </si>
  <si>
    <t>A-TSHIRT-BLACK-PRINT-SUN-M</t>
  </si>
  <si>
    <t>B0DH3CP7CN</t>
  </si>
  <si>
    <t>A-TSHIRT-BLACK-PRINT-SUN-XL</t>
  </si>
  <si>
    <t>B0DH3DW2DL</t>
  </si>
  <si>
    <t>A-TSHIRT-BLACK-PRINT-SUN-XXL</t>
  </si>
  <si>
    <t>B0DH3DR9XK</t>
  </si>
  <si>
    <t>A-TSHIRT-BLACK-PRINT-THEMOON-L</t>
  </si>
  <si>
    <t>B0DH3FW3QD</t>
  </si>
  <si>
    <t>A-TSHIRT-BLACK-PRINT-THEMOON-M</t>
  </si>
  <si>
    <t>B0DH3DQBKD</t>
  </si>
  <si>
    <t>A-TSHIRT-BLACK-PRINT-THEMOON-XL</t>
  </si>
  <si>
    <t>B0DH3D926W</t>
  </si>
  <si>
    <t>A-TSHIRT-BLACK-PRINT-THEMOON-XXL</t>
  </si>
  <si>
    <t>B0DH3DL9JD</t>
  </si>
  <si>
    <t>AG-MFT8-S8CP</t>
  </si>
  <si>
    <t>ARMSLEEVES-HALF-WHITE</t>
  </si>
  <si>
    <t>AJ-BMGV-XM6S</t>
  </si>
  <si>
    <t>MUFFLER-STRIPE-GREY</t>
  </si>
  <si>
    <t>AK-O5V0-6K6W</t>
  </si>
  <si>
    <t>CAP-BASEBALL-PLAIN-RED</t>
  </si>
  <si>
    <t>AK-ZZR6-ZP97</t>
  </si>
  <si>
    <t>Arm-Full-Black</t>
  </si>
  <si>
    <t>ARMSLEEVES-FULL-BLACK</t>
  </si>
  <si>
    <t>BANDANA-HANKY-PAISLEY-BLACK</t>
  </si>
  <si>
    <t>B09DXJNDMW</t>
  </si>
  <si>
    <t>BANDANA-HANKY-PAISLEY-GREEN</t>
  </si>
  <si>
    <t>B0BNNHMQLR</t>
  </si>
  <si>
    <t>BANDANA-HANKY-PAISLEY-MAROON</t>
  </si>
  <si>
    <t>B09FJDN4TS</t>
  </si>
  <si>
    <t>BANDANA-HANKY-PAISLEY-NAVYBLUE</t>
  </si>
  <si>
    <t>B09DXHWHGF</t>
  </si>
  <si>
    <t>BANDANA-HANKY-PAISLEY-ORANGE</t>
  </si>
  <si>
    <t>B09FJDBMYQ</t>
  </si>
  <si>
    <t>BANDANA-HANKY-PAISLEY-PURPLE</t>
  </si>
  <si>
    <t>B09FJD5NJY</t>
  </si>
  <si>
    <t>BANDANA-HANKY-PAISLEY-RED</t>
  </si>
  <si>
    <t>B09DXJ9C1J</t>
  </si>
  <si>
    <t>BANDANA-HANKY-PAISLEY-TURQUOISE</t>
  </si>
  <si>
    <t>B09FJCW1MX</t>
  </si>
  <si>
    <t>BANDANA-HANKY-PAISLEY-WHITE</t>
  </si>
  <si>
    <t>B09DXHDRJV</t>
  </si>
  <si>
    <t>BANDANA-HANKY-PAISLEY-YELLOW</t>
  </si>
  <si>
    <t>B0BNNGY2SM</t>
  </si>
  <si>
    <t>BANDANA-HANKY-PAISLEYPO3-BLACKBLUEORANGE</t>
  </si>
  <si>
    <t>BANDANA-HANKY-PAISLEYPO3-BLACKNAVYWHITE</t>
  </si>
  <si>
    <t>BANDANA-HANKY-PAISLEYPO3-BLACKREDWHITE</t>
  </si>
  <si>
    <t>BANDANA-HANKY-PAISLEYPO3-ORANGENAVYWHITE</t>
  </si>
  <si>
    <t>BANDANA-HANKY-PAISLEYPO3-ORANGEREDMAROON</t>
  </si>
  <si>
    <t>BANDANA-HANKY-PAISLEYPO3-REDNAVYWHITE</t>
  </si>
  <si>
    <t>BANDANA-PACKOF10</t>
  </si>
  <si>
    <t>BANDANA-PACKOF5-PATTERN-BLACK</t>
  </si>
  <si>
    <t>BANDANA-PATTERN-BLACK-PK5</t>
  </si>
  <si>
    <t>BANDANA-PACKOF5-PATTERN-BLUE</t>
  </si>
  <si>
    <t>BANDANA-PATTERN-BLUE-PK5</t>
  </si>
  <si>
    <t>BANDANA-PACKOF5-PATTERN-CAMOREGULAR</t>
  </si>
  <si>
    <t>BANDANA-PATTERN-CAMOREGULAR-PK5</t>
  </si>
  <si>
    <t>BANDANA-PACKOF5-PATTERN-MULTICOLOR</t>
  </si>
  <si>
    <t>BANDANA-PACKOF5-PATTERN-SKULL</t>
  </si>
  <si>
    <t>BANDANA-PATTERN-SKULL-PK5</t>
  </si>
  <si>
    <t>BANDANA-PACKOF5-SOLID-BLACK</t>
  </si>
  <si>
    <t>BANDANA-SOLID-BLACK-PK5</t>
  </si>
  <si>
    <t>BEANIE-FOLD-2PLAIN-BLUE</t>
  </si>
  <si>
    <t>B0DNW1JRPF</t>
  </si>
  <si>
    <t>BEANIE-FOLD-2PLAIN-BROWN</t>
  </si>
  <si>
    <t>B0DNW43R4Q</t>
  </si>
  <si>
    <t>BEANIE-FOLD-2PLAIN-GREEN</t>
  </si>
  <si>
    <t>B0DNW3N6QQ</t>
  </si>
  <si>
    <t>BEANIE-FOLD-2PLAIN-MAROON</t>
  </si>
  <si>
    <t>B0DNW428ZZ</t>
  </si>
  <si>
    <t>BEANIE-FOLD-2PLAIN-OLIVE</t>
  </si>
  <si>
    <t>B0DNW2JGFK</t>
  </si>
  <si>
    <t>BEANIE-FOLD-2PLAIN-YELLOW</t>
  </si>
  <si>
    <t>B0DNW46NHN</t>
  </si>
  <si>
    <t>BEANIE-FOLD-BINGO-BLUE</t>
  </si>
  <si>
    <t>B0DRCQ3FG6</t>
  </si>
  <si>
    <t>BEANIE-FOLD-BINGO-BRICK</t>
  </si>
  <si>
    <t>B0DRCRZFYB</t>
  </si>
  <si>
    <t>BEANIE-FOLD-BINGO-BROWN</t>
  </si>
  <si>
    <t>B0DRCSXQPJ</t>
  </si>
  <si>
    <t>BEANIE-FOLD-BINGO-GREEN</t>
  </si>
  <si>
    <t>B0DRCRZV1M</t>
  </si>
  <si>
    <t>BEANIE-FOLD-BINGO-GREY</t>
  </si>
  <si>
    <t>B0DRCSXH2Y</t>
  </si>
  <si>
    <t>BEANIE-FOLD-BINGO-LIGHTBROWN</t>
  </si>
  <si>
    <t>B0DRCT14JQ</t>
  </si>
  <si>
    <t>BEANIE-FOLD-BRAND-BLUE</t>
  </si>
  <si>
    <t>B0DL45ZCQJ</t>
  </si>
  <si>
    <t>BEANIE-FOLD-BRAND-GREEN</t>
  </si>
  <si>
    <t>B0DL46ZSC4</t>
  </si>
  <si>
    <t>BEANIE-FOLD-BRAND-GREY</t>
  </si>
  <si>
    <t>B0DL43YYG8</t>
  </si>
  <si>
    <t>BEANIE-FOLD-BRAND-LIGHTBROWN</t>
  </si>
  <si>
    <t>B0DL45RNYV</t>
  </si>
  <si>
    <t>BEANIE-FOLD-BRAND-MAROON</t>
  </si>
  <si>
    <t>B0DL471S8S</t>
  </si>
  <si>
    <t>BEANIE-FOLD-BRAND-SKIN</t>
  </si>
  <si>
    <t>B0DL468LNJ</t>
  </si>
  <si>
    <t>BEANIE-FOLD-CHECKED-BLUE</t>
  </si>
  <si>
    <t>BEANIE-FOLD-CHECK-BLUE</t>
  </si>
  <si>
    <t>B0DRCPV972</t>
  </si>
  <si>
    <t>BEANIE-FOLD-CHECKED-GREY</t>
  </si>
  <si>
    <t>BEANIE-FOLD-CHECK-GREY</t>
  </si>
  <si>
    <t>B0DRCQC8F9</t>
  </si>
  <si>
    <t>BEANIE-FOLD-CHECKED-LIGHT BROWN</t>
  </si>
  <si>
    <t>BEANIE-FOLD-CHECK-LIGHTBROWN</t>
  </si>
  <si>
    <t>B0DRCQ217D</t>
  </si>
  <si>
    <t>BEANIE-FOLD-CHECKED-MAROON</t>
  </si>
  <si>
    <t>BEANIE-FOLD-CHECK-MAROON</t>
  </si>
  <si>
    <t>B0DRCMZR38</t>
  </si>
  <si>
    <t>BEANIE-FOLD-CHECKED-OLIVE</t>
  </si>
  <si>
    <t>BEANIE-FOLD-CHECK-OLIVE</t>
  </si>
  <si>
    <t>B0DRCNS6VN</t>
  </si>
  <si>
    <t>BEANIE-FOLD-KING-ASHGREEN</t>
  </si>
  <si>
    <t>B0DJWNN24M</t>
  </si>
  <si>
    <t>BEANIE-FOLD-KING-BLUE</t>
  </si>
  <si>
    <t>B0DJWMSL4B</t>
  </si>
  <si>
    <t>BEANIE-FOLD-KING-BROWN</t>
  </si>
  <si>
    <t>B0DJWLKZRF</t>
  </si>
  <si>
    <t>BEANIE-FOLD-KING-GREEN</t>
  </si>
  <si>
    <t>B0DJWLFWYZ</t>
  </si>
  <si>
    <t>BEANIE-FOLD-KING-LIGHTGREEN</t>
  </si>
  <si>
    <t>B0DJWM8QV5</t>
  </si>
  <si>
    <t>BEANIE-FOLD-KING-MAROON</t>
  </si>
  <si>
    <t>B0DJWM45D4</t>
  </si>
  <si>
    <t>BEANIE-FOLD-PLAIN-BLACK</t>
  </si>
  <si>
    <t>B0DK91RZPX</t>
  </si>
  <si>
    <t>BEANIE-FOLD-PLAIN-BLUE</t>
  </si>
  <si>
    <t>B0DK912Y2Q</t>
  </si>
  <si>
    <t>BEANIE-FOLD-PLAIN-DARKGREEN</t>
  </si>
  <si>
    <t>B0DK8ZT3T3</t>
  </si>
  <si>
    <t>BEANIE-FOLD-PLAIN-GREEN</t>
  </si>
  <si>
    <t>B0DK91KG5H</t>
  </si>
  <si>
    <t>BEANIE-FOLD-PLAIN-GREY</t>
  </si>
  <si>
    <t>B0DK91KDN4</t>
  </si>
  <si>
    <t>BEANIE-FOLD-PLAIN-OLIVE</t>
  </si>
  <si>
    <t>B0DK917HML</t>
  </si>
  <si>
    <t>BEANIE-FOLD-PLAIN-SKIN</t>
  </si>
  <si>
    <t>B0DK91PJY1</t>
  </si>
  <si>
    <t>BEANIE-FUR-SHORT-BEIGE</t>
  </si>
  <si>
    <t>BEANIE-SHORTFUR-BEIGE</t>
  </si>
  <si>
    <t>BEANIE-FUR-SHORT-BLACK</t>
  </si>
  <si>
    <t>BEANIE-SHORTFUR-BLACK</t>
  </si>
  <si>
    <t>BEANIE-FUR-SHORT-BLUE</t>
  </si>
  <si>
    <t>BEANIE-SHORTFUR-NAVYBLUE</t>
  </si>
  <si>
    <t>BEANIE-FUR-SHORT-BROWN</t>
  </si>
  <si>
    <t>BEANIE-SHORTFUR-BROWN</t>
  </si>
  <si>
    <t>BEANIE-FUR-SHORT-GREEN</t>
  </si>
  <si>
    <t>BEANIE-LONGFUR-GREEN</t>
  </si>
  <si>
    <t>BEANIE-FUR-SHORT-GREY</t>
  </si>
  <si>
    <t>BEANIE-SHORTFUR-GREY</t>
  </si>
  <si>
    <t>BEANIE-FUR-SHORT-MAROON</t>
  </si>
  <si>
    <t>BEANIE-SHORTFUR-RED</t>
  </si>
  <si>
    <t>BEANIE-FUR-SHORT-PURPLE</t>
  </si>
  <si>
    <t>BEANIE-SHORTFUR-PURPLE</t>
  </si>
  <si>
    <t>BEANIE-FUR-SHORT-RED</t>
  </si>
  <si>
    <t>BEANIE-FUR-SHORT-YELLOW</t>
  </si>
  <si>
    <t>BEANIE-FUROUT-SHORT-BLACK</t>
  </si>
  <si>
    <t>BEANIE-SHORT-FUROUT-BLACK</t>
  </si>
  <si>
    <t>BEANIE-FUROUT-SHORT-BLUE</t>
  </si>
  <si>
    <t>BEANIE-SHORT-FUROUT-BLUE</t>
  </si>
  <si>
    <t>BEANIE-FUROUT-SHORT-MAROON</t>
  </si>
  <si>
    <t>BEANIE-SHORT-FUROUT-MAROON</t>
  </si>
  <si>
    <t>BEANIE-LONG-SLOUCHY-BLACK</t>
  </si>
  <si>
    <t>BEANIE-LONGFUR-BLACK</t>
  </si>
  <si>
    <t>B0BKXMQQZQ</t>
  </si>
  <si>
    <t>BEANIE-LONGFUR-BEIGE</t>
  </si>
  <si>
    <t>B09J23GML8</t>
  </si>
  <si>
    <t>B09J242G5H</t>
  </si>
  <si>
    <t>BEANIE-LONGFUR-BROWN</t>
  </si>
  <si>
    <t>B09M69R11K</t>
  </si>
  <si>
    <t>BEANIE-LONGFUR-CHARCOAL</t>
  </si>
  <si>
    <t>B09J23SY56</t>
  </si>
  <si>
    <t>B09M6KF88F</t>
  </si>
  <si>
    <t>BEANIE-LONGFUR-MAROON</t>
  </si>
  <si>
    <t>B09J24DSYS</t>
  </si>
  <si>
    <t>BEANIE-LONGFUR-NAVYBLUE</t>
  </si>
  <si>
    <t>B09J23JYDP</t>
  </si>
  <si>
    <t>BEANIE-SHORT-ZIPPER-MAROON-PRIME</t>
  </si>
  <si>
    <t>BEANIE-SHORT-ZIPPER-MAROON</t>
  </si>
  <si>
    <t>B09LQWYXSQ</t>
  </si>
  <si>
    <t>B09LQZTFV3</t>
  </si>
  <si>
    <t>BEANIE-SHORTFUR-BLUE</t>
  </si>
  <si>
    <t>B09LR4DFPZ</t>
  </si>
  <si>
    <t>B09N1SK8BT</t>
  </si>
  <si>
    <t>BEANIE-SHORTFUR-CHARCOAL</t>
  </si>
  <si>
    <t>B09LQWL46Y</t>
  </si>
  <si>
    <t>B09LQY57XD</t>
  </si>
  <si>
    <t>BEANIE-SHORTFUR-MESH-BEIGE</t>
  </si>
  <si>
    <t>B09L7RB9BL</t>
  </si>
  <si>
    <t>BEANIE-SHORTFUR-MESH-BLACK</t>
  </si>
  <si>
    <t>B09L7S56FL</t>
  </si>
  <si>
    <t>BEANIE-SHORTFUR-MESH-GREEN</t>
  </si>
  <si>
    <t>B09L7S42W4</t>
  </si>
  <si>
    <t>BEANIE-SHORTFUR-MESH-MAROON</t>
  </si>
  <si>
    <t>B09L7QY9CZ</t>
  </si>
  <si>
    <t>BEANIE-SHORTFUR-MESH-NAVYBLUE</t>
  </si>
  <si>
    <t>B09L7SFHHT</t>
  </si>
  <si>
    <t>B09LQWD4PM</t>
  </si>
  <si>
    <t>BEANIE-SHORTFUR-OLIVE</t>
  </si>
  <si>
    <t>B0B92S5BG3</t>
  </si>
  <si>
    <t>B09LQXH5BB</t>
  </si>
  <si>
    <t>BEANIE-SHORTFUR-WHITE</t>
  </si>
  <si>
    <t>B09LQXVZLN</t>
  </si>
  <si>
    <t>BEANIE-SHORTFUR-YELLOW</t>
  </si>
  <si>
    <t>B09LQVB9J8</t>
  </si>
  <si>
    <t>BEANIE-SLOUCHY-LONG-BIEGE</t>
  </si>
  <si>
    <t>B0BKXQPN7B</t>
  </si>
  <si>
    <t>BEANIE-SLOUCHY-LONG-BROWN</t>
  </si>
  <si>
    <t>B083ZYZYVF</t>
  </si>
  <si>
    <t>BEANIE-SLOUCHY-LONG-GREEN</t>
  </si>
  <si>
    <t>B083ZZRCVT</t>
  </si>
  <si>
    <t>BEANIE-SLOUCHY-LONG-MAROON</t>
  </si>
  <si>
    <t>B083ZZLNCS</t>
  </si>
  <si>
    <t>BEANIE-SLOUCHY-LONG-NAVYBLUE</t>
  </si>
  <si>
    <t>BEANIE-WOOL-CREAM</t>
  </si>
  <si>
    <t>BEANIE-WOOL-OFFWHITE</t>
  </si>
  <si>
    <t>Black_Black_3</t>
  </si>
  <si>
    <t>CAP-BASEBALL-NY-PO2-BLACKBLACK</t>
  </si>
  <si>
    <t>B09S1B1B6S</t>
  </si>
  <si>
    <t>Black_Olive_4</t>
  </si>
  <si>
    <t>CAP-BASEBALL-NY-PO2-BLACKOLIVE</t>
  </si>
  <si>
    <t>BLACK-LIGHTBULB-TSHIRT-L</t>
  </si>
  <si>
    <t>BLACK-LIGHTBULB-TSHIRT-M</t>
  </si>
  <si>
    <t>BLACK-LIGHTBULB-TSHIRT-XL</t>
  </si>
  <si>
    <t>BLACK-LIGHTBULB-TSHIRT-XXL</t>
  </si>
  <si>
    <t>BLACK-NOFILTER-TSHIRT-L</t>
  </si>
  <si>
    <t>BLACK-NOFILTER-TSHIRT-M</t>
  </si>
  <si>
    <t>BLACK-NOFILTER-TSHIRT-XL</t>
  </si>
  <si>
    <t>BLACK-NOFILTER-TSHIRT-XXL</t>
  </si>
  <si>
    <t>BOX-PLAIN-9X6X4</t>
  </si>
  <si>
    <t>BOX-PLAIN-9X6X4-PK4</t>
  </si>
  <si>
    <t>BZ-46I2-21YJ</t>
  </si>
  <si>
    <t>ARMSLEEVES-FULL-BEIGE</t>
  </si>
  <si>
    <t>CAP-BASEBALL-LO-GREYWHITE</t>
  </si>
  <si>
    <t>CAP-BASEBALL-NET-BLACK</t>
  </si>
  <si>
    <t>CAP-BASEBALL-NET-HALF-BLACK</t>
  </si>
  <si>
    <t>CAP-BASEBALL-NET-HALF-NAVYBLUE</t>
  </si>
  <si>
    <t>CAP-BASEBALL-NET-HALF-PINK</t>
  </si>
  <si>
    <t>CAP-BASEBALL-NET-HALF-WHITE</t>
  </si>
  <si>
    <t>CAP-BASEBALL-NET-OLIVE</t>
  </si>
  <si>
    <t>CAP-BASEBALL-NET-HALF-OLIVE</t>
  </si>
  <si>
    <t>CAP-BASEBALL-NY-BLACKBLACK</t>
  </si>
  <si>
    <t>B0F53K1KWJ</t>
  </si>
  <si>
    <t>CAP-BASEBALL-NY-BLACKWHITE</t>
  </si>
  <si>
    <t>B09C8J26NZ</t>
  </si>
  <si>
    <t>CAP-BASEBALL-NY-CHARCOALWHITE</t>
  </si>
  <si>
    <t>B0FJXTRHJW</t>
  </si>
  <si>
    <t>CAP-BASEBALL-NY-GREYWHITE</t>
  </si>
  <si>
    <t>B09ZBLKWPD</t>
  </si>
  <si>
    <t>CAP-BASEBALL-NY-NAVYWHITE</t>
  </si>
  <si>
    <t>CAP-BASEBALL-NY-PO2-GREYBLACK</t>
  </si>
  <si>
    <t>CAP-BASEBALL-NY-PO2-WHITEBLACK</t>
  </si>
  <si>
    <t>B0BSPT1MPD</t>
  </si>
  <si>
    <t>CAP-BASEBALL-NY-WHITEBLACK_</t>
  </si>
  <si>
    <t>CAP-BASEBALL-NY-WHITEBLACK</t>
  </si>
  <si>
    <t>B0F53LPLD1</t>
  </si>
  <si>
    <t>CAP-BASEBALL-PLAIN-AQUA</t>
  </si>
  <si>
    <t>CAP-BASEBALL-PLAIN-ARMY</t>
  </si>
  <si>
    <t>CAP-BASEBALL-PLAIN-CAMOUFLAGE</t>
  </si>
  <si>
    <t>CAP-BASEBALL-PLAIN-BEIGE</t>
  </si>
  <si>
    <t>CAP-BASEBALL-PLAIN-CHARCOAL</t>
  </si>
  <si>
    <t>CAP-BASEBALL-PLAIN-GREY</t>
  </si>
  <si>
    <t>CAP-BASEBALL-PLAIN-MAROON</t>
  </si>
  <si>
    <t>CAP-BASEBALL-PLAIN-MUSTARD</t>
  </si>
  <si>
    <t>CAP-BASEBALL-PLAIN-NAVYBLUE</t>
  </si>
  <si>
    <t>CAP-BASEBALL-PLAIN-OLIVEGREEN</t>
  </si>
  <si>
    <t>CAP-BASEBALL-PLAIN-ORANGE</t>
  </si>
  <si>
    <t>CAP-BASEBALL-PLAIN-SKYBLUE</t>
  </si>
  <si>
    <t>CAP-BLACK-DRYFIT</t>
  </si>
  <si>
    <t>CAP-DRYFIT-BLACK</t>
  </si>
  <si>
    <t>CAP-NAVYBLUE-DRYFIT</t>
  </si>
  <si>
    <t>CAP-DRYFIT-NAVYBLUE</t>
  </si>
  <si>
    <t>CAP-WHITE-NETTED</t>
  </si>
  <si>
    <t>CAP-BASEBALL-FULLNET-WHITE</t>
  </si>
  <si>
    <t>CAPS-PARA-BLACK</t>
  </si>
  <si>
    <t>CAP-PARA-BLACK</t>
  </si>
  <si>
    <t>B0BR3FWH1J</t>
  </si>
  <si>
    <t>CAPS-PARA-CHARCOAL</t>
  </si>
  <si>
    <t>CAP-PARA-CHARCOAL</t>
  </si>
  <si>
    <t>B0GCQKB11X</t>
  </si>
  <si>
    <t>FBA</t>
  </si>
  <si>
    <t>CAPS-PARA-NAVYBLUE</t>
  </si>
  <si>
    <t>CAP-PARA-NAVYBLUE</t>
  </si>
  <si>
    <t>B0BR3CLSYY</t>
  </si>
  <si>
    <t>CAPS-PARA-WHITE</t>
  </si>
  <si>
    <t>CAP-PARA-WHITE</t>
  </si>
  <si>
    <t>B0BR3CVJV7</t>
  </si>
  <si>
    <t>CAT-BLACK-TSHIRT-L</t>
  </si>
  <si>
    <t>CAT-BLACK-TSHIRT-M</t>
  </si>
  <si>
    <t>CAT-BLACK-TSHIRT-XL</t>
  </si>
  <si>
    <t>CAT-BLACK-TSHIRT-XXL</t>
  </si>
  <si>
    <t>CONTAINER-BREADBOX217-PO2</t>
  </si>
  <si>
    <t>CONTAINER-BREADBOX217-PK2</t>
  </si>
  <si>
    <t>B0D6MNBKYW</t>
  </si>
  <si>
    <t>CONTAINER-BREADBOX217-PO6</t>
  </si>
  <si>
    <t>CONTAINER-BREADBOX217-PK6</t>
  </si>
  <si>
    <t>B0D6MPXCVH</t>
  </si>
  <si>
    <t>CONTAINER-DELUXE333-PO12</t>
  </si>
  <si>
    <t>CONTAINER-DELUXE333-PK12</t>
  </si>
  <si>
    <t>CONTAINER-DELUXE333-PO2</t>
  </si>
  <si>
    <t>CONTAINER-DELUXE333-PK2</t>
  </si>
  <si>
    <t>CONTAINER-DELUXE333-PO6</t>
  </si>
  <si>
    <t>CONTAINER-DELUXE333-PK6</t>
  </si>
  <si>
    <t>CONTAINER-DELUXE444-PO12</t>
  </si>
  <si>
    <t>CONTAINER-DELUXE444-PK12</t>
  </si>
  <si>
    <t>CONTAINER-DELUXE444-PO2</t>
  </si>
  <si>
    <t>CONTAINER-DELUXE444-PK2</t>
  </si>
  <si>
    <t>CONTAINER-DELUXE444-PO6</t>
  </si>
  <si>
    <t>CONTAINER-DELUXE444-PK6</t>
  </si>
  <si>
    <t>CONTAINER-DELUXE555-PO12</t>
  </si>
  <si>
    <t>CONTAINER-DELUXE555-PK12</t>
  </si>
  <si>
    <t>CONTAINER-DELUXE555-PO2</t>
  </si>
  <si>
    <t>CONTAINER-DELUXE555-PK2</t>
  </si>
  <si>
    <t>CONTAINER-DELUXE555-PO6</t>
  </si>
  <si>
    <t>CONTAINER-DELUXE555-PK6</t>
  </si>
  <si>
    <t>CONTAINER-DELUXE666-PO12</t>
  </si>
  <si>
    <t>CONTAINER-DELUXE666-PK12</t>
  </si>
  <si>
    <t>CONTAINER-DELUXE666-PO2</t>
  </si>
  <si>
    <t>CONTAINER-DELUXE666-PK2</t>
  </si>
  <si>
    <t>CONTAINER-DELUXE666-PO6</t>
  </si>
  <si>
    <t>CONTAINER-DELUXE666-PK6</t>
  </si>
  <si>
    <t>CONTAINER-DELUXE777-PO12</t>
  </si>
  <si>
    <t>CONTAINER-DELUXE777-PK12</t>
  </si>
  <si>
    <t>CONTAINER-DELUXE777-PO2</t>
  </si>
  <si>
    <t>CONTAINER-DELUXE777-PK2</t>
  </si>
  <si>
    <t>CONTAINER-DELUXE777-PO6</t>
  </si>
  <si>
    <t>CONTAINER-DELUXE777-PK6</t>
  </si>
  <si>
    <t>CONTAINER-DELUXE888-PO12</t>
  </si>
  <si>
    <t>CONTAINER-DELUXE888-PK12</t>
  </si>
  <si>
    <t>CONTAINER-DELUXE888-PO2</t>
  </si>
  <si>
    <t>CONTAINER-DELUXE888-PK2</t>
  </si>
  <si>
    <t>CONTAINER-DELUXE888-PO6</t>
  </si>
  <si>
    <t>CONTAINER-DELUXE888-PK6</t>
  </si>
  <si>
    <t>CONTAINER-SUPER222-PO2</t>
  </si>
  <si>
    <t>CONTAINER-SUPER222-PK2</t>
  </si>
  <si>
    <t>B0D6MW7Z3S</t>
  </si>
  <si>
    <t>CONTAINER-SUPER222-PO6</t>
  </si>
  <si>
    <t>CONTAINER-SUPER222-PK6</t>
  </si>
  <si>
    <t>B0D6MSTG25</t>
  </si>
  <si>
    <t>DX-L9GE-L60G</t>
  </si>
  <si>
    <t>MASK-HALF-BLACK-PK1</t>
  </si>
  <si>
    <t>E4-RT4J-LFIO</t>
  </si>
  <si>
    <t>CAP-BASEBALL-PLAIN-BLACK</t>
  </si>
  <si>
    <t>EARMUFF-PREMIUM</t>
  </si>
  <si>
    <t>EARMUFF-FULLFUR</t>
  </si>
  <si>
    <t>EARMUFFS-PREMIUM</t>
  </si>
  <si>
    <t>FJ-QFLF-BP5Y</t>
  </si>
  <si>
    <t>GIRLS-EARMUFFS</t>
  </si>
  <si>
    <t>GLOVES-HALF-GYM-G</t>
  </si>
  <si>
    <t>B09GTZJ7PD</t>
  </si>
  <si>
    <t>GLOVES-TOUCH-BLACK</t>
  </si>
  <si>
    <t>GLOVE-WINTER-TOUCH-BLACK</t>
  </si>
  <si>
    <t>HAT -BUCKET-MUSIC</t>
  </si>
  <si>
    <t>HAT-BUCKET-MUSIC</t>
  </si>
  <si>
    <t>HOODIE-BLACK-SOLID-L</t>
  </si>
  <si>
    <t>B0D9RZXHVD</t>
  </si>
  <si>
    <t>HOODIE-BLACK-SOLID-XL</t>
  </si>
  <si>
    <t>B0D9RYRN7W</t>
  </si>
  <si>
    <t>HOODIE-BLACK-SOLID-XXL</t>
  </si>
  <si>
    <t>B0D9RZ8ZR4</t>
  </si>
  <si>
    <t>HOODIE-NAVYBLUE-SOLID-L</t>
  </si>
  <si>
    <t>B0D9S1HNPZ</t>
  </si>
  <si>
    <t>HOODIE-NAVYBLUE-SOLID-XL</t>
  </si>
  <si>
    <t>B0D9RZR2J1</t>
  </si>
  <si>
    <t>JAR-CRYSTO1000-PO3</t>
  </si>
  <si>
    <t>JAR-CRYSTO1000-PK3</t>
  </si>
  <si>
    <t>B0D77JK8RV</t>
  </si>
  <si>
    <t>JAR-CRYSTO150-PO6</t>
  </si>
  <si>
    <t>JAR-CRYSTO150-PK6</t>
  </si>
  <si>
    <t>B0G2YLD1ML</t>
  </si>
  <si>
    <t>JAR-CRYSTO2000-PO3</t>
  </si>
  <si>
    <t>JAR-CRYSTO2000-PK3</t>
  </si>
  <si>
    <t>B0D77KYCQT</t>
  </si>
  <si>
    <t>JAR-CRYSTO250-PO3</t>
  </si>
  <si>
    <t>JAR-CRYSTO250-PK3</t>
  </si>
  <si>
    <t>B0D77GGNZD</t>
  </si>
  <si>
    <t>JAR-CRYSTO500-PO3</t>
  </si>
  <si>
    <t>JAR-CRYSTO500-PK3</t>
  </si>
  <si>
    <t>B0G1YC45LY</t>
  </si>
  <si>
    <t>JAR-CRYSTO800-PO3</t>
  </si>
  <si>
    <t>JAR-CRYSTO800-PK3</t>
  </si>
  <si>
    <t>B0G2YHHSJM</t>
  </si>
  <si>
    <t>L-ARMSLEEVES-FULL-BEIGE</t>
  </si>
  <si>
    <t>B08ZQBJV5L</t>
  </si>
  <si>
    <t>L-ARMSLEEVES-FULL-BLACK</t>
  </si>
  <si>
    <t>B08ZNVNP6S</t>
  </si>
  <si>
    <t>L-ARMSLEEVES-FULL-GREY</t>
  </si>
  <si>
    <t>ARMSLEEVES-FULL-GREY</t>
  </si>
  <si>
    <t>B09G1YC35F</t>
  </si>
  <si>
    <t>L-ARMSLEEVES-FULL-WHITE</t>
  </si>
  <si>
    <t>ARMSLEEVES-FULL-WHITE</t>
  </si>
  <si>
    <t>B09G1XP1KS</t>
  </si>
  <si>
    <t>L-ARMSLEEVES-HALF-BEIGE</t>
  </si>
  <si>
    <t>ARMSLEEVES-HALF-BEIGE</t>
  </si>
  <si>
    <t>L-ARMSLEEVES-HALF-BLACK</t>
  </si>
  <si>
    <t>L-ARMSLEEVES-HALF-PINK</t>
  </si>
  <si>
    <t>ARMSLEEVES-HALF-PINK</t>
  </si>
  <si>
    <t>L-ARMSLEEVES-HALF-WHITE</t>
  </si>
  <si>
    <t>L-CAP-BASEBALL-AQUA</t>
  </si>
  <si>
    <t>L-CAP-BASEBALL-BEIGE</t>
  </si>
  <si>
    <t>L-CAP-BASEBALL-BLACK</t>
  </si>
  <si>
    <t>L-CAP-BASEBALL-BLUE</t>
  </si>
  <si>
    <t>CAP-BASEBALL-PLAIN-BLUE</t>
  </si>
  <si>
    <t>L-CAP-BASEBALL-CAMOUFLAGE</t>
  </si>
  <si>
    <t>L-CAP-BASEBALL-CHARCOAL</t>
  </si>
  <si>
    <t>L-CAP-BASEBALL-FULLNET-BLACK</t>
  </si>
  <si>
    <t>CAP-BASEBALL-FULLNET-BLACK</t>
  </si>
  <si>
    <t>B0917S19H8</t>
  </si>
  <si>
    <t>L-CAP-BASEBALL-FULLNET-WHITE</t>
  </si>
  <si>
    <t>L-CAP-BASEBALL-GREY</t>
  </si>
  <si>
    <t>L-CAP-BASEBALL-GREY-FBA</t>
  </si>
  <si>
    <t>L-CAP-BASEBALL-MAROON</t>
  </si>
  <si>
    <t>L-CAP-BASEBALL-MUSTARD</t>
  </si>
  <si>
    <t>L-CAP-BASEBALL-NAVYBLUE</t>
  </si>
  <si>
    <t>L-CAP-BASEBALL-NET-HALF-BLACK</t>
  </si>
  <si>
    <t>L-CAP-BASEBALL-NET-HALF-CHARCOAL</t>
  </si>
  <si>
    <t>CAP-BASEBALL-NET-HALF-CHARCOAL</t>
  </si>
  <si>
    <t>L-CAP-BASEBALL-NET-HALF-GREY</t>
  </si>
  <si>
    <t>CAP-BASEBALL-NET-HALF-GREY</t>
  </si>
  <si>
    <t>L-CAP-BASEBALL-NET-HALF-NAVYBLUE</t>
  </si>
  <si>
    <t>L-CAP-BASEBALL-NET-HALF-OLIVE</t>
  </si>
  <si>
    <t>L-CAP-BASEBALL-NET-HALF-PINK</t>
  </si>
  <si>
    <t>L-CAP-BASEBALL-NET-HALF-RED</t>
  </si>
  <si>
    <t>CAP-BASEBALL-NET-HALF-RED</t>
  </si>
  <si>
    <t>L-CAP-BASEBALL-NET-HALF-WHITE</t>
  </si>
  <si>
    <t>L-CAP-BASEBALL-OLIVEGREEN</t>
  </si>
  <si>
    <t>L-CAP-BASEBALL-ORANGE</t>
  </si>
  <si>
    <t>L-CAP-BASEBALL-PINK</t>
  </si>
  <si>
    <t>CAP-BASEBALL-PLAIN-PINK</t>
  </si>
  <si>
    <t>L-CAP-BASEBALL-PO2-BEIGEMAROON</t>
  </si>
  <si>
    <t>CAP-BASEBALL-PO2-BEIGEMAROON</t>
  </si>
  <si>
    <t>B09WD53V9J</t>
  </si>
  <si>
    <t>L-CAP-BASEBALL-PO2-BEIGENAVYBLUE</t>
  </si>
  <si>
    <t>CAP-BASEBALL-PO2-BEIGENAVYBLUE</t>
  </si>
  <si>
    <t>L-CAP-BASEBALL-PO2-BLACKCHARCOAL</t>
  </si>
  <si>
    <t>CAP-BASEBALL-PO2-BLACKCHARCOAL</t>
  </si>
  <si>
    <t>L-CAP-BASEBALL-PO2-BLACKGREY</t>
  </si>
  <si>
    <t>CAP-BASEBALL-PO2-BLACKGREY</t>
  </si>
  <si>
    <t>L-CAP-BASEBALL-PO2-BLACKORANGE</t>
  </si>
  <si>
    <t>CAP-BASEBALL-PO2-BLACKORANGE</t>
  </si>
  <si>
    <t>L-CAP-BASEBALL-PO2-BLACKPINK</t>
  </si>
  <si>
    <t>CAP-BASEBALL-PO2-BLACKPINK</t>
  </si>
  <si>
    <t>L-CAP-BASEBALL-PO2-BLACKWHITE</t>
  </si>
  <si>
    <t>CAP-BASEBALL-PO2-BLACKWHITE</t>
  </si>
  <si>
    <t>L-CAP-BASEBALL-PO2-BLACKYELLOW</t>
  </si>
  <si>
    <t>CAP-BASEBALL-PO2-BLACKYELLOW</t>
  </si>
  <si>
    <t>L-CAP-BASEBALL-PO2-CHARCOALWHITE</t>
  </si>
  <si>
    <t>CAP-BASEBALL-PO2-CHARCOALWHITE</t>
  </si>
  <si>
    <t>L-CAP-BASEBALL-PO2-GREENRED</t>
  </si>
  <si>
    <t>CAP-BASEBALL-PO2-GREENRED</t>
  </si>
  <si>
    <t>L-CAP-BASEBALL-PO2-GREYCHARCOAL</t>
  </si>
  <si>
    <t>CAP-BASEBALL-PO2-GREYCHARCOAL</t>
  </si>
  <si>
    <t>L-CAP-BASEBALL-PO2-GREYWHITE</t>
  </si>
  <si>
    <t>CAP-BASEBALL-PO2-GREYWHITE</t>
  </si>
  <si>
    <t>L-CAP-BASEBALL-PO2-MAROONGREY</t>
  </si>
  <si>
    <t>CAP-BASEBALL-PO2-MAROONGREY</t>
  </si>
  <si>
    <t>L-CAP-BASEBALL-PO2-NAVYBLUEYELLOW</t>
  </si>
  <si>
    <t>CAP-BASEBALL-PO2-NAVYBLUEYELLOW</t>
  </si>
  <si>
    <t>L-CAP-BASEBALL-PO2-OLIVEBEIGE</t>
  </si>
  <si>
    <t>CAP-BASEBALL-PO2-OLIVEBEIGE</t>
  </si>
  <si>
    <t>B09WCSDRPT</t>
  </si>
  <si>
    <t>L-CAP-BASEBALL-PO2-OLIVECHARCOAL</t>
  </si>
  <si>
    <t>CAP-BASEBALL-PO2-OLIVECHARCOAL</t>
  </si>
  <si>
    <t>L-CAP-BASEBALL-PO2-ORANGEGREY</t>
  </si>
  <si>
    <t>CAP-BASEBALL-PO2-ORANGEGREY</t>
  </si>
  <si>
    <t>L-CAP-BASEBALL-PO2-ORANGESKYBLUE</t>
  </si>
  <si>
    <t>CAP-BASEBALL-PO2-ORANGESKYBLUE</t>
  </si>
  <si>
    <t>L-CAP-BASEBALL-PO2-PINKCHARCOAL</t>
  </si>
  <si>
    <t>CAP-BASEBALL-PO2-PINKCHARCOAL</t>
  </si>
  <si>
    <t>L-CAP-BASEBALL-PO2-PINKSKYBLUE</t>
  </si>
  <si>
    <t>CAP-BASEBALL-PO2-PINKSKYBLUE</t>
  </si>
  <si>
    <t>B09WCKFH1H</t>
  </si>
  <si>
    <t>L-CAP-BASEBALL-PO2-PINKWHITE</t>
  </si>
  <si>
    <t>CAP-BASEBALL-PO2-PINKWHITE</t>
  </si>
  <si>
    <t>B09WCRYN6D</t>
  </si>
  <si>
    <t>L-CAP-BASEBALL-PO2-WHITEMUSTARD</t>
  </si>
  <si>
    <t>CAP-BASEBALL-PO2-WHITEMUSTARD</t>
  </si>
  <si>
    <t>B09WCTP4LS</t>
  </si>
  <si>
    <t>L-CAP-BASEBALL-RED</t>
  </si>
  <si>
    <t>L-CAP-BASEBALL-SKYBLUE</t>
  </si>
  <si>
    <t>L-CAP-BASEBALL-WHITE</t>
  </si>
  <si>
    <t>L-CAP-RAIN-BASEBALL-BLACK</t>
  </si>
  <si>
    <t>CAP-RAIN-BASEBALL-BLACK</t>
  </si>
  <si>
    <t>L-CAP-RAIN-BASEBALL-GREY</t>
  </si>
  <si>
    <t>CAP-RAIN-BASEBALL-GREY</t>
  </si>
  <si>
    <t>B097YVW4LW</t>
  </si>
  <si>
    <t>L-CAP-RAIN-BASEBALL-NAVYBLUE</t>
  </si>
  <si>
    <t>CAP-RAIN-BASEBALL-NAVYBLUE</t>
  </si>
  <si>
    <t>L-CAP-RAIN-MILITARY-BLACK</t>
  </si>
  <si>
    <t>CAP-RAIN-MILITARY-BLACK</t>
  </si>
  <si>
    <t>B097PJSJJD</t>
  </si>
  <si>
    <t>L-CAP-RAIN-MILITARY-GREEN</t>
  </si>
  <si>
    <t>CAP-RAIN-MILITARY-GREEN</t>
  </si>
  <si>
    <t>B0982XR5TY</t>
  </si>
  <si>
    <t>L-CAP-RAIN-MILITARY-NAVY</t>
  </si>
  <si>
    <t>CAP-RAIN-MILITARY-NAVY</t>
  </si>
  <si>
    <t>B0B8T3MGYT</t>
  </si>
  <si>
    <t>L-GLOVE-FULL-TOUCH-DOT</t>
  </si>
  <si>
    <t>L-GLOVES-HALF-GYM-BLACK</t>
  </si>
  <si>
    <t>GLOVES-HALF-GYM-BLACK</t>
  </si>
  <si>
    <t>B09GS4QNCM</t>
  </si>
  <si>
    <t>L-GLOVES-HALF-GYM-SPORTS</t>
  </si>
  <si>
    <t>GLOVES-HALF-GYM-SPORTS</t>
  </si>
  <si>
    <t>B09GTM9MQJ</t>
  </si>
  <si>
    <t>L-MASK-HALF-PACKOF1-BLACK</t>
  </si>
  <si>
    <t>B08ZM5WHK6</t>
  </si>
  <si>
    <t>L-MASK-HALF-PACKOF1-BLUE</t>
  </si>
  <si>
    <t>B08ZM6ZRWQ</t>
  </si>
  <si>
    <t>L-MASK-HALF-PACKOF1-DARKGREY</t>
  </si>
  <si>
    <t>MASK-HALF-DARKGREY-PK1</t>
  </si>
  <si>
    <t>L-MASK-HALF-PACKOF1-GREY</t>
  </si>
  <si>
    <t>MASK-HALF-GREY-PK1</t>
  </si>
  <si>
    <t>L-MASK-HALF-PACKOF1-NAVYBLUE</t>
  </si>
  <si>
    <t>MASK-HALF-NAVYBLUE-PK1</t>
  </si>
  <si>
    <t>B08ZM7QSTH</t>
  </si>
  <si>
    <t>L-MASK-HALF-PACKOF4-BLACK</t>
  </si>
  <si>
    <t>MASK-HALF-BLACK-PK4</t>
  </si>
  <si>
    <t>L-MASK-HALF-PACKOF5V-MULTICOLOR</t>
  </si>
  <si>
    <t>MASK-HALF-BLACK-PK5</t>
  </si>
  <si>
    <t>L-SHIRT-COTTONROUND-PITCH-L</t>
  </si>
  <si>
    <t>TSHIRT-COTTONROUND-PITCH-L</t>
  </si>
  <si>
    <t>B0D7VJJSBF</t>
  </si>
  <si>
    <t>L-SHIRT-COTTONROUND-PITCH-M</t>
  </si>
  <si>
    <t>TSHIRT-COTTONROUND-PITCH-M</t>
  </si>
  <si>
    <t>B0D7VHTCHW</t>
  </si>
  <si>
    <t>L-SHIRT-COTTONROUND-PITCH-XL</t>
  </si>
  <si>
    <t>TSHIRT-COTTONROUND-PITCH-XL</t>
  </si>
  <si>
    <t>B0D7VJ2DNL</t>
  </si>
  <si>
    <t>L-SHIRT-COTTONROUND-PITCH-XXL</t>
  </si>
  <si>
    <t>TSHIRT-COTTONROUND-PITCH-XXL</t>
  </si>
  <si>
    <t>B0D7VGKTV9</t>
  </si>
  <si>
    <t>L-STOLE-SILK-WHITE</t>
  </si>
  <si>
    <t>STOLE-SILK-WHITE</t>
  </si>
  <si>
    <t>L-TSHIRT-COTTONROUND-AIRFORCEBLUE-2XL</t>
  </si>
  <si>
    <t>TSHIRT-COTTONROUND-AIRFORCEBLUE-2XL</t>
  </si>
  <si>
    <t>L-TSHIRT-COTTONROUND-AIRFORCEBLUE-L</t>
  </si>
  <si>
    <t>TSHIRT-COTTONROUND-AIRFORCEBLUE-L</t>
  </si>
  <si>
    <t>L-TSHIRT-COTTONROUND-AIRFORCEBLUE-M</t>
  </si>
  <si>
    <t>TSHIRT-COTTONROUND-AIRFORCEBLUE-M</t>
  </si>
  <si>
    <t>L-TSHIRT-COTTONROUND-AIRFORCEBLUE-XL</t>
  </si>
  <si>
    <t>TSHIRT-COTTONROUND-AIRFORCEBLUE-XL</t>
  </si>
  <si>
    <t>L-TSHIRT-COTTONROUND-BLACK-2XL</t>
  </si>
  <si>
    <t>TSHIRT-COTTONROUND-BLACK-2XL</t>
  </si>
  <si>
    <t>L-TSHIRT-COTTONROUND-BLACK-L</t>
  </si>
  <si>
    <t>TSHIRT-COTTONROUND-BLACK-L</t>
  </si>
  <si>
    <t>L-TSHIRT-COTTONROUND-BLACK-M</t>
  </si>
  <si>
    <t>TSHIRT-COTTONROUND-BLACK-M</t>
  </si>
  <si>
    <t>L-TSHIRT-COTTONROUND-BLACK-XL</t>
  </si>
  <si>
    <t>TSHIRT-COTTONROUND-BLACK-XL</t>
  </si>
  <si>
    <t>L-TSHIRT-COTTONROUND-BOTTLEGREEN-2XL</t>
  </si>
  <si>
    <t>TSHIRT-COTTONROUND-BOTTLEGREEN-2XL</t>
  </si>
  <si>
    <t>L-TSHIRT-COTTONROUND-BOTTLEGREEN-L</t>
  </si>
  <si>
    <t>TSHIRT-COTTONROUND-BOTTLEGREEN-L</t>
  </si>
  <si>
    <t>L-TSHIRT-COTTONROUND-BOTTLEGREEN-M</t>
  </si>
  <si>
    <t>TSHIRT-COTTONROUND-BOTTLEGREEN-M</t>
  </si>
  <si>
    <t>B0993SXN6M</t>
  </si>
  <si>
    <t>L-TSHIRT-COTTONROUND-BOTTLEGREEN-XL1</t>
  </si>
  <si>
    <t>TSHIRT-COTTONROUND-BOTTLEGREEN-XL1</t>
  </si>
  <si>
    <t>L-TSHIRT-COTTONROUND-BRICKRED-2XL</t>
  </si>
  <si>
    <t>TSHIRT-COTTONROUND-BRICKRED-2XL</t>
  </si>
  <si>
    <t>L-TSHIRT-COTTONROUND-BRICKRED-L</t>
  </si>
  <si>
    <t>TSHIRT-COTTONROUND-BRICKRED-L</t>
  </si>
  <si>
    <t>L-TSHIRT-COTTONROUND-BRICKRED-M</t>
  </si>
  <si>
    <t>TSHIRT-COTTONROUND-BRICKRED-M</t>
  </si>
  <si>
    <t>L-TSHIRT-COTTONROUND-BRICKRED-XL</t>
  </si>
  <si>
    <t>TSHIRT-COTTONROUND-BRICKRED-XL</t>
  </si>
  <si>
    <t>L-TSHIRT-COTTONROUND-CORALGREEN-L</t>
  </si>
  <si>
    <t>TSHIRT-COTTONROUND-CORALGREEN-L</t>
  </si>
  <si>
    <t>L-TSHIRT-COTTONROUND-CORALGREEN-M</t>
  </si>
  <si>
    <t>TSHIRT-COTTONROUND-CORALGREEN-M</t>
  </si>
  <si>
    <t>L-TSHIRT-COTTONROUND-CORALGREEN-XL</t>
  </si>
  <si>
    <t>TSHIRT-COTTONROUND-CORALGREEN-XL</t>
  </si>
  <si>
    <t>L-TSHIRT-COTTONROUND-CORALGREEN-XXL</t>
  </si>
  <si>
    <t>TSHIRT-COTTONROUND-CORALGREEN-XXL</t>
  </si>
  <si>
    <t>L-TSHIRT-COTTONROUND-DARKGREEN-2XL</t>
  </si>
  <si>
    <t>TSHIRT-COTTONROUND-DARKGREEN-2XL</t>
  </si>
  <si>
    <t>L-TSHIRT-COTTONROUND-DARKGREEN-L</t>
  </si>
  <si>
    <t>TSHIRT-COTTONROUND-DARKGREEN-L</t>
  </si>
  <si>
    <t>L-TSHIRT-COTTONROUND-DARKGREEN-M</t>
  </si>
  <si>
    <t>TSHIRT-COTTONROUND-DARKGREEN-M</t>
  </si>
  <si>
    <t>L-TSHIRT-COTTONROUND-DARKGREEN-XL</t>
  </si>
  <si>
    <t>TSHIRT-COTTONROUND-DARKGREEN-XL</t>
  </si>
  <si>
    <t>L-TSHIRT-COTTONROUND-GREY-2XL</t>
  </si>
  <si>
    <t>TSHIRT-COTTONROUND-GREY-2XL</t>
  </si>
  <si>
    <t>L-TSHIRT-COTTONROUND-GREY-L</t>
  </si>
  <si>
    <t>TSHIRT-COTTONROUND-GREY-L</t>
  </si>
  <si>
    <t>L-TSHIRT-COTTONROUND-GREY-M</t>
  </si>
  <si>
    <t>TSHIRT-COTTONROUND-GREY-M</t>
  </si>
  <si>
    <t>L-TSHIRT-COTTONROUND-GREY-XL</t>
  </si>
  <si>
    <t>TSHIRT-COTTONROUND-GREY-XL</t>
  </si>
  <si>
    <t>L-TSHIRT-COTTONROUND-LIGHTGREEN-2XL</t>
  </si>
  <si>
    <t>TSHIRT-COTTONROUND-LIGHTGREEN-2XL</t>
  </si>
  <si>
    <t>L-TSHIRT-COTTONROUND-LIGHTGREEN-L</t>
  </si>
  <si>
    <t>TSHIRT-COTTONROUND-LIGHTGREEN-L</t>
  </si>
  <si>
    <t>L-TSHIRT-COTTONROUND-LIGHTGREEN-M</t>
  </si>
  <si>
    <t>TSHIRT-COTTONROUND-LIGHTGREEN-M</t>
  </si>
  <si>
    <t>L-TSHIRT-COTTONROUND-LIGHTGREEN-XL</t>
  </si>
  <si>
    <t>TSHIRT-COTTONROUND-LIGHTGREEN-XL</t>
  </si>
  <si>
    <t>L-TSHIRT-COTTONROUND-MAROON-L</t>
  </si>
  <si>
    <t>TSHIRT-COTTONROUND-MAROON-L</t>
  </si>
  <si>
    <t>B0D7VHMC8L</t>
  </si>
  <si>
    <t>L-TSHIRT-COTTONROUND-MAROON-M</t>
  </si>
  <si>
    <t>TSHIRT-COTTONROUND-MAROON-M</t>
  </si>
  <si>
    <t>B0D7VH8QN3</t>
  </si>
  <si>
    <t>L-TSHIRT-COTTONROUND-MAROON-XL</t>
  </si>
  <si>
    <t>TSHIRT-COTTONROUND-MAROON-XL</t>
  </si>
  <si>
    <t>B0D7VGNY1G</t>
  </si>
  <si>
    <t>L-TSHIRT-COTTONROUND-MAROON-XXL</t>
  </si>
  <si>
    <t>TSHIRT-COTTONROUND-MAROON-XXL</t>
  </si>
  <si>
    <t>B0D7VFCJGV</t>
  </si>
  <si>
    <t>L-TSHIRT-COTTONROUND-MELANGGREY-L</t>
  </si>
  <si>
    <t>TSHIRT-COTTONROUND-MELANGGREY-L</t>
  </si>
  <si>
    <t>B0D7VH7KT8</t>
  </si>
  <si>
    <t>L-TSHIRT-COTTONROUND-MELANGGREY-M</t>
  </si>
  <si>
    <t>TSHIRT-COTTONROUND-MELANGGREY-M</t>
  </si>
  <si>
    <t>B0D7VG8NHX</t>
  </si>
  <si>
    <t>L-TSHIRT-COTTONROUND-MELANGGREY-XL</t>
  </si>
  <si>
    <t>TSHIRT-COTTONROUND-MELANGGREY-XL</t>
  </si>
  <si>
    <t>B0D7VGBP6C</t>
  </si>
  <si>
    <t>L-TSHIRT-COTTONROUND-MELANGGREY-XXL</t>
  </si>
  <si>
    <t>TSHIRT-COTTONROUND-MELANGGREY-XXL</t>
  </si>
  <si>
    <t>B0D7VDY7M6</t>
  </si>
  <si>
    <t>L-TSHIRT-COTTONROUND-MUSTARDYELLOW-2XL</t>
  </si>
  <si>
    <t>TSHIRT-COTTONROUND-MUSTARDYELLOW-2XL</t>
  </si>
  <si>
    <t>L-TSHIRT-COTTONROUND-MUSTARDYELLOW-L</t>
  </si>
  <si>
    <t>TSHIRT-COTTONROUND-MUSTARDYELLOW-L</t>
  </si>
  <si>
    <t>L-TSHIRT-COTTONROUND-MUSTARDYELLOW-M</t>
  </si>
  <si>
    <t>TSHIRT-COTTONROUND-MUSTARDYELLOW-M</t>
  </si>
  <si>
    <t>L-TSHIRT-COTTONROUND-MUSTARDYELLOW-XL</t>
  </si>
  <si>
    <t>TSHIRT-COTTONROUND-MUSTARDYELLOW-XL</t>
  </si>
  <si>
    <t>L-TSHIRT-COTTONROUND-NAVYBLUE-2XL</t>
  </si>
  <si>
    <t>TSHIRT-COTTONROUND-NAVYBLUE-2XL</t>
  </si>
  <si>
    <t>L-TSHIRT-COTTONROUND-NAVYBLUE-L</t>
  </si>
  <si>
    <t>TSHIRT-COTTONROUND-NAVYBLUE-L</t>
  </si>
  <si>
    <t>L-TSHIRT-COTTONROUND-NAVYBLUE-M</t>
  </si>
  <si>
    <t>TSHIRT-COTTONROUND-NAVYBLUE-M</t>
  </si>
  <si>
    <t>L-TSHIRT-COTTONROUND-NAVYBLUE-XL</t>
  </si>
  <si>
    <t>TSHIRT-COTTONROUND-NAVYBLUE-XL</t>
  </si>
  <si>
    <t>L-TSHIRT-COTTONROUND-OCCEANBLUE-L</t>
  </si>
  <si>
    <t>TSHIRT-COTTONROUND-OCCEANBLUE-L</t>
  </si>
  <si>
    <t>B0D7VFP3CX</t>
  </si>
  <si>
    <t>L-TSHIRT-COTTONROUND-OCCEANBLUE-M</t>
  </si>
  <si>
    <t>TSHIRT-COTTONROUND-OCCEANBLUE-M</t>
  </si>
  <si>
    <t>B0D7VK974R</t>
  </si>
  <si>
    <t>L-TSHIRT-COTTONROUND-OCCEANBLUE-XL</t>
  </si>
  <si>
    <t>TSHIRT-COTTONROUND-OCCEANBLUE-XL</t>
  </si>
  <si>
    <t>B0D7VG6TV7</t>
  </si>
  <si>
    <t>L-TSHIRT-COTTONROUND-OCCEANBLUE-XXL</t>
  </si>
  <si>
    <t>TSHIRT-COTTONROUND-OCCEANBLUE-XXL</t>
  </si>
  <si>
    <t>B0D7VFPYT4</t>
  </si>
  <si>
    <t>L-TSHIRT-COTTONROUND-OLIVEGREEN-L</t>
  </si>
  <si>
    <t>TSHIRT-COTTONROUND-OLIVEGREEN-L</t>
  </si>
  <si>
    <t>B0D7VHGCRZ</t>
  </si>
  <si>
    <t>L-TSHIRT-COTTONROUND-OLIVEGREEN-M</t>
  </si>
  <si>
    <t>TSHIRT-COTTONROUND-OLIVEGREEN-M</t>
  </si>
  <si>
    <t>B0D7VG8SL7</t>
  </si>
  <si>
    <t>L-TSHIRT-COTTONROUND-OLIVEGREEN-XL</t>
  </si>
  <si>
    <t>TSHIRT-COTTONROUND-OLIVEGREEN-XL</t>
  </si>
  <si>
    <t>B0D7VGJFLS</t>
  </si>
  <si>
    <t>L-TSHIRT-COTTONROUND-OLIVEGREEN-XXL</t>
  </si>
  <si>
    <t>TSHIRT-COTTONROUND-OLIVEGREEN-XXL</t>
  </si>
  <si>
    <t>B0D7VJCRZD</t>
  </si>
  <si>
    <t>L-TSHIRT-COTTONROUND-SKYBLUE-2XL</t>
  </si>
  <si>
    <t>TSHIRT-COTTONROUND-SKYBLUE-2XL</t>
  </si>
  <si>
    <t>L-TSHIRT-COTTONROUND-SKYBLUE-L</t>
  </si>
  <si>
    <t>TSHIRT-COTTONROUND-SKYBLUE-L</t>
  </si>
  <si>
    <t>L-TSHIRT-COTTONROUND-SKYBLUE-M</t>
  </si>
  <si>
    <t>TSHIRT-COTTONROUND-SKYBLUE-M</t>
  </si>
  <si>
    <t>L-TSHIRT-COTTONROUND-SKYBLUE-XL</t>
  </si>
  <si>
    <t>TSHIRT-COTTONROUND-SKYBLUE-XL</t>
  </si>
  <si>
    <t>L-TSHIRT-COTTONROUND-WHITE-2XL</t>
  </si>
  <si>
    <t>TSHIRT-COTTONROUND-WHITE-2XL</t>
  </si>
  <si>
    <t>L-TSHIRT-COTTONROUND-WHITE-2XL.0</t>
  </si>
  <si>
    <t>TSHIRT-COTTONROUND-WHITE-2XL.0</t>
  </si>
  <si>
    <t>L-TSHIRT-COTTONROUND-WHITE-L</t>
  </si>
  <si>
    <t>TSHIRT-COTTONROUND-WHITE-L</t>
  </si>
  <si>
    <t>L-TSHIRT-COTTONROUND-WHITE-M</t>
  </si>
  <si>
    <t>TSHIRT-COTTONROUND-WHITE-M</t>
  </si>
  <si>
    <t>L-TSHIRT-COTTONROUND-WHITE-XL</t>
  </si>
  <si>
    <t>TSHIRT-COTTONROUND-WHITE-XL</t>
  </si>
  <si>
    <t>MASK-HALFBIKER-BLACK</t>
  </si>
  <si>
    <t>MASK-KALLP-BLUE</t>
  </si>
  <si>
    <t>MUFFLER-COMP-BEIGE</t>
  </si>
  <si>
    <t>B0BM5V94B2</t>
  </si>
  <si>
    <t>MUFFLER-COMP-GREY</t>
  </si>
  <si>
    <t>B0BM5PP41V</t>
  </si>
  <si>
    <t>MUFFLER-PLAIN-BLACK</t>
  </si>
  <si>
    <t>MUFFLER-STRIPE-BROWN-BLACK</t>
  </si>
  <si>
    <t>MUFFLER-STRIPE-MAROON-BLACK</t>
  </si>
  <si>
    <t>PLANTER-BLACK-BLOSSOM10-PO2</t>
  </si>
  <si>
    <t>PLANTER-BLACK-BLOSSOM10-PK2</t>
  </si>
  <si>
    <t>B0DFPBZMP7</t>
  </si>
  <si>
    <t>PLANTER-BLACK-BLOSSOM10-PO6</t>
  </si>
  <si>
    <t>PLANTER-BLACK-BLOSSOM10-PK6</t>
  </si>
  <si>
    <t>B0DFPR6S1C</t>
  </si>
  <si>
    <t>PLANTER-BROWN-HEXA7-PO2</t>
  </si>
  <si>
    <t>PLANTER-BROWN-HEXA7-PK2</t>
  </si>
  <si>
    <t>B0DFM2ZJ8R</t>
  </si>
  <si>
    <t>PLANTER-BROWN-HEXA7-PO6</t>
  </si>
  <si>
    <t>PLANTER-BROWN-HEXA7-PK6</t>
  </si>
  <si>
    <t>B0DFM1QRP5</t>
  </si>
  <si>
    <t>PLANTER-BROWN-HEXA9-PO2</t>
  </si>
  <si>
    <t>PLANTER-BROWN-HEXA9-PK2</t>
  </si>
  <si>
    <t>B0DFM2ZML5</t>
  </si>
  <si>
    <t>PLANTER-BROWN-HEXA9-PO6</t>
  </si>
  <si>
    <t>PLANTER-BROWN-HEXA9-PK6</t>
  </si>
  <si>
    <t>B0DFM2XWJX</t>
  </si>
  <si>
    <t>PLANTER-BROWN-PLATE-NP10-016</t>
  </si>
  <si>
    <t>PLANTER-BROWN-PLATE-NP10-PK16</t>
  </si>
  <si>
    <t>PLANTER-BROWN-PLATE-NP10-04</t>
  </si>
  <si>
    <t>PLANTER-BROWN-PLATE-NP10-PK4</t>
  </si>
  <si>
    <t>PLANTER-BROWN-PLATE-NP10-08</t>
  </si>
  <si>
    <t>PLANTER-BROWN-PLATE-NP10-PK8</t>
  </si>
  <si>
    <t>PLANTER-BROWN-PLATE-NP7-016</t>
  </si>
  <si>
    <t>PLANTER-BROWN-PLATE-NP7-PK16</t>
  </si>
  <si>
    <t>PLANTER-BROWN-PLATE-NP7-04</t>
  </si>
  <si>
    <t>PLANTER-BROWN-PLATE-NP7-PK4</t>
  </si>
  <si>
    <t>B0CMQVX2FN</t>
  </si>
  <si>
    <t>PLANTER-BROWN-PLATE-NP7-08</t>
  </si>
  <si>
    <t>PLANTER-BROWN-PLATE-NP7-PK8</t>
  </si>
  <si>
    <t>PLANTER-BROWN-PLATE-NP8-016</t>
  </si>
  <si>
    <t>PLANTER-BROWN-PLATE-NP8-PK16</t>
  </si>
  <si>
    <t>PLANTER-BROWN-PLATE-NP8-04</t>
  </si>
  <si>
    <t>PLANTER-BROWN-PLATE-NP8-PK4</t>
  </si>
  <si>
    <t>PLANTER-BROWN-PLATE-NP8-08</t>
  </si>
  <si>
    <t>PLANTER-BROWN-PLATE-NP8-PK8</t>
  </si>
  <si>
    <t>PLANTER-BROWN-RECTANGLE-ORCHID12-P01</t>
  </si>
  <si>
    <t>PLANTER-BROWN-RECTANGLE-ORCHID12-PK1</t>
  </si>
  <si>
    <t>PLANTER-BROWN-RECTANGLE-ORCHID12-P02</t>
  </si>
  <si>
    <t>PLANTER-BROWN-RECTANGLE-ORCHID12-PK2</t>
  </si>
  <si>
    <t>B0CGZLW9CH</t>
  </si>
  <si>
    <t>PLANTER-BROWN-RECTANGLE-ORCHID12-P04</t>
  </si>
  <si>
    <t>PLANTER-BROWN-RECTANGLE-ORCHID12-PK4</t>
  </si>
  <si>
    <t>PLANTER-BROWN-RECTANGLE-ORCHID12-P08</t>
  </si>
  <si>
    <t>PLANTER-BROWN-RECTANGLE-ORCHID12-PK8</t>
  </si>
  <si>
    <t>PLANTER-BROWN-RECTANGLE-ORCHID18-P01</t>
  </si>
  <si>
    <t>PLANTER-BROWN-RECTANGLE-ORCHID18-PK1</t>
  </si>
  <si>
    <t>PLANTER-BROWN-RECTANGLE-ORCHID18-P02</t>
  </si>
  <si>
    <t>PLANTER-BROWN-RECTANGLE-ORCHID18-PK2</t>
  </si>
  <si>
    <t>PLANTER-BROWN-RECTANGLE-ORCHID18-P04</t>
  </si>
  <si>
    <t>PLANTER-BROWN-RECTANGLE-ORCHID18-PK4</t>
  </si>
  <si>
    <t>PLANTER-BROWN-RECTANGLE-ORCHID18-P08</t>
  </si>
  <si>
    <t>PLANTER-BROWN-RECTANGLE-ORCHID18-PK8</t>
  </si>
  <si>
    <t>B0CJF485GH</t>
  </si>
  <si>
    <t>PLANTER-BROWN-RECTANGLE-ORCHID20-P01</t>
  </si>
  <si>
    <t>PLANTER-BROWN-RECTANGLE-ORCHID20-PK1</t>
  </si>
  <si>
    <t>PLANTER-BROWN-RECTANGLE-ORCHID20-P02</t>
  </si>
  <si>
    <t>PLANTER-BROWN-RECTANGLE-ORCHID20-PK2</t>
  </si>
  <si>
    <t>PLANTER-BROWN-RECTANGLE-ORCHID20-P04</t>
  </si>
  <si>
    <t>PLANTER-BROWN-RECTANGLE-ORCHID20-PK4</t>
  </si>
  <si>
    <t>PLANTER-BROWN-RECTANGLE-ORCHID20-P08</t>
  </si>
  <si>
    <t>PLANTER-BROWN-RECTANGLE-ORCHID20-PK8</t>
  </si>
  <si>
    <t>PLANTER-BROWN-ROUND-PLAIN10-P01</t>
  </si>
  <si>
    <t>PLANTER-ROUNDORCHID-SAUCER10-PK1</t>
  </si>
  <si>
    <t>PLANTER-BROWN-ROUND-PLAIN12-P01</t>
  </si>
  <si>
    <t>PLANTER-ROUNDORCHID-SAUCER12-PK1</t>
  </si>
  <si>
    <t>PLANTER-BROWN-ROUND-PLAIN8-P01</t>
  </si>
  <si>
    <t>PLANTER-ROUNDORCHID-SAUCER8-PK1</t>
  </si>
  <si>
    <t>PLANTER-BROWN-ROUND-ROSE10-P01</t>
  </si>
  <si>
    <t>PLANTER-BROWN-ROUND-ROSE10-PK1</t>
  </si>
  <si>
    <t>PLANTER-BROWN-ROUND-ROSE10-P02</t>
  </si>
  <si>
    <t>PLANTER-BROWN-ROUND-ROSE10-PK2</t>
  </si>
  <si>
    <t>PLANTER-BROWN-ROUND-ROSE10-P04</t>
  </si>
  <si>
    <t>PLANTER-BROWN-ROUND-ROSE10-PK4</t>
  </si>
  <si>
    <t>PLANTER-BROWN-ROUND-ROSE10-P08</t>
  </si>
  <si>
    <t>PLANTER-BROWN-ROUND-ROSE10-PK8</t>
  </si>
  <si>
    <t>PLANTER-BROWN-ROUND-ROSE12-P01</t>
  </si>
  <si>
    <t>PLANTER-BROWN-ROUND-ROSE12-PK1</t>
  </si>
  <si>
    <t>PLANTER-BROWN-ROUND-ROSE12-P02</t>
  </si>
  <si>
    <t>PLANTER-BROWN-ROUND-ROSE12-PK2</t>
  </si>
  <si>
    <t>PLANTER-BROWN-ROUND-ROSE12-P04</t>
  </si>
  <si>
    <t>PLANTER-BROWN-ROUND-ROSE12-PK4</t>
  </si>
  <si>
    <t>PLANTER-BROWN-ROUND-ROSE12-P08</t>
  </si>
  <si>
    <t>PLANTER-BROWN-ROUND-ROSE12-PK8</t>
  </si>
  <si>
    <t>PLANTER-BROWN-ROUND-ROSE8-P01</t>
  </si>
  <si>
    <t>PLANTER-BROWN-ROUND-ROSE8-PK1</t>
  </si>
  <si>
    <t>PLANTER-BROWN-ROUND-ROSE8-P02</t>
  </si>
  <si>
    <t>PLANTER-BROWN-ROUND-ROSE8-PK2</t>
  </si>
  <si>
    <t>PLANTER-BROWN-ROUND-ROSE8-P04</t>
  </si>
  <si>
    <t>PLANTER-BROWN-ROUND-ROSE8-PK4</t>
  </si>
  <si>
    <t>PLANTER-BROWN-ROUND-ROSE8-P08</t>
  </si>
  <si>
    <t>PLANTER-BROWN-ROUND-ROSE8-PK8</t>
  </si>
  <si>
    <t>PLANTER-BROWN-SQUARE-ORCHID10-P01</t>
  </si>
  <si>
    <t>PLANTER-BROWN-SQUARE-ORCHID10-PK1</t>
  </si>
  <si>
    <t>PLANTER-BROWN-SQUARE-ORCHID10-P02</t>
  </si>
  <si>
    <t>PLANTER-BROWN-SQUARE-ORCHID10-PK2</t>
  </si>
  <si>
    <t>B0CH4NFS77</t>
  </si>
  <si>
    <t>PLANTER-BROWN-SQUARE-ORCHID10-P04</t>
  </si>
  <si>
    <t>PLANTER-BROWN-SQUARE-ORCHID10-PK4</t>
  </si>
  <si>
    <t>B0CH4PP4BY</t>
  </si>
  <si>
    <t>PLANTER-BROWN-SQUARE-ORCHID10-P08</t>
  </si>
  <si>
    <t>PLANTER-BROWN-SQUARE-ORCHID10-PK8</t>
  </si>
  <si>
    <t>B0CH4P1V1R</t>
  </si>
  <si>
    <t>PLANTER-BROWN-SQUARE-ORCHID12-P01</t>
  </si>
  <si>
    <t>PLANTER-BROWN-SQUARE-ORCHID12-PK1</t>
  </si>
  <si>
    <t>PLANTER-BROWN-SQUARE-ORCHID12-P02</t>
  </si>
  <si>
    <t>PLANTER-BROWN-SQUARE-ORCHID12-PK2</t>
  </si>
  <si>
    <t>B0CH4NBWMJ</t>
  </si>
  <si>
    <t>PLANTER-BROWN-SQUARE-ORCHID12-P04</t>
  </si>
  <si>
    <t>PLANTER-BROWN-SQUARE-ORCHID12-PK4</t>
  </si>
  <si>
    <t>B0CH4NGRGX</t>
  </si>
  <si>
    <t>PLANTER-BROWN-SQUARE-ORCHID12-P08</t>
  </si>
  <si>
    <t>PLANTER-BROWN-SQUARE-ORCHID12-PK8</t>
  </si>
  <si>
    <t>B0CH4P6N7R</t>
  </si>
  <si>
    <t>PLANTER-BROWN-SQUARE-ORCHID8-P01</t>
  </si>
  <si>
    <t>PLANTER-BROWN-SQUARE-ORCHID8-PK1</t>
  </si>
  <si>
    <t>PLANTER-BROWN-SQUARE-ORCHID8-P02</t>
  </si>
  <si>
    <t>PLANTER-BROWN-SQUARE-ORCHID8-PK2</t>
  </si>
  <si>
    <t>B0CH4P2Y6C</t>
  </si>
  <si>
    <t>PLANTER-BROWN-SQUARE-ORCHID8-P04</t>
  </si>
  <si>
    <t>PLANTER-BROWN-SQUARE-ORCHID8-PK4</t>
  </si>
  <si>
    <t>B0CH4NGX4J</t>
  </si>
  <si>
    <t>PLANTER-BROWN-SQUARE-ORCHID8-P08</t>
  </si>
  <si>
    <t>PLANTER-BROWN-SQUARE-ORCHID8-PK8</t>
  </si>
  <si>
    <t>B0CH4MC9FM</t>
  </si>
  <si>
    <t>PLANTER-COLOR-EXPERT-PO6</t>
  </si>
  <si>
    <t>PLANTER-COLOR-EXPERT-PK6</t>
  </si>
  <si>
    <t>PLANTER-COLOR-SINGLEHOOK-RAJ6-PO2</t>
  </si>
  <si>
    <t>PLANTER-COLOUR-HOOK-RAJ6-PK2</t>
  </si>
  <si>
    <t>B0D4H6F12C</t>
  </si>
  <si>
    <t>PLANTER-COLOR-SINGLEHOOK-RAJ6-PO4</t>
  </si>
  <si>
    <t>PLANTER-COLOUR-HOOK-RAJ6-PK4</t>
  </si>
  <si>
    <t>B0D4HPZNX2</t>
  </si>
  <si>
    <t>PLANTER-COLOR-SINGLEHOOK-RAJ6-PO8</t>
  </si>
  <si>
    <t>PLANTER-COLOUR-HOOK-RAJ6-PK6</t>
  </si>
  <si>
    <t>B0D4HPH3P6</t>
  </si>
  <si>
    <t>PLANTER-COLOR-SINGLEHOOK-RAJ7-PO2</t>
  </si>
  <si>
    <t>PLANTER-COLOUR-HOOK-RAJ7-PK2</t>
  </si>
  <si>
    <t>B0D4HD35VT</t>
  </si>
  <si>
    <t>PLANTER-COLOR-SINGLEHOOK-RAJ7-PO4</t>
  </si>
  <si>
    <t>PLANTER-COLOUR-HOOK-RAJ7-PK4</t>
  </si>
  <si>
    <t>B0D4HF4GNG</t>
  </si>
  <si>
    <t>PLANTER-COLOR-SINGLEHOOK-RAJ7-PO8</t>
  </si>
  <si>
    <t>PLANTER-COLOUR-HOOK-RAJ7-PK6</t>
  </si>
  <si>
    <t>B0D4GZLF7H</t>
  </si>
  <si>
    <t>PLANTER-COLOR-SINGLEHOOK-RAJ9-PO2</t>
  </si>
  <si>
    <t>PLANTER-COLOUR-HOOK-RAJ9-PK2</t>
  </si>
  <si>
    <t>B0D4HHQVG7</t>
  </si>
  <si>
    <t>PLANTER-COLOR-SINGLEHOOK-RAJ9-PO4</t>
  </si>
  <si>
    <t>PLANTER-COLOUR-HOOK-RAJ9-PK4</t>
  </si>
  <si>
    <t>B0D4H73FDG</t>
  </si>
  <si>
    <t>PLANTER-COLOR-SINGLEHOOK-RAJ9-PO8</t>
  </si>
  <si>
    <t>PLANTER-COLOUR-HOOK-RAJ9-PK6</t>
  </si>
  <si>
    <t>B0D4HF7QYW</t>
  </si>
  <si>
    <t>PLANTER-COLOUR-HOOK-RAJ6-P02</t>
  </si>
  <si>
    <t>PLANTER-COLOUR-HOOK-RAJ6-P04</t>
  </si>
  <si>
    <t>PLANTER-COLOUR-HOOK-RAJ6-P06</t>
  </si>
  <si>
    <t>B0D9B4GMLL</t>
  </si>
  <si>
    <t>PLANTER-COLOUR-HOOK-RAJ7-P02</t>
  </si>
  <si>
    <t>PLANTER-COLOUR-HOOK-RAJ7-P04</t>
  </si>
  <si>
    <t>PLANTER-COLOUR-HOOK-RAJ7-P06</t>
  </si>
  <si>
    <t>B0D9B2B3Z7</t>
  </si>
  <si>
    <t>PLANTER-COLOUR-HOOK-RAJ9-P02</t>
  </si>
  <si>
    <t>PLANTER-COLOUR-HOOK-RAJ9-P04</t>
  </si>
  <si>
    <t>PLANTER-COLOUR-HOOK-RAJ9-P06</t>
  </si>
  <si>
    <t>B0D9B25LZ6</t>
  </si>
  <si>
    <t>PLANTER-MULTICOLOUR-DOUBLEHOOK11-P03</t>
  </si>
  <si>
    <t>PLANTER-MULTICOLOUR-DOUBLEHOOK11-PK3</t>
  </si>
  <si>
    <t>PLANTER-MULTICOLOUR-DOUBLEHOOK11-P06</t>
  </si>
  <si>
    <t>PLANTER-MULTICOLOUR-DOUBLEHOOK11-PK6</t>
  </si>
  <si>
    <t>PLANTER-MULTICOLOUR-DOUBLEHOOK9-P03</t>
  </si>
  <si>
    <t>PLANTER-MULTICOLOUR-DOUBLEHOOK9-PK3</t>
  </si>
  <si>
    <t>PLANTER-MULTICOLOUR-DOUBLEHOOK9-P06</t>
  </si>
  <si>
    <t>PLANTER-MULTICOLOUR-DOUBLEHOOK9-PK6</t>
  </si>
  <si>
    <t>PLANTER-MULTICOLOUR-HANGINGPLANTER6-P03</t>
  </si>
  <si>
    <t>PLANTER-MULTICOLOUR-HANGINGPLANTER6-PK3</t>
  </si>
  <si>
    <t>PLANTER-MULTICOLOUR-HANGINGPLANTER6-P06</t>
  </si>
  <si>
    <t>PLANTER-MULTICOLOUR-HANGINGPLANTER6-PK6</t>
  </si>
  <si>
    <t>PLANTER-MULTICOLOUR-HANGINGPLANTER7-P03</t>
  </si>
  <si>
    <t>PLANTER-MULTICOLOUR-HANGINGPLANTER7-PK3</t>
  </si>
  <si>
    <t>PLANTER-MULTICOLOUR-HANGINGPLANTER7-P06</t>
  </si>
  <si>
    <t>PLANTER-MULTICOLOUR-HANGINGPLANTER7-PK6</t>
  </si>
  <si>
    <t>PLANTER-MULTICOLOUR-HANGINGPLANTER8-P03</t>
  </si>
  <si>
    <t>PLANTER-MULTICOLOUR-HANGINGPLANTER8-PK3</t>
  </si>
  <si>
    <t>PLANTER-MULTICOLOUR-HANGINGPLANTER8-P06</t>
  </si>
  <si>
    <t>PLANTER-MULTICOLOUR-HANGINGPLANTER8-PK6</t>
  </si>
  <si>
    <t>PLANTER-ROUND-MULTICOLOR8-P05</t>
  </si>
  <si>
    <t>PLANTER-ROUND-MULTICOLOR8-PK5</t>
  </si>
  <si>
    <t>PLANTER-ROUNDORCHID-SAUCER10-01</t>
  </si>
  <si>
    <t>PLANTER-ROUNDORCHID-SAUCER10-03</t>
  </si>
  <si>
    <t>PLANTER-ROUNDORCHID-SAUCER10-PK3</t>
  </si>
  <si>
    <t>PLANTER-ROUNDORCHID-SAUCER10-06</t>
  </si>
  <si>
    <t>PLANTER-ROUNDORCHID-SAUCER10-PK6</t>
  </si>
  <si>
    <t>PLANTER-ROUNDORCHID-SAUCER10-12</t>
  </si>
  <si>
    <t>PLANTER-ROUNDORCHID-SAUCER10-PK12</t>
  </si>
  <si>
    <t>PLANTER-ROUNDORCHID-SAUCER12-01</t>
  </si>
  <si>
    <t>PLANTER-ROUNDORCHID-SAUCER12-03</t>
  </si>
  <si>
    <t>PLANTER-ROUNDORCHID-SAUCER12-PK3</t>
  </si>
  <si>
    <t>PLANTER-ROUNDORCHID-SAUCER12-06</t>
  </si>
  <si>
    <t>PLANTER-ROUNDORCHID-SAUCER12-PK6</t>
  </si>
  <si>
    <t>PLANTER-ROUNDORCHID-SAUCER12-12</t>
  </si>
  <si>
    <t>PLANTER-ROUNDORCHID-SAUCER12-PK12</t>
  </si>
  <si>
    <t>PLANTER-ROUNDORCHID-SAUCER14-01</t>
  </si>
  <si>
    <t>PLANTER-ROUNDORCHID-SAUCER14-PK1</t>
  </si>
  <si>
    <t>PLANTER-ROUNDORCHID-SAUCER14-03</t>
  </si>
  <si>
    <t>PLANTER-ROUNDORCHID-SAUCER14-PK3</t>
  </si>
  <si>
    <t>PLANTER-ROUNDORCHID-SAUCER14-06</t>
  </si>
  <si>
    <t>PLANTER-ROUNDORCHID-SAUCER14-PK6</t>
  </si>
  <si>
    <t>PLANTER-ROUNDORCHID-SAUCER14-12</t>
  </si>
  <si>
    <t>PLANTER-ROUNDORCHID-SAUCER14-PK12</t>
  </si>
  <si>
    <t>PLANTER-ROUNDORCHID-SAUCER8-01</t>
  </si>
  <si>
    <t>PLANTER-ROUNDORCHID-SAUCER8-03</t>
  </si>
  <si>
    <t>PLANTER-ROUNDORCHID-SAUCER8-PK3</t>
  </si>
  <si>
    <t>PLANTER-ROUNDORCHID-SAUCER8-06</t>
  </si>
  <si>
    <t>PLANTER-ROUNDORCHID-SAUCER8-PK6</t>
  </si>
  <si>
    <t>PLANTER-ROUNDORCHID-SAUCER8-12</t>
  </si>
  <si>
    <t>PLANTER-ROUNDORCHID-SAUCER8-PK12</t>
  </si>
  <si>
    <t>PLANTERS-COLOR-ROUND-FULORA5-P03</t>
  </si>
  <si>
    <t>PLANTERS-COLOR-ROUND-FULORA5-PK3</t>
  </si>
  <si>
    <t>PLANTERS-COLOR-ROUND-FULORA5-P05</t>
  </si>
  <si>
    <t>PLANTERS-COLOR-ROUND-FULORA5-PK5</t>
  </si>
  <si>
    <t>PLANTERS-COLOR-ROUND-FULORA7-P03</t>
  </si>
  <si>
    <t>PLANTERS-COLOR-ROUND-FULORA7-PK3</t>
  </si>
  <si>
    <t>PLANTERS-COLOR-ROUND-FULORA7-P05</t>
  </si>
  <si>
    <t>PLANTERS-COLOR-ROUND-FULORA7-PK5</t>
  </si>
  <si>
    <t>PLANTERS-COLOR-ROUND-FULORA9-P03</t>
  </si>
  <si>
    <t>PLANTERS-COLOR-ROUND-FULORA9-PK3</t>
  </si>
  <si>
    <t>PLANTERS-COLOR-ROUND-FULORA9-P05</t>
  </si>
  <si>
    <t>PLANTERS-COLOR-ROUND-FULORA9-PK5</t>
  </si>
  <si>
    <t>PLANTERS-COLOR-SQUARE-STERLING4-P03</t>
  </si>
  <si>
    <t>PLANTERS-COLOR-SQUARE-STERLING4-PK3</t>
  </si>
  <si>
    <t>B0CKPH1R6B</t>
  </si>
  <si>
    <t>PLANTERS-COLOR-SQUARE-STERLING4-P05</t>
  </si>
  <si>
    <t>PLANTERS-COLOR-SQUARE-STERLING4-PK5</t>
  </si>
  <si>
    <t>B0CKPFZH8G</t>
  </si>
  <si>
    <t>PLANTERS-COLOR-SQUARE-STERLING5-P03</t>
  </si>
  <si>
    <t>PLANTERS-COLOR-SQUARE-STERLING5-PK3</t>
  </si>
  <si>
    <t>B0CKPH93MS</t>
  </si>
  <si>
    <t>PLANTERS-COLOR-SQUARE-STERLING5-P05</t>
  </si>
  <si>
    <t>PLANTERS-COLOR-SQUARE-STERLING5-PK5</t>
  </si>
  <si>
    <t>B0CKPHDXPX</t>
  </si>
  <si>
    <t>PLANTERS-COLOR-SQUARE-STERLING6-P03</t>
  </si>
  <si>
    <t>PLANTERS-COLOR-SQUARE-STERLING6-PK3</t>
  </si>
  <si>
    <t>B0CKPHXL8J</t>
  </si>
  <si>
    <t>PLANTERS-COLOR-SQUARE-STERLING6-P05</t>
  </si>
  <si>
    <t>PLANTERS-COLOR-SQUARE-STERLING6-PK5</t>
  </si>
  <si>
    <t>B0CKPGBF9P</t>
  </si>
  <si>
    <t>PLANTERS-COLOR-SQUARE-STERLING7-P03</t>
  </si>
  <si>
    <t>PLANTERS-COLOR-SQUARE-STERLING7-PK3</t>
  </si>
  <si>
    <t>B0CKPHD63W</t>
  </si>
  <si>
    <t>PLANTERS-COLOR-SQUARE-STERLING7-P05</t>
  </si>
  <si>
    <t>PLANTERS-COLOR-SQUARE-STERLING7-PK5</t>
  </si>
  <si>
    <t>B0CKPH4X4K</t>
  </si>
  <si>
    <t>PO5-Minimum2</t>
  </si>
  <si>
    <t>PZ-R11V-MVPX</t>
  </si>
  <si>
    <t>RD-6FXN-BXL1</t>
  </si>
  <si>
    <t>S5-Q8QK-YJ7R</t>
  </si>
  <si>
    <t>HAT-BUCKET-BLACK</t>
  </si>
  <si>
    <t>SLEEVES-HALF-PINK</t>
  </si>
  <si>
    <t>SWEATSHIRT-BLACK-SOLID-L</t>
  </si>
  <si>
    <t>SWEATSHIRT-BLACK-SOLID-XL</t>
  </si>
  <si>
    <t>SWEATSHIRT-BLACK-SOLID-XXL</t>
  </si>
  <si>
    <t>SWEATSHIRT-NAVYBLUE-SOLID-L</t>
  </si>
  <si>
    <t>B0D9TCVRGB</t>
  </si>
  <si>
    <t>SWEATSHIRT-NAVYBLUE-SOLID-XL</t>
  </si>
  <si>
    <t>SWEATSHIRT-NAVYBLUE-SOLID-XXL</t>
  </si>
  <si>
    <t>TARGET-BLACK-TSHIRT-L</t>
  </si>
  <si>
    <t>TARGET-BLACK-TSHIRT-M</t>
  </si>
  <si>
    <t>TARGET-BLACK-TSHIRT-XL</t>
  </si>
  <si>
    <t>TARGET-BLACK-TSHIRT-XXL</t>
  </si>
  <si>
    <t>TARGET-WHITE-TSHIRT-L</t>
  </si>
  <si>
    <t>TARGET-WHITE-TSHIRT-M</t>
  </si>
  <si>
    <t>TARGET-WHITE-TSHIRT-XL</t>
  </si>
  <si>
    <t>TARGET-WHITE-TSHIRT-XXL</t>
  </si>
  <si>
    <t>TSHIRT-BLACK-ASTRONAUT-CAT-L</t>
  </si>
  <si>
    <t>B0D2VRKVVD</t>
  </si>
  <si>
    <t>TSHIRT-BLACK-ASTRONAUT-CAT-M</t>
  </si>
  <si>
    <t>B0D2VTNQ61</t>
  </si>
  <si>
    <t>TSHIRT-BLACK-ASTRONAUT-CAT-XL</t>
  </si>
  <si>
    <t>B0D2VRCR88</t>
  </si>
  <si>
    <t>TSHIRT-BLACK-ASTRONAUT-CAT-XXL</t>
  </si>
  <si>
    <t>B0D2VSPRFC</t>
  </si>
  <si>
    <t>TSHIRT-BLACK-ASTRONAUTCAT-L</t>
  </si>
  <si>
    <t>B0CZRDTDRL</t>
  </si>
  <si>
    <t>TSHIRT-BLACK-ASTRONAUTCAT-M</t>
  </si>
  <si>
    <t>B0CZRFYG3S</t>
  </si>
  <si>
    <t>TSHIRT-BLACK-ASTRONAUTCAT-XL</t>
  </si>
  <si>
    <t>B0CZRDV1KQ</t>
  </si>
  <si>
    <t>TSHIRT-BLACK-ASTRONAUTCAT-XXL</t>
  </si>
  <si>
    <t>B0CZRGF5NM</t>
  </si>
  <si>
    <t>TSHIRT-BLACK-CAT-L</t>
  </si>
  <si>
    <t>B0D2VRBWD4</t>
  </si>
  <si>
    <t>TSHIRT-BLACK-CAT-M</t>
  </si>
  <si>
    <t>B0D2VRTSZR</t>
  </si>
  <si>
    <t>TSHIRT-BLACK-CAT-XL</t>
  </si>
  <si>
    <t>B0D2VRPH9Q</t>
  </si>
  <si>
    <t>TSHIRT-BLACK-CAT-XXL</t>
  </si>
  <si>
    <t>B0D2VQB981</t>
  </si>
  <si>
    <t>TSHIRT-BLACK-EVOLUTION-L</t>
  </si>
  <si>
    <t>B0D2VRVMTT</t>
  </si>
  <si>
    <t>TSHIRT-BLACK-EVOLUTION-M</t>
  </si>
  <si>
    <t>B0D2VQSK12</t>
  </si>
  <si>
    <t>TSHIRT-BLACK-EVOLUTION-XL</t>
  </si>
  <si>
    <t>B0D2VSLL3G</t>
  </si>
  <si>
    <t>TSHIRT-BLACK-EVOLUTION-XXL</t>
  </si>
  <si>
    <t>B0D2VSLS97</t>
  </si>
  <si>
    <t>TSHIRT-BLACK-EVOLUTION1-L</t>
  </si>
  <si>
    <t>TSHIRT-BLACK-EVOLUTION1-M</t>
  </si>
  <si>
    <t>TSHIRT-BLACK-EVOLUTION1-XL</t>
  </si>
  <si>
    <t>TSHIRT-BLACK-EVOLUTION1-XXL</t>
  </si>
  <si>
    <t>TSHIRT-BLACK-MONKEY-L</t>
  </si>
  <si>
    <t>TSHIRT-BLACK-MONKEY-M</t>
  </si>
  <si>
    <t>TSHIRT-BLACK-MONKEY-XL</t>
  </si>
  <si>
    <t>TSHIRT-BLACK-MONKEY-XXL</t>
  </si>
  <si>
    <t>B0D2VSRLWM</t>
  </si>
  <si>
    <t>TSHIRT-BLACK-MONKEY1-L</t>
  </si>
  <si>
    <t>B0D2VSP835</t>
  </si>
  <si>
    <t>TSHIRT-BLACK-MONKEY1-M</t>
  </si>
  <si>
    <t>B0D2VLPB9F</t>
  </si>
  <si>
    <t>TSHIRT-BLACK-MONKEY1-XL</t>
  </si>
  <si>
    <t>B0D2VS8133</t>
  </si>
  <si>
    <t>TSHIRT-BLACK-MONKEY1-XXL</t>
  </si>
  <si>
    <t>TSHIRT-BLACK-NOFILTER-L</t>
  </si>
  <si>
    <t>B0D2VR4MWG</t>
  </si>
  <si>
    <t>TSHIRT-BLACK-NOFILTER-M</t>
  </si>
  <si>
    <t>B0D2VRTNN1</t>
  </si>
  <si>
    <t>TSHIRT-BLACK-NOFILTER-XL</t>
  </si>
  <si>
    <t>B0D2VTVVQX</t>
  </si>
  <si>
    <t>TSHIRT-BLACK-NOFILTER-XXL</t>
  </si>
  <si>
    <t>B0D2VRTQ33</t>
  </si>
  <si>
    <t>TSHIRT-BLACK-TARGET-L</t>
  </si>
  <si>
    <t>B0D2VQZZS8</t>
  </si>
  <si>
    <t>TSHIRT-BLACK-TARGET-M</t>
  </si>
  <si>
    <t>B0D2VRRV1P</t>
  </si>
  <si>
    <t>TSHIRT-BLACK-TARGET-XL</t>
  </si>
  <si>
    <t>B0D2VT2MFP</t>
  </si>
  <si>
    <t>TSHIRT-BLACK-TARGET-XXL</t>
  </si>
  <si>
    <t>B0D2VRZXQ7</t>
  </si>
  <si>
    <t>TSHIRT-BLACK-THINKPOSITIVE-L</t>
  </si>
  <si>
    <t>B0D2VTKFXC</t>
  </si>
  <si>
    <t>TSHIRT-BLACK-THINKPOSITIVE-M</t>
  </si>
  <si>
    <t>B0D2VRS4RS</t>
  </si>
  <si>
    <t>TSHIRT-BLACK-THINKPOSITIVE-XL</t>
  </si>
  <si>
    <t>B0D2VR29ZG</t>
  </si>
  <si>
    <t>TSHIRT-BLACK-THINKPOSITIVE-XXL</t>
  </si>
  <si>
    <t>B0D2VSJ15P</t>
  </si>
  <si>
    <t>VF-QQRJ-ZZ5R</t>
  </si>
  <si>
    <t>WJ-C4SJ-YSNH</t>
  </si>
  <si>
    <t>WT-8M83-FK36</t>
  </si>
  <si>
    <t>HAT-UMPIRE-BEIGE</t>
  </si>
  <si>
    <t>XB-DY0V-055U</t>
  </si>
  <si>
    <t>Z0-BF9P-I389</t>
  </si>
  <si>
    <t>ZJ-BUF6-XN9A</t>
  </si>
  <si>
    <t>MASK-FULL-BLACK-PK1</t>
  </si>
  <si>
    <t>Flipkart</t>
  </si>
  <si>
    <t>ARM-SLEEVES-BLACK</t>
  </si>
  <si>
    <t>ALSFHBYY6FPMEYQZ</t>
  </si>
  <si>
    <t>Bandana-05</t>
  </si>
  <si>
    <t>BDAFFMMESYDQSGHB</t>
  </si>
  <si>
    <t>BDAG7C436UTR2ZHB</t>
  </si>
  <si>
    <t>BDAG7X8FZZZ8JNNJ</t>
  </si>
  <si>
    <t>BDAG7GQXNZGPG42C</t>
  </si>
  <si>
    <t>BDAG7GQUHWSBYHET</t>
  </si>
  <si>
    <t>BDAG7GQWZY6GY5FX</t>
  </si>
  <si>
    <t>BDAG7GQXZAZDABQS</t>
  </si>
  <si>
    <t>BDAG7GQVUM28FWRE</t>
  </si>
  <si>
    <t>BDAG7GKKQVFQTBZB</t>
  </si>
  <si>
    <t>BDAGGCYYKTZ9A4HS</t>
  </si>
  <si>
    <t>BANDANA-PACKOF5-PATTERN-CAMOCHECKED</t>
  </si>
  <si>
    <t>BDAGA7X2PH8MFCHT</t>
  </si>
  <si>
    <t>BDAGGCYKJQVZFNWK</t>
  </si>
  <si>
    <t>BDAGGCXEF4WMWFU5</t>
  </si>
  <si>
    <t>CAPH6WCTGY6XPUNT</t>
  </si>
  <si>
    <t>CAPH6WCTQTZEA7ZY</t>
  </si>
  <si>
    <t>CAPH6WCTCYJVRGCK</t>
  </si>
  <si>
    <t>CAPH6WCTYXPKARY6</t>
  </si>
  <si>
    <t>CAPH6WCT3Q9GRYCH</t>
  </si>
  <si>
    <t>CAPH6WCTP4JNZNA5</t>
  </si>
  <si>
    <t>CAPH7N9BXZM8C7HA</t>
  </si>
  <si>
    <t>CAPH7N9BBTHKTHHC</t>
  </si>
  <si>
    <t>CAPH7N9B9A8HSNGW</t>
  </si>
  <si>
    <t>CAPH7N9BSMVUQTAT</t>
  </si>
  <si>
    <t>CAPH7N9BYFTYTBZM</t>
  </si>
  <si>
    <t>CAPH7N9BSKFK26XJ</t>
  </si>
  <si>
    <t>CAPH7N8ZXUJSKPEW</t>
  </si>
  <si>
    <t>CAPH7N8ZSPHAJH7N</t>
  </si>
  <si>
    <t>CAPH7N8ZG5KEW9EV</t>
  </si>
  <si>
    <t>CAPH7N8ZHGHD3VAX</t>
  </si>
  <si>
    <t>CAPH7N8ZAXFRYCG2</t>
  </si>
  <si>
    <t>CAPH6SZJGCN8V5WT</t>
  </si>
  <si>
    <t>CAPH6SZJHPNDWUNZ</t>
  </si>
  <si>
    <t>CAPH6SZJDXFUPYDH</t>
  </si>
  <si>
    <t>BEANIE-FOLD-KING-GREY</t>
  </si>
  <si>
    <t>CAPH6SZJMJN7K9CA</t>
  </si>
  <si>
    <t>BEANIE-FOLD-KING-LIGHT GREEN</t>
  </si>
  <si>
    <t>CAPH6SZJTRYTVZYP</t>
  </si>
  <si>
    <t>CAPH6SZJMXNEH9P5</t>
  </si>
  <si>
    <t>CAPFJZA4KUGA4XTH</t>
  </si>
  <si>
    <t>CAPFJZB9CAXHUNGF</t>
  </si>
  <si>
    <t>BEANIE-SHORTFUR-GREEN</t>
  </si>
  <si>
    <t>CAPFJZAD5M7JBEF9</t>
  </si>
  <si>
    <t>CAPFJZAGAB4HDUYC</t>
  </si>
  <si>
    <t>CAPGGGGEZYB3VNXG</t>
  </si>
  <si>
    <t>CAPG7QJYMY4ZZJ9G</t>
  </si>
  <si>
    <t>CAPG7QJYYJKR6VZ2</t>
  </si>
  <si>
    <t>BEANIE-LONGFUR-BROWN1</t>
  </si>
  <si>
    <t>CAPGJJNPQCW2YBXP</t>
  </si>
  <si>
    <t>CAPG7QJYKVBZBGGB</t>
  </si>
  <si>
    <t>CAPG7QJYAZ5GHGNY</t>
  </si>
  <si>
    <t>CAPG7QJYVSGZPHVS</t>
  </si>
  <si>
    <t>CAPGH29CGJF9Z22N</t>
  </si>
  <si>
    <t>CAPG8XXHSN7CGQHF</t>
  </si>
  <si>
    <t>CAPG8JYVYB6UCHER</t>
  </si>
  <si>
    <t>CAPG8KHAQBXZBA82</t>
  </si>
  <si>
    <t>CAPG8JYVJGRKA39Z</t>
  </si>
  <si>
    <t>CAPGH29CHG6BGW7B</t>
  </si>
  <si>
    <t>CAPG8XXHJZP6NAMD</t>
  </si>
  <si>
    <t>CAPG8XXHNTZFZ6XT</t>
  </si>
  <si>
    <t>BEANIE-SLOUCHY-LONG-BLACK</t>
  </si>
  <si>
    <t>CAPFN39DE9RGUG9B</t>
  </si>
  <si>
    <t>CAPG8GCWSDWRP3JV</t>
  </si>
  <si>
    <t>BLACK-ASTRONAUTSECTION2-TSHIRT-L</t>
  </si>
  <si>
    <t>TSHHY3X3VHFUAFW4</t>
  </si>
  <si>
    <t>BLACK-ASTRONAUTSECTION2-TSHIRT-M</t>
  </si>
  <si>
    <t>TSHHY3X3WBFPYJEH</t>
  </si>
  <si>
    <t>BLACK-ASTRONAUTSECTION2-TSHIRT-XL</t>
  </si>
  <si>
    <t>TSHHY3X3YGQ4TRSA</t>
  </si>
  <si>
    <t>BLACK-ASTRONAUTSECTION2-TSHIRT-XXL</t>
  </si>
  <si>
    <t>TSHHY3X3YHWZBGYS</t>
  </si>
  <si>
    <t>BLACK-CATSECTION1-TSHIRT-L</t>
  </si>
  <si>
    <t>TSHHY4XX5UQFANZK</t>
  </si>
  <si>
    <t>BLACK-CATSECTION1-TSHIRT-M</t>
  </si>
  <si>
    <t>TSHHY4XX9MTGZKV9</t>
  </si>
  <si>
    <t>BLACK-CATSECTION1-TSHIRT-XL</t>
  </si>
  <si>
    <t>TSHHY8DDKYSBQBHH</t>
  </si>
  <si>
    <t>BLACK-CATSECTION1-TSHIRT-XXL</t>
  </si>
  <si>
    <t>TSHHY4XXBVJHGZY6</t>
  </si>
  <si>
    <t>BLACK-LIGHTBULBSECTION6-TSHIRT-L</t>
  </si>
  <si>
    <t>TSHHY3X3XWTYHSZG</t>
  </si>
  <si>
    <t>BLACK-LIGHTBULBSECTION6-TSHIRT-M</t>
  </si>
  <si>
    <t>TSHHY3X3YUDBQYKC</t>
  </si>
  <si>
    <t>BLACK-LIGHTBULBSECTION6-TSHIRT-XL</t>
  </si>
  <si>
    <t>TSHHY3X36VMX5U7F</t>
  </si>
  <si>
    <t>BLACK-LIGHTBULBSECTION6-TSHIRT-XXL</t>
  </si>
  <si>
    <t>TSHHY3X3MJHBRUY2</t>
  </si>
  <si>
    <t>BLACK-MONKEYSECTION4-TSHIRT-L</t>
  </si>
  <si>
    <t>TSHHY3X33CXSQSNR</t>
  </si>
  <si>
    <t>BLACK-MONKEYSECTION4-TSHIRT-M</t>
  </si>
  <si>
    <t>TSHHY3X3REPDHTWY</t>
  </si>
  <si>
    <t>BLACK-MONKEYSECTION4-TSHIRT-XL</t>
  </si>
  <si>
    <t>TSHHY3X3CDEXSRQG</t>
  </si>
  <si>
    <t>BLACK-MONKEYSECTION4-TSHIRT-XXL</t>
  </si>
  <si>
    <t>TSHHY3X3QNBHZRJC</t>
  </si>
  <si>
    <t>TSHHYJHSCFWAYDVK</t>
  </si>
  <si>
    <t>TSHHYJHS7EFNZKGW</t>
  </si>
  <si>
    <t>TSHHYJHSU8NV6A5D</t>
  </si>
  <si>
    <t>TSHHYJHSG2XRZJ8Z</t>
  </si>
  <si>
    <t>BLACK-NOFILTERSECTION7-TSHIRT-L</t>
  </si>
  <si>
    <t>TSHHY3X3W6NVX9GW</t>
  </si>
  <si>
    <t>BLACK-NOFILTERSECTION7-TSHIRT-M</t>
  </si>
  <si>
    <t>TSHHY3X3PEGQ4ZNM</t>
  </si>
  <si>
    <t>BLACK-NOFILTERSECTION7-TSHIRT-XL</t>
  </si>
  <si>
    <t>TSHHY3X3H6MUVGAH</t>
  </si>
  <si>
    <t>BLACK-NOFILTERSECTION7-TSHIRT-XXL</t>
  </si>
  <si>
    <t>TSHHY3X3B9XFPDE9</t>
  </si>
  <si>
    <t>BLACK-PARA-CAP</t>
  </si>
  <si>
    <t>CAPHYSCAW3HXVQ7Z</t>
  </si>
  <si>
    <t>BLACK-TARGET-TSHIRT-M</t>
  </si>
  <si>
    <t>TSHGZSPRMVGN8SQB</t>
  </si>
  <si>
    <t>BLACK-TARGET-TSHIRT-XL</t>
  </si>
  <si>
    <t>TSHGZSPRB5UHKYEB</t>
  </si>
  <si>
    <t>BLACK-TARGET-TSHIRT-XXL</t>
  </si>
  <si>
    <t>TSHGZSPRVHATFGVS</t>
  </si>
  <si>
    <t>BLACK-TARGETSECTION5-TSHIRT-L</t>
  </si>
  <si>
    <t>TSHHY3X3EBKANJM7</t>
  </si>
  <si>
    <t>BLACK-TARGETSECTION5-TSHIRT-M</t>
  </si>
  <si>
    <t>TSHHY3X36GPHUURX</t>
  </si>
  <si>
    <t>BLACK-TARGETSECTION5-TSHIRT-XL</t>
  </si>
  <si>
    <t>TSHHY3X3XQ4PJ4GP</t>
  </si>
  <si>
    <t>BLACK-TARGETSECTION5-TSHIRT-XXL</t>
  </si>
  <si>
    <t>TSHHY3X32GKAJFY9</t>
  </si>
  <si>
    <t>BLACK-THINKPOSITIVE-TSHIRT-L</t>
  </si>
  <si>
    <t>TSHHYJEGU8A47GZ3</t>
  </si>
  <si>
    <t>BLACK-THINKPOSITIVE-TSHIRT-M</t>
  </si>
  <si>
    <t>TSHHYJEG8DTE5G36</t>
  </si>
  <si>
    <t>BLACK-THINKPOSITIVE-TSHIRT-XL</t>
  </si>
  <si>
    <t>TSHHYJEGBKJ5SW7X</t>
  </si>
  <si>
    <t>BLACK-THINKPOSITIVE-TSHIRT-XXL</t>
  </si>
  <si>
    <t>TSHHYJEGBHAXFWHF</t>
  </si>
  <si>
    <t>BOX-PLAIN-5X3X2</t>
  </si>
  <si>
    <t>BOX-PLAIN-5X3X2-PK6</t>
  </si>
  <si>
    <t>SOXGHRT2VT6GZXHR</t>
  </si>
  <si>
    <t>BOX-PLAIN-7X5X1.5</t>
  </si>
  <si>
    <t>BOX-PLAIN-7X5X1.5-PK6</t>
  </si>
  <si>
    <t>SOXGHRU8J5MZA89P</t>
  </si>
  <si>
    <t>CNTGSB59ZA5TBHEV</t>
  </si>
  <si>
    <t>CAP-BASEBALL-LO</t>
  </si>
  <si>
    <t>CAPGHYYF6HZZJXDT</t>
  </si>
  <si>
    <t>CAP-BASEBALL-NY</t>
  </si>
  <si>
    <t>CAPFGYHN2K3EGJTS</t>
  </si>
  <si>
    <t>CAPG93H8CRYVHHS9</t>
  </si>
  <si>
    <t>CAPGE6EKN4MASW43</t>
  </si>
  <si>
    <t>CAP-BASEBALL-NY-PO2-NAVYBLACK</t>
  </si>
  <si>
    <t>CAPGM5JUZGUHYXFA</t>
  </si>
  <si>
    <t>CAPGM5JUEKZ48RKT</t>
  </si>
  <si>
    <t>CAPFHBVG9EGRMPQF</t>
  </si>
  <si>
    <t>CAPFMFJKGACEA6HF</t>
  </si>
  <si>
    <t>CAP-NY-BASEBALL-BLACKBLACK</t>
  </si>
  <si>
    <t>CAPGVFHSYHMQVMGN</t>
  </si>
  <si>
    <t>CAP-NY-BASEBALL-BLACKWHITE</t>
  </si>
  <si>
    <t>CAPGVFHSVRQYRURX</t>
  </si>
  <si>
    <t>CAP-NY-BASEBALL-WHITEBLACK</t>
  </si>
  <si>
    <t>CAPGVFHSUJKMKRWF</t>
  </si>
  <si>
    <t>QC In progress</t>
  </si>
  <si>
    <t>CAP-TRUCKER-BLACK</t>
  </si>
  <si>
    <t>CAPGCZZHKPPXNSQY</t>
  </si>
  <si>
    <t>CAP-TRUCKER-CHARCOALGREY</t>
  </si>
  <si>
    <t>CAPGCZZH5WTPZZRH</t>
  </si>
  <si>
    <t>CAP-TRUCKER-NAVY</t>
  </si>
  <si>
    <t>CAPGCZZHHFUURHRQ</t>
  </si>
  <si>
    <t>CAP-TRUCKER-OLIVE</t>
  </si>
  <si>
    <t>CAPGCZZHJZAWGYJV</t>
  </si>
  <si>
    <t>CAP-TRUCKER-PINK</t>
  </si>
  <si>
    <t>CAPGCZZH6ASEZTR7</t>
  </si>
  <si>
    <t>CAP-TRUCKER-RED</t>
  </si>
  <si>
    <t>CAPGCZZHZ6H8HSRC</t>
  </si>
  <si>
    <t>CAP-TRUCKER-SILVERGREY</t>
  </si>
  <si>
    <t>CAPGCZZHYTKUZPU4</t>
  </si>
  <si>
    <t>CAP-TRUCKER-WHITE</t>
  </si>
  <si>
    <t>CAPGCZZHVFHK9RHU</t>
  </si>
  <si>
    <t>Cap-White</t>
  </si>
  <si>
    <t>CAPFFMNTJPQVA3ZP</t>
  </si>
  <si>
    <t>CAPS-DRYFIT-BLACK</t>
  </si>
  <si>
    <t>CAPHYH3NA74Y37PZ</t>
  </si>
  <si>
    <t>CAPS-DRYFIT-NAVYBLUE</t>
  </si>
  <si>
    <t>CAPS-PARA-NAVY</t>
  </si>
  <si>
    <t>CAPHBHTEEAHYKNHQ</t>
  </si>
  <si>
    <t>CAPGM3DEWXREDWVZ</t>
  </si>
  <si>
    <t>TSHGZSNSFBZZEKJF</t>
  </si>
  <si>
    <t>TSHGZSNSCVPQCFY5</t>
  </si>
  <si>
    <t>TSHGZSNSWA2FNUXZ</t>
  </si>
  <si>
    <t>TSHGZSNSWZHZJC4Q</t>
  </si>
  <si>
    <t>CNTHFMEAZQ6NGFYM</t>
  </si>
  <si>
    <t>CNTHFH9B2KTVB4BZ</t>
  </si>
  <si>
    <t>EARGJ3KQYDJJPR9E</t>
  </si>
  <si>
    <t>EARG9ZMSFBRXVDZA</t>
  </si>
  <si>
    <t>HAT-FEDORA-RED</t>
  </si>
  <si>
    <t>HATFP77NWZ2ZHJUR</t>
  </si>
  <si>
    <t>SWSH3YCS2QUGGQGF</t>
  </si>
  <si>
    <t>SWSH3YCSFZQUAUMB</t>
  </si>
  <si>
    <t>SWSH3YCSQU4K5ZFQ</t>
  </si>
  <si>
    <t>SWSH3YCSZNUGYDBG</t>
  </si>
  <si>
    <t>SWSH3YCSJZZGNRV5</t>
  </si>
  <si>
    <t>CNTHFYH3WUU9MBKX</t>
  </si>
  <si>
    <t>CNTHFYH3XMZTEAGN</t>
  </si>
  <si>
    <t>CNTHFYH3XHVKPDNX</t>
  </si>
  <si>
    <t>ALSGFN4DFGVBCVVU</t>
  </si>
  <si>
    <t>ALSGFN4F7JVXSKSJ</t>
  </si>
  <si>
    <t>ALSGFN4CNJCMHGX7</t>
  </si>
  <si>
    <t>L-BANDANA-PACKOF5</t>
  </si>
  <si>
    <t>BDAGF98FPMZBQHSB</t>
  </si>
  <si>
    <t>L-BEANIE-SHORTFUR-BEIG</t>
  </si>
  <si>
    <t>CAPG9FGBFETFRUZH</t>
  </si>
  <si>
    <t>L-BEANIE-SHORTFUR-BLACK</t>
  </si>
  <si>
    <t>CAPG9FGBKHPJTYGP</t>
  </si>
  <si>
    <t>CAPG79WKCHKFVYUP</t>
  </si>
  <si>
    <t>CAPG79WKAH8T5EEP</t>
  </si>
  <si>
    <t>CAPG79WKZNYJVC29</t>
  </si>
  <si>
    <t>CAPG4CBRMY8JW4GY</t>
  </si>
  <si>
    <t>CAPG4CBRAEVUDTTE</t>
  </si>
  <si>
    <t>CAPG79WKJHAZGEA5</t>
  </si>
  <si>
    <t>L-CAP-BASEBALL-MAROON-</t>
  </si>
  <si>
    <t>CAPG79WKVVZTHHBG</t>
  </si>
  <si>
    <t>CAPG79WK8H83VPNC</t>
  </si>
  <si>
    <t>CAPG79WKGJDFZFNZ</t>
  </si>
  <si>
    <t>CAPG79WKPUVA4PHY</t>
  </si>
  <si>
    <t>CAPG79WKZVZA4XEM</t>
  </si>
  <si>
    <t>CAPG79WKBPEVVXQH</t>
  </si>
  <si>
    <t>CAPGHXC4GAZ6FZDJ</t>
  </si>
  <si>
    <t>CAPGHXC4P8AVRHDU</t>
  </si>
  <si>
    <t>CAPGHXC4JGRAZ8Z6</t>
  </si>
  <si>
    <t>CAPGHXC4HZDAPD35</t>
  </si>
  <si>
    <t>CAPGHXC4HGUHZ8B8</t>
  </si>
  <si>
    <t>CAPGHXC4SYUEG9XE</t>
  </si>
  <si>
    <t>CAPGHXC4DKVKCNAP</t>
  </si>
  <si>
    <t>CAPGHXC4UJUNE2EE</t>
  </si>
  <si>
    <t>CAPGHXC4MZFGWUNW</t>
  </si>
  <si>
    <t>L-CAP-BASEBALL-PO2-CORALRED</t>
  </si>
  <si>
    <t>CAP-BASEBALL-PO2-CORALRED</t>
  </si>
  <si>
    <t>CAPGHXC4DKYPPJ7S</t>
  </si>
  <si>
    <t>CAPGHXC4WFSWDHDQ</t>
  </si>
  <si>
    <t>CAPGHXC4YXXP9UDG</t>
  </si>
  <si>
    <t>CAPGHXC4YKGARETG</t>
  </si>
  <si>
    <t>CAPGHXC4VTRFKCVR</t>
  </si>
  <si>
    <t>CAPGHXC45NNMNRQV</t>
  </si>
  <si>
    <t>CAPGHXC4SYQD4YFF</t>
  </si>
  <si>
    <t>CAPGHXC4GM3EKQ8H</t>
  </si>
  <si>
    <t>CAPGHXC4HABAGZ7B</t>
  </si>
  <si>
    <t>CAPGHXC4VSGJN82C</t>
  </si>
  <si>
    <t>CAPGHXC4MSEAT943</t>
  </si>
  <si>
    <t>CAPGHXC4ZASHYNFG</t>
  </si>
  <si>
    <t>CAPGHXC496XH6ZZD</t>
  </si>
  <si>
    <t>CAPGHXC4PN3A4G9U</t>
  </si>
  <si>
    <t>CAPG79WKZFSJKBZN</t>
  </si>
  <si>
    <t>CAPG79WKSYYGJUTT</t>
  </si>
  <si>
    <t>CAPG4CZ9EWZKEV77</t>
  </si>
  <si>
    <t>L-CAP-RAIN-BASEBALL-BLACK1</t>
  </si>
  <si>
    <t>CAPGGPZS8GVSGJYQ</t>
  </si>
  <si>
    <t>CAPG4CZ9YZQGK9QQ</t>
  </si>
  <si>
    <t>CAPG4CZ97ZTDUQUH</t>
  </si>
  <si>
    <t>L-CAP-RAIN-BASEBALL-NAVYBLUE1</t>
  </si>
  <si>
    <t>CAPGQR2PWZFHACZZ</t>
  </si>
  <si>
    <t>CAPG4BVKHHNGDPYB</t>
  </si>
  <si>
    <t>CAPGGVZWEUYS5FNS</t>
  </si>
  <si>
    <t>MAKGFGKBJVEJXZGW</t>
  </si>
  <si>
    <t>L-MASK-HALF-PACKOF2-BLACK</t>
  </si>
  <si>
    <t>MASK-HALF-BLACK-PK2</t>
  </si>
  <si>
    <t>MAKGFGKBSCRSETGV</t>
  </si>
  <si>
    <t>MAKGFGKBETDSE2XC</t>
  </si>
  <si>
    <t>DUPG79V2RFPSJHGD</t>
  </si>
  <si>
    <t>TSHGQEVMUXY3UAQS</t>
  </si>
  <si>
    <t>TSHGQEVMGG5GHPEQ</t>
  </si>
  <si>
    <t>TSHGQEVM9HXPPZZQ</t>
  </si>
  <si>
    <t>TSHGF2FT2EJ52YJ2</t>
  </si>
  <si>
    <t>TSHGF2FTFYSHVHYQ</t>
  </si>
  <si>
    <t>TSHGF2FTZPBJVPA7</t>
  </si>
  <si>
    <t>TSHGQEVMHPNGTEHY</t>
  </si>
  <si>
    <t>TSHGQEVMNT5YSPBV</t>
  </si>
  <si>
    <t>TSHGQEVMMVCAJVU3</t>
  </si>
  <si>
    <t>TSHGQEVMHCUHR6QD</t>
  </si>
  <si>
    <t>TSHGQEVM5U4SHZCG</t>
  </si>
  <si>
    <t>TSHGQEVMGUHGUVQW</t>
  </si>
  <si>
    <t>TSHGQEVM7RZ9N2RF</t>
  </si>
  <si>
    <t>TSHGQEVMUF6RFTB7</t>
  </si>
  <si>
    <t>TSHGQEVM94FH5598</t>
  </si>
  <si>
    <t>TSHGQEVMZSUNGSF4</t>
  </si>
  <si>
    <t>TSHGQEVMQ39XZWZA</t>
  </si>
  <si>
    <t>TSHGQEVMHBYAHYFY</t>
  </si>
  <si>
    <t>TSHGQEVMZXSZESCJ</t>
  </si>
  <si>
    <t>TSHH2JZJV2XQFK8K</t>
  </si>
  <si>
    <t>TSHH2JZJ3KK9UHHE</t>
  </si>
  <si>
    <t>TSHH2JZJSCKRG34F</t>
  </si>
  <si>
    <t>TSHH2JZJX6HQGXQA</t>
  </si>
  <si>
    <t>TSHH2JZJGZDZGYYG</t>
  </si>
  <si>
    <t>TSHH2JZJD4TCHHHD</t>
  </si>
  <si>
    <t>TSHH2JZJUESNVKWV</t>
  </si>
  <si>
    <t>TSHH2JZJZNR4GBRG</t>
  </si>
  <si>
    <t>TSHGQEVMRGAARZSH</t>
  </si>
  <si>
    <t>TSHGQEVMHGZHXPAC</t>
  </si>
  <si>
    <t>L-TSHIRT-COTTONROUND-MUSTARDYELLOW-XXL</t>
  </si>
  <si>
    <t>TSHH2JZJ9CR2UBKZ</t>
  </si>
  <si>
    <t>TSHGQEVM6MCCNRFH</t>
  </si>
  <si>
    <t>TSHGQEVMFWQUQVCH</t>
  </si>
  <si>
    <t>TSHGQEVMMZF7QAG5</t>
  </si>
  <si>
    <t>TSHH2JZJHRWCATT7</t>
  </si>
  <si>
    <t>TSHH2JZJP9PDJH6P</t>
  </si>
  <si>
    <t>TSHH2JZJPQE5DAJY</t>
  </si>
  <si>
    <t>TSHH2JZJXY3HJGXX</t>
  </si>
  <si>
    <t>TSHH2JZJ6ZGK5ZGC</t>
  </si>
  <si>
    <t>TSHH2JZJMUGCCXZG</t>
  </si>
  <si>
    <t>TSHH2JZJRSHGB9YF</t>
  </si>
  <si>
    <t>TSHH2JZJKY5AJTNF</t>
  </si>
  <si>
    <t>L-TSHIRT-COTTONROUND-PEACH-L</t>
  </si>
  <si>
    <t>TSHH2JZJEH2GETBK</t>
  </si>
  <si>
    <t>L-TSHIRT-COTTONROUND-PEACH-M</t>
  </si>
  <si>
    <t>TSHH2JZJ92QYPY22</t>
  </si>
  <si>
    <t>L-TSHIRT-COTTONROUND-PEACH-XL</t>
  </si>
  <si>
    <t>TSHH2JZJGYFZ2JSP</t>
  </si>
  <si>
    <t>L-TSHIRT-COTTONROUND-PEACH-XXL</t>
  </si>
  <si>
    <t>TSHH2JZJQGWDYYEH</t>
  </si>
  <si>
    <t>TSHGQEVM2SUZRZZH</t>
  </si>
  <si>
    <t>TSHGQEVM3CRVRBUF</t>
  </si>
  <si>
    <t>TSHGQEVMGHDH9VY7</t>
  </si>
  <si>
    <t>TSHGQEVMEXRZPPAG</t>
  </si>
  <si>
    <t>TSHGF2FTRHZSQPCF</t>
  </si>
  <si>
    <t>L-TSHIRT-COTTONROUND-WHITE-S</t>
  </si>
  <si>
    <t>TSHGF2FTSXDG5VMQ</t>
  </si>
  <si>
    <t>TSHGF2FTGZPB83VD</t>
  </si>
  <si>
    <t>L-TSHIRT-COTTONROUND-YELLOW-L</t>
  </si>
  <si>
    <t>TSHH2JZJYYK9RYBB</t>
  </si>
  <si>
    <t>L-TSHIRT-COTTONROUND-YELLOW-M</t>
  </si>
  <si>
    <t>TSHH2JZJ65HMMSRG</t>
  </si>
  <si>
    <t>L-TSHIRT-COTTONROUND-YELLOW-XL</t>
  </si>
  <si>
    <t>TSHH2JZJHTHEGGV8</t>
  </si>
  <si>
    <t>M-BANDANA-PACKOF5</t>
  </si>
  <si>
    <t>BDAGYE6BQYSPHGTQ</t>
  </si>
  <si>
    <t>M-CAP-BASEBALL-ARMY-GREEN</t>
  </si>
  <si>
    <t>CAPGY9U2HPHCZMUN</t>
  </si>
  <si>
    <t>M-CAP-BASEBALL-BLACK</t>
  </si>
  <si>
    <t>CAPGYE6ZWAAQGTWD</t>
  </si>
  <si>
    <t>M-CAP-BASEBALL-NET-HALF-BLACK</t>
  </si>
  <si>
    <t>CAPFZXGRZGZY7YW8</t>
  </si>
  <si>
    <t>M-CAP-BASEBALL-NET-HALF-CHARCOAL</t>
  </si>
  <si>
    <t>CAPFZXGYSZJMPJWU</t>
  </si>
  <si>
    <t>M-CAP-BASEBALL-NET-HALF-GREY</t>
  </si>
  <si>
    <t>CAPFZXGYQACDRGZD</t>
  </si>
  <si>
    <t>M-CAP-BASEBALL-NET-HALF-NAVYBLUE</t>
  </si>
  <si>
    <t>CAPFZXGYRCHZUFGW</t>
  </si>
  <si>
    <t>M-CAP-BASEBALL-NET-HALF-PINK</t>
  </si>
  <si>
    <t>CAPFZXGY2AGEZSTZ</t>
  </si>
  <si>
    <t>M-CAP-BASEBALL-WHITE</t>
  </si>
  <si>
    <t>CAPFZJYVWZFMJ839</t>
  </si>
  <si>
    <t>M-GLOVE-FULL-TOUCH-DOT</t>
  </si>
  <si>
    <t>GVEGYBXHBXEUK9KF</t>
  </si>
  <si>
    <t>M-PLANTER-BROWN-ROUND-ROSE10-P02</t>
  </si>
  <si>
    <t>PCSGU6M949PHHRA8</t>
  </si>
  <si>
    <t>M-PLANTER-BROWN-ROUND-ROSE10-P04</t>
  </si>
  <si>
    <t>PCSGU6MDZVVQWWPJ</t>
  </si>
  <si>
    <t>M-PLANTER-BROWN-ROUND-ROSE10-P08</t>
  </si>
  <si>
    <t>PCSGU6M5N9G4YNZR</t>
  </si>
  <si>
    <t>M-PLANTER-BROWN-ROUND-ROSE12-P02</t>
  </si>
  <si>
    <t>PCSGU6M26V7RBFDN</t>
  </si>
  <si>
    <t>M-PLANTER-BROWN-ROUND-ROSE12-P04</t>
  </si>
  <si>
    <t>PCSGU6M5TPDCGF4C</t>
  </si>
  <si>
    <t>M-PLANTER-BROWN-ROUND-ROSE12-P08</t>
  </si>
  <si>
    <t>PCSGU6HZ6YPNCHGV</t>
  </si>
  <si>
    <t>M-PLANTER-BROWN-ROUND-ROSE8-P02</t>
  </si>
  <si>
    <t>PCSGU6M2M8Z3HXER</t>
  </si>
  <si>
    <t>M-PLANTER-BROWN-ROUND-ROSE8-P04</t>
  </si>
  <si>
    <t>PCSGU6MYH2KGDBXU</t>
  </si>
  <si>
    <t>M-PLANTER-BROWN-ROUND-ROSE8-P08</t>
  </si>
  <si>
    <t>PCSGU6M8Q4GYNDTP</t>
  </si>
  <si>
    <t>M-PLANTERS-COLOR-SQUARE-STERLING4-P05</t>
  </si>
  <si>
    <t>PCSGUAYGQ3RYFGME</t>
  </si>
  <si>
    <t>PCSH4GRJVAQXXUTS</t>
  </si>
  <si>
    <t>PLANTER-BROWN-PLATE-NP10-P04</t>
  </si>
  <si>
    <t>PCSGUPJZNRZMSMZ9</t>
  </si>
  <si>
    <t>PLANTER-BROWN-PLATE-NP8-P016</t>
  </si>
  <si>
    <t>PCSGUPJYHUTGC5BF</t>
  </si>
  <si>
    <t>PLANTER-BROWN-PLATE-NP8-P08</t>
  </si>
  <si>
    <t>PCSGUPK4H8DRGHWV</t>
  </si>
  <si>
    <t>PCSGT5W3B5WGEFGU</t>
  </si>
  <si>
    <t>PCSGTCJMQZV6ZHH7</t>
  </si>
  <si>
    <t>PCSGT5YYYGDT2QRH</t>
  </si>
  <si>
    <t>PCSGTS5BPAPPVKKV</t>
  </si>
  <si>
    <t>PCSGTCJMYUZQU9W5</t>
  </si>
  <si>
    <t>PCSGT82GAKUYYYF3</t>
  </si>
  <si>
    <t>PCSGT5UZFEDA2BWN</t>
  </si>
  <si>
    <t>PCSGT5UZAUKGSCHW</t>
  </si>
  <si>
    <t>PCSGT5UNKXHN7JVP</t>
  </si>
  <si>
    <t>PCSGTCJMD3ZQUMGZ</t>
  </si>
  <si>
    <t>PCSGT82GZYGMQFKD</t>
  </si>
  <si>
    <t>PCSGTCJMEWYXYXHK</t>
  </si>
  <si>
    <t>PCSGT82GHPHG5PAG</t>
  </si>
  <si>
    <t>PLANTER-COLOR-SQUARE-STERLING-4-PO6</t>
  </si>
  <si>
    <t>PLANTERS-COLOR-SQUARE-STERLING5-PK6</t>
  </si>
  <si>
    <t>PCSHFFH6FBYMJUAX</t>
  </si>
  <si>
    <t>PLANTER-COLOR-SQUARE-STERLING-6-PO6</t>
  </si>
  <si>
    <t>PLANTERS-COLOR-SQUARE-STERLING6-PK6</t>
  </si>
  <si>
    <t>PCSHFFZSDREQHGZU</t>
  </si>
  <si>
    <t>PLANTER-COLOR-SQUARE-STERLING-7-PO6</t>
  </si>
  <si>
    <t>PLANTERS-COLOR-SQUARE-STERLING7-PK6</t>
  </si>
  <si>
    <t>PCSHFFZQJWBHFAWJ</t>
  </si>
  <si>
    <t>PCSGUPEBHRTXP8HX</t>
  </si>
  <si>
    <t>PCSGUQ2XSMFYGZQJ</t>
  </si>
  <si>
    <t>PLANTER-COLOUR-HOOK-RAJ7-P08</t>
  </si>
  <si>
    <t>PCSGUPEBZXHQR2FR</t>
  </si>
  <si>
    <t>PCSGUPECMYUDBZJQ</t>
  </si>
  <si>
    <t>PCSHYNTNT7GVCQEU</t>
  </si>
  <si>
    <t>PCSGXVUFVHCRHGST</t>
  </si>
  <si>
    <t>PCSGXY2GMNFTKXD6</t>
  </si>
  <si>
    <t>PCSGXXFEQJXYPDWQ</t>
  </si>
  <si>
    <t>PLANTER-ROUNDORCHID-SAUCER8-P06</t>
  </si>
  <si>
    <t>PCSHYNVT3H2KJTGB</t>
  </si>
  <si>
    <t>PCSGU6NK8KHNQNGY</t>
  </si>
  <si>
    <t>PCSGU4DESDY33G8W</t>
  </si>
  <si>
    <t>PCSGUYXKQSET8Q6P</t>
  </si>
  <si>
    <t>PCSGUYZQRJU7M7GH</t>
  </si>
  <si>
    <t>PCSGU4DE2GEGQVYB</t>
  </si>
  <si>
    <t>PCSGU9VPZDYXUNT8</t>
  </si>
  <si>
    <t>PCSGU9V2ZPHS97HW</t>
  </si>
  <si>
    <t>PLANTERS-COLOR-SQUARE-STERLING5-P06</t>
  </si>
  <si>
    <t>PCSHFFH2MX85QFZG</t>
  </si>
  <si>
    <t>PCSGU9X8TPUWPZHZ</t>
  </si>
  <si>
    <t>PCSGU9VTKMRBDDNW</t>
  </si>
  <si>
    <t>PCSGU9VTW6MGCQSS</t>
  </si>
  <si>
    <t>PCSGU9V8MGZRFSJ7</t>
  </si>
  <si>
    <t>PLASTIC-BUTTER-DISH</t>
  </si>
  <si>
    <t>CNTGHW7RFSFPYG3Y</t>
  </si>
  <si>
    <t>PLASTIC-STAND-BROWN</t>
  </si>
  <si>
    <t>DKOGHSV3CYFQFVYN</t>
  </si>
  <si>
    <t>ROUND-MULTI-PLANTER12-P05</t>
  </si>
  <si>
    <t>PCSGXTH8CZY7YEBG</t>
  </si>
  <si>
    <t>S-CAP-DRYFIT-NAVYBLUE</t>
  </si>
  <si>
    <t>XCAGZ7GH2GA7GJJR</t>
  </si>
  <si>
    <t>SCISSOR-JUPITER-10INCH</t>
  </si>
  <si>
    <t>SCIFGXHXVHSBBPMS</t>
  </si>
  <si>
    <t>SCISSOR-JUPITER-11INCH</t>
  </si>
  <si>
    <t>SCIFHY28PTJPDGVH</t>
  </si>
  <si>
    <t>SHOPSY-NY-GREYWHITE</t>
  </si>
  <si>
    <t>XCAGEXGV6KGGU8TN</t>
  </si>
  <si>
    <t>SHOPSY-NY-OLIVEWHITE</t>
  </si>
  <si>
    <t>CAP-BASEBALL-NY-OLIVEWHITE</t>
  </si>
  <si>
    <t>XCAGEXGVHWT6QS2N</t>
  </si>
  <si>
    <t>SHOPSY-NY-WHITEBLACK</t>
  </si>
  <si>
    <t>XCAGEXGVNAWEZ5XG</t>
  </si>
  <si>
    <t>SLEEVES-FULL-BLACK</t>
  </si>
  <si>
    <t>ALSFHTZ7GKPWBDHG</t>
  </si>
  <si>
    <t>SLEEVES-HALF-WHITE</t>
  </si>
  <si>
    <t>ARMFGJZKNYN7J9QY</t>
  </si>
  <si>
    <t>SWSH33ZMGZHXDQ7C</t>
  </si>
  <si>
    <t>SWSH33ZMZ9WWQGBF</t>
  </si>
  <si>
    <t>SWSH33ZMXDZZ82F3</t>
  </si>
  <si>
    <t>SWSH33ZMGGTY42RF</t>
  </si>
  <si>
    <t>SWSH33ZMSHESDAAZ</t>
  </si>
  <si>
    <t>TSHGZZEYDJ6XGWMS</t>
  </si>
  <si>
    <t>TSHGZZEYB3GDHAYC</t>
  </si>
  <si>
    <t>TSHGZZEYCFHJPJHH</t>
  </si>
  <si>
    <t>TSHGZZEYGZZBXYNP</t>
  </si>
  <si>
    <t>TSHGZZBZTFKNKHHW</t>
  </si>
  <si>
    <t>TSHGZZBZDKZAVNPD</t>
  </si>
  <si>
    <t>TSHGZZBZQFFHJP7U</t>
  </si>
  <si>
    <t>TSHGZZBZGRXTM3ZG</t>
  </si>
  <si>
    <t>TSHIRT-BLACK-PRINT-BETHEUNIQUEONE-L</t>
  </si>
  <si>
    <t>TSHH3NPYBYDKAKAJ</t>
  </si>
  <si>
    <t>TSHIRT-BLACK-PRINT-BETHEUNIQUEONE-M</t>
  </si>
  <si>
    <t>TSHH3NPYSZQUQATG</t>
  </si>
  <si>
    <t>TSHIRT-BLACK-PRINT-BETHEUNIQUEONE-XL</t>
  </si>
  <si>
    <t>TSHH3NPYMWASGYDA</t>
  </si>
  <si>
    <t>TSHIRT-BLACK-PRINT-BETHEUNIQUEONE-XXL</t>
  </si>
  <si>
    <t>TSHH3NPYNDEGBUZG</t>
  </si>
  <si>
    <t>TSHIRT-BLACK-PRINT-FUTURISTICSPACE-L</t>
  </si>
  <si>
    <t>TSHH3NPHVUZ2KYFZ</t>
  </si>
  <si>
    <t>TSHIRT-BLACK-PRINT-FUTURISTICSPACE-M</t>
  </si>
  <si>
    <t>TSHH3NPHPMGJ2FQH</t>
  </si>
  <si>
    <t>TSHIRT-BLACK-PRINT-FUTURISTICSPACE-XL</t>
  </si>
  <si>
    <t>TSHH3NPMMHKNGFSD</t>
  </si>
  <si>
    <t>TSHIRT-BLACK-PRINT-FUTURISTICSPACE-XXL</t>
  </si>
  <si>
    <t>TSHH3NPH5G2HXBS9</t>
  </si>
  <si>
    <t>TSHIRT-BLACK-PRINT-GREATTHINGSAWAIT-L</t>
  </si>
  <si>
    <t>TSHH3NQ4NWHNFGKE</t>
  </si>
  <si>
    <t>TSHIRT-BLACK-PRINT-GREATTHINGSAWAIT-M</t>
  </si>
  <si>
    <t>TSHH3NQ4FFHBYUF9</t>
  </si>
  <si>
    <t>TSHIRT-BLACK-PRINT-GREATTHINGSAWAIT-XL</t>
  </si>
  <si>
    <t>TSHH3NQ4Z8GZZ9PJ</t>
  </si>
  <si>
    <t>TSHIRT-BLACK-PRINT-GREATTHINGSAWAIT-XXL</t>
  </si>
  <si>
    <t>TSHH3NQ49HGCSFQ7</t>
  </si>
  <si>
    <t>TSHIRT-BLACK-PRINT-MOONCHILD-M</t>
  </si>
  <si>
    <t>TSHH3NQGDKZGGA7Y</t>
  </si>
  <si>
    <t>TSHIRT-BLACK-PRINT-MOONCHILD-XL</t>
  </si>
  <si>
    <t>TSHH3NQGJZU6ZFGJ</t>
  </si>
  <si>
    <t>TSHIRT-BLACK-PRINT-MOONCHILD-XXL</t>
  </si>
  <si>
    <t>TSHH3NQGX3YSUYTE</t>
  </si>
  <si>
    <t>TSHIRT-BLACK-PRINT-SUCCESSFORMULA-L</t>
  </si>
  <si>
    <t>TSHH3NQVHDDVGZGU</t>
  </si>
  <si>
    <t>TSHIRT-BLACK-PRINT-SUCCESSFORMULA-M</t>
  </si>
  <si>
    <t>TSHH3NQVZFFWSVFF</t>
  </si>
  <si>
    <t>TSHIRT-BLACK-PRINT-SUCCESSFORMULA-XL</t>
  </si>
  <si>
    <t>TSHH3NQV3ZDGDJWW</t>
  </si>
  <si>
    <t>TSHIRT-BLACK-PRINT-SUCCESSFORMULA-XXL</t>
  </si>
  <si>
    <t>TSHH3NQVBGB85EWU</t>
  </si>
  <si>
    <t>TSHIRT-BLACK-PRINT-SUN-L</t>
  </si>
  <si>
    <t>TSHH3NS4DAGH6PMH</t>
  </si>
  <si>
    <t>TSHIRT-BLACK-PRINT-SUN-M</t>
  </si>
  <si>
    <t>TSHH3NS4YXBRSZ4Z</t>
  </si>
  <si>
    <t>TSHIRT-BLACK-PRINT-SUN-XL</t>
  </si>
  <si>
    <t>TSHH3NS4H8GZPGPK</t>
  </si>
  <si>
    <t>TSHIRT-BLACK-PRINT-SUN-XXL</t>
  </si>
  <si>
    <t>TSHH3NS4ZPTMFMKJ</t>
  </si>
  <si>
    <t>TSHIRT-BLACK-PRINT-THEMOON-L</t>
  </si>
  <si>
    <t>TSHH3NREM6KPGMJK</t>
  </si>
  <si>
    <t>TSHIRT-BLACK-PRINT-THEMOON-M</t>
  </si>
  <si>
    <t>TSHH3NREXFTCWRKZ</t>
  </si>
  <si>
    <t>TSHIRT-BLACK-PRINT-THEMOON-XL</t>
  </si>
  <si>
    <t>TSHH3NREUABPQ8SD</t>
  </si>
  <si>
    <t>TSHIRT-BLACK-PRINT-THEMOON-XXL</t>
  </si>
  <si>
    <t>TSHH3NRE8MHGCFTG</t>
  </si>
  <si>
    <t>TSHIRT-BLACK-PRINT-THEMOON1-L</t>
  </si>
  <si>
    <t>TSHH3ZR92YTNGZGS</t>
  </si>
  <si>
    <t>TSHIRT-BLACK-PRINT-THEMOON1-M</t>
  </si>
  <si>
    <t>TSHH3ZR9WGZSH5HM</t>
  </si>
  <si>
    <t>TSHIRT-BLACK-PRINT-THEMOON1-XL</t>
  </si>
  <si>
    <t>TSHH3ZR9DGQP6GCX</t>
  </si>
  <si>
    <t>TSHIRT-BLACK-PRINT-THEMOON1-XXL</t>
  </si>
  <si>
    <t>TSHH3ZR9NHV3PZ3H</t>
  </si>
  <si>
    <t>TSHIRT-CAT-PRINT-L</t>
  </si>
  <si>
    <t>TSHGZPDQZ6PJK4B9</t>
  </si>
  <si>
    <t>TSHIRT-CAT-PRINT-M</t>
  </si>
  <si>
    <t>TSHGZPDQZSDGCSAC</t>
  </si>
  <si>
    <t>TSHIRT-PWHITE-MONKEY-M</t>
  </si>
  <si>
    <t>TSHGZZBZ3FFY479N</t>
  </si>
  <si>
    <t>TSHIRT-WHITE-EVOLUTION-L</t>
  </si>
  <si>
    <t>TSHGZZEYGRG7GETF</t>
  </si>
  <si>
    <t>TSHIRT-WHITE-EVOLUTION-M</t>
  </si>
  <si>
    <t>TSHGZZEYFGM6PFDU</t>
  </si>
  <si>
    <t>TSHIRT-WHITE-EVOLUTION-XL</t>
  </si>
  <si>
    <t>TSHGZZEYFMYGHHZ7</t>
  </si>
  <si>
    <t>TSHIRT-WHITE-EVOLUTION-XXL</t>
  </si>
  <si>
    <t>TSHGZZEYDFNGHKYW</t>
  </si>
  <si>
    <t>TSHIRT-WHITE-MONKEY-L</t>
  </si>
  <si>
    <t>TSHGZZBZWKCJMSSM</t>
  </si>
  <si>
    <t>TSHIRT-WHITE-MONKEY-XL</t>
  </si>
  <si>
    <t>TSHGZZBZDFKMA9ZZ</t>
  </si>
  <si>
    <t>TSHIRT-WHITE-MONKEY-XXL</t>
  </si>
  <si>
    <t>TSHGZZBZPDEDZBKV</t>
  </si>
  <si>
    <t>UCAT-BLACK-TSHIRT-L</t>
  </si>
  <si>
    <t>TSHHY8DD8XQ6DJJJ</t>
  </si>
  <si>
    <t>UCAT-BLACK-TSHIRT-M</t>
  </si>
  <si>
    <t>TSHHY8DDX9UBJEJY</t>
  </si>
  <si>
    <t>UCAT-BLACK-TSHIRT-XXL</t>
  </si>
  <si>
    <t>TSHHY8DDDGRCEAZF</t>
  </si>
  <si>
    <t>WHITE-TARGET-TSHIRT-L</t>
  </si>
  <si>
    <t>TSHGZSPRZ6AYHC5K</t>
  </si>
  <si>
    <t>WHITE-TARGET-TSHIRT-M</t>
  </si>
  <si>
    <t>TSHGZSPRH2HRWHYC</t>
  </si>
  <si>
    <t>WHITE-TARGET-TSHIRT-XL</t>
  </si>
  <si>
    <t>TSHGZSPRDHTXJKAZ</t>
  </si>
  <si>
    <t>WHITE-TARGET-TSHIRT-XXL</t>
  </si>
  <si>
    <t>TSHGZSPRDN6SESTZ</t>
  </si>
  <si>
    <t>Meesho</t>
  </si>
  <si>
    <t>QC IN PROGRESSS</t>
  </si>
  <si>
    <t>Issue Raised 8767330191624</t>
  </si>
  <si>
    <t>Edited</t>
  </si>
  <si>
    <t>Unexpected Error</t>
  </si>
  <si>
    <t>Edited but Increase Price</t>
  </si>
  <si>
    <t>PLANTER-COLOUR-HOOK-RAJ6-P08</t>
  </si>
  <si>
    <t>PLANTER-COLOUR-HOOK-RAJ9-P08</t>
  </si>
  <si>
    <t>Case In Progress</t>
  </si>
  <si>
    <t>TBD</t>
  </si>
  <si>
    <t>Master_SKU</t>
  </si>
  <si>
    <t>Suppier_Code</t>
  </si>
  <si>
    <t>Supplier</t>
  </si>
  <si>
    <t>Mfg_Cost</t>
  </si>
  <si>
    <t>Unit_Box_Cost</t>
  </si>
  <si>
    <t>Labeling_Labor</t>
  </si>
  <si>
    <t>Inbound_Transport</t>
  </si>
  <si>
    <t>Total_Unit_COGS</t>
  </si>
  <si>
    <t>HSN</t>
  </si>
  <si>
    <t>GST_Rate</t>
  </si>
  <si>
    <t>Brand</t>
  </si>
  <si>
    <t>Lifecycle_Status</t>
  </si>
  <si>
    <t>Apparel_Caps_Beanies</t>
  </si>
  <si>
    <t>tbd</t>
  </si>
  <si>
    <t>Dearex Hosiery Factory</t>
  </si>
  <si>
    <t>Active</t>
  </si>
  <si>
    <t>Brand Fold Fur</t>
  </si>
  <si>
    <t>Inactive</t>
  </si>
  <si>
    <t>NY Charcoal</t>
  </si>
  <si>
    <t>InActive</t>
  </si>
  <si>
    <t>Rahaman Caps</t>
  </si>
  <si>
    <t>C - 29 - Beige</t>
  </si>
  <si>
    <t>A.M Traders</t>
  </si>
  <si>
    <t>C - 29 - Black</t>
  </si>
  <si>
    <t>C - 29 - Dark Grey</t>
  </si>
  <si>
    <t>C - 29 - Grey(5)</t>
  </si>
  <si>
    <t>C - 29 - Navy Blue</t>
  </si>
  <si>
    <t>C - 29 - Olive</t>
  </si>
  <si>
    <t>C - 29 - White</t>
  </si>
  <si>
    <t>C - 236 Black</t>
  </si>
  <si>
    <t>C - 236 Charcoal</t>
  </si>
  <si>
    <t>C - 236 Navy Blue</t>
  </si>
  <si>
    <t>C - 236 White</t>
  </si>
  <si>
    <t>Kitchen_Containers</t>
  </si>
  <si>
    <t>CONTAINER-DELUXE333</t>
  </si>
  <si>
    <t>Nakoda- Delux Cont 333</t>
  </si>
  <si>
    <t>Prakash Plastic</t>
  </si>
  <si>
    <t>Meepo</t>
  </si>
  <si>
    <t>CONTAINER-DELUXE444</t>
  </si>
  <si>
    <t>Nakoda- Delux Cont 444</t>
  </si>
  <si>
    <t>CONTAINER-DELUXE555</t>
  </si>
  <si>
    <t>Nakoda- Delux Cont 555</t>
  </si>
  <si>
    <t>CONTAINER-DELUXE666</t>
  </si>
  <si>
    <t>Nakoda- Delux Cont 666</t>
  </si>
  <si>
    <t>CONTAINER-DELUXE777</t>
  </si>
  <si>
    <t>Nakoda- Delux Cont 777</t>
  </si>
  <si>
    <t>CONTAINER-DELUXE888</t>
  </si>
  <si>
    <t>Nakoda- Delux Cont 888</t>
  </si>
  <si>
    <t>Garden_Planters</t>
  </si>
  <si>
    <t>PLANTER-BROWN-PLATE-NP10</t>
  </si>
  <si>
    <t>PLANTER-BROWN-PLATE-NP7</t>
  </si>
  <si>
    <t>PLANTER-BROWN-PLATE-NP8</t>
  </si>
  <si>
    <t>PLANTER-BROWN-RECTANGLE-ORCHID12</t>
  </si>
  <si>
    <t>PLANTER-BROWN-RECTANGLE-ORCHID18</t>
  </si>
  <si>
    <t>PLANTER-BROWN-RECTANGLE-ORCHID20</t>
  </si>
  <si>
    <t>PLANTER-BROWN-ROUND-PLAIN10</t>
  </si>
  <si>
    <t>PLANTER-BROWN-ROUND-PLAIN12</t>
  </si>
  <si>
    <t>PLANTER-BROWN-ROUND-PLAIN8</t>
  </si>
  <si>
    <t>PLANTER-BROWN-ROUND-ROSE10</t>
  </si>
  <si>
    <t>PLANTER-BROWN-ROUND-ROSE12</t>
  </si>
  <si>
    <t>PLANTER-BROWN-ROUND-ROSE8</t>
  </si>
  <si>
    <t>PLANTER-BROWN-SQUARE-ORCHID10</t>
  </si>
  <si>
    <t>PLANTER-BROWN-SQUARE-ORCHID12</t>
  </si>
  <si>
    <t>PLANTER-BROWN-SQUARE-ORCHID8</t>
  </si>
  <si>
    <t>PLANTER-COLOUR-HOOK-RAJ6</t>
  </si>
  <si>
    <t>PLANTER-COLOUR-HOOK-RAJ7</t>
  </si>
  <si>
    <t>PLANTER-COLOUR-HOOK-RAJ9</t>
  </si>
  <si>
    <t>PLANTER-MULTICOLOUR-DOUBLEHOOK11</t>
  </si>
  <si>
    <t>PLANTER-MULTICOLOUR-DOUBLEHOOK9</t>
  </si>
  <si>
    <t>PLANTER-MULTICOLOUR-HANGINGPLANTER6</t>
  </si>
  <si>
    <t>PLANTER-MULTICOLOUR-HANGINGPLANTER7</t>
  </si>
  <si>
    <t>PLANTER-MULTICOLOUR-HANGINGPLANTER8</t>
  </si>
  <si>
    <t>PLANTER-ROUND-MULTICOLOR8</t>
  </si>
  <si>
    <t>PLANTER-ROUNDORCHID-SAUCER10</t>
  </si>
  <si>
    <t>Praco-Planter 444</t>
  </si>
  <si>
    <t>PLANTER-ROUNDORCHID-SAUCER12</t>
  </si>
  <si>
    <t>Praco-Planter 555</t>
  </si>
  <si>
    <t>PLANTER-ROUNDORCHID-SAUCER14</t>
  </si>
  <si>
    <t>Praco-Planter 666</t>
  </si>
  <si>
    <t>PLANTER-ROUNDORCHID-SAUCER8</t>
  </si>
  <si>
    <t>Praco-Planter 333</t>
  </si>
  <si>
    <t>PLANTERS-COLOR-ROUND-FULORA5</t>
  </si>
  <si>
    <t>PLANTERS-COLOR-ROUND-FULORA7</t>
  </si>
  <si>
    <t>PLANTERS-COLOR-ROUND-FULORA9</t>
  </si>
  <si>
    <t>PLANTERS-COLOR-SQUARE-STERLING4</t>
  </si>
  <si>
    <t>PLANTERS-COLOR-SQUARE-STERLING5</t>
  </si>
  <si>
    <t>PLANTERS-COLOR-SQUARE-STERLING6</t>
  </si>
  <si>
    <t>PLANTERS-COLOR-SQUARE-STERLING7</t>
  </si>
  <si>
    <t>SLEEVES-ARM-BLACK</t>
  </si>
  <si>
    <t>Test</t>
  </si>
  <si>
    <t>XYZ</t>
  </si>
  <si>
    <t>Steel Bottle</t>
  </si>
  <si>
    <t>Apparel_Tshirts</t>
  </si>
  <si>
    <t>TSHIRT-WHITE-L</t>
  </si>
  <si>
    <t>TSHIRT-WHITE-M</t>
  </si>
  <si>
    <t>TSHIRT-WHITE-XL</t>
  </si>
  <si>
    <t>TSHIRT-WHITE-XXL</t>
  </si>
  <si>
    <t>Apparel_Accessories_Winter</t>
  </si>
  <si>
    <t>Automotive_FaceMasks</t>
  </si>
  <si>
    <t>BANDANA-PATTERN-BLACK</t>
  </si>
  <si>
    <t>BANDANA-PATTERN-BLUE</t>
  </si>
  <si>
    <t>BANDANA-PATTERN-CAMOREGULAR</t>
  </si>
  <si>
    <t>BANDANA-PATTERN-MULTICOLOR</t>
  </si>
  <si>
    <t>BANDANA-PATTERN-SKULL</t>
  </si>
  <si>
    <t>BANDANA-SOLID-BLACK</t>
  </si>
  <si>
    <t>CONTAINER-BREADBOX217</t>
  </si>
  <si>
    <t>CONTAINER-SUPER222</t>
  </si>
  <si>
    <t>Apparel_Hoodies_Sweatshirts</t>
  </si>
  <si>
    <t>JAR-CRYSTO1000</t>
  </si>
  <si>
    <t>JAR-CRYSTO150</t>
  </si>
  <si>
    <t>JAR-CRYSTO2000</t>
  </si>
  <si>
    <t>JAR-CRYSTO250</t>
  </si>
  <si>
    <t>JAR-CRYSTO500</t>
  </si>
  <si>
    <t>JAR-CRYSTO800</t>
  </si>
  <si>
    <t>Apparel_ArmSleeves</t>
  </si>
  <si>
    <t>PLANTER-BLACK-BLOSSOM10</t>
  </si>
  <si>
    <t>PLANTER-BROWN-HEXA7</t>
  </si>
  <si>
    <t>PLANTER-BROWN-HEXA9</t>
  </si>
  <si>
    <t>MASK-HALF-BLACK</t>
  </si>
  <si>
    <t>MASK-HALF-BLUE</t>
  </si>
  <si>
    <t>MASK-HALF-DARKGREY</t>
  </si>
  <si>
    <t>MASK-HALF-GREY</t>
  </si>
  <si>
    <t>MASK-HALF-NAVYBLUE</t>
  </si>
  <si>
    <t>PLANTER-COLOR-EXPERT</t>
  </si>
  <si>
    <t>MASK-FULL-BLACK</t>
  </si>
  <si>
    <t>Other</t>
  </si>
  <si>
    <t>Pack_Qty</t>
  </si>
  <si>
    <t>Packaging_COGS</t>
  </si>
  <si>
    <t>Final_L</t>
  </si>
  <si>
    <t>Final_W</t>
  </si>
  <si>
    <t>Final_H</t>
  </si>
  <si>
    <t>Final_Wt_Kg</t>
  </si>
  <si>
    <t>CAP-BASEBALL-NY-CHARCOALWHITE-PK1</t>
  </si>
  <si>
    <t>Selling_Price</t>
  </si>
  <si>
    <t>Total_COGS</t>
  </si>
  <si>
    <t>Volumetric_Wt</t>
  </si>
  <si>
    <t>Billable_Weight</t>
  </si>
  <si>
    <t>Shipping_Fee</t>
  </si>
  <si>
    <t>Platform_Fees</t>
  </si>
  <si>
    <t>Net_Profit</t>
  </si>
  <si>
    <t>Profit_Margin</t>
  </si>
  <si>
    <t>ABC1</t>
  </si>
  <si>
    <t>ABC-PK1</t>
  </si>
  <si>
    <t>ABC_Pack2</t>
  </si>
  <si>
    <t>ABC-PK2</t>
  </si>
  <si>
    <t>Category_Ref</t>
  </si>
  <si>
    <t>Min_Price</t>
  </si>
  <si>
    <t>Max_Price</t>
  </si>
  <si>
    <t>Referral_Fee_Pct</t>
  </si>
  <si>
    <t>Closing_Fee_INR</t>
  </si>
  <si>
    <t>Home_Lighting</t>
  </si>
  <si>
    <t>Kitchen_Dining</t>
  </si>
  <si>
    <t>Auto_RidingGear_Sleeves</t>
  </si>
  <si>
    <t>Priority</t>
  </si>
  <si>
    <t>LOW</t>
  </si>
  <si>
    <t>Medium</t>
  </si>
  <si>
    <t>High</t>
  </si>
  <si>
    <t>Weight_Slab_Max_Kg</t>
  </si>
  <si>
    <t>Local_Fee</t>
  </si>
  <si>
    <t>Regional_Fee</t>
  </si>
  <si>
    <t>National_Fee</t>
  </si>
  <si>
    <t>Default_Zone</t>
  </si>
  <si>
    <t>Volumetric_Divisor</t>
  </si>
  <si>
    <t>GST_On_Fees</t>
  </si>
  <si>
    <t>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</si>
</sst>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color rgb="FFFFFFFF"/>
      <name val="Calibri"/>
      <scheme val="minor"/>
    </font>
    <font>
      <b/>
      <sz val="11.0"/>
      <color rgb="FFEFEFEF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rgb="FF000000"/>
      <name val="Calibri"/>
      <scheme val="minor"/>
    </font>
    <font>
      <sz val="11.0"/>
      <color rgb="FF000000"/>
      <name val="Calibri"/>
    </font>
    <font>
      <b/>
      <color rgb="FF000000"/>
      <name val="Calibri"/>
      <scheme val="minor"/>
    </font>
    <font>
      <b/>
      <sz val="11.0"/>
      <color rgb="FF000000"/>
      <name val="Calibri"/>
    </font>
    <font>
      <b/>
      <color rgb="FF1F1F1F"/>
      <name val="&quot;Google Sans Text&quot;"/>
    </font>
    <font>
      <color rgb="FF1F1F1F"/>
      <name val="&quot;Google Sans Text&quot;"/>
    </font>
    <font>
      <b/>
      <color rgb="FF4A86E8"/>
      <name val="Calibri"/>
      <scheme val="minor"/>
    </font>
    <font>
      <b/>
      <sz val="11.0"/>
      <color rgb="FF4A86E8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vertical="top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4" fontId="5" numFmtId="0" xfId="0" applyAlignment="1" applyFill="1" applyFont="1">
      <alignment horizontal="center" readingOrder="0"/>
    </xf>
    <xf borderId="0" fillId="5" fontId="5" numFmtId="0" xfId="0" applyFill="1" applyFont="1"/>
    <xf borderId="0" fillId="4" fontId="4" numFmtId="0" xfId="0" applyAlignment="1" applyFont="1">
      <alignment horizontal="left" readingOrder="0"/>
    </xf>
    <xf borderId="0" fillId="4" fontId="5" numFmtId="0" xfId="0" applyAlignment="1" applyFont="1">
      <alignment horizontal="left" readingOrder="0"/>
    </xf>
    <xf borderId="0" fillId="4" fontId="4" numFmtId="0" xfId="0" applyAlignment="1" applyFont="1">
      <alignment horizontal="center" readingOrder="0"/>
    </xf>
    <xf borderId="1" fillId="6" fontId="6" numFmtId="1" xfId="0" applyAlignment="1" applyBorder="1" applyFill="1" applyFont="1" applyNumberFormat="1">
      <alignment horizontal="center" vertical="top"/>
    </xf>
    <xf borderId="1" fillId="7" fontId="7" numFmtId="1" xfId="0" applyAlignment="1" applyBorder="1" applyFill="1" applyFont="1" applyNumberFormat="1">
      <alignment horizontal="center" vertical="top"/>
    </xf>
    <xf borderId="0" fillId="5" fontId="5" numFmtId="0" xfId="0" applyAlignment="1" applyFont="1">
      <alignment horizontal="center" readingOrder="0"/>
    </xf>
    <xf borderId="0" fillId="4" fontId="8" numFmtId="0" xfId="0" applyFont="1"/>
    <xf borderId="0" fillId="5" fontId="5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8" fontId="5" numFmtId="1" xfId="0" applyFill="1" applyFont="1" applyNumberFormat="1"/>
    <xf borderId="0" fillId="5" fontId="5" numFmtId="164" xfId="0" applyFont="1" applyNumberFormat="1"/>
    <xf borderId="0" fillId="8" fontId="5" numFmtId="0" xfId="0" applyFont="1"/>
    <xf borderId="0" fillId="9" fontId="5" numFmtId="1" xfId="0" applyFill="1" applyFont="1" applyNumberFormat="1"/>
    <xf borderId="0" fillId="0" fontId="5" numFmtId="2" xfId="0" applyFont="1" applyNumberFormat="1"/>
    <xf borderId="0" fillId="4" fontId="9" numFmtId="0" xfId="0" applyAlignment="1" applyFont="1">
      <alignment readingOrder="0" shrinkToFit="0" vertical="bottom" wrapText="0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 shrinkToFit="0" vertical="bottom" wrapText="0"/>
    </xf>
    <xf borderId="0" fillId="4" fontId="10" numFmtId="0" xfId="0" applyFont="1"/>
    <xf borderId="0" fillId="4" fontId="11" numFmtId="0" xfId="0" applyAlignment="1" applyFont="1">
      <alignment vertical="bottom"/>
    </xf>
    <xf borderId="0" fillId="5" fontId="5" numFmtId="0" xfId="0" applyAlignment="1" applyFont="1">
      <alignment horizontal="center"/>
    </xf>
    <xf borderId="1" fillId="0" fontId="6" numFmtId="0" xfId="0" applyAlignment="1" applyBorder="1" applyFont="1">
      <alignment horizontal="center" vertical="top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8">
    <dxf>
      <font>
        <b/>
        <color rgb="FFFF0000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8E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6.57"/>
    <col customWidth="1" min="3" max="4" width="46.86"/>
    <col customWidth="1" min="5" max="5" width="13.14"/>
    <col customWidth="1" min="6" max="6" width="32.0"/>
    <col customWidth="1" min="7" max="7" width="11.14"/>
    <col customWidth="1" min="8" max="8" width="13.14"/>
    <col customWidth="1" min="9" max="9" width="25.71"/>
    <col customWidth="1" min="10" max="25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9</v>
      </c>
      <c r="B2" s="6" t="str">
        <f t="array" ref="B2">IF(D2="","",
 INDEX(Product_Master!A:A,
       MATCH( INDEX(Pack_Master!B:B, MATCH(D2, Pack_Master!A:A, 0)),
              Product_Master!B:B, 0 )
))
</f>
        <v>Apparel_ArmSleeves</v>
      </c>
      <c r="C2" s="7" t="s">
        <v>10</v>
      </c>
      <c r="D2" s="8" t="s">
        <v>11</v>
      </c>
      <c r="E2" s="9" t="s">
        <v>12</v>
      </c>
      <c r="F2" s="8"/>
      <c r="G2" s="5"/>
      <c r="H2" s="5"/>
      <c r="I2" s="5"/>
    </row>
    <row r="3">
      <c r="A3" s="5" t="s">
        <v>9</v>
      </c>
      <c r="B3" s="6" t="str">
        <f t="array" ref="B3">IF(D3="","",
 INDEX(Product_Master!A:A,
       MATCH( INDEX(Pack_Master!B:B, MATCH(D3, Pack_Master!A:A, 0)),
              Product_Master!B:B, 0 )
))
</f>
        <v>Automotive_FaceMasks</v>
      </c>
      <c r="C3" s="7" t="s">
        <v>13</v>
      </c>
      <c r="D3" s="8" t="s">
        <v>14</v>
      </c>
      <c r="E3" s="9" t="s">
        <v>12</v>
      </c>
      <c r="F3" s="8"/>
      <c r="G3" s="5"/>
      <c r="H3" s="5"/>
      <c r="I3" s="5"/>
    </row>
    <row r="4">
      <c r="A4" s="5" t="s">
        <v>9</v>
      </c>
      <c r="B4" s="6" t="str">
        <f t="array" ref="B4">IF(D4="","",
 INDEX(Product_Master!A:A,
       MATCH( INDEX(Pack_Master!B:B, MATCH(D4, Pack_Master!A:A, 0)),
              Product_Master!B:B, 0 )
))
</f>
        <v>Apparel_Caps_Beanies</v>
      </c>
      <c r="C4" s="7" t="s">
        <v>15</v>
      </c>
      <c r="D4" s="8" t="s">
        <v>16</v>
      </c>
      <c r="E4" s="9" t="s">
        <v>12</v>
      </c>
      <c r="F4" s="8"/>
      <c r="G4" s="5"/>
      <c r="H4" s="5"/>
      <c r="I4" s="5"/>
    </row>
    <row r="5">
      <c r="A5" s="5" t="s">
        <v>9</v>
      </c>
      <c r="B5" s="6" t="str">
        <f t="array" ref="B5">IF(D5="","",
 INDEX(Product_Master!A:A,
       MATCH( INDEX(Pack_Master!B:B, MATCH(D5, Pack_Master!A:A, 0)),
              Product_Master!B:B, 0 )
))
</f>
        <v>Automotive_FaceMasks</v>
      </c>
      <c r="C5" s="7" t="s">
        <v>17</v>
      </c>
      <c r="D5" s="8" t="s">
        <v>18</v>
      </c>
      <c r="E5" s="9" t="s">
        <v>12</v>
      </c>
      <c r="F5" s="8"/>
      <c r="G5" s="5"/>
      <c r="H5" s="5"/>
      <c r="I5" s="5"/>
    </row>
    <row r="6">
      <c r="A6" s="5" t="s">
        <v>9</v>
      </c>
      <c r="B6" s="6" t="str">
        <f t="array" ref="B6">IF(D6="","",
 INDEX(Product_Master!A:A,
       MATCH( INDEX(Pack_Master!B:B, MATCH(D6, Pack_Master!A:A, 0)),
              Product_Master!B:B, 0 )
))
</f>
        <v>Apparel_Caps_Beanies</v>
      </c>
      <c r="C6" s="7" t="s">
        <v>19</v>
      </c>
      <c r="D6" s="8" t="s">
        <v>20</v>
      </c>
      <c r="E6" s="9" t="s">
        <v>12</v>
      </c>
      <c r="F6" s="8"/>
      <c r="G6" s="5"/>
      <c r="H6" s="5"/>
      <c r="I6" s="5"/>
    </row>
    <row r="7">
      <c r="A7" s="5" t="s">
        <v>9</v>
      </c>
      <c r="B7" s="6" t="str">
        <f t="array" ref="B7">IF(D7="","",
 INDEX(Product_Master!A:A,
       MATCH( INDEX(Pack_Master!B:B, MATCH(D7, Pack_Master!A:A, 0)),
              Product_Master!B:B, 0 )
))
</f>
        <v>Automotive_FaceMasks</v>
      </c>
      <c r="C7" s="7" t="s">
        <v>21</v>
      </c>
      <c r="D7" s="8" t="s">
        <v>22</v>
      </c>
      <c r="E7" s="9" t="s">
        <v>12</v>
      </c>
      <c r="F7" s="8"/>
      <c r="G7" s="5"/>
      <c r="H7" s="5"/>
      <c r="I7" s="5"/>
    </row>
    <row r="8">
      <c r="A8" s="5" t="s">
        <v>9</v>
      </c>
      <c r="B8" s="6" t="str">
        <f t="array" ref="B8">IF(D8="","",
 INDEX(Product_Master!A:A,
       MATCH( INDEX(Pack_Master!B:B, MATCH(D8, Pack_Master!A:A, 0)),
              Product_Master!B:B, 0 )
))
</f>
        <v>Apparel_ArmSleeves</v>
      </c>
      <c r="C8" s="7" t="s">
        <v>23</v>
      </c>
      <c r="D8" s="8" t="s">
        <v>11</v>
      </c>
      <c r="E8" s="9" t="s">
        <v>12</v>
      </c>
      <c r="F8" s="8"/>
      <c r="G8" s="5"/>
      <c r="H8" s="5"/>
      <c r="I8" s="5"/>
    </row>
    <row r="9">
      <c r="A9" s="5" t="s">
        <v>9</v>
      </c>
      <c r="B9" s="6" t="str">
        <f t="array" ref="B9">IF(D9="","",
 INDEX(Product_Master!A:A,
       MATCH( INDEX(Pack_Master!B:B, MATCH(D9, Pack_Master!A:A, 0)),
              Product_Master!B:B, 0 )
))
</f>
        <v>Apparel_Tshirts</v>
      </c>
      <c r="C9" s="7" t="s">
        <v>24</v>
      </c>
      <c r="D9" s="8" t="s">
        <v>25</v>
      </c>
      <c r="E9" s="9" t="s">
        <v>12</v>
      </c>
      <c r="F9" s="8" t="s">
        <v>26</v>
      </c>
      <c r="G9" s="5"/>
      <c r="H9" s="5"/>
      <c r="I9" s="5"/>
    </row>
    <row r="10">
      <c r="A10" s="5" t="s">
        <v>9</v>
      </c>
      <c r="B10" s="6" t="str">
        <f t="array" ref="B10">IF(D10="","",
 INDEX(Product_Master!A:A,
       MATCH( INDEX(Pack_Master!B:B, MATCH(D10, Pack_Master!A:A, 0)),
              Product_Master!B:B, 0 )
))
</f>
        <v>Apparel_Tshirts</v>
      </c>
      <c r="C10" s="7" t="s">
        <v>27</v>
      </c>
      <c r="D10" s="8" t="s">
        <v>28</v>
      </c>
      <c r="E10" s="9" t="s">
        <v>12</v>
      </c>
      <c r="F10" s="8" t="s">
        <v>29</v>
      </c>
      <c r="G10" s="5"/>
      <c r="H10" s="5"/>
      <c r="I10" s="5"/>
    </row>
    <row r="11">
      <c r="A11" s="5" t="s">
        <v>9</v>
      </c>
      <c r="B11" s="6" t="str">
        <f t="array" ref="B11">IF(D11="","",
 INDEX(Product_Master!A:A,
       MATCH( INDEX(Pack_Master!B:B, MATCH(D11, Pack_Master!A:A, 0)),
              Product_Master!B:B, 0 )
))
</f>
        <v>Apparel_Tshirts</v>
      </c>
      <c r="C11" s="7" t="s">
        <v>30</v>
      </c>
      <c r="D11" s="8" t="s">
        <v>31</v>
      </c>
      <c r="E11" s="9" t="s">
        <v>12</v>
      </c>
      <c r="F11" s="8" t="s">
        <v>32</v>
      </c>
      <c r="G11" s="5"/>
      <c r="H11" s="5"/>
      <c r="I11" s="5"/>
    </row>
    <row r="12">
      <c r="A12" s="5" t="s">
        <v>9</v>
      </c>
      <c r="B12" s="6" t="str">
        <f t="array" ref="B12">IF(D12="","",
 INDEX(Product_Master!A:A,
       MATCH( INDEX(Pack_Master!B:B, MATCH(D12, Pack_Master!A:A, 0)),
              Product_Master!B:B, 0 )
))
</f>
        <v>Apparel_Tshirts</v>
      </c>
      <c r="C12" s="7" t="s">
        <v>33</v>
      </c>
      <c r="D12" s="8" t="s">
        <v>34</v>
      </c>
      <c r="E12" s="9" t="s">
        <v>12</v>
      </c>
      <c r="F12" s="8" t="s">
        <v>35</v>
      </c>
      <c r="G12" s="5"/>
      <c r="H12" s="5"/>
      <c r="I12" s="5"/>
    </row>
    <row r="13">
      <c r="A13" s="5" t="s">
        <v>9</v>
      </c>
      <c r="B13" s="6" t="str">
        <f t="array" ref="B13">IF(D13="","",
 INDEX(Product_Master!A:A,
       MATCH( INDEX(Pack_Master!B:B, MATCH(D13, Pack_Master!A:A, 0)),
              Product_Master!B:B, 0 )
))
</f>
        <v>Apparel_Tshirts</v>
      </c>
      <c r="C13" s="7" t="s">
        <v>36</v>
      </c>
      <c r="D13" s="8" t="s">
        <v>25</v>
      </c>
      <c r="E13" s="9" t="s">
        <v>12</v>
      </c>
      <c r="F13" s="8" t="s">
        <v>37</v>
      </c>
      <c r="G13" s="5"/>
      <c r="H13" s="5"/>
      <c r="I13" s="5"/>
    </row>
    <row r="14">
      <c r="A14" s="5" t="s">
        <v>9</v>
      </c>
      <c r="B14" s="6" t="str">
        <f t="array" ref="B14">IF(D14="","",
 INDEX(Product_Master!A:A,
       MATCH( INDEX(Pack_Master!B:B, MATCH(D14, Pack_Master!A:A, 0)),
              Product_Master!B:B, 0 )
))
</f>
        <v>Apparel_Tshirts</v>
      </c>
      <c r="C14" s="7" t="s">
        <v>38</v>
      </c>
      <c r="D14" s="8" t="s">
        <v>28</v>
      </c>
      <c r="E14" s="9" t="s">
        <v>12</v>
      </c>
      <c r="F14" s="8" t="s">
        <v>39</v>
      </c>
      <c r="G14" s="5"/>
      <c r="H14" s="5"/>
      <c r="I14" s="5"/>
    </row>
    <row r="15">
      <c r="A15" s="5" t="s">
        <v>9</v>
      </c>
      <c r="B15" s="6" t="str">
        <f t="array" ref="B15">IF(D15="","",
 INDEX(Product_Master!A:A,
       MATCH( INDEX(Pack_Master!B:B, MATCH(D15, Pack_Master!A:A, 0)),
              Product_Master!B:B, 0 )
))
</f>
        <v>Apparel_Tshirts</v>
      </c>
      <c r="C15" s="7" t="s">
        <v>40</v>
      </c>
      <c r="D15" s="8" t="s">
        <v>31</v>
      </c>
      <c r="E15" s="9" t="s">
        <v>12</v>
      </c>
      <c r="F15" s="8" t="s">
        <v>41</v>
      </c>
      <c r="G15" s="5"/>
      <c r="H15" s="5"/>
      <c r="I15" s="5"/>
    </row>
    <row r="16">
      <c r="A16" s="5" t="s">
        <v>9</v>
      </c>
      <c r="B16" s="6" t="str">
        <f t="array" ref="B16">IF(D16="","",
 INDEX(Product_Master!A:A,
       MATCH( INDEX(Pack_Master!B:B, MATCH(D16, Pack_Master!A:A, 0)),
              Product_Master!B:B, 0 )
))
</f>
        <v>Apparel_Tshirts</v>
      </c>
      <c r="C16" s="7" t="s">
        <v>42</v>
      </c>
      <c r="D16" s="8" t="s">
        <v>34</v>
      </c>
      <c r="E16" s="9" t="s">
        <v>12</v>
      </c>
      <c r="F16" s="8" t="s">
        <v>43</v>
      </c>
      <c r="G16" s="5"/>
      <c r="H16" s="5"/>
      <c r="I16" s="5"/>
    </row>
    <row r="17">
      <c r="A17" s="5" t="s">
        <v>9</v>
      </c>
      <c r="B17" s="6" t="str">
        <f t="array" ref="B17">IF(D17="","",
 INDEX(Product_Master!A:A,
       MATCH( INDEX(Pack_Master!B:B, MATCH(D17, Pack_Master!A:A, 0)),
              Product_Master!B:B, 0 )
))
</f>
        <v>Apparel_Tshirts</v>
      </c>
      <c r="C17" s="7" t="s">
        <v>44</v>
      </c>
      <c r="D17" s="8" t="s">
        <v>25</v>
      </c>
      <c r="E17" s="9" t="s">
        <v>12</v>
      </c>
      <c r="F17" s="8" t="s">
        <v>45</v>
      </c>
      <c r="G17" s="5"/>
      <c r="H17" s="5"/>
      <c r="I17" s="5"/>
    </row>
    <row r="18">
      <c r="A18" s="5" t="s">
        <v>9</v>
      </c>
      <c r="B18" s="6" t="str">
        <f t="array" ref="B18">IF(D18="","",
 INDEX(Product_Master!A:A,
       MATCH( INDEX(Pack_Master!B:B, MATCH(D18, Pack_Master!A:A, 0)),
              Product_Master!B:B, 0 )
))
</f>
        <v>Apparel_Tshirts</v>
      </c>
      <c r="C18" s="7" t="s">
        <v>46</v>
      </c>
      <c r="D18" s="8" t="s">
        <v>28</v>
      </c>
      <c r="E18" s="9" t="s">
        <v>12</v>
      </c>
      <c r="F18" s="8" t="s">
        <v>47</v>
      </c>
      <c r="G18" s="5"/>
      <c r="H18" s="5"/>
      <c r="I18" s="5"/>
    </row>
    <row r="19">
      <c r="A19" s="5" t="s">
        <v>9</v>
      </c>
      <c r="B19" s="6" t="str">
        <f t="array" ref="B19">IF(D19="","",
 INDEX(Product_Master!A:A,
       MATCH( INDEX(Pack_Master!B:B, MATCH(D19, Pack_Master!A:A, 0)),
              Product_Master!B:B, 0 )
))
</f>
        <v>Apparel_Tshirts</v>
      </c>
      <c r="C19" s="7" t="s">
        <v>48</v>
      </c>
      <c r="D19" s="8" t="s">
        <v>31</v>
      </c>
      <c r="E19" s="9" t="s">
        <v>12</v>
      </c>
      <c r="F19" s="8" t="s">
        <v>49</v>
      </c>
      <c r="G19" s="5"/>
      <c r="H19" s="5"/>
      <c r="I19" s="5"/>
    </row>
    <row r="20">
      <c r="A20" s="5" t="s">
        <v>9</v>
      </c>
      <c r="B20" s="6" t="str">
        <f t="array" ref="B20">IF(D20="","",
 INDEX(Product_Master!A:A,
       MATCH( INDEX(Pack_Master!B:B, MATCH(D20, Pack_Master!A:A, 0)),
              Product_Master!B:B, 0 )
))
</f>
        <v>Apparel_Tshirts</v>
      </c>
      <c r="C20" s="7" t="s">
        <v>50</v>
      </c>
      <c r="D20" s="8" t="s">
        <v>34</v>
      </c>
      <c r="E20" s="9" t="s">
        <v>12</v>
      </c>
      <c r="F20" s="8" t="s">
        <v>51</v>
      </c>
      <c r="G20" s="5"/>
      <c r="H20" s="5"/>
      <c r="I20" s="5"/>
    </row>
    <row r="21">
      <c r="A21" s="5" t="s">
        <v>9</v>
      </c>
      <c r="B21" s="6" t="str">
        <f t="array" ref="B21">IF(D21="","",
 INDEX(Product_Master!A:A,
       MATCH( INDEX(Pack_Master!B:B, MATCH(D21, Pack_Master!A:A, 0)),
              Product_Master!B:B, 0 )
))
</f>
        <v>Apparel_Tshirts</v>
      </c>
      <c r="C21" s="7" t="s">
        <v>52</v>
      </c>
      <c r="D21" s="8" t="s">
        <v>25</v>
      </c>
      <c r="E21" s="9" t="s">
        <v>12</v>
      </c>
      <c r="F21" s="8" t="s">
        <v>53</v>
      </c>
      <c r="G21" s="5"/>
      <c r="H21" s="5"/>
      <c r="I21" s="5"/>
    </row>
    <row r="22">
      <c r="A22" s="5" t="s">
        <v>9</v>
      </c>
      <c r="B22" s="6" t="str">
        <f t="array" ref="B22">IF(D22="","",
 INDEX(Product_Master!A:A,
       MATCH( INDEX(Pack_Master!B:B, MATCH(D22, Pack_Master!A:A, 0)),
              Product_Master!B:B, 0 )
))
</f>
        <v>Apparel_Tshirts</v>
      </c>
      <c r="C22" s="7" t="s">
        <v>54</v>
      </c>
      <c r="D22" s="8" t="s">
        <v>28</v>
      </c>
      <c r="E22" s="9" t="s">
        <v>12</v>
      </c>
      <c r="F22" s="8" t="s">
        <v>55</v>
      </c>
      <c r="G22" s="5"/>
      <c r="H22" s="5"/>
      <c r="I22" s="5"/>
    </row>
    <row r="23">
      <c r="A23" s="5" t="s">
        <v>9</v>
      </c>
      <c r="B23" s="6" t="str">
        <f t="array" ref="B23">IF(D23="","",
 INDEX(Product_Master!A:A,
       MATCH( INDEX(Pack_Master!B:B, MATCH(D23, Pack_Master!A:A, 0)),
              Product_Master!B:B, 0 )
))
</f>
        <v>Apparel_Tshirts</v>
      </c>
      <c r="C23" s="7" t="s">
        <v>56</v>
      </c>
      <c r="D23" s="8" t="s">
        <v>31</v>
      </c>
      <c r="E23" s="9" t="s">
        <v>12</v>
      </c>
      <c r="F23" s="8" t="s">
        <v>57</v>
      </c>
      <c r="G23" s="5"/>
      <c r="H23" s="5"/>
      <c r="I23" s="5"/>
    </row>
    <row r="24">
      <c r="A24" s="5" t="s">
        <v>9</v>
      </c>
      <c r="B24" s="6" t="str">
        <f t="array" ref="B24">IF(D24="","",
 INDEX(Product_Master!A:A,
       MATCH( INDEX(Pack_Master!B:B, MATCH(D24, Pack_Master!A:A, 0)),
              Product_Master!B:B, 0 )
))
</f>
        <v>Apparel_Tshirts</v>
      </c>
      <c r="C24" s="7" t="s">
        <v>58</v>
      </c>
      <c r="D24" s="8" t="s">
        <v>34</v>
      </c>
      <c r="E24" s="9" t="s">
        <v>12</v>
      </c>
      <c r="F24" s="8" t="s">
        <v>59</v>
      </c>
      <c r="G24" s="5"/>
      <c r="H24" s="5"/>
      <c r="I24" s="5"/>
    </row>
    <row r="25">
      <c r="A25" s="5" t="s">
        <v>9</v>
      </c>
      <c r="B25" s="6" t="str">
        <f t="array" ref="B25">IF(D25="","",
 INDEX(Product_Master!A:A,
       MATCH( INDEX(Pack_Master!B:B, MATCH(D25, Pack_Master!A:A, 0)),
              Product_Master!B:B, 0 )
))
</f>
        <v>Apparel_Tshirts</v>
      </c>
      <c r="C25" s="7" t="s">
        <v>60</v>
      </c>
      <c r="D25" s="8" t="s">
        <v>25</v>
      </c>
      <c r="E25" s="9" t="s">
        <v>12</v>
      </c>
      <c r="F25" s="8" t="s">
        <v>61</v>
      </c>
      <c r="G25" s="5"/>
      <c r="H25" s="5"/>
      <c r="I25" s="5"/>
    </row>
    <row r="26">
      <c r="A26" s="5" t="s">
        <v>9</v>
      </c>
      <c r="B26" s="6" t="str">
        <f t="array" ref="B26">IF(D26="","",
 INDEX(Product_Master!A:A,
       MATCH( INDEX(Pack_Master!B:B, MATCH(D26, Pack_Master!A:A, 0)),
              Product_Master!B:B, 0 )
))
</f>
        <v>Apparel_Tshirts</v>
      </c>
      <c r="C26" s="7" t="s">
        <v>62</v>
      </c>
      <c r="D26" s="8" t="s">
        <v>28</v>
      </c>
      <c r="E26" s="9" t="s">
        <v>12</v>
      </c>
      <c r="F26" s="8" t="s">
        <v>63</v>
      </c>
      <c r="G26" s="5"/>
      <c r="H26" s="5"/>
      <c r="I26" s="5"/>
    </row>
    <row r="27">
      <c r="A27" s="5" t="s">
        <v>9</v>
      </c>
      <c r="B27" s="6" t="str">
        <f t="array" ref="B27">IF(D27="","",
 INDEX(Product_Master!A:A,
       MATCH( INDEX(Pack_Master!B:B, MATCH(D27, Pack_Master!A:A, 0)),
              Product_Master!B:B, 0 )
))
</f>
        <v>Apparel_Tshirts</v>
      </c>
      <c r="C27" s="7" t="s">
        <v>64</v>
      </c>
      <c r="D27" s="8" t="s">
        <v>31</v>
      </c>
      <c r="E27" s="9" t="s">
        <v>12</v>
      </c>
      <c r="F27" s="8" t="s">
        <v>65</v>
      </c>
      <c r="G27" s="5"/>
      <c r="H27" s="5"/>
      <c r="I27" s="5"/>
    </row>
    <row r="28">
      <c r="A28" s="5" t="s">
        <v>9</v>
      </c>
      <c r="B28" s="6" t="str">
        <f t="array" ref="B28">IF(D28="","",
 INDEX(Product_Master!A:A,
       MATCH( INDEX(Pack_Master!B:B, MATCH(D28, Pack_Master!A:A, 0)),
              Product_Master!B:B, 0 )
))
</f>
        <v>Apparel_Tshirts</v>
      </c>
      <c r="C28" s="7" t="s">
        <v>66</v>
      </c>
      <c r="D28" s="8" t="s">
        <v>34</v>
      </c>
      <c r="E28" s="9" t="s">
        <v>12</v>
      </c>
      <c r="F28" s="8" t="s">
        <v>67</v>
      </c>
      <c r="G28" s="5"/>
      <c r="H28" s="5"/>
      <c r="I28" s="5"/>
    </row>
    <row r="29">
      <c r="A29" s="5" t="s">
        <v>9</v>
      </c>
      <c r="B29" s="6" t="str">
        <f t="array" ref="B29">IF(D29="","",
 INDEX(Product_Master!A:A,
       MATCH( INDEX(Pack_Master!B:B, MATCH(D29, Pack_Master!A:A, 0)),
              Product_Master!B:B, 0 )
))
</f>
        <v>Apparel_Tshirts</v>
      </c>
      <c r="C29" s="7" t="s">
        <v>68</v>
      </c>
      <c r="D29" s="8" t="s">
        <v>25</v>
      </c>
      <c r="E29" s="9" t="s">
        <v>12</v>
      </c>
      <c r="F29" s="8" t="s">
        <v>69</v>
      </c>
      <c r="G29" s="5"/>
      <c r="H29" s="5"/>
      <c r="I29" s="5"/>
    </row>
    <row r="30">
      <c r="A30" s="5" t="s">
        <v>9</v>
      </c>
      <c r="B30" s="6" t="str">
        <f t="array" ref="B30">IF(D30="","",
 INDEX(Product_Master!A:A,
       MATCH( INDEX(Pack_Master!B:B, MATCH(D30, Pack_Master!A:A, 0)),
              Product_Master!B:B, 0 )
))
</f>
        <v>Apparel_Tshirts</v>
      </c>
      <c r="C30" s="7" t="s">
        <v>70</v>
      </c>
      <c r="D30" s="8" t="s">
        <v>28</v>
      </c>
      <c r="E30" s="9" t="s">
        <v>12</v>
      </c>
      <c r="F30" s="8" t="s">
        <v>71</v>
      </c>
      <c r="G30" s="5"/>
      <c r="H30" s="5"/>
      <c r="I30" s="5"/>
    </row>
    <row r="31">
      <c r="A31" s="5" t="s">
        <v>9</v>
      </c>
      <c r="B31" s="6" t="str">
        <f t="array" ref="B31">IF(D31="","",
 INDEX(Product_Master!A:A,
       MATCH( INDEX(Pack_Master!B:B, MATCH(D31, Pack_Master!A:A, 0)),
              Product_Master!B:B, 0 )
))
</f>
        <v>Apparel_Tshirts</v>
      </c>
      <c r="C31" s="7" t="s">
        <v>72</v>
      </c>
      <c r="D31" s="8" t="s">
        <v>31</v>
      </c>
      <c r="E31" s="9" t="s">
        <v>12</v>
      </c>
      <c r="F31" s="8" t="s">
        <v>73</v>
      </c>
      <c r="G31" s="5"/>
      <c r="H31" s="5"/>
      <c r="I31" s="5"/>
    </row>
    <row r="32">
      <c r="A32" s="5" t="s">
        <v>9</v>
      </c>
      <c r="B32" s="6" t="str">
        <f t="array" ref="B32">IF(D32="","",
 INDEX(Product_Master!A:A,
       MATCH( INDEX(Pack_Master!B:B, MATCH(D32, Pack_Master!A:A, 0)),
              Product_Master!B:B, 0 )
))
</f>
        <v>Apparel_Tshirts</v>
      </c>
      <c r="C32" s="7" t="s">
        <v>74</v>
      </c>
      <c r="D32" s="8" t="s">
        <v>34</v>
      </c>
      <c r="E32" s="9" t="s">
        <v>12</v>
      </c>
      <c r="F32" s="8" t="s">
        <v>75</v>
      </c>
      <c r="G32" s="5"/>
      <c r="H32" s="5"/>
      <c r="I32" s="5"/>
    </row>
    <row r="33">
      <c r="A33" s="5" t="s">
        <v>9</v>
      </c>
      <c r="B33" s="6" t="str">
        <f t="array" ref="B33">IF(D33="","",
 INDEX(Product_Master!A:A,
       MATCH( INDEX(Pack_Master!B:B, MATCH(D33, Pack_Master!A:A, 0)),
              Product_Master!B:B, 0 )
))
</f>
        <v>Apparel_Tshirts</v>
      </c>
      <c r="C33" s="7" t="s">
        <v>76</v>
      </c>
      <c r="D33" s="8" t="s">
        <v>25</v>
      </c>
      <c r="E33" s="9" t="s">
        <v>12</v>
      </c>
      <c r="F33" s="8" t="s">
        <v>77</v>
      </c>
      <c r="G33" s="5"/>
      <c r="H33" s="5"/>
      <c r="I33" s="5"/>
    </row>
    <row r="34">
      <c r="A34" s="5" t="s">
        <v>9</v>
      </c>
      <c r="B34" s="6" t="str">
        <f t="array" ref="B34">IF(D34="","",
 INDEX(Product_Master!A:A,
       MATCH( INDEX(Pack_Master!B:B, MATCH(D34, Pack_Master!A:A, 0)),
              Product_Master!B:B, 0 )
))
</f>
        <v>Apparel_Tshirts</v>
      </c>
      <c r="C34" s="7" t="s">
        <v>78</v>
      </c>
      <c r="D34" s="8" t="s">
        <v>28</v>
      </c>
      <c r="E34" s="9" t="s">
        <v>12</v>
      </c>
      <c r="F34" s="8" t="s">
        <v>79</v>
      </c>
      <c r="G34" s="5"/>
      <c r="H34" s="5"/>
      <c r="I34" s="5"/>
    </row>
    <row r="35">
      <c r="A35" s="5" t="s">
        <v>9</v>
      </c>
      <c r="B35" s="6" t="str">
        <f t="array" ref="B35">IF(D35="","",
 INDEX(Product_Master!A:A,
       MATCH( INDEX(Pack_Master!B:B, MATCH(D35, Pack_Master!A:A, 0)),
              Product_Master!B:B, 0 )
))
</f>
        <v>Apparel_Tshirts</v>
      </c>
      <c r="C35" s="7" t="s">
        <v>80</v>
      </c>
      <c r="D35" s="8" t="s">
        <v>31</v>
      </c>
      <c r="E35" s="9" t="s">
        <v>12</v>
      </c>
      <c r="F35" s="8" t="s">
        <v>81</v>
      </c>
      <c r="G35" s="5"/>
      <c r="H35" s="5"/>
      <c r="I35" s="5"/>
    </row>
    <row r="36">
      <c r="A36" s="5" t="s">
        <v>9</v>
      </c>
      <c r="B36" s="6" t="str">
        <f t="array" ref="B36">IF(D36="","",
 INDEX(Product_Master!A:A,
       MATCH( INDEX(Pack_Master!B:B, MATCH(D36, Pack_Master!A:A, 0)),
              Product_Master!B:B, 0 )
))
</f>
        <v>Apparel_Tshirts</v>
      </c>
      <c r="C36" s="7" t="s">
        <v>82</v>
      </c>
      <c r="D36" s="8" t="s">
        <v>34</v>
      </c>
      <c r="E36" s="9" t="s">
        <v>12</v>
      </c>
      <c r="F36" s="8" t="s">
        <v>83</v>
      </c>
      <c r="G36" s="5"/>
      <c r="H36" s="5"/>
      <c r="I36" s="5"/>
    </row>
    <row r="37">
      <c r="A37" s="5" t="s">
        <v>9</v>
      </c>
      <c r="B37" s="6" t="str">
        <f t="array" ref="B37">IF(D37="","",
 INDEX(Product_Master!A:A,
       MATCH( INDEX(Pack_Master!B:B, MATCH(D37, Pack_Master!A:A, 0)),
              Product_Master!B:B, 0 )
))
</f>
        <v>Apparel_Tshirts</v>
      </c>
      <c r="C37" s="7" t="s">
        <v>84</v>
      </c>
      <c r="D37" s="8" t="s">
        <v>25</v>
      </c>
      <c r="E37" s="9" t="s">
        <v>12</v>
      </c>
      <c r="F37" s="8" t="s">
        <v>85</v>
      </c>
      <c r="G37" s="5"/>
      <c r="H37" s="5"/>
      <c r="I37" s="5"/>
    </row>
    <row r="38">
      <c r="A38" s="5" t="s">
        <v>9</v>
      </c>
      <c r="B38" s="6" t="str">
        <f t="array" ref="B38">IF(D38="","",
 INDEX(Product_Master!A:A,
       MATCH( INDEX(Pack_Master!B:B, MATCH(D38, Pack_Master!A:A, 0)),
              Product_Master!B:B, 0 )
))
</f>
        <v>Apparel_Tshirts</v>
      </c>
      <c r="C38" s="7" t="s">
        <v>86</v>
      </c>
      <c r="D38" s="8" t="s">
        <v>28</v>
      </c>
      <c r="E38" s="9" t="s">
        <v>12</v>
      </c>
      <c r="F38" s="8" t="s">
        <v>87</v>
      </c>
      <c r="G38" s="5"/>
      <c r="H38" s="5"/>
      <c r="I38" s="5"/>
    </row>
    <row r="39">
      <c r="A39" s="5" t="s">
        <v>9</v>
      </c>
      <c r="B39" s="6" t="str">
        <f t="array" ref="B39">IF(D39="","",
 INDEX(Product_Master!A:A,
       MATCH( INDEX(Pack_Master!B:B, MATCH(D39, Pack_Master!A:A, 0)),
              Product_Master!B:B, 0 )
))
</f>
        <v>Apparel_Tshirts</v>
      </c>
      <c r="C39" s="7" t="s">
        <v>88</v>
      </c>
      <c r="D39" s="8" t="s">
        <v>31</v>
      </c>
      <c r="E39" s="9" t="s">
        <v>12</v>
      </c>
      <c r="F39" s="8" t="s">
        <v>89</v>
      </c>
      <c r="G39" s="5"/>
      <c r="H39" s="5"/>
      <c r="I39" s="5"/>
    </row>
    <row r="40">
      <c r="A40" s="5" t="s">
        <v>9</v>
      </c>
      <c r="B40" s="6" t="str">
        <f t="array" ref="B40">IF(D40="","",
 INDEX(Product_Master!A:A,
       MATCH( INDEX(Pack_Master!B:B, MATCH(D40, Pack_Master!A:A, 0)),
              Product_Master!B:B, 0 )
))
</f>
        <v>Apparel_Tshirts</v>
      </c>
      <c r="C40" s="7" t="s">
        <v>90</v>
      </c>
      <c r="D40" s="8" t="s">
        <v>34</v>
      </c>
      <c r="E40" s="9" t="s">
        <v>12</v>
      </c>
      <c r="F40" s="8" t="s">
        <v>91</v>
      </c>
      <c r="G40" s="5"/>
      <c r="H40" s="5"/>
      <c r="I40" s="5"/>
    </row>
    <row r="41">
      <c r="A41" s="5" t="s">
        <v>9</v>
      </c>
      <c r="B41" s="6" t="str">
        <f t="array" ref="B41">IF(D41="","",
 INDEX(Product_Master!A:A,
       MATCH( INDEX(Pack_Master!B:B, MATCH(D41, Pack_Master!A:A, 0)),
              Product_Master!B:B, 0 )
))
</f>
        <v>Apparel_Tshirts</v>
      </c>
      <c r="C41" s="7" t="s">
        <v>92</v>
      </c>
      <c r="D41" s="8" t="s">
        <v>25</v>
      </c>
      <c r="E41" s="9" t="s">
        <v>12</v>
      </c>
      <c r="F41" s="8" t="s">
        <v>93</v>
      </c>
      <c r="G41" s="5"/>
      <c r="H41" s="5"/>
      <c r="I41" s="5"/>
    </row>
    <row r="42">
      <c r="A42" s="5" t="s">
        <v>9</v>
      </c>
      <c r="B42" s="6" t="str">
        <f t="array" ref="B42">IF(D42="","",
 INDEX(Product_Master!A:A,
       MATCH( INDEX(Pack_Master!B:B, MATCH(D42, Pack_Master!A:A, 0)),
              Product_Master!B:B, 0 )
))
</f>
        <v>Apparel_Tshirts</v>
      </c>
      <c r="C42" s="7" t="s">
        <v>94</v>
      </c>
      <c r="D42" s="8" t="s">
        <v>28</v>
      </c>
      <c r="E42" s="9" t="s">
        <v>12</v>
      </c>
      <c r="F42" s="8" t="s">
        <v>95</v>
      </c>
      <c r="G42" s="5"/>
      <c r="H42" s="5"/>
      <c r="I42" s="5"/>
    </row>
    <row r="43">
      <c r="A43" s="5" t="s">
        <v>9</v>
      </c>
      <c r="B43" s="6" t="str">
        <f t="array" ref="B43">IF(D43="","",
 INDEX(Product_Master!A:A,
       MATCH( INDEX(Pack_Master!B:B, MATCH(D43, Pack_Master!A:A, 0)),
              Product_Master!B:B, 0 )
))
</f>
        <v>Apparel_Tshirts</v>
      </c>
      <c r="C43" s="7" t="s">
        <v>96</v>
      </c>
      <c r="D43" s="8" t="s">
        <v>31</v>
      </c>
      <c r="E43" s="9" t="s">
        <v>12</v>
      </c>
      <c r="F43" s="8" t="s">
        <v>97</v>
      </c>
      <c r="G43" s="5"/>
      <c r="H43" s="5"/>
      <c r="I43" s="5"/>
    </row>
    <row r="44">
      <c r="A44" s="5" t="s">
        <v>9</v>
      </c>
      <c r="B44" s="6" t="str">
        <f t="array" ref="B44">IF(D44="","",
 INDEX(Product_Master!A:A,
       MATCH( INDEX(Pack_Master!B:B, MATCH(D44, Pack_Master!A:A, 0)),
              Product_Master!B:B, 0 )
))
</f>
        <v>Apparel_Tshirts</v>
      </c>
      <c r="C44" s="7" t="s">
        <v>98</v>
      </c>
      <c r="D44" s="8" t="s">
        <v>34</v>
      </c>
      <c r="E44" s="9" t="s">
        <v>12</v>
      </c>
      <c r="F44" s="8" t="s">
        <v>99</v>
      </c>
      <c r="G44" s="5"/>
      <c r="H44" s="5"/>
      <c r="I44" s="5"/>
    </row>
    <row r="45">
      <c r="A45" s="5" t="s">
        <v>9</v>
      </c>
      <c r="B45" s="6" t="str">
        <f t="array" ref="B45">IF(D45="","",
 INDEX(Product_Master!A:A,
       MATCH( INDEX(Pack_Master!B:B, MATCH(D45, Pack_Master!A:A, 0)),
              Product_Master!B:B, 0 )
))
</f>
        <v>Apparel_Tshirts</v>
      </c>
      <c r="C45" s="7" t="s">
        <v>100</v>
      </c>
      <c r="D45" s="8" t="s">
        <v>25</v>
      </c>
      <c r="E45" s="9" t="s">
        <v>12</v>
      </c>
      <c r="F45" s="8" t="s">
        <v>101</v>
      </c>
      <c r="G45" s="5"/>
      <c r="H45" s="5"/>
      <c r="I45" s="5"/>
    </row>
    <row r="46">
      <c r="A46" s="5" t="s">
        <v>9</v>
      </c>
      <c r="B46" s="6" t="str">
        <f t="array" ref="B46">IF(D46="","",
 INDEX(Product_Master!A:A,
       MATCH( INDEX(Pack_Master!B:B, MATCH(D46, Pack_Master!A:A, 0)),
              Product_Master!B:B, 0 )
))
</f>
        <v>Apparel_Tshirts</v>
      </c>
      <c r="C46" s="7" t="s">
        <v>102</v>
      </c>
      <c r="D46" s="8" t="s">
        <v>28</v>
      </c>
      <c r="E46" s="9" t="s">
        <v>12</v>
      </c>
      <c r="F46" s="8" t="s">
        <v>103</v>
      </c>
      <c r="G46" s="5"/>
      <c r="H46" s="5"/>
      <c r="I46" s="5"/>
    </row>
    <row r="47">
      <c r="A47" s="5" t="s">
        <v>9</v>
      </c>
      <c r="B47" s="6" t="str">
        <f t="array" ref="B47">IF(D47="","",
 INDEX(Product_Master!A:A,
       MATCH( INDEX(Pack_Master!B:B, MATCH(D47, Pack_Master!A:A, 0)),
              Product_Master!B:B, 0 )
))
</f>
        <v>Apparel_Tshirts</v>
      </c>
      <c r="C47" s="7" t="s">
        <v>104</v>
      </c>
      <c r="D47" s="8" t="s">
        <v>31</v>
      </c>
      <c r="E47" s="9" t="s">
        <v>12</v>
      </c>
      <c r="F47" s="8" t="s">
        <v>105</v>
      </c>
      <c r="G47" s="5"/>
      <c r="H47" s="5"/>
      <c r="I47" s="5"/>
    </row>
    <row r="48">
      <c r="A48" s="5" t="s">
        <v>9</v>
      </c>
      <c r="B48" s="6" t="str">
        <f t="array" ref="B48">IF(D48="","",
 INDEX(Product_Master!A:A,
       MATCH( INDEX(Pack_Master!B:B, MATCH(D48, Pack_Master!A:A, 0)),
              Product_Master!B:B, 0 )
))
</f>
        <v>Apparel_Tshirts</v>
      </c>
      <c r="C48" s="7" t="s">
        <v>106</v>
      </c>
      <c r="D48" s="8" t="s">
        <v>34</v>
      </c>
      <c r="E48" s="9" t="s">
        <v>12</v>
      </c>
      <c r="F48" s="8" t="s">
        <v>107</v>
      </c>
      <c r="G48" s="5"/>
      <c r="H48" s="5"/>
      <c r="I48" s="5"/>
    </row>
    <row r="49">
      <c r="A49" s="5" t="s">
        <v>9</v>
      </c>
      <c r="B49" s="6" t="str">
        <f t="array" ref="B49">IF(D49="","",
 INDEX(Product_Master!A:A,
       MATCH( INDEX(Pack_Master!B:B, MATCH(D49, Pack_Master!A:A, 0)),
              Product_Master!B:B, 0 )
))
</f>
        <v>Apparel_Tshirts</v>
      </c>
      <c r="C49" s="7" t="s">
        <v>108</v>
      </c>
      <c r="D49" s="8" t="s">
        <v>25</v>
      </c>
      <c r="E49" s="9" t="s">
        <v>12</v>
      </c>
      <c r="F49" s="8" t="s">
        <v>109</v>
      </c>
      <c r="G49" s="5"/>
      <c r="H49" s="5"/>
      <c r="I49" s="5"/>
    </row>
    <row r="50">
      <c r="A50" s="5" t="s">
        <v>9</v>
      </c>
      <c r="B50" s="6" t="str">
        <f t="array" ref="B50">IF(D50="","",
 INDEX(Product_Master!A:A,
       MATCH( INDEX(Pack_Master!B:B, MATCH(D50, Pack_Master!A:A, 0)),
              Product_Master!B:B, 0 )
))
</f>
        <v>Apparel_Tshirts</v>
      </c>
      <c r="C50" s="7" t="s">
        <v>110</v>
      </c>
      <c r="D50" s="8" t="s">
        <v>28</v>
      </c>
      <c r="E50" s="9" t="s">
        <v>12</v>
      </c>
      <c r="F50" s="8" t="s">
        <v>111</v>
      </c>
      <c r="G50" s="5"/>
      <c r="H50" s="5"/>
      <c r="I50" s="5"/>
    </row>
    <row r="51">
      <c r="A51" s="5" t="s">
        <v>9</v>
      </c>
      <c r="B51" s="6" t="str">
        <f t="array" ref="B51">IF(D51="","",
 INDEX(Product_Master!A:A,
       MATCH( INDEX(Pack_Master!B:B, MATCH(D51, Pack_Master!A:A, 0)),
              Product_Master!B:B, 0 )
))
</f>
        <v>Apparel_Tshirts</v>
      </c>
      <c r="C51" s="7" t="s">
        <v>112</v>
      </c>
      <c r="D51" s="8" t="s">
        <v>31</v>
      </c>
      <c r="E51" s="9" t="s">
        <v>12</v>
      </c>
      <c r="F51" s="8" t="s">
        <v>113</v>
      </c>
      <c r="G51" s="5"/>
      <c r="H51" s="5"/>
      <c r="I51" s="5"/>
    </row>
    <row r="52">
      <c r="A52" s="5" t="s">
        <v>9</v>
      </c>
      <c r="B52" s="6" t="str">
        <f t="array" ref="B52">IF(D52="","",
 INDEX(Product_Master!A:A,
       MATCH( INDEX(Pack_Master!B:B, MATCH(D52, Pack_Master!A:A, 0)),
              Product_Master!B:B, 0 )
))
</f>
        <v>Apparel_Tshirts</v>
      </c>
      <c r="C52" s="7" t="s">
        <v>114</v>
      </c>
      <c r="D52" s="8" t="s">
        <v>34</v>
      </c>
      <c r="E52" s="9" t="s">
        <v>12</v>
      </c>
      <c r="F52" s="8" t="s">
        <v>115</v>
      </c>
      <c r="G52" s="5"/>
      <c r="H52" s="5"/>
      <c r="I52" s="5"/>
    </row>
    <row r="53">
      <c r="A53" s="5" t="s">
        <v>9</v>
      </c>
      <c r="B53" s="6" t="str">
        <f t="array" ref="B53">IF(D53="","",
 INDEX(Product_Master!A:A,
       MATCH( INDEX(Pack_Master!B:B, MATCH(D53, Pack_Master!A:A, 0)),
              Product_Master!B:B, 0 )
))
</f>
        <v>Apparel_Tshirts</v>
      </c>
      <c r="C53" s="7" t="s">
        <v>116</v>
      </c>
      <c r="D53" s="8" t="s">
        <v>25</v>
      </c>
      <c r="E53" s="9" t="s">
        <v>12</v>
      </c>
      <c r="F53" s="8" t="s">
        <v>117</v>
      </c>
      <c r="G53" s="5"/>
      <c r="H53" s="5"/>
      <c r="I53" s="5"/>
    </row>
    <row r="54">
      <c r="A54" s="5" t="s">
        <v>9</v>
      </c>
      <c r="B54" s="6" t="str">
        <f t="array" ref="B54">IF(D54="","",
 INDEX(Product_Master!A:A,
       MATCH( INDEX(Pack_Master!B:B, MATCH(D54, Pack_Master!A:A, 0)),
              Product_Master!B:B, 0 )
))
</f>
        <v>Apparel_Tshirts</v>
      </c>
      <c r="C54" s="7" t="s">
        <v>118</v>
      </c>
      <c r="D54" s="8" t="s">
        <v>28</v>
      </c>
      <c r="E54" s="9" t="s">
        <v>12</v>
      </c>
      <c r="F54" s="8" t="s">
        <v>119</v>
      </c>
      <c r="G54" s="5"/>
      <c r="H54" s="5"/>
      <c r="I54" s="5"/>
    </row>
    <row r="55">
      <c r="A55" s="5" t="s">
        <v>9</v>
      </c>
      <c r="B55" s="6" t="str">
        <f t="array" ref="B55">IF(D55="","",
 INDEX(Product_Master!A:A,
       MATCH( INDEX(Pack_Master!B:B, MATCH(D55, Pack_Master!A:A, 0)),
              Product_Master!B:B, 0 )
))
</f>
        <v>Apparel_Tshirts</v>
      </c>
      <c r="C55" s="7" t="s">
        <v>120</v>
      </c>
      <c r="D55" s="8" t="s">
        <v>31</v>
      </c>
      <c r="E55" s="9" t="s">
        <v>12</v>
      </c>
      <c r="F55" s="8" t="s">
        <v>121</v>
      </c>
      <c r="G55" s="5"/>
      <c r="H55" s="5"/>
      <c r="I55" s="5"/>
    </row>
    <row r="56">
      <c r="A56" s="5" t="s">
        <v>9</v>
      </c>
      <c r="B56" s="6" t="str">
        <f t="array" ref="B56">IF(D56="","",
 INDEX(Product_Master!A:A,
       MATCH( INDEX(Pack_Master!B:B, MATCH(D56, Pack_Master!A:A, 0)),
              Product_Master!B:B, 0 )
))
</f>
        <v>Apparel_Tshirts</v>
      </c>
      <c r="C56" s="7" t="s">
        <v>122</v>
      </c>
      <c r="D56" s="8" t="s">
        <v>34</v>
      </c>
      <c r="E56" s="9" t="s">
        <v>12</v>
      </c>
      <c r="F56" s="8" t="s">
        <v>123</v>
      </c>
      <c r="G56" s="5"/>
      <c r="H56" s="5"/>
      <c r="I56" s="5"/>
    </row>
    <row r="57">
      <c r="A57" s="5" t="s">
        <v>9</v>
      </c>
      <c r="B57" s="6" t="str">
        <f t="array" ref="B57">IF(D57="","",
 INDEX(Product_Master!A:A,
       MATCH( INDEX(Pack_Master!B:B, MATCH(D57, Pack_Master!A:A, 0)),
              Product_Master!B:B, 0 )
))
</f>
        <v>Apparel_Tshirts</v>
      </c>
      <c r="C57" s="7" t="s">
        <v>124</v>
      </c>
      <c r="D57" s="8" t="s">
        <v>25</v>
      </c>
      <c r="E57" s="9" t="s">
        <v>12</v>
      </c>
      <c r="F57" s="8" t="s">
        <v>125</v>
      </c>
      <c r="G57" s="5"/>
      <c r="H57" s="5"/>
      <c r="I57" s="5"/>
    </row>
    <row r="58">
      <c r="A58" s="5" t="s">
        <v>9</v>
      </c>
      <c r="B58" s="6" t="str">
        <f t="array" ref="B58">IF(D58="","",
 INDEX(Product_Master!A:A,
       MATCH( INDEX(Pack_Master!B:B, MATCH(D58, Pack_Master!A:A, 0)),
              Product_Master!B:B, 0 )
))
</f>
        <v>Apparel_Tshirts</v>
      </c>
      <c r="C58" s="7" t="s">
        <v>126</v>
      </c>
      <c r="D58" s="8" t="s">
        <v>28</v>
      </c>
      <c r="E58" s="9" t="s">
        <v>12</v>
      </c>
      <c r="F58" s="8" t="s">
        <v>127</v>
      </c>
      <c r="G58" s="5"/>
      <c r="H58" s="5"/>
      <c r="I58" s="5"/>
    </row>
    <row r="59">
      <c r="A59" s="5" t="s">
        <v>9</v>
      </c>
      <c r="B59" s="6" t="str">
        <f t="array" ref="B59">IF(D59="","",
 INDEX(Product_Master!A:A,
       MATCH( INDEX(Pack_Master!B:B, MATCH(D59, Pack_Master!A:A, 0)),
              Product_Master!B:B, 0 )
))
</f>
        <v>Apparel_Tshirts</v>
      </c>
      <c r="C59" s="7" t="s">
        <v>128</v>
      </c>
      <c r="D59" s="8" t="s">
        <v>31</v>
      </c>
      <c r="E59" s="9" t="s">
        <v>12</v>
      </c>
      <c r="F59" s="8" t="s">
        <v>129</v>
      </c>
      <c r="G59" s="5"/>
      <c r="H59" s="5"/>
      <c r="I59" s="5"/>
    </row>
    <row r="60">
      <c r="A60" s="5" t="s">
        <v>9</v>
      </c>
      <c r="B60" s="6" t="str">
        <f t="array" ref="B60">IF(D60="","",
 INDEX(Product_Master!A:A,
       MATCH( INDEX(Pack_Master!B:B, MATCH(D60, Pack_Master!A:A, 0)),
              Product_Master!B:B, 0 )
))
</f>
        <v>Apparel_Tshirts</v>
      </c>
      <c r="C60" s="7" t="s">
        <v>130</v>
      </c>
      <c r="D60" s="8" t="s">
        <v>34</v>
      </c>
      <c r="E60" s="9" t="s">
        <v>12</v>
      </c>
      <c r="F60" s="8" t="s">
        <v>131</v>
      </c>
      <c r="G60" s="5"/>
      <c r="H60" s="5"/>
      <c r="I60" s="5"/>
    </row>
    <row r="61">
      <c r="A61" s="5" t="s">
        <v>9</v>
      </c>
      <c r="B61" s="6" t="str">
        <f t="array" ref="B61">IF(D61="","",
 INDEX(Product_Master!A:A,
       MATCH( INDEX(Pack_Master!B:B, MATCH(D61, Pack_Master!A:A, 0)),
              Product_Master!B:B, 0 )
))
</f>
        <v>Apparel_ArmSleeves</v>
      </c>
      <c r="C61" s="7" t="s">
        <v>132</v>
      </c>
      <c r="D61" s="8" t="s">
        <v>133</v>
      </c>
      <c r="E61" s="9" t="s">
        <v>12</v>
      </c>
      <c r="F61" s="8"/>
      <c r="G61" s="5"/>
      <c r="H61" s="5"/>
      <c r="I61" s="5"/>
    </row>
    <row r="62">
      <c r="A62" s="5" t="s">
        <v>9</v>
      </c>
      <c r="B62" s="6" t="str">
        <f t="array" ref="B62">IF(D62="","",
 INDEX(Product_Master!A:A,
       MATCH( INDEX(Pack_Master!B:B, MATCH(D62, Pack_Master!A:A, 0)),
              Product_Master!B:B, 0 )
))
</f>
        <v>Apparel_Accessories_Winter</v>
      </c>
      <c r="C62" s="7" t="s">
        <v>134</v>
      </c>
      <c r="D62" s="8" t="s">
        <v>135</v>
      </c>
      <c r="E62" s="9" t="s">
        <v>12</v>
      </c>
      <c r="F62" s="8"/>
      <c r="G62" s="5"/>
      <c r="H62" s="5"/>
      <c r="I62" s="5"/>
    </row>
    <row r="63">
      <c r="A63" s="5" t="s">
        <v>9</v>
      </c>
      <c r="B63" s="6" t="str">
        <f t="array" ref="B63">IF(D63="","",
 INDEX(Product_Master!A:A,
       MATCH( INDEX(Pack_Master!B:B, MATCH(D63, Pack_Master!A:A, 0)),
              Product_Master!B:B, 0 )
))
</f>
        <v>Apparel_Caps_Beanies</v>
      </c>
      <c r="C63" s="7" t="s">
        <v>136</v>
      </c>
      <c r="D63" s="8" t="s">
        <v>137</v>
      </c>
      <c r="E63" s="9" t="s">
        <v>12</v>
      </c>
      <c r="F63" s="8"/>
      <c r="G63" s="5"/>
      <c r="H63" s="5"/>
      <c r="I63" s="5"/>
    </row>
    <row r="64">
      <c r="A64" s="5" t="s">
        <v>9</v>
      </c>
      <c r="B64" s="6" t="str">
        <f t="array" ref="B64">IF(D64="","",
 INDEX(Product_Master!A:A,
       MATCH( INDEX(Pack_Master!B:B, MATCH(D64, Pack_Master!A:A, 0)),
              Product_Master!B:B, 0 )
))
</f>
        <v>Automotive_FaceMasks</v>
      </c>
      <c r="C64" s="7" t="s">
        <v>138</v>
      </c>
      <c r="D64" s="8" t="s">
        <v>18</v>
      </c>
      <c r="E64" s="9" t="s">
        <v>12</v>
      </c>
      <c r="F64" s="8"/>
      <c r="G64" s="5"/>
      <c r="H64" s="5"/>
      <c r="I64" s="5"/>
    </row>
    <row r="65">
      <c r="A65" s="5" t="s">
        <v>9</v>
      </c>
      <c r="B65" s="6" t="str">
        <f t="array" ref="B65">IF(D65="","",
 INDEX(Product_Master!A:A,
       MATCH( INDEX(Pack_Master!B:B, MATCH(D65, Pack_Master!A:A, 0)),
              Product_Master!B:B, 0 )
))
</f>
        <v>Apparel_ArmSleeves</v>
      </c>
      <c r="C65" s="7" t="s">
        <v>139</v>
      </c>
      <c r="D65" s="8" t="s">
        <v>140</v>
      </c>
      <c r="E65" s="9" t="s">
        <v>12</v>
      </c>
      <c r="F65" s="8"/>
      <c r="G65" s="5"/>
      <c r="H65" s="5"/>
      <c r="I65" s="5"/>
    </row>
    <row r="66">
      <c r="A66" s="5" t="s">
        <v>9</v>
      </c>
      <c r="B66" s="6" t="str">
        <f t="array" ref="B66">IF(D66="","",
 INDEX(Product_Master!A:A,
       MATCH( INDEX(Pack_Master!B:B, MATCH(D66, Pack_Master!A:A, 0)),
              Product_Master!B:B, 0 )
))
</f>
        <v>Apparel_Accessories_Winter</v>
      </c>
      <c r="C66" s="7" t="s">
        <v>141</v>
      </c>
      <c r="D66" s="8" t="s">
        <v>141</v>
      </c>
      <c r="E66" s="9" t="s">
        <v>12</v>
      </c>
      <c r="F66" s="8" t="s">
        <v>142</v>
      </c>
      <c r="G66" s="5"/>
      <c r="H66" s="5"/>
      <c r="I66" s="5"/>
    </row>
    <row r="67">
      <c r="A67" s="5" t="s">
        <v>9</v>
      </c>
      <c r="B67" s="6" t="str">
        <f t="array" ref="B67">IF(D67="","",
 INDEX(Product_Master!A:A,
       MATCH( INDEX(Pack_Master!B:B, MATCH(D67, Pack_Master!A:A, 0)),
              Product_Master!B:B, 0 )
))
</f>
        <v>Apparel_Accessories_Winter</v>
      </c>
      <c r="C67" s="7" t="s">
        <v>143</v>
      </c>
      <c r="D67" s="8" t="s">
        <v>143</v>
      </c>
      <c r="E67" s="9" t="s">
        <v>12</v>
      </c>
      <c r="F67" s="8" t="s">
        <v>144</v>
      </c>
      <c r="G67" s="5"/>
      <c r="H67" s="5"/>
      <c r="I67" s="5"/>
    </row>
    <row r="68">
      <c r="A68" s="5" t="s">
        <v>9</v>
      </c>
      <c r="B68" s="6" t="str">
        <f t="array" ref="B68">IF(D68="","",
 INDEX(Product_Master!A:A,
       MATCH( INDEX(Pack_Master!B:B, MATCH(D68, Pack_Master!A:A, 0)),
              Product_Master!B:B, 0 )
))
</f>
        <v>Apparel_Accessories_Winter</v>
      </c>
      <c r="C68" s="7" t="s">
        <v>145</v>
      </c>
      <c r="D68" s="8" t="s">
        <v>145</v>
      </c>
      <c r="E68" s="9" t="s">
        <v>12</v>
      </c>
      <c r="F68" s="8" t="s">
        <v>146</v>
      </c>
      <c r="G68" s="5"/>
      <c r="H68" s="5"/>
      <c r="I68" s="5"/>
    </row>
    <row r="69">
      <c r="A69" s="5" t="s">
        <v>9</v>
      </c>
      <c r="B69" s="6" t="str">
        <f t="array" ref="B69">IF(D69="","",
 INDEX(Product_Master!A:A,
       MATCH( INDEX(Pack_Master!B:B, MATCH(D69, Pack_Master!A:A, 0)),
              Product_Master!B:B, 0 )
))
</f>
        <v>Apparel_Accessories_Winter</v>
      </c>
      <c r="C69" s="7" t="s">
        <v>147</v>
      </c>
      <c r="D69" s="8" t="s">
        <v>147</v>
      </c>
      <c r="E69" s="9" t="s">
        <v>12</v>
      </c>
      <c r="F69" s="8" t="s">
        <v>148</v>
      </c>
      <c r="G69" s="5"/>
      <c r="H69" s="5"/>
      <c r="I69" s="5"/>
    </row>
    <row r="70">
      <c r="A70" s="5" t="s">
        <v>9</v>
      </c>
      <c r="B70" s="6" t="str">
        <f t="array" ref="B70">IF(D70="","",
 INDEX(Product_Master!A:A,
       MATCH( INDEX(Pack_Master!B:B, MATCH(D70, Pack_Master!A:A, 0)),
              Product_Master!B:B, 0 )
))
</f>
        <v>Apparel_Accessories_Winter</v>
      </c>
      <c r="C70" s="7" t="s">
        <v>149</v>
      </c>
      <c r="D70" s="8" t="s">
        <v>149</v>
      </c>
      <c r="E70" s="9" t="s">
        <v>12</v>
      </c>
      <c r="F70" s="8" t="s">
        <v>150</v>
      </c>
      <c r="G70" s="5"/>
      <c r="H70" s="5"/>
      <c r="I70" s="5"/>
    </row>
    <row r="71">
      <c r="A71" s="5" t="s">
        <v>9</v>
      </c>
      <c r="B71" s="6" t="str">
        <f t="array" ref="B71">IF(D71="","",
 INDEX(Product_Master!A:A,
       MATCH( INDEX(Pack_Master!B:B, MATCH(D71, Pack_Master!A:A, 0)),
              Product_Master!B:B, 0 )
))
</f>
        <v>Apparel_Accessories_Winter</v>
      </c>
      <c r="C71" s="7" t="s">
        <v>151</v>
      </c>
      <c r="D71" s="8" t="s">
        <v>151</v>
      </c>
      <c r="E71" s="9" t="s">
        <v>12</v>
      </c>
      <c r="F71" s="8" t="s">
        <v>152</v>
      </c>
      <c r="G71" s="5"/>
      <c r="H71" s="5"/>
      <c r="I71" s="5"/>
    </row>
    <row r="72">
      <c r="A72" s="5" t="s">
        <v>9</v>
      </c>
      <c r="B72" s="6" t="str">
        <f t="array" ref="B72">IF(D72="","",
 INDEX(Product_Master!A:A,
       MATCH( INDEX(Pack_Master!B:B, MATCH(D72, Pack_Master!A:A, 0)),
              Product_Master!B:B, 0 )
))
</f>
        <v>Apparel_Accessories_Winter</v>
      </c>
      <c r="C72" s="7" t="s">
        <v>153</v>
      </c>
      <c r="D72" s="8" t="s">
        <v>153</v>
      </c>
      <c r="E72" s="9" t="s">
        <v>12</v>
      </c>
      <c r="F72" s="8" t="s">
        <v>154</v>
      </c>
      <c r="G72" s="5"/>
      <c r="H72" s="5"/>
      <c r="I72" s="5"/>
    </row>
    <row r="73">
      <c r="A73" s="5" t="s">
        <v>9</v>
      </c>
      <c r="B73" s="6" t="str">
        <f t="array" ref="B73">IF(D73="","",
 INDEX(Product_Master!A:A,
       MATCH( INDEX(Pack_Master!B:B, MATCH(D73, Pack_Master!A:A, 0)),
              Product_Master!B:B, 0 )
))
</f>
        <v>Apparel_Accessories_Winter</v>
      </c>
      <c r="C73" s="7" t="s">
        <v>155</v>
      </c>
      <c r="D73" s="8" t="s">
        <v>155</v>
      </c>
      <c r="E73" s="9" t="s">
        <v>12</v>
      </c>
      <c r="F73" s="8" t="s">
        <v>156</v>
      </c>
      <c r="G73" s="5"/>
      <c r="H73" s="5"/>
      <c r="I73" s="5"/>
    </row>
    <row r="74">
      <c r="A74" s="5" t="s">
        <v>9</v>
      </c>
      <c r="B74" s="6" t="str">
        <f t="array" ref="B74">IF(D74="","",
 INDEX(Product_Master!A:A,
       MATCH( INDEX(Pack_Master!B:B, MATCH(D74, Pack_Master!A:A, 0)),
              Product_Master!B:B, 0 )
))
</f>
        <v>Apparel_Accessories_Winter</v>
      </c>
      <c r="C74" s="7" t="s">
        <v>157</v>
      </c>
      <c r="D74" s="8" t="s">
        <v>157</v>
      </c>
      <c r="E74" s="9" t="s">
        <v>12</v>
      </c>
      <c r="F74" s="8" t="s">
        <v>158</v>
      </c>
      <c r="G74" s="5"/>
      <c r="H74" s="5"/>
      <c r="I74" s="5"/>
    </row>
    <row r="75">
      <c r="A75" s="5" t="s">
        <v>9</v>
      </c>
      <c r="B75" s="6" t="str">
        <f t="array" ref="B75">IF(D75="","",
 INDEX(Product_Master!A:A,
       MATCH( INDEX(Pack_Master!B:B, MATCH(D75, Pack_Master!A:A, 0)),
              Product_Master!B:B, 0 )
))
</f>
        <v>Apparel_Accessories_Winter</v>
      </c>
      <c r="C75" s="7" t="s">
        <v>159</v>
      </c>
      <c r="D75" s="8" t="s">
        <v>159</v>
      </c>
      <c r="E75" s="9" t="s">
        <v>12</v>
      </c>
      <c r="F75" s="8" t="s">
        <v>160</v>
      </c>
      <c r="G75" s="5"/>
      <c r="H75" s="5"/>
      <c r="I75" s="5"/>
    </row>
    <row r="76">
      <c r="A76" s="5" t="s">
        <v>9</v>
      </c>
      <c r="B76" s="6" t="str">
        <f t="array" ref="B76">IF(D76="","",
 INDEX(Product_Master!A:A,
       MATCH( INDEX(Pack_Master!B:B, MATCH(D76, Pack_Master!A:A, 0)),
              Product_Master!B:B, 0 )
))
</f>
        <v>Apparel_Accessories_Winter</v>
      </c>
      <c r="C76" s="7" t="s">
        <v>161</v>
      </c>
      <c r="D76" s="8" t="s">
        <v>161</v>
      </c>
      <c r="E76" s="9" t="s">
        <v>12</v>
      </c>
      <c r="F76" s="8">
        <v>6.161142043042E12</v>
      </c>
      <c r="G76" s="5"/>
      <c r="H76" s="5"/>
      <c r="I76" s="5"/>
    </row>
    <row r="77">
      <c r="A77" s="5" t="s">
        <v>9</v>
      </c>
      <c r="B77" s="6" t="str">
        <f t="array" ref="B77">IF(D77="","",
 INDEX(Product_Master!A:A,
       MATCH( INDEX(Pack_Master!B:B, MATCH(D77, Pack_Master!A:A, 0)),
              Product_Master!B:B, 0 )
))
</f>
        <v>Apparel_Accessories_Winter</v>
      </c>
      <c r="C77" s="7" t="s">
        <v>162</v>
      </c>
      <c r="D77" s="8" t="s">
        <v>162</v>
      </c>
      <c r="E77" s="9" t="s">
        <v>12</v>
      </c>
      <c r="F77" s="8">
        <v>6.161142044339E12</v>
      </c>
      <c r="G77" s="5"/>
      <c r="H77" s="5"/>
      <c r="I77" s="5"/>
    </row>
    <row r="78">
      <c r="A78" s="5" t="s">
        <v>9</v>
      </c>
      <c r="B78" s="6" t="str">
        <f t="array" ref="B78">IF(D78="","",
 INDEX(Product_Master!A:A,
       MATCH( INDEX(Pack_Master!B:B, MATCH(D78, Pack_Master!A:A, 0)),
              Product_Master!B:B, 0 )
))
</f>
        <v>Apparel_Accessories_Winter</v>
      </c>
      <c r="C78" s="7" t="s">
        <v>163</v>
      </c>
      <c r="D78" s="8" t="s">
        <v>163</v>
      </c>
      <c r="E78" s="9" t="s">
        <v>12</v>
      </c>
      <c r="F78" s="8">
        <v>6.161142045008E12</v>
      </c>
      <c r="G78" s="5"/>
      <c r="H78" s="5"/>
      <c r="I78" s="5"/>
    </row>
    <row r="79">
      <c r="A79" s="5" t="s">
        <v>9</v>
      </c>
      <c r="B79" s="6" t="str">
        <f t="array" ref="B79">IF(D79="","",
 INDEX(Product_Master!A:A,
       MATCH( INDEX(Pack_Master!B:B, MATCH(D79, Pack_Master!A:A, 0)),
              Product_Master!B:B, 0 )
))
</f>
        <v>Apparel_Accessories_Winter</v>
      </c>
      <c r="C79" s="7" t="s">
        <v>164</v>
      </c>
      <c r="D79" s="8" t="s">
        <v>164</v>
      </c>
      <c r="E79" s="9" t="s">
        <v>12</v>
      </c>
      <c r="F79" s="8">
        <v>6.161142043769E12</v>
      </c>
      <c r="G79" s="5"/>
      <c r="H79" s="5"/>
      <c r="I79" s="5"/>
    </row>
    <row r="80">
      <c r="A80" s="5" t="s">
        <v>9</v>
      </c>
      <c r="B80" s="6" t="str">
        <f t="array" ref="B80">IF(D80="","",
 INDEX(Product_Master!A:A,
       MATCH( INDEX(Pack_Master!B:B, MATCH(D80, Pack_Master!A:A, 0)),
              Product_Master!B:B, 0 )
))
</f>
        <v>Apparel_Accessories_Winter</v>
      </c>
      <c r="C80" s="7" t="s">
        <v>165</v>
      </c>
      <c r="D80" s="8" t="s">
        <v>165</v>
      </c>
      <c r="E80" s="9" t="s">
        <v>12</v>
      </c>
      <c r="F80" s="8">
        <v>6.161142038109E12</v>
      </c>
      <c r="G80" s="5"/>
      <c r="H80" s="5"/>
      <c r="I80" s="5"/>
    </row>
    <row r="81">
      <c r="A81" s="5" t="s">
        <v>9</v>
      </c>
      <c r="B81" s="6" t="str">
        <f t="array" ref="B81">IF(D81="","",
 INDEX(Product_Master!A:A,
       MATCH( INDEX(Pack_Master!B:B, MATCH(D81, Pack_Master!A:A, 0)),
              Product_Master!B:B, 0 )
))
</f>
        <v>Apparel_Accessories_Winter</v>
      </c>
      <c r="C81" s="7" t="s">
        <v>166</v>
      </c>
      <c r="D81" s="8" t="s">
        <v>166</v>
      </c>
      <c r="E81" s="9" t="s">
        <v>12</v>
      </c>
      <c r="F81" s="8">
        <v>6.161142047057E12</v>
      </c>
      <c r="G81" s="5"/>
      <c r="H81" s="5"/>
      <c r="I81" s="5"/>
    </row>
    <row r="82">
      <c r="A82" s="5" t="s">
        <v>9</v>
      </c>
      <c r="B82" s="6" t="str">
        <f t="array" ref="B82">IF(D82="","",
 INDEX(Product_Master!A:A,
       MATCH( INDEX(Pack_Master!B:B, MATCH(D82, Pack_Master!A:A, 0)),
              Product_Master!B:B, 0 )
))
</f>
        <v>Automotive_FaceMasks</v>
      </c>
      <c r="C82" s="7" t="s">
        <v>167</v>
      </c>
      <c r="D82" s="8" t="s">
        <v>14</v>
      </c>
      <c r="E82" s="9" t="s">
        <v>12</v>
      </c>
      <c r="F82" s="8"/>
      <c r="G82" s="5"/>
      <c r="H82" s="5"/>
      <c r="I82" s="5"/>
    </row>
    <row r="83">
      <c r="A83" s="5" t="s">
        <v>9</v>
      </c>
      <c r="B83" s="6" t="str">
        <f t="array" ref="B83">IF(D83="","",
 INDEX(Product_Master!A:A,
       MATCH( INDEX(Pack_Master!B:B, MATCH(D83, Pack_Master!A:A, 0)),
              Product_Master!B:B, 0 )
))
</f>
        <v>Automotive_FaceMasks</v>
      </c>
      <c r="C83" s="7" t="s">
        <v>168</v>
      </c>
      <c r="D83" s="8" t="s">
        <v>169</v>
      </c>
      <c r="E83" s="9" t="s">
        <v>12</v>
      </c>
      <c r="F83" s="8">
        <v>6.16114204027E12</v>
      </c>
      <c r="G83" s="5"/>
      <c r="H83" s="5"/>
      <c r="I83" s="5"/>
    </row>
    <row r="84">
      <c r="A84" s="5" t="s">
        <v>9</v>
      </c>
      <c r="B84" s="6" t="str">
        <f t="array" ref="B84">IF(D84="","",
 INDEX(Product_Master!A:A,
       MATCH( INDEX(Pack_Master!B:B, MATCH(D84, Pack_Master!A:A, 0)),
              Product_Master!B:B, 0 )
))
</f>
        <v>Automotive_FaceMasks</v>
      </c>
      <c r="C84" s="7" t="s">
        <v>170</v>
      </c>
      <c r="D84" s="8" t="s">
        <v>171</v>
      </c>
      <c r="E84" s="9" t="s">
        <v>12</v>
      </c>
      <c r="F84" s="8">
        <v>6.16114204494E12</v>
      </c>
      <c r="G84" s="5"/>
      <c r="H84" s="5"/>
      <c r="I84" s="5"/>
    </row>
    <row r="85">
      <c r="A85" s="5" t="s">
        <v>9</v>
      </c>
      <c r="B85" s="6" t="str">
        <f t="array" ref="B85">IF(D85="","",
 INDEX(Product_Master!A:A,
       MATCH( INDEX(Pack_Master!B:B, MATCH(D85, Pack_Master!A:A, 0)),
              Product_Master!B:B, 0 )
))
</f>
        <v>Automotive_FaceMasks</v>
      </c>
      <c r="C85" s="7" t="s">
        <v>172</v>
      </c>
      <c r="D85" s="8" t="s">
        <v>173</v>
      </c>
      <c r="E85" s="9" t="s">
        <v>12</v>
      </c>
      <c r="F85" s="8">
        <v>6.161142042465E12</v>
      </c>
      <c r="G85" s="5"/>
      <c r="H85" s="5"/>
      <c r="I85" s="5"/>
    </row>
    <row r="86">
      <c r="A86" s="5" t="s">
        <v>9</v>
      </c>
      <c r="B86" s="6" t="str">
        <f t="array" ref="B86">IF(D86="","",
 INDEX(Product_Master!A:A,
       MATCH( INDEX(Pack_Master!B:B, MATCH(D86, Pack_Master!A:A, 0)),
              Product_Master!B:B, 0 )
))
</f>
        <v>Automotive_FaceMasks</v>
      </c>
      <c r="C86" s="7" t="s">
        <v>174</v>
      </c>
      <c r="D86" s="8" t="s">
        <v>22</v>
      </c>
      <c r="E86" s="9" t="s">
        <v>12</v>
      </c>
      <c r="F86" s="8">
        <v>6.161142038611E12</v>
      </c>
      <c r="G86" s="5"/>
      <c r="H86" s="5"/>
      <c r="I86" s="5"/>
    </row>
    <row r="87">
      <c r="A87" s="5" t="s">
        <v>9</v>
      </c>
      <c r="B87" s="6" t="str">
        <f t="array" ref="B87">IF(D87="","",
 INDEX(Product_Master!A:A,
       MATCH( INDEX(Pack_Master!B:B, MATCH(D87, Pack_Master!A:A, 0)),
              Product_Master!B:B, 0 )
))
</f>
        <v>Automotive_FaceMasks</v>
      </c>
      <c r="C87" s="7" t="s">
        <v>175</v>
      </c>
      <c r="D87" s="8" t="s">
        <v>176</v>
      </c>
      <c r="E87" s="9" t="s">
        <v>12</v>
      </c>
      <c r="F87" s="8">
        <v>6.161142039427E12</v>
      </c>
      <c r="G87" s="5"/>
      <c r="H87" s="5"/>
      <c r="I87" s="5"/>
    </row>
    <row r="88">
      <c r="A88" s="5" t="s">
        <v>9</v>
      </c>
      <c r="B88" s="6" t="str">
        <f t="array" ref="B88">IF(D88="","",
 INDEX(Product_Master!A:A,
       MATCH( INDEX(Pack_Master!B:B, MATCH(D88, Pack_Master!A:A, 0)),
              Product_Master!B:B, 0 )
))
</f>
        <v>Automotive_FaceMasks</v>
      </c>
      <c r="C88" s="7" t="s">
        <v>177</v>
      </c>
      <c r="D88" s="8" t="s">
        <v>178</v>
      </c>
      <c r="E88" s="9" t="s">
        <v>12</v>
      </c>
      <c r="F88" s="8">
        <v>6.161142042243E12</v>
      </c>
      <c r="G88" s="5"/>
      <c r="H88" s="5"/>
      <c r="I88" s="5"/>
    </row>
    <row r="89">
      <c r="A89" s="5" t="s">
        <v>9</v>
      </c>
      <c r="B89" s="6" t="str">
        <f t="array" ref="B89">IF(D89="","",
 INDEX(Product_Master!A:A,
       MATCH( INDEX(Pack_Master!B:B, MATCH(D89, Pack_Master!A:A, 0)),
              Product_Master!B:B, 0 )
))
</f>
        <v>Apparel_Caps_Beanies</v>
      </c>
      <c r="C89" s="7" t="s">
        <v>179</v>
      </c>
      <c r="D89" s="8" t="s">
        <v>179</v>
      </c>
      <c r="E89" s="9" t="s">
        <v>12</v>
      </c>
      <c r="F89" s="8" t="s">
        <v>180</v>
      </c>
      <c r="G89" s="5"/>
      <c r="H89" s="5"/>
      <c r="I89" s="5"/>
    </row>
    <row r="90">
      <c r="A90" s="5" t="s">
        <v>9</v>
      </c>
      <c r="B90" s="6" t="str">
        <f t="array" ref="B90">IF(D90="","",
 INDEX(Product_Master!A:A,
       MATCH( INDEX(Pack_Master!B:B, MATCH(D90, Pack_Master!A:A, 0)),
              Product_Master!B:B, 0 )
))
</f>
        <v>Apparel_Caps_Beanies</v>
      </c>
      <c r="C90" s="7" t="s">
        <v>181</v>
      </c>
      <c r="D90" s="8" t="s">
        <v>181</v>
      </c>
      <c r="E90" s="9" t="s">
        <v>12</v>
      </c>
      <c r="F90" s="8" t="s">
        <v>182</v>
      </c>
      <c r="G90" s="5"/>
      <c r="H90" s="5"/>
      <c r="I90" s="5"/>
    </row>
    <row r="91">
      <c r="A91" s="5" t="s">
        <v>9</v>
      </c>
      <c r="B91" s="6" t="str">
        <f t="array" ref="B91">IF(D91="","",
 INDEX(Product_Master!A:A,
       MATCH( INDEX(Pack_Master!B:B, MATCH(D91, Pack_Master!A:A, 0)),
              Product_Master!B:B, 0 )
))
</f>
        <v>Apparel_Caps_Beanies</v>
      </c>
      <c r="C91" s="7" t="s">
        <v>183</v>
      </c>
      <c r="D91" s="8" t="s">
        <v>183</v>
      </c>
      <c r="E91" s="9" t="s">
        <v>12</v>
      </c>
      <c r="F91" s="8" t="s">
        <v>184</v>
      </c>
      <c r="G91" s="5"/>
      <c r="H91" s="5"/>
      <c r="I91" s="5"/>
    </row>
    <row r="92">
      <c r="A92" s="5" t="s">
        <v>9</v>
      </c>
      <c r="B92" s="6" t="str">
        <f t="array" ref="B92">IF(D92="","",
 INDEX(Product_Master!A:A,
       MATCH( INDEX(Pack_Master!B:B, MATCH(D92, Pack_Master!A:A, 0)),
              Product_Master!B:B, 0 )
))
</f>
        <v>Apparel_Caps_Beanies</v>
      </c>
      <c r="C92" s="7" t="s">
        <v>185</v>
      </c>
      <c r="D92" s="8" t="s">
        <v>185</v>
      </c>
      <c r="E92" s="9" t="s">
        <v>12</v>
      </c>
      <c r="F92" s="8" t="s">
        <v>186</v>
      </c>
      <c r="G92" s="5"/>
      <c r="H92" s="5"/>
      <c r="I92" s="5"/>
    </row>
    <row r="93">
      <c r="A93" s="5" t="s">
        <v>9</v>
      </c>
      <c r="B93" s="6" t="str">
        <f t="array" ref="B93">IF(D93="","",
 INDEX(Product_Master!A:A,
       MATCH( INDEX(Pack_Master!B:B, MATCH(D93, Pack_Master!A:A, 0)),
              Product_Master!B:B, 0 )
))
</f>
        <v>Apparel_Caps_Beanies</v>
      </c>
      <c r="C93" s="7" t="s">
        <v>187</v>
      </c>
      <c r="D93" s="8" t="s">
        <v>187</v>
      </c>
      <c r="E93" s="9" t="s">
        <v>12</v>
      </c>
      <c r="F93" s="8" t="s">
        <v>188</v>
      </c>
      <c r="G93" s="5"/>
      <c r="H93" s="5"/>
      <c r="I93" s="5"/>
    </row>
    <row r="94">
      <c r="A94" s="5" t="s">
        <v>9</v>
      </c>
      <c r="B94" s="6" t="str">
        <f t="array" ref="B94">IF(D94="","",
 INDEX(Product_Master!A:A,
       MATCH( INDEX(Pack_Master!B:B, MATCH(D94, Pack_Master!A:A, 0)),
              Product_Master!B:B, 0 )
))
</f>
        <v>Apparel_Caps_Beanies</v>
      </c>
      <c r="C94" s="7" t="s">
        <v>189</v>
      </c>
      <c r="D94" s="8" t="s">
        <v>189</v>
      </c>
      <c r="E94" s="9" t="s">
        <v>12</v>
      </c>
      <c r="F94" s="8" t="s">
        <v>190</v>
      </c>
      <c r="G94" s="5"/>
      <c r="H94" s="5"/>
      <c r="I94" s="5"/>
    </row>
    <row r="95">
      <c r="A95" s="5" t="s">
        <v>9</v>
      </c>
      <c r="B95" s="6" t="str">
        <f t="array" ref="B95">IF(D95="","",
 INDEX(Product_Master!A:A,
       MATCH( INDEX(Pack_Master!B:B, MATCH(D95, Pack_Master!A:A, 0)),
              Product_Master!B:B, 0 )
))
</f>
        <v>Apparel_Caps_Beanies</v>
      </c>
      <c r="C95" s="7" t="s">
        <v>191</v>
      </c>
      <c r="D95" s="8" t="s">
        <v>191</v>
      </c>
      <c r="E95" s="9" t="s">
        <v>12</v>
      </c>
      <c r="F95" s="8" t="s">
        <v>192</v>
      </c>
      <c r="G95" s="5"/>
      <c r="H95" s="5"/>
      <c r="I95" s="5"/>
    </row>
    <row r="96">
      <c r="A96" s="5" t="s">
        <v>9</v>
      </c>
      <c r="B96" s="6" t="str">
        <f t="array" ref="B96">IF(D96="","",
 INDEX(Product_Master!A:A,
       MATCH( INDEX(Pack_Master!B:B, MATCH(D96, Pack_Master!A:A, 0)),
              Product_Master!B:B, 0 )
))
</f>
        <v>Apparel_Caps_Beanies</v>
      </c>
      <c r="C96" s="7" t="s">
        <v>193</v>
      </c>
      <c r="D96" s="8" t="s">
        <v>193</v>
      </c>
      <c r="E96" s="9" t="s">
        <v>12</v>
      </c>
      <c r="F96" s="8" t="s">
        <v>194</v>
      </c>
      <c r="G96" s="5"/>
      <c r="H96" s="5"/>
      <c r="I96" s="5"/>
    </row>
    <row r="97">
      <c r="A97" s="5" t="s">
        <v>9</v>
      </c>
      <c r="B97" s="6" t="str">
        <f t="array" ref="B97">IF(D97="","",
 INDEX(Product_Master!A:A,
       MATCH( INDEX(Pack_Master!B:B, MATCH(D97, Pack_Master!A:A, 0)),
              Product_Master!B:B, 0 )
))
</f>
        <v>Apparel_Caps_Beanies</v>
      </c>
      <c r="C97" s="7" t="s">
        <v>195</v>
      </c>
      <c r="D97" s="8" t="s">
        <v>195</v>
      </c>
      <c r="E97" s="9" t="s">
        <v>12</v>
      </c>
      <c r="F97" s="8" t="s">
        <v>196</v>
      </c>
      <c r="G97" s="5"/>
      <c r="H97" s="5"/>
      <c r="I97" s="5"/>
    </row>
    <row r="98">
      <c r="A98" s="5" t="s">
        <v>9</v>
      </c>
      <c r="B98" s="6" t="str">
        <f t="array" ref="B98">IF(D98="","",
 INDEX(Product_Master!A:A,
       MATCH( INDEX(Pack_Master!B:B, MATCH(D98, Pack_Master!A:A, 0)),
              Product_Master!B:B, 0 )
))
</f>
        <v>Apparel_Caps_Beanies</v>
      </c>
      <c r="C98" s="7" t="s">
        <v>197</v>
      </c>
      <c r="D98" s="8" t="s">
        <v>197</v>
      </c>
      <c r="E98" s="9" t="s">
        <v>12</v>
      </c>
      <c r="F98" s="8" t="s">
        <v>198</v>
      </c>
      <c r="G98" s="5"/>
      <c r="H98" s="5"/>
      <c r="I98" s="5"/>
    </row>
    <row r="99">
      <c r="A99" s="5" t="s">
        <v>9</v>
      </c>
      <c r="B99" s="6" t="str">
        <f t="array" ref="B99">IF(D99="","",
 INDEX(Product_Master!A:A,
       MATCH( INDEX(Pack_Master!B:B, MATCH(D99, Pack_Master!A:A, 0)),
              Product_Master!B:B, 0 )
))
</f>
        <v>Apparel_Caps_Beanies</v>
      </c>
      <c r="C99" s="7" t="s">
        <v>199</v>
      </c>
      <c r="D99" s="8" t="s">
        <v>199</v>
      </c>
      <c r="E99" s="9" t="s">
        <v>12</v>
      </c>
      <c r="F99" s="8" t="s">
        <v>200</v>
      </c>
      <c r="G99" s="5"/>
      <c r="H99" s="5"/>
      <c r="I99" s="5"/>
    </row>
    <row r="100">
      <c r="A100" s="5" t="s">
        <v>9</v>
      </c>
      <c r="B100" s="6" t="str">
        <f t="array" ref="B100">IF(D100="","",
 INDEX(Product_Master!A:A,
       MATCH( INDEX(Pack_Master!B:B, MATCH(D100, Pack_Master!A:A, 0)),
              Product_Master!B:B, 0 )
))
</f>
        <v>Apparel_Caps_Beanies</v>
      </c>
      <c r="C100" s="7" t="s">
        <v>201</v>
      </c>
      <c r="D100" s="8" t="s">
        <v>201</v>
      </c>
      <c r="E100" s="9" t="s">
        <v>12</v>
      </c>
      <c r="F100" s="8" t="s">
        <v>202</v>
      </c>
      <c r="G100" s="5"/>
      <c r="H100" s="5"/>
      <c r="I100" s="5"/>
    </row>
    <row r="101">
      <c r="A101" s="5" t="s">
        <v>9</v>
      </c>
      <c r="B101" s="6" t="str">
        <f t="array" ref="B101">IF(D101="","",
 INDEX(Product_Master!A:A,
       MATCH( INDEX(Pack_Master!B:B, MATCH(D101, Pack_Master!A:A, 0)),
              Product_Master!B:B, 0 )
))
</f>
        <v>Apparel_Caps_Beanies</v>
      </c>
      <c r="C101" s="7" t="s">
        <v>203</v>
      </c>
      <c r="D101" s="8" t="s">
        <v>203</v>
      </c>
      <c r="E101" s="9" t="s">
        <v>12</v>
      </c>
      <c r="F101" s="8" t="s">
        <v>204</v>
      </c>
      <c r="G101" s="5"/>
      <c r="H101" s="5"/>
      <c r="I101" s="5"/>
    </row>
    <row r="102">
      <c r="A102" s="5" t="s">
        <v>9</v>
      </c>
      <c r="B102" s="6" t="str">
        <f t="array" ref="B102">IF(D102="","",
 INDEX(Product_Master!A:A,
       MATCH( INDEX(Pack_Master!B:B, MATCH(D102, Pack_Master!A:A, 0)),
              Product_Master!B:B, 0 )
))
</f>
        <v>Apparel_Caps_Beanies</v>
      </c>
      <c r="C102" s="7" t="s">
        <v>205</v>
      </c>
      <c r="D102" s="8" t="s">
        <v>205</v>
      </c>
      <c r="E102" s="9" t="s">
        <v>12</v>
      </c>
      <c r="F102" s="8" t="s">
        <v>206</v>
      </c>
      <c r="G102" s="5"/>
      <c r="H102" s="5"/>
      <c r="I102" s="5"/>
    </row>
    <row r="103">
      <c r="A103" s="5" t="s">
        <v>9</v>
      </c>
      <c r="B103" s="6" t="str">
        <f t="array" ref="B103">IF(D103="","",
 INDEX(Product_Master!A:A,
       MATCH( INDEX(Pack_Master!B:B, MATCH(D103, Pack_Master!A:A, 0)),
              Product_Master!B:B, 0 )
))
</f>
        <v>Apparel_Caps_Beanies</v>
      </c>
      <c r="C103" s="7" t="s">
        <v>207</v>
      </c>
      <c r="D103" s="8" t="s">
        <v>207</v>
      </c>
      <c r="E103" s="9" t="s">
        <v>12</v>
      </c>
      <c r="F103" s="8" t="s">
        <v>208</v>
      </c>
      <c r="G103" s="5"/>
      <c r="H103" s="5"/>
      <c r="I103" s="5"/>
    </row>
    <row r="104">
      <c r="A104" s="5" t="s">
        <v>9</v>
      </c>
      <c r="B104" s="6" t="str">
        <f t="array" ref="B104">IF(D104="","",
 INDEX(Product_Master!A:A,
       MATCH( INDEX(Pack_Master!B:B, MATCH(D104, Pack_Master!A:A, 0)),
              Product_Master!B:B, 0 )
))
</f>
        <v>Apparel_Caps_Beanies</v>
      </c>
      <c r="C104" s="7" t="s">
        <v>209</v>
      </c>
      <c r="D104" s="8" t="s">
        <v>209</v>
      </c>
      <c r="E104" s="9" t="s">
        <v>12</v>
      </c>
      <c r="F104" s="8" t="s">
        <v>210</v>
      </c>
      <c r="G104" s="5"/>
      <c r="H104" s="5"/>
      <c r="I104" s="5"/>
    </row>
    <row r="105">
      <c r="A105" s="5" t="s">
        <v>9</v>
      </c>
      <c r="B105" s="6" t="str">
        <f t="array" ref="B105">IF(D105="","",
 INDEX(Product_Master!A:A,
       MATCH( INDEX(Pack_Master!B:B, MATCH(D105, Pack_Master!A:A, 0)),
              Product_Master!B:B, 0 )
))
</f>
        <v>Apparel_Caps_Beanies</v>
      </c>
      <c r="C105" s="7" t="s">
        <v>211</v>
      </c>
      <c r="D105" s="8" t="s">
        <v>211</v>
      </c>
      <c r="E105" s="9" t="s">
        <v>12</v>
      </c>
      <c r="F105" s="8" t="s">
        <v>212</v>
      </c>
      <c r="G105" s="5"/>
      <c r="H105" s="5"/>
      <c r="I105" s="5"/>
    </row>
    <row r="106">
      <c r="A106" s="5" t="s">
        <v>9</v>
      </c>
      <c r="B106" s="6" t="str">
        <f t="array" ref="B106">IF(D106="","",
 INDEX(Product_Master!A:A,
       MATCH( INDEX(Pack_Master!B:B, MATCH(D106, Pack_Master!A:A, 0)),
              Product_Master!B:B, 0 )
))
</f>
        <v>Apparel_Caps_Beanies</v>
      </c>
      <c r="C106" s="7" t="s">
        <v>213</v>
      </c>
      <c r="D106" s="8" t="s">
        <v>213</v>
      </c>
      <c r="E106" s="9" t="s">
        <v>12</v>
      </c>
      <c r="F106" s="8" t="s">
        <v>214</v>
      </c>
      <c r="G106" s="5"/>
      <c r="H106" s="5"/>
      <c r="I106" s="5"/>
    </row>
    <row r="107">
      <c r="A107" s="5" t="s">
        <v>9</v>
      </c>
      <c r="B107" s="6" t="str">
        <f t="array" ref="B107">IF(D107="","",
 INDEX(Product_Master!A:A,
       MATCH( INDEX(Pack_Master!B:B, MATCH(D107, Pack_Master!A:A, 0)),
              Product_Master!B:B, 0 )
))
</f>
        <v>Apparel_Caps_Beanies</v>
      </c>
      <c r="C107" s="7" t="s">
        <v>215</v>
      </c>
      <c r="D107" s="8" t="s">
        <v>216</v>
      </c>
      <c r="E107" s="9" t="s">
        <v>12</v>
      </c>
      <c r="F107" s="8" t="s">
        <v>217</v>
      </c>
      <c r="G107" s="5"/>
      <c r="H107" s="5"/>
      <c r="I107" s="5"/>
    </row>
    <row r="108">
      <c r="A108" s="5" t="s">
        <v>9</v>
      </c>
      <c r="B108" s="6" t="str">
        <f t="array" ref="B108">IF(D108="","",
 INDEX(Product_Master!A:A,
       MATCH( INDEX(Pack_Master!B:B, MATCH(D108, Pack_Master!A:A, 0)),
              Product_Master!B:B, 0 )
))
</f>
        <v>Apparel_Caps_Beanies</v>
      </c>
      <c r="C108" s="7" t="s">
        <v>218</v>
      </c>
      <c r="D108" s="8" t="s">
        <v>219</v>
      </c>
      <c r="E108" s="9" t="s">
        <v>12</v>
      </c>
      <c r="F108" s="8" t="s">
        <v>220</v>
      </c>
      <c r="G108" s="5"/>
      <c r="H108" s="5"/>
      <c r="I108" s="5"/>
    </row>
    <row r="109">
      <c r="A109" s="5" t="s">
        <v>9</v>
      </c>
      <c r="B109" s="6" t="str">
        <f t="array" ref="B109">IF(D109="","",
 INDEX(Product_Master!A:A,
       MATCH( INDEX(Pack_Master!B:B, MATCH(D109, Pack_Master!A:A, 0)),
              Product_Master!B:B, 0 )
))
</f>
        <v>Apparel_Caps_Beanies</v>
      </c>
      <c r="C109" s="7" t="s">
        <v>221</v>
      </c>
      <c r="D109" s="8" t="s">
        <v>222</v>
      </c>
      <c r="E109" s="9" t="s">
        <v>12</v>
      </c>
      <c r="F109" s="8" t="s">
        <v>223</v>
      </c>
      <c r="G109" s="5"/>
      <c r="H109" s="5"/>
      <c r="I109" s="5"/>
    </row>
    <row r="110">
      <c r="A110" s="5" t="s">
        <v>9</v>
      </c>
      <c r="B110" s="6" t="str">
        <f t="array" ref="B110">IF(D110="","",
 INDEX(Product_Master!A:A,
       MATCH( INDEX(Pack_Master!B:B, MATCH(D110, Pack_Master!A:A, 0)),
              Product_Master!B:B, 0 )
))
</f>
        <v>Apparel_Caps_Beanies</v>
      </c>
      <c r="C110" s="7" t="s">
        <v>224</v>
      </c>
      <c r="D110" s="8" t="s">
        <v>225</v>
      </c>
      <c r="E110" s="9" t="s">
        <v>12</v>
      </c>
      <c r="F110" s="8" t="s">
        <v>226</v>
      </c>
      <c r="G110" s="5"/>
      <c r="H110" s="5"/>
      <c r="I110" s="5"/>
    </row>
    <row r="111">
      <c r="A111" s="5" t="s">
        <v>9</v>
      </c>
      <c r="B111" s="6" t="str">
        <f t="array" ref="B111">IF(D111="","",
 INDEX(Product_Master!A:A,
       MATCH( INDEX(Pack_Master!B:B, MATCH(D111, Pack_Master!A:A, 0)),
              Product_Master!B:B, 0 )
))
</f>
        <v>Apparel_Caps_Beanies</v>
      </c>
      <c r="C111" s="7" t="s">
        <v>227</v>
      </c>
      <c r="D111" s="8" t="s">
        <v>228</v>
      </c>
      <c r="E111" s="9" t="s">
        <v>12</v>
      </c>
      <c r="F111" s="8" t="s">
        <v>229</v>
      </c>
      <c r="G111" s="5"/>
      <c r="H111" s="5"/>
      <c r="I111" s="5"/>
    </row>
    <row r="112">
      <c r="A112" s="5" t="s">
        <v>9</v>
      </c>
      <c r="B112" s="6" t="str">
        <f t="array" ref="B112">IF(D112="","",
 INDEX(Product_Master!A:A,
       MATCH( INDEX(Pack_Master!B:B, MATCH(D112, Pack_Master!A:A, 0)),
              Product_Master!B:B, 0 )
))
</f>
        <v>Apparel_Caps_Beanies</v>
      </c>
      <c r="C112" s="7" t="s">
        <v>230</v>
      </c>
      <c r="D112" s="8" t="s">
        <v>230</v>
      </c>
      <c r="E112" s="9" t="s">
        <v>12</v>
      </c>
      <c r="F112" s="8" t="s">
        <v>231</v>
      </c>
      <c r="G112" s="5"/>
      <c r="H112" s="5"/>
      <c r="I112" s="5"/>
    </row>
    <row r="113">
      <c r="A113" s="5" t="s">
        <v>9</v>
      </c>
      <c r="B113" s="6" t="str">
        <f t="array" ref="B113">IF(D113="","",
 INDEX(Product_Master!A:A,
       MATCH( INDEX(Pack_Master!B:B, MATCH(D113, Pack_Master!A:A, 0)),
              Product_Master!B:B, 0 )
))
</f>
        <v>Apparel_Caps_Beanies</v>
      </c>
      <c r="C113" s="7" t="s">
        <v>232</v>
      </c>
      <c r="D113" s="8" t="s">
        <v>232</v>
      </c>
      <c r="E113" s="9" t="s">
        <v>12</v>
      </c>
      <c r="F113" s="8" t="s">
        <v>233</v>
      </c>
      <c r="G113" s="5"/>
      <c r="H113" s="5"/>
      <c r="I113" s="5"/>
    </row>
    <row r="114">
      <c r="A114" s="5" t="s">
        <v>9</v>
      </c>
      <c r="B114" s="6" t="str">
        <f t="array" ref="B114">IF(D114="","",
 INDEX(Product_Master!A:A,
       MATCH( INDEX(Pack_Master!B:B, MATCH(D114, Pack_Master!A:A, 0)),
              Product_Master!B:B, 0 )
))
</f>
        <v>Apparel_Caps_Beanies</v>
      </c>
      <c r="C114" s="7" t="s">
        <v>234</v>
      </c>
      <c r="D114" s="8" t="s">
        <v>234</v>
      </c>
      <c r="E114" s="9" t="s">
        <v>12</v>
      </c>
      <c r="F114" s="8" t="s">
        <v>235</v>
      </c>
      <c r="G114" s="5"/>
      <c r="H114" s="5"/>
      <c r="I114" s="5"/>
    </row>
    <row r="115">
      <c r="A115" s="5" t="s">
        <v>9</v>
      </c>
      <c r="B115" s="6" t="str">
        <f t="array" ref="B115">IF(D115="","",
 INDEX(Product_Master!A:A,
       MATCH( INDEX(Pack_Master!B:B, MATCH(D115, Pack_Master!A:A, 0)),
              Product_Master!B:B, 0 )
))
</f>
        <v>Apparel_Caps_Beanies</v>
      </c>
      <c r="C115" s="7" t="s">
        <v>236</v>
      </c>
      <c r="D115" s="8" t="s">
        <v>236</v>
      </c>
      <c r="E115" s="9" t="s">
        <v>12</v>
      </c>
      <c r="F115" s="8" t="s">
        <v>237</v>
      </c>
      <c r="G115" s="5"/>
      <c r="H115" s="5"/>
      <c r="I115" s="5"/>
    </row>
    <row r="116">
      <c r="A116" s="5" t="s">
        <v>9</v>
      </c>
      <c r="B116" s="6" t="str">
        <f t="array" ref="B116">IF(D116="","",
 INDEX(Product_Master!A:A,
       MATCH( INDEX(Pack_Master!B:B, MATCH(D116, Pack_Master!A:A, 0)),
              Product_Master!B:B, 0 )
))
</f>
        <v>Apparel_Caps_Beanies</v>
      </c>
      <c r="C116" s="7" t="s">
        <v>238</v>
      </c>
      <c r="D116" s="8" t="s">
        <v>238</v>
      </c>
      <c r="E116" s="9" t="s">
        <v>12</v>
      </c>
      <c r="F116" s="8" t="s">
        <v>239</v>
      </c>
      <c r="G116" s="5"/>
      <c r="H116" s="5"/>
      <c r="I116" s="5"/>
    </row>
    <row r="117">
      <c r="A117" s="5" t="s">
        <v>9</v>
      </c>
      <c r="B117" s="6" t="str">
        <f t="array" ref="B117">IF(D117="","",
 INDEX(Product_Master!A:A,
       MATCH( INDEX(Pack_Master!B:B, MATCH(D117, Pack_Master!A:A, 0)),
              Product_Master!B:B, 0 )
))
</f>
        <v>Apparel_Caps_Beanies</v>
      </c>
      <c r="C117" s="7" t="s">
        <v>240</v>
      </c>
      <c r="D117" s="8" t="s">
        <v>240</v>
      </c>
      <c r="E117" s="9" t="s">
        <v>12</v>
      </c>
      <c r="F117" s="8" t="s">
        <v>241</v>
      </c>
      <c r="G117" s="5"/>
      <c r="H117" s="5"/>
      <c r="I117" s="5"/>
    </row>
    <row r="118">
      <c r="A118" s="5" t="s">
        <v>9</v>
      </c>
      <c r="B118" s="6" t="str">
        <f t="array" ref="B118">IF(D118="","",
 INDEX(Product_Master!A:A,
       MATCH( INDEX(Pack_Master!B:B, MATCH(D118, Pack_Master!A:A, 0)),
              Product_Master!B:B, 0 )
))
</f>
        <v>Apparel_Caps_Beanies</v>
      </c>
      <c r="C118" s="7" t="s">
        <v>242</v>
      </c>
      <c r="D118" s="8" t="s">
        <v>242</v>
      </c>
      <c r="E118" s="9" t="s">
        <v>12</v>
      </c>
      <c r="F118" s="8" t="s">
        <v>243</v>
      </c>
      <c r="G118" s="5"/>
      <c r="H118" s="5"/>
      <c r="I118" s="5"/>
    </row>
    <row r="119">
      <c r="A119" s="5" t="s">
        <v>9</v>
      </c>
      <c r="B119" s="6" t="str">
        <f t="array" ref="B119">IF(D119="","",
 INDEX(Product_Master!A:A,
       MATCH( INDEX(Pack_Master!B:B, MATCH(D119, Pack_Master!A:A, 0)),
              Product_Master!B:B, 0 )
))
</f>
        <v>Apparel_Caps_Beanies</v>
      </c>
      <c r="C119" s="7" t="s">
        <v>244</v>
      </c>
      <c r="D119" s="8" t="s">
        <v>244</v>
      </c>
      <c r="E119" s="9" t="s">
        <v>12</v>
      </c>
      <c r="F119" s="8" t="s">
        <v>245</v>
      </c>
      <c r="G119" s="5"/>
      <c r="H119" s="5"/>
      <c r="I119" s="5"/>
    </row>
    <row r="120">
      <c r="A120" s="5" t="s">
        <v>9</v>
      </c>
      <c r="B120" s="6" t="str">
        <f t="array" ref="B120">IF(D120="","",
 INDEX(Product_Master!A:A,
       MATCH( INDEX(Pack_Master!B:B, MATCH(D120, Pack_Master!A:A, 0)),
              Product_Master!B:B, 0 )
))
</f>
        <v>Apparel_Caps_Beanies</v>
      </c>
      <c r="C120" s="7" t="s">
        <v>246</v>
      </c>
      <c r="D120" s="8" t="s">
        <v>246</v>
      </c>
      <c r="E120" s="9" t="s">
        <v>12</v>
      </c>
      <c r="F120" s="8" t="s">
        <v>247</v>
      </c>
      <c r="G120" s="5"/>
      <c r="H120" s="5"/>
      <c r="I120" s="5"/>
    </row>
    <row r="121">
      <c r="A121" s="5" t="s">
        <v>9</v>
      </c>
      <c r="B121" s="6" t="str">
        <f t="array" ref="B121">IF(D121="","",
 INDEX(Product_Master!A:A,
       MATCH( INDEX(Pack_Master!B:B, MATCH(D121, Pack_Master!A:A, 0)),
              Product_Master!B:B, 0 )
))
</f>
        <v>Apparel_Caps_Beanies</v>
      </c>
      <c r="C121" s="7" t="s">
        <v>248</v>
      </c>
      <c r="D121" s="8" t="s">
        <v>248</v>
      </c>
      <c r="E121" s="9" t="s">
        <v>12</v>
      </c>
      <c r="F121" s="8" t="s">
        <v>249</v>
      </c>
      <c r="G121" s="5"/>
      <c r="H121" s="5"/>
      <c r="I121" s="5"/>
    </row>
    <row r="122">
      <c r="A122" s="5" t="s">
        <v>9</v>
      </c>
      <c r="B122" s="6" t="str">
        <f t="array" ref="B122">IF(D122="","",
 INDEX(Product_Master!A:A,
       MATCH( INDEX(Pack_Master!B:B, MATCH(D122, Pack_Master!A:A, 0)),
              Product_Master!B:B, 0 )
))
</f>
        <v>Apparel_Caps_Beanies</v>
      </c>
      <c r="C122" s="7" t="s">
        <v>250</v>
      </c>
      <c r="D122" s="8" t="s">
        <v>250</v>
      </c>
      <c r="E122" s="9" t="s">
        <v>12</v>
      </c>
      <c r="F122" s="8" t="s">
        <v>251</v>
      </c>
      <c r="G122" s="5"/>
      <c r="H122" s="5"/>
      <c r="I122" s="5"/>
    </row>
    <row r="123">
      <c r="A123" s="5" t="s">
        <v>9</v>
      </c>
      <c r="B123" s="6" t="str">
        <f t="array" ref="B123">IF(D123="","",
 INDEX(Product_Master!A:A,
       MATCH( INDEX(Pack_Master!B:B, MATCH(D123, Pack_Master!A:A, 0)),
              Product_Master!B:B, 0 )
))
</f>
        <v>Apparel_Caps_Beanies</v>
      </c>
      <c r="C123" s="7" t="s">
        <v>252</v>
      </c>
      <c r="D123" s="8" t="s">
        <v>252</v>
      </c>
      <c r="E123" s="9" t="s">
        <v>12</v>
      </c>
      <c r="F123" s="8" t="s">
        <v>253</v>
      </c>
      <c r="G123" s="5"/>
      <c r="H123" s="5"/>
      <c r="I123" s="5"/>
    </row>
    <row r="124">
      <c r="A124" s="5" t="s">
        <v>9</v>
      </c>
      <c r="B124" s="6" t="str">
        <f t="array" ref="B124">IF(D124="","",
 INDEX(Product_Master!A:A,
       MATCH( INDEX(Pack_Master!B:B, MATCH(D124, Pack_Master!A:A, 0)),
              Product_Master!B:B, 0 )
))
</f>
        <v>Apparel_Caps_Beanies</v>
      </c>
      <c r="C124" s="7" t="s">
        <v>254</v>
      </c>
      <c r="D124" s="8" t="s">
        <v>254</v>
      </c>
      <c r="E124" s="9" t="s">
        <v>12</v>
      </c>
      <c r="F124" s="8" t="s">
        <v>255</v>
      </c>
      <c r="G124" s="5"/>
      <c r="H124" s="5"/>
      <c r="I124" s="5"/>
    </row>
    <row r="125">
      <c r="A125" s="5" t="s">
        <v>9</v>
      </c>
      <c r="B125" s="6" t="str">
        <f t="array" ref="B125">IF(D125="","",
 INDEX(Product_Master!A:A,
       MATCH( INDEX(Pack_Master!B:B, MATCH(D125, Pack_Master!A:A, 0)),
              Product_Master!B:B, 0 )
))
</f>
        <v>Apparel_Caps_Beanies</v>
      </c>
      <c r="C125" s="7" t="s">
        <v>256</v>
      </c>
      <c r="D125" s="8" t="s">
        <v>257</v>
      </c>
      <c r="E125" s="9" t="s">
        <v>12</v>
      </c>
      <c r="F125" s="8"/>
      <c r="G125" s="5"/>
      <c r="H125" s="5"/>
      <c r="I125" s="5"/>
    </row>
    <row r="126">
      <c r="A126" s="5" t="s">
        <v>9</v>
      </c>
      <c r="B126" s="6" t="str">
        <f t="array" ref="B126">IF(D126="","",
 INDEX(Product_Master!A:A,
       MATCH( INDEX(Pack_Master!B:B, MATCH(D126, Pack_Master!A:A, 0)),
              Product_Master!B:B, 0 )
))
</f>
        <v>Apparel_Caps_Beanies</v>
      </c>
      <c r="C126" s="7" t="s">
        <v>258</v>
      </c>
      <c r="D126" s="8" t="s">
        <v>259</v>
      </c>
      <c r="E126" s="9" t="s">
        <v>12</v>
      </c>
      <c r="F126" s="8"/>
      <c r="G126" s="5"/>
      <c r="H126" s="5"/>
      <c r="I126" s="5"/>
    </row>
    <row r="127">
      <c r="A127" s="5" t="s">
        <v>9</v>
      </c>
      <c r="B127" s="6" t="str">
        <f t="array" ref="B127">IF(D127="","",
 INDEX(Product_Master!A:A,
       MATCH( INDEX(Pack_Master!B:B, MATCH(D127, Pack_Master!A:A, 0)),
              Product_Master!B:B, 0 )
))
</f>
        <v>Apparel_Caps_Beanies</v>
      </c>
      <c r="C127" s="7" t="s">
        <v>260</v>
      </c>
      <c r="D127" s="8" t="s">
        <v>261</v>
      </c>
      <c r="E127" s="9" t="s">
        <v>12</v>
      </c>
      <c r="F127" s="8"/>
      <c r="G127" s="5"/>
      <c r="H127" s="5"/>
      <c r="I127" s="5"/>
    </row>
    <row r="128">
      <c r="A128" s="5" t="s">
        <v>9</v>
      </c>
      <c r="B128" s="6" t="str">
        <f t="array" ref="B128">IF(D128="","",
 INDEX(Product_Master!A:A,
       MATCH( INDEX(Pack_Master!B:B, MATCH(D128, Pack_Master!A:A, 0)),
              Product_Master!B:B, 0 )
))
</f>
        <v>Apparel_Caps_Beanies</v>
      </c>
      <c r="C128" s="7" t="s">
        <v>262</v>
      </c>
      <c r="D128" s="8" t="s">
        <v>263</v>
      </c>
      <c r="E128" s="9" t="s">
        <v>12</v>
      </c>
      <c r="F128" s="8"/>
      <c r="G128" s="5"/>
      <c r="H128" s="5"/>
      <c r="I128" s="5"/>
    </row>
    <row r="129">
      <c r="A129" s="5" t="s">
        <v>9</v>
      </c>
      <c r="B129" s="6" t="str">
        <f t="array" ref="B129">IF(D129="","",
 INDEX(Product_Master!A:A,
       MATCH( INDEX(Pack_Master!B:B, MATCH(D129, Pack_Master!A:A, 0)),
              Product_Master!B:B, 0 )
))
</f>
        <v>Apparel_Caps_Beanies</v>
      </c>
      <c r="C129" s="7" t="s">
        <v>264</v>
      </c>
      <c r="D129" s="8" t="s">
        <v>265</v>
      </c>
      <c r="E129" s="9" t="s">
        <v>12</v>
      </c>
      <c r="F129" s="8"/>
      <c r="G129" s="5"/>
      <c r="H129" s="5"/>
      <c r="I129" s="5"/>
    </row>
    <row r="130">
      <c r="A130" s="5" t="s">
        <v>9</v>
      </c>
      <c r="B130" s="6" t="str">
        <f t="array" ref="B130">IF(D130="","",
 INDEX(Product_Master!A:A,
       MATCH( INDEX(Pack_Master!B:B, MATCH(D130, Pack_Master!A:A, 0)),
              Product_Master!B:B, 0 )
))
</f>
        <v>Apparel_Caps_Beanies</v>
      </c>
      <c r="C130" s="7" t="s">
        <v>266</v>
      </c>
      <c r="D130" s="8" t="s">
        <v>267</v>
      </c>
      <c r="E130" s="9" t="s">
        <v>12</v>
      </c>
      <c r="F130" s="8"/>
      <c r="G130" s="5"/>
      <c r="H130" s="5"/>
      <c r="I130" s="5"/>
    </row>
    <row r="131">
      <c r="A131" s="5" t="s">
        <v>9</v>
      </c>
      <c r="B131" s="6" t="str">
        <f t="array" ref="B131">IF(D131="","",
 INDEX(Product_Master!A:A,
       MATCH( INDEX(Pack_Master!B:B, MATCH(D131, Pack_Master!A:A, 0)),
              Product_Master!B:B, 0 )
))
</f>
        <v>Apparel_Caps_Beanies</v>
      </c>
      <c r="C131" s="7" t="s">
        <v>268</v>
      </c>
      <c r="D131" s="8" t="s">
        <v>269</v>
      </c>
      <c r="E131" s="9" t="s">
        <v>12</v>
      </c>
      <c r="F131" s="8"/>
      <c r="G131" s="5"/>
      <c r="H131" s="5"/>
      <c r="I131" s="5"/>
    </row>
    <row r="132">
      <c r="A132" s="5" t="s">
        <v>9</v>
      </c>
      <c r="B132" s="6" t="str">
        <f t="array" ref="B132">IF(D132="","",
 INDEX(Product_Master!A:A,
       MATCH( INDEX(Pack_Master!B:B, MATCH(D132, Pack_Master!A:A, 0)),
              Product_Master!B:B, 0 )
))
</f>
        <v>Apparel_Caps_Beanies</v>
      </c>
      <c r="C132" s="7" t="s">
        <v>270</v>
      </c>
      <c r="D132" s="8" t="s">
        <v>271</v>
      </c>
      <c r="E132" s="9" t="s">
        <v>12</v>
      </c>
      <c r="F132" s="8"/>
      <c r="G132" s="5"/>
      <c r="H132" s="5"/>
      <c r="I132" s="5"/>
    </row>
    <row r="133">
      <c r="A133" s="5" t="s">
        <v>9</v>
      </c>
      <c r="B133" s="6" t="str">
        <f t="array" ref="B133">IF(D133="","",
 INDEX(Product_Master!A:A,
       MATCH( INDEX(Pack_Master!B:B, MATCH(D133, Pack_Master!A:A, 0)),
              Product_Master!B:B, 0 )
))
</f>
        <v>Apparel_Caps_Beanies</v>
      </c>
      <c r="C133" s="7" t="s">
        <v>272</v>
      </c>
      <c r="D133" s="8" t="s">
        <v>269</v>
      </c>
      <c r="E133" s="9" t="s">
        <v>12</v>
      </c>
      <c r="F133" s="8"/>
      <c r="G133" s="5"/>
      <c r="H133" s="5"/>
      <c r="I133" s="5"/>
    </row>
    <row r="134">
      <c r="A134" s="5" t="s">
        <v>9</v>
      </c>
      <c r="B134" s="6" t="str">
        <f t="array" ref="B134">IF(D134="","",
 INDEX(Product_Master!A:A,
       MATCH( INDEX(Pack_Master!B:B, MATCH(D134, Pack_Master!A:A, 0)),
              Product_Master!B:B, 0 )
))
</f>
        <v>Apparel_Caps_Beanies</v>
      </c>
      <c r="C134" s="7" t="s">
        <v>273</v>
      </c>
      <c r="D134" s="8" t="s">
        <v>273</v>
      </c>
      <c r="E134" s="9" t="s">
        <v>12</v>
      </c>
      <c r="F134" s="8">
        <v>6.161142038222E12</v>
      </c>
      <c r="G134" s="5"/>
      <c r="H134" s="5"/>
      <c r="I134" s="5"/>
    </row>
    <row r="135">
      <c r="A135" s="5" t="s">
        <v>9</v>
      </c>
      <c r="B135" s="6" t="str">
        <f t="array" ref="B135">IF(D135="","",
 INDEX(Product_Master!A:A,
       MATCH( INDEX(Pack_Master!B:B, MATCH(D135, Pack_Master!A:A, 0)),
              Product_Master!B:B, 0 )
))
</f>
        <v>Apparel_Caps_Beanies</v>
      </c>
      <c r="C135" s="7" t="s">
        <v>274</v>
      </c>
      <c r="D135" s="8" t="s">
        <v>275</v>
      </c>
      <c r="E135" s="9" t="s">
        <v>12</v>
      </c>
      <c r="F135" s="8"/>
      <c r="G135" s="5"/>
      <c r="H135" s="5"/>
      <c r="I135" s="5"/>
    </row>
    <row r="136">
      <c r="A136" s="5" t="s">
        <v>9</v>
      </c>
      <c r="B136" s="6" t="str">
        <f t="array" ref="B136">IF(D136="","",
 INDEX(Product_Master!A:A,
       MATCH( INDEX(Pack_Master!B:B, MATCH(D136, Pack_Master!A:A, 0)),
              Product_Master!B:B, 0 )
))
</f>
        <v>Apparel_Caps_Beanies</v>
      </c>
      <c r="C136" s="7" t="s">
        <v>276</v>
      </c>
      <c r="D136" s="8" t="s">
        <v>277</v>
      </c>
      <c r="E136" s="9" t="s">
        <v>12</v>
      </c>
      <c r="F136" s="8"/>
      <c r="G136" s="5"/>
      <c r="H136" s="5"/>
      <c r="I136" s="5"/>
    </row>
    <row r="137">
      <c r="A137" s="5" t="s">
        <v>9</v>
      </c>
      <c r="B137" s="6" t="str">
        <f t="array" ref="B137">IF(D137="","",
 INDEX(Product_Master!A:A,
       MATCH( INDEX(Pack_Master!B:B, MATCH(D137, Pack_Master!A:A, 0)),
              Product_Master!B:B, 0 )
))
</f>
        <v>Apparel_Caps_Beanies</v>
      </c>
      <c r="C137" s="7" t="s">
        <v>278</v>
      </c>
      <c r="D137" s="8" t="s">
        <v>279</v>
      </c>
      <c r="E137" s="9" t="s">
        <v>12</v>
      </c>
      <c r="F137" s="8"/>
      <c r="G137" s="5"/>
      <c r="H137" s="5"/>
      <c r="I137" s="5"/>
    </row>
    <row r="138">
      <c r="A138" s="5" t="s">
        <v>9</v>
      </c>
      <c r="B138" s="6" t="str">
        <f t="array" ref="B138">IF(D138="","",
 INDEX(Product_Master!A:A,
       MATCH( INDEX(Pack_Master!B:B, MATCH(D138, Pack_Master!A:A, 0)),
              Product_Master!B:B, 0 )
))
</f>
        <v>Apparel_Caps_Beanies</v>
      </c>
      <c r="C138" s="7" t="s">
        <v>280</v>
      </c>
      <c r="D138" s="8" t="s">
        <v>281</v>
      </c>
      <c r="E138" s="9" t="s">
        <v>12</v>
      </c>
      <c r="F138" s="8" t="s">
        <v>282</v>
      </c>
      <c r="G138" s="5"/>
      <c r="H138" s="5"/>
      <c r="I138" s="5"/>
    </row>
    <row r="139">
      <c r="A139" s="5" t="s">
        <v>9</v>
      </c>
      <c r="B139" s="6" t="str">
        <f t="array" ref="B139">IF(D139="","",
 INDEX(Product_Master!A:A,
       MATCH( INDEX(Pack_Master!B:B, MATCH(D139, Pack_Master!A:A, 0)),
              Product_Master!B:B, 0 )
))
</f>
        <v>Apparel_Caps_Beanies</v>
      </c>
      <c r="C139" s="7" t="s">
        <v>283</v>
      </c>
      <c r="D139" s="8" t="s">
        <v>283</v>
      </c>
      <c r="E139" s="9" t="s">
        <v>12</v>
      </c>
      <c r="F139" s="8" t="s">
        <v>284</v>
      </c>
      <c r="G139" s="5"/>
      <c r="H139" s="5"/>
      <c r="I139" s="5"/>
    </row>
    <row r="140">
      <c r="A140" s="5" t="s">
        <v>9</v>
      </c>
      <c r="B140" s="6" t="str">
        <f t="array" ref="B140">IF(D140="","",
 INDEX(Product_Master!A:A,
       MATCH( INDEX(Pack_Master!B:B, MATCH(D140, Pack_Master!A:A, 0)),
              Product_Master!B:B, 0 )
))
</f>
        <v>Apparel_Caps_Beanies</v>
      </c>
      <c r="C140" s="7" t="s">
        <v>281</v>
      </c>
      <c r="D140" s="8" t="s">
        <v>281</v>
      </c>
      <c r="E140" s="9" t="s">
        <v>12</v>
      </c>
      <c r="F140" s="8" t="s">
        <v>285</v>
      </c>
      <c r="G140" s="5"/>
      <c r="H140" s="5"/>
      <c r="I140" s="5"/>
    </row>
    <row r="141">
      <c r="A141" s="5" t="s">
        <v>9</v>
      </c>
      <c r="B141" s="6" t="str">
        <f t="array" ref="B141">IF(D141="","",
 INDEX(Product_Master!A:A,
       MATCH( INDEX(Pack_Master!B:B, MATCH(D141, Pack_Master!A:A, 0)),
              Product_Master!B:B, 0 )
))
</f>
        <v>Apparel_Caps_Beanies</v>
      </c>
      <c r="C141" s="7" t="s">
        <v>286</v>
      </c>
      <c r="D141" s="8" t="s">
        <v>286</v>
      </c>
      <c r="E141" s="9" t="s">
        <v>12</v>
      </c>
      <c r="F141" s="8" t="s">
        <v>287</v>
      </c>
      <c r="G141" s="5"/>
      <c r="H141" s="5"/>
      <c r="I141" s="5"/>
    </row>
    <row r="142">
      <c r="A142" s="5" t="s">
        <v>9</v>
      </c>
      <c r="B142" s="6" t="str">
        <f t="array" ref="B142">IF(D142="","",
 INDEX(Product_Master!A:A,
       MATCH( INDEX(Pack_Master!B:B, MATCH(D142, Pack_Master!A:A, 0)),
              Product_Master!B:B, 0 )
))
</f>
        <v>Apparel_Caps_Beanies</v>
      </c>
      <c r="C142" s="7" t="s">
        <v>288</v>
      </c>
      <c r="D142" s="8" t="s">
        <v>288</v>
      </c>
      <c r="E142" s="9" t="s">
        <v>12</v>
      </c>
      <c r="F142" s="8" t="s">
        <v>289</v>
      </c>
      <c r="G142" s="5"/>
      <c r="H142" s="5"/>
      <c r="I142" s="5"/>
    </row>
    <row r="143">
      <c r="A143" s="5" t="s">
        <v>9</v>
      </c>
      <c r="B143" s="6" t="str">
        <f t="array" ref="B143">IF(D143="","",
 INDEX(Product_Master!A:A,
       MATCH( INDEX(Pack_Master!B:B, MATCH(D143, Pack_Master!A:A, 0)),
              Product_Master!B:B, 0 )
))
</f>
        <v>Apparel_Caps_Beanies</v>
      </c>
      <c r="C143" s="7" t="s">
        <v>265</v>
      </c>
      <c r="D143" s="8" t="s">
        <v>265</v>
      </c>
      <c r="E143" s="9" t="s">
        <v>12</v>
      </c>
      <c r="F143" s="8" t="s">
        <v>290</v>
      </c>
      <c r="G143" s="5"/>
      <c r="H143" s="5"/>
      <c r="I143" s="5"/>
    </row>
    <row r="144">
      <c r="A144" s="5" t="s">
        <v>9</v>
      </c>
      <c r="B144" s="6" t="str">
        <f t="array" ref="B144">IF(D144="","",
 INDEX(Product_Master!A:A,
       MATCH( INDEX(Pack_Master!B:B, MATCH(D144, Pack_Master!A:A, 0)),
              Product_Master!B:B, 0 )
))
</f>
        <v>Apparel_Caps_Beanies</v>
      </c>
      <c r="C144" s="7" t="s">
        <v>291</v>
      </c>
      <c r="D144" s="8" t="s">
        <v>291</v>
      </c>
      <c r="E144" s="9" t="s">
        <v>12</v>
      </c>
      <c r="F144" s="8" t="s">
        <v>292</v>
      </c>
      <c r="G144" s="5"/>
      <c r="H144" s="5"/>
      <c r="I144" s="5"/>
    </row>
    <row r="145">
      <c r="A145" s="5" t="s">
        <v>9</v>
      </c>
      <c r="B145" s="6" t="str">
        <f t="array" ref="B145">IF(D145="","",
 INDEX(Product_Master!A:A,
       MATCH( INDEX(Pack_Master!B:B, MATCH(D145, Pack_Master!A:A, 0)),
              Product_Master!B:B, 0 )
))
</f>
        <v>Apparel_Caps_Beanies</v>
      </c>
      <c r="C145" s="7" t="s">
        <v>293</v>
      </c>
      <c r="D145" s="8" t="s">
        <v>293</v>
      </c>
      <c r="E145" s="9" t="s">
        <v>12</v>
      </c>
      <c r="F145" s="8" t="s">
        <v>294</v>
      </c>
      <c r="G145" s="5"/>
      <c r="H145" s="5"/>
      <c r="I145" s="5"/>
    </row>
    <row r="146">
      <c r="A146" s="5" t="s">
        <v>9</v>
      </c>
      <c r="B146" s="6" t="str">
        <f t="array" ref="B146">IF(D146="","",
 INDEX(Product_Master!A:A,
       MATCH( INDEX(Pack_Master!B:B, MATCH(D146, Pack_Master!A:A, 0)),
              Product_Master!B:B, 0 )
))
</f>
        <v>Apparel_Caps_Beanies</v>
      </c>
      <c r="C146" s="7" t="s">
        <v>295</v>
      </c>
      <c r="D146" s="8" t="s">
        <v>296</v>
      </c>
      <c r="E146" s="9" t="s">
        <v>12</v>
      </c>
      <c r="F146" s="8"/>
      <c r="G146" s="5"/>
      <c r="H146" s="5"/>
      <c r="I146" s="5"/>
    </row>
    <row r="147">
      <c r="A147" s="5" t="s">
        <v>9</v>
      </c>
      <c r="B147" s="6" t="str">
        <f t="array" ref="B147">IF(D147="","",
 INDEX(Product_Master!A:A,
       MATCH( INDEX(Pack_Master!B:B, MATCH(D147, Pack_Master!A:A, 0)),
              Product_Master!B:B, 0 )
))
</f>
        <v>Apparel_Caps_Beanies</v>
      </c>
      <c r="C147" s="7" t="s">
        <v>257</v>
      </c>
      <c r="D147" s="8" t="s">
        <v>257</v>
      </c>
      <c r="E147" s="9" t="s">
        <v>12</v>
      </c>
      <c r="F147" s="8" t="s">
        <v>297</v>
      </c>
      <c r="G147" s="5"/>
      <c r="H147" s="5"/>
      <c r="I147" s="5"/>
    </row>
    <row r="148">
      <c r="A148" s="5" t="s">
        <v>9</v>
      </c>
      <c r="B148" s="6" t="str">
        <f t="array" ref="B148">IF(D148="","",
 INDEX(Product_Master!A:A,
       MATCH( INDEX(Pack_Master!B:B, MATCH(D148, Pack_Master!A:A, 0)),
              Product_Master!B:B, 0 )
))
</f>
        <v>Apparel_Caps_Beanies</v>
      </c>
      <c r="C148" s="7" t="s">
        <v>259</v>
      </c>
      <c r="D148" s="8" t="s">
        <v>259</v>
      </c>
      <c r="E148" s="9" t="s">
        <v>12</v>
      </c>
      <c r="F148" s="8" t="s">
        <v>298</v>
      </c>
      <c r="G148" s="5"/>
      <c r="H148" s="5"/>
      <c r="I148" s="5"/>
    </row>
    <row r="149">
      <c r="A149" s="5" t="s">
        <v>9</v>
      </c>
      <c r="B149" s="6" t="str">
        <f t="array" ref="B149">IF(D149="","",
 INDEX(Product_Master!A:A,
       MATCH( INDEX(Pack_Master!B:B, MATCH(D149, Pack_Master!A:A, 0)),
              Product_Master!B:B, 0 )
))
</f>
        <v>Apparel_Caps_Beanies</v>
      </c>
      <c r="C149" s="7" t="s">
        <v>299</v>
      </c>
      <c r="D149" s="8" t="s">
        <v>261</v>
      </c>
      <c r="E149" s="9" t="s">
        <v>12</v>
      </c>
      <c r="F149" s="8" t="s">
        <v>300</v>
      </c>
      <c r="G149" s="5"/>
      <c r="H149" s="5"/>
      <c r="I149" s="5"/>
    </row>
    <row r="150">
      <c r="A150" s="5" t="s">
        <v>9</v>
      </c>
      <c r="B150" s="6" t="str">
        <f t="array" ref="B150">IF(D150="","",
 INDEX(Product_Master!A:A,
       MATCH( INDEX(Pack_Master!B:B, MATCH(D150, Pack_Master!A:A, 0)),
              Product_Master!B:B, 0 )
))
</f>
        <v>Apparel_Caps_Beanies</v>
      </c>
      <c r="C150" s="7" t="s">
        <v>263</v>
      </c>
      <c r="D150" s="8" t="s">
        <v>263</v>
      </c>
      <c r="E150" s="9" t="s">
        <v>12</v>
      </c>
      <c r="F150" s="8" t="s">
        <v>301</v>
      </c>
      <c r="G150" s="5"/>
      <c r="H150" s="5"/>
      <c r="I150" s="5"/>
    </row>
    <row r="151">
      <c r="A151" s="5" t="s">
        <v>9</v>
      </c>
      <c r="B151" s="6" t="str">
        <f t="array" ref="B151">IF(D151="","",
 INDEX(Product_Master!A:A,
       MATCH( INDEX(Pack_Master!B:B, MATCH(D151, Pack_Master!A:A, 0)),
              Product_Master!B:B, 0 )
))
</f>
        <v>Apparel_Caps_Beanies</v>
      </c>
      <c r="C151" s="7" t="s">
        <v>302</v>
      </c>
      <c r="D151" s="8" t="s">
        <v>267</v>
      </c>
      <c r="E151" s="9" t="s">
        <v>12</v>
      </c>
      <c r="F151" s="8" t="s">
        <v>303</v>
      </c>
      <c r="G151" s="5"/>
      <c r="H151" s="5"/>
      <c r="I151" s="5"/>
    </row>
    <row r="152">
      <c r="A152" s="5" t="s">
        <v>9</v>
      </c>
      <c r="B152" s="6" t="str">
        <f t="array" ref="B152">IF(D152="","",
 INDEX(Product_Master!A:A,
       MATCH( INDEX(Pack_Master!B:B, MATCH(D152, Pack_Master!A:A, 0)),
              Product_Master!B:B, 0 )
))
</f>
        <v>Apparel_Caps_Beanies</v>
      </c>
      <c r="C152" s="7" t="s">
        <v>267</v>
      </c>
      <c r="D152" s="8" t="s">
        <v>267</v>
      </c>
      <c r="E152" s="9" t="s">
        <v>12</v>
      </c>
      <c r="F152" s="8" t="s">
        <v>304</v>
      </c>
      <c r="G152" s="5"/>
      <c r="H152" s="5"/>
      <c r="I152" s="5"/>
    </row>
    <row r="153">
      <c r="A153" s="5" t="s">
        <v>9</v>
      </c>
      <c r="B153" s="6" t="str">
        <f t="array" ref="B153">IF(D153="","",
 INDEX(Product_Master!A:A,
       MATCH( INDEX(Pack_Master!B:B, MATCH(D153, Pack_Master!A:A, 0)),
              Product_Master!B:B, 0 )
))
</f>
        <v>Apparel_Caps_Beanies</v>
      </c>
      <c r="C153" s="7" t="s">
        <v>305</v>
      </c>
      <c r="D153" s="8" t="s">
        <v>305</v>
      </c>
      <c r="E153" s="9" t="s">
        <v>12</v>
      </c>
      <c r="F153" s="8" t="s">
        <v>306</v>
      </c>
      <c r="G153" s="5"/>
      <c r="H153" s="5"/>
      <c r="I153" s="5"/>
    </row>
    <row r="154">
      <c r="A154" s="5" t="s">
        <v>9</v>
      </c>
      <c r="B154" s="6" t="str">
        <f t="array" ref="B154">IF(D154="","",
 INDEX(Product_Master!A:A,
       MATCH( INDEX(Pack_Master!B:B, MATCH(D154, Pack_Master!A:A, 0)),
              Product_Master!B:B, 0 )
))
</f>
        <v>Apparel_Caps_Beanies</v>
      </c>
      <c r="C154" s="7" t="s">
        <v>307</v>
      </c>
      <c r="D154" s="8" t="s">
        <v>307</v>
      </c>
      <c r="E154" s="9" t="s">
        <v>12</v>
      </c>
      <c r="F154" s="8" t="s">
        <v>308</v>
      </c>
      <c r="G154" s="5"/>
      <c r="H154" s="5"/>
      <c r="I154" s="5"/>
    </row>
    <row r="155">
      <c r="A155" s="5" t="s">
        <v>9</v>
      </c>
      <c r="B155" s="6" t="str">
        <f t="array" ref="B155">IF(D155="","",
 INDEX(Product_Master!A:A,
       MATCH( INDEX(Pack_Master!B:B, MATCH(D155, Pack_Master!A:A, 0)),
              Product_Master!B:B, 0 )
))
</f>
        <v>Apparel_Caps_Beanies</v>
      </c>
      <c r="C155" s="7" t="s">
        <v>309</v>
      </c>
      <c r="D155" s="8" t="s">
        <v>309</v>
      </c>
      <c r="E155" s="9" t="s">
        <v>12</v>
      </c>
      <c r="F155" s="8" t="s">
        <v>310</v>
      </c>
      <c r="G155" s="5"/>
      <c r="H155" s="5"/>
      <c r="I155" s="5"/>
    </row>
    <row r="156">
      <c r="A156" s="5" t="s">
        <v>9</v>
      </c>
      <c r="B156" s="6" t="str">
        <f t="array" ref="B156">IF(D156="","",
 INDEX(Product_Master!A:A,
       MATCH( INDEX(Pack_Master!B:B, MATCH(D156, Pack_Master!A:A, 0)),
              Product_Master!B:B, 0 )
))
</f>
        <v>Apparel_Caps_Beanies</v>
      </c>
      <c r="C156" s="7" t="s">
        <v>311</v>
      </c>
      <c r="D156" s="8" t="s">
        <v>311</v>
      </c>
      <c r="E156" s="9" t="s">
        <v>12</v>
      </c>
      <c r="F156" s="8" t="s">
        <v>312</v>
      </c>
      <c r="G156" s="5"/>
      <c r="H156" s="5"/>
      <c r="I156" s="5"/>
    </row>
    <row r="157">
      <c r="A157" s="5" t="s">
        <v>9</v>
      </c>
      <c r="B157" s="6" t="str">
        <f t="array" ref="B157">IF(D157="","",
 INDEX(Product_Master!A:A,
       MATCH( INDEX(Pack_Master!B:B, MATCH(D157, Pack_Master!A:A, 0)),
              Product_Master!B:B, 0 )
))
</f>
        <v>Apparel_Caps_Beanies</v>
      </c>
      <c r="C157" s="7" t="s">
        <v>313</v>
      </c>
      <c r="D157" s="8" t="s">
        <v>313</v>
      </c>
      <c r="E157" s="9" t="s">
        <v>12</v>
      </c>
      <c r="F157" s="8" t="s">
        <v>314</v>
      </c>
      <c r="G157" s="5"/>
      <c r="H157" s="5"/>
      <c r="I157" s="5"/>
    </row>
    <row r="158">
      <c r="A158" s="5" t="s">
        <v>9</v>
      </c>
      <c r="B158" s="6" t="str">
        <f t="array" ref="B158">IF(D158="","",
 INDEX(Product_Master!A:A,
       MATCH( INDEX(Pack_Master!B:B, MATCH(D158, Pack_Master!A:A, 0)),
              Product_Master!B:B, 0 )
))
</f>
        <v>Apparel_Caps_Beanies</v>
      </c>
      <c r="C158" s="7" t="s">
        <v>261</v>
      </c>
      <c r="D158" s="8" t="s">
        <v>261</v>
      </c>
      <c r="E158" s="9" t="s">
        <v>12</v>
      </c>
      <c r="F158" s="8" t="s">
        <v>315</v>
      </c>
      <c r="G158" s="5"/>
      <c r="H158" s="5"/>
      <c r="I158" s="5"/>
    </row>
    <row r="159">
      <c r="A159" s="5" t="s">
        <v>9</v>
      </c>
      <c r="B159" s="6" t="str">
        <f t="array" ref="B159">IF(D159="","",
 INDEX(Product_Master!A:A,
       MATCH( INDEX(Pack_Master!B:B, MATCH(D159, Pack_Master!A:A, 0)),
              Product_Master!B:B, 0 )
))
</f>
        <v>Apparel_Caps_Beanies</v>
      </c>
      <c r="C159" s="7" t="s">
        <v>316</v>
      </c>
      <c r="D159" s="8" t="s">
        <v>316</v>
      </c>
      <c r="E159" s="9" t="s">
        <v>12</v>
      </c>
      <c r="F159" s="8" t="s">
        <v>317</v>
      </c>
      <c r="G159" s="5"/>
      <c r="H159" s="5"/>
      <c r="I159" s="5"/>
    </row>
    <row r="160">
      <c r="A160" s="5" t="s">
        <v>9</v>
      </c>
      <c r="B160" s="6" t="str">
        <f t="array" ref="B160">IF(D160="","",
 INDEX(Product_Master!A:A,
       MATCH( INDEX(Pack_Master!B:B, MATCH(D160, Pack_Master!A:A, 0)),
              Product_Master!B:B, 0 )
))
</f>
        <v>Apparel_Caps_Beanies</v>
      </c>
      <c r="C160" s="7" t="s">
        <v>269</v>
      </c>
      <c r="D160" s="8" t="s">
        <v>269</v>
      </c>
      <c r="E160" s="9" t="s">
        <v>12</v>
      </c>
      <c r="F160" s="8" t="s">
        <v>318</v>
      </c>
      <c r="G160" s="5"/>
      <c r="H160" s="5"/>
      <c r="I160" s="5"/>
    </row>
    <row r="161">
      <c r="A161" s="5" t="s">
        <v>9</v>
      </c>
      <c r="B161" s="6" t="str">
        <f t="array" ref="B161">IF(D161="","",
 INDEX(Product_Master!A:A,
       MATCH( INDEX(Pack_Master!B:B, MATCH(D161, Pack_Master!A:A, 0)),
              Product_Master!B:B, 0 )
))
</f>
        <v>Apparel_Caps_Beanies</v>
      </c>
      <c r="C161" s="7" t="s">
        <v>319</v>
      </c>
      <c r="D161" s="8" t="s">
        <v>319</v>
      </c>
      <c r="E161" s="9" t="s">
        <v>12</v>
      </c>
      <c r="F161" s="8" t="s">
        <v>320</v>
      </c>
      <c r="G161" s="5"/>
      <c r="H161" s="5"/>
      <c r="I161" s="5"/>
    </row>
    <row r="162">
      <c r="A162" s="5" t="s">
        <v>9</v>
      </c>
      <c r="B162" s="6" t="str">
        <f t="array" ref="B162">IF(D162="","",
 INDEX(Product_Master!A:A,
       MATCH( INDEX(Pack_Master!B:B, MATCH(D162, Pack_Master!A:A, 0)),
              Product_Master!B:B, 0 )
))
</f>
        <v>Apparel_Caps_Beanies</v>
      </c>
      <c r="C162" s="7" t="s">
        <v>321</v>
      </c>
      <c r="D162" s="8" t="s">
        <v>321</v>
      </c>
      <c r="E162" s="9" t="s">
        <v>12</v>
      </c>
      <c r="F162" s="8" t="s">
        <v>322</v>
      </c>
      <c r="G162" s="5"/>
      <c r="H162" s="5"/>
      <c r="I162" s="5"/>
    </row>
    <row r="163">
      <c r="A163" s="5" t="s">
        <v>9</v>
      </c>
      <c r="B163" s="6" t="str">
        <f t="array" ref="B163">IF(D163="","",
 INDEX(Product_Master!A:A,
       MATCH( INDEX(Pack_Master!B:B, MATCH(D163, Pack_Master!A:A, 0)),
              Product_Master!B:B, 0 )
))
</f>
        <v>Apparel_Caps_Beanies</v>
      </c>
      <c r="C163" s="7" t="s">
        <v>323</v>
      </c>
      <c r="D163" s="8" t="s">
        <v>283</v>
      </c>
      <c r="E163" s="9" t="s">
        <v>12</v>
      </c>
      <c r="F163" s="8" t="s">
        <v>324</v>
      </c>
      <c r="G163" s="5"/>
      <c r="H163" s="5"/>
      <c r="I163" s="5"/>
    </row>
    <row r="164">
      <c r="A164" s="5" t="s">
        <v>9</v>
      </c>
      <c r="B164" s="6" t="str">
        <f t="array" ref="B164">IF(D164="","",
 INDEX(Product_Master!A:A,
       MATCH( INDEX(Pack_Master!B:B, MATCH(D164, Pack_Master!A:A, 0)),
              Product_Master!B:B, 0 )
))
</f>
        <v>Apparel_Caps_Beanies</v>
      </c>
      <c r="C164" s="7" t="s">
        <v>325</v>
      </c>
      <c r="D164" s="8" t="s">
        <v>286</v>
      </c>
      <c r="E164" s="9" t="s">
        <v>12</v>
      </c>
      <c r="F164" s="8" t="s">
        <v>326</v>
      </c>
      <c r="G164" s="5"/>
      <c r="H164" s="5"/>
      <c r="I164" s="5"/>
    </row>
    <row r="165">
      <c r="A165" s="5" t="s">
        <v>9</v>
      </c>
      <c r="B165" s="6" t="str">
        <f t="array" ref="B165">IF(D165="","",
 INDEX(Product_Master!A:A,
       MATCH( INDEX(Pack_Master!B:B, MATCH(D165, Pack_Master!A:A, 0)),
              Product_Master!B:B, 0 )
))
</f>
        <v>Apparel_Caps_Beanies</v>
      </c>
      <c r="C165" s="7" t="s">
        <v>327</v>
      </c>
      <c r="D165" s="8" t="s">
        <v>265</v>
      </c>
      <c r="E165" s="9" t="s">
        <v>12</v>
      </c>
      <c r="F165" s="8" t="s">
        <v>328</v>
      </c>
      <c r="G165" s="5"/>
      <c r="H165" s="5"/>
      <c r="I165" s="5"/>
    </row>
    <row r="166">
      <c r="A166" s="5" t="s">
        <v>9</v>
      </c>
      <c r="B166" s="6" t="str">
        <f t="array" ref="B166">IF(D166="","",
 INDEX(Product_Master!A:A,
       MATCH( INDEX(Pack_Master!B:B, MATCH(D166, Pack_Master!A:A, 0)),
              Product_Master!B:B, 0 )
))
</f>
        <v>Apparel_Caps_Beanies</v>
      </c>
      <c r="C166" s="7" t="s">
        <v>329</v>
      </c>
      <c r="D166" s="8" t="s">
        <v>291</v>
      </c>
      <c r="E166" s="9" t="s">
        <v>12</v>
      </c>
      <c r="F166" s="8" t="s">
        <v>330</v>
      </c>
      <c r="G166" s="5"/>
      <c r="H166" s="5"/>
      <c r="I166" s="5"/>
    </row>
    <row r="167">
      <c r="A167" s="5" t="s">
        <v>9</v>
      </c>
      <c r="B167" s="6" t="str">
        <f t="array" ref="B167">IF(D167="","",
 INDEX(Product_Master!A:A,
       MATCH( INDEX(Pack_Master!B:B, MATCH(D167, Pack_Master!A:A, 0)),
              Product_Master!B:B, 0 )
))
</f>
        <v>Apparel_Caps_Beanies</v>
      </c>
      <c r="C167" s="7" t="s">
        <v>331</v>
      </c>
      <c r="D167" s="8" t="s">
        <v>293</v>
      </c>
      <c r="E167" s="9" t="s">
        <v>12</v>
      </c>
      <c r="F167" s="8"/>
      <c r="G167" s="5"/>
      <c r="H167" s="5"/>
      <c r="I167" s="5"/>
    </row>
    <row r="168">
      <c r="A168" s="5" t="s">
        <v>9</v>
      </c>
      <c r="B168" s="6" t="str">
        <f t="array" ref="B168">IF(D168="","",
 INDEX(Product_Master!A:A,
       MATCH( INDEX(Pack_Master!B:B, MATCH(D168, Pack_Master!A:A, 0)),
              Product_Master!B:B, 0 )
))
</f>
        <v>Apparel_Caps_Beanies</v>
      </c>
      <c r="C168" s="7" t="s">
        <v>332</v>
      </c>
      <c r="D168" s="8" t="s">
        <v>332</v>
      </c>
      <c r="E168" s="9" t="s">
        <v>12</v>
      </c>
      <c r="F168" s="8"/>
      <c r="G168" s="5"/>
      <c r="H168" s="5"/>
      <c r="I168" s="5"/>
    </row>
    <row r="169">
      <c r="A169" s="5" t="s">
        <v>9</v>
      </c>
      <c r="B169" s="6" t="str">
        <f t="array" ref="B169">IF(D169="","",
 INDEX(Product_Master!A:A,
       MATCH( INDEX(Pack_Master!B:B, MATCH(D169, Pack_Master!A:A, 0)),
              Product_Master!B:B, 0 )
))
</f>
        <v>Apparel_Caps_Beanies</v>
      </c>
      <c r="C169" s="7" t="s">
        <v>333</v>
      </c>
      <c r="D169" s="8" t="s">
        <v>333</v>
      </c>
      <c r="E169" s="9" t="s">
        <v>12</v>
      </c>
      <c r="F169" s="8"/>
      <c r="G169" s="5"/>
      <c r="H169" s="5"/>
      <c r="I169" s="5"/>
    </row>
    <row r="170">
      <c r="A170" s="5" t="s">
        <v>9</v>
      </c>
      <c r="B170" s="6" t="str">
        <f t="array" ref="B170">IF(D170="","",
 INDEX(Product_Master!A:A,
       MATCH( INDEX(Pack_Master!B:B, MATCH(D170, Pack_Master!A:A, 0)),
              Product_Master!B:B, 0 )
))
</f>
        <v>Apparel_Caps_Beanies</v>
      </c>
      <c r="C170" s="7" t="s">
        <v>334</v>
      </c>
      <c r="D170" s="8" t="s">
        <v>335</v>
      </c>
      <c r="E170" s="9" t="s">
        <v>12</v>
      </c>
      <c r="F170" s="8" t="s">
        <v>336</v>
      </c>
      <c r="G170" s="5"/>
      <c r="H170" s="5"/>
      <c r="I170" s="5"/>
    </row>
    <row r="171">
      <c r="A171" s="5" t="s">
        <v>9</v>
      </c>
      <c r="B171" s="6" t="str">
        <f t="array" ref="B171">IF(D171="","",
 INDEX(Product_Master!A:A,
       MATCH( INDEX(Pack_Master!B:B, MATCH(D171, Pack_Master!A:A, 0)),
              Product_Master!B:B, 0 )
))
</f>
        <v>Apparel_Caps_Beanies</v>
      </c>
      <c r="C171" s="7" t="s">
        <v>337</v>
      </c>
      <c r="D171" s="8" t="s">
        <v>338</v>
      </c>
      <c r="E171" s="9" t="s">
        <v>12</v>
      </c>
      <c r="F171" s="8"/>
      <c r="G171" s="5"/>
      <c r="H171" s="5"/>
      <c r="I171" s="5"/>
    </row>
    <row r="172">
      <c r="A172" s="5" t="s">
        <v>9</v>
      </c>
      <c r="B172" s="6" t="str">
        <f t="array" ref="B172">IF(D172="","",
 INDEX(Product_Master!A:A,
       MATCH( INDEX(Pack_Master!B:B, MATCH(D172, Pack_Master!A:A, 0)),
              Product_Master!B:B, 0 )
))
</f>
        <v>Apparel_Tshirts</v>
      </c>
      <c r="C172" s="7" t="s">
        <v>339</v>
      </c>
      <c r="D172" s="8" t="str">
        <f t="shared" ref="D172:D179" si="1">IF(ISNUMBER(SEARCH("TSHIRT", C172)), IF(ISNUMBER(SEARCH("WHITE", C172)), "TSHIRT-WHITE-", "TSHIRT-BLACK-") &amp; IF(ISNUMBER(SEARCH("-XXL", C172)), "XXL", IF(ISNUMBER(SEARCH("-XL", C172)), "XL", IF(ISNUMBER(SEARCH("-L", C172)), "L", IF(ISNUMBER(SEARCH("-M", C172)), "M", "")))), C172)</f>
        <v>TSHIRT-BLACK-L</v>
      </c>
      <c r="E172" s="9" t="s">
        <v>12</v>
      </c>
      <c r="F172" s="8"/>
      <c r="G172" s="5"/>
      <c r="H172" s="5"/>
      <c r="I172" s="5"/>
    </row>
    <row r="173">
      <c r="A173" s="5" t="s">
        <v>9</v>
      </c>
      <c r="B173" s="6" t="str">
        <f t="array" ref="B173">IF(D173="","",
 INDEX(Product_Master!A:A,
       MATCH( INDEX(Pack_Master!B:B, MATCH(D173, Pack_Master!A:A, 0)),
              Product_Master!B:B, 0 )
))
</f>
        <v>Apparel_Tshirts</v>
      </c>
      <c r="C173" s="7" t="s">
        <v>340</v>
      </c>
      <c r="D173" s="8" t="str">
        <f t="shared" si="1"/>
        <v>TSHIRT-BLACK-L</v>
      </c>
      <c r="E173" s="9" t="s">
        <v>12</v>
      </c>
      <c r="F173" s="8"/>
      <c r="G173" s="5"/>
      <c r="H173" s="5"/>
      <c r="I173" s="5"/>
    </row>
    <row r="174">
      <c r="A174" s="5" t="s">
        <v>9</v>
      </c>
      <c r="B174" s="6" t="str">
        <f t="array" ref="B174">IF(D174="","",
 INDEX(Product_Master!A:A,
       MATCH( INDEX(Pack_Master!B:B, MATCH(D174, Pack_Master!A:A, 0)),
              Product_Master!B:B, 0 )
))
</f>
        <v>Apparel_Tshirts</v>
      </c>
      <c r="C174" s="7" t="s">
        <v>341</v>
      </c>
      <c r="D174" s="8" t="str">
        <f t="shared" si="1"/>
        <v>TSHIRT-BLACK-XL</v>
      </c>
      <c r="E174" s="9" t="s">
        <v>12</v>
      </c>
      <c r="F174" s="8"/>
      <c r="G174" s="5"/>
      <c r="H174" s="5"/>
      <c r="I174" s="5"/>
    </row>
    <row r="175">
      <c r="A175" s="5" t="s">
        <v>9</v>
      </c>
      <c r="B175" s="6" t="str">
        <f t="array" ref="B175">IF(D175="","",
 INDEX(Product_Master!A:A,
       MATCH( INDEX(Pack_Master!B:B, MATCH(D175, Pack_Master!A:A, 0)),
              Product_Master!B:B, 0 )
))
</f>
        <v>Apparel_Tshirts</v>
      </c>
      <c r="C175" s="7" t="s">
        <v>342</v>
      </c>
      <c r="D175" s="8" t="str">
        <f t="shared" si="1"/>
        <v>TSHIRT-BLACK-XXL</v>
      </c>
      <c r="E175" s="9" t="s">
        <v>12</v>
      </c>
      <c r="F175" s="8"/>
      <c r="G175" s="5"/>
      <c r="H175" s="5"/>
      <c r="I175" s="5"/>
    </row>
    <row r="176">
      <c r="A176" s="5" t="s">
        <v>9</v>
      </c>
      <c r="B176" s="6" t="str">
        <f t="array" ref="B176">IF(D176="","",
 INDEX(Product_Master!A:A,
       MATCH( INDEX(Pack_Master!B:B, MATCH(D176, Pack_Master!A:A, 0)),
              Product_Master!B:B, 0 )
))
</f>
        <v>Apparel_Tshirts</v>
      </c>
      <c r="C176" s="7" t="s">
        <v>343</v>
      </c>
      <c r="D176" s="8" t="str">
        <f t="shared" si="1"/>
        <v>TSHIRT-BLACK-L</v>
      </c>
      <c r="E176" s="9" t="s">
        <v>12</v>
      </c>
      <c r="F176" s="8"/>
      <c r="G176" s="5"/>
      <c r="H176" s="5"/>
      <c r="I176" s="5"/>
    </row>
    <row r="177">
      <c r="A177" s="5" t="s">
        <v>9</v>
      </c>
      <c r="B177" s="6" t="str">
        <f t="array" ref="B177">IF(D177="","",
 INDEX(Product_Master!A:A,
       MATCH( INDEX(Pack_Master!B:B, MATCH(D177, Pack_Master!A:A, 0)),
              Product_Master!B:B, 0 )
))
</f>
        <v>Apparel_Tshirts</v>
      </c>
      <c r="C177" s="7" t="s">
        <v>344</v>
      </c>
      <c r="D177" s="8" t="str">
        <f t="shared" si="1"/>
        <v>TSHIRT-BLACK-M</v>
      </c>
      <c r="E177" s="9" t="s">
        <v>12</v>
      </c>
      <c r="F177" s="8"/>
      <c r="G177" s="5"/>
      <c r="H177" s="5"/>
      <c r="I177" s="5"/>
    </row>
    <row r="178">
      <c r="A178" s="5" t="s">
        <v>9</v>
      </c>
      <c r="B178" s="6" t="str">
        <f t="array" ref="B178">IF(D178="","",
 INDEX(Product_Master!A:A,
       MATCH( INDEX(Pack_Master!B:B, MATCH(D178, Pack_Master!A:A, 0)),
              Product_Master!B:B, 0 )
))
</f>
        <v>Apparel_Tshirts</v>
      </c>
      <c r="C178" s="7" t="s">
        <v>345</v>
      </c>
      <c r="D178" s="8" t="str">
        <f t="shared" si="1"/>
        <v>TSHIRT-BLACK-XL</v>
      </c>
      <c r="E178" s="9" t="s">
        <v>12</v>
      </c>
      <c r="F178" s="8"/>
      <c r="G178" s="5"/>
      <c r="H178" s="5"/>
      <c r="I178" s="5"/>
    </row>
    <row r="179">
      <c r="A179" s="5" t="s">
        <v>9</v>
      </c>
      <c r="B179" s="6" t="str">
        <f t="array" ref="B179">IF(D179="","",
 INDEX(Product_Master!A:A,
       MATCH( INDEX(Pack_Master!B:B, MATCH(D179, Pack_Master!A:A, 0)),
              Product_Master!B:B, 0 )
))
</f>
        <v>Apparel_Tshirts</v>
      </c>
      <c r="C179" s="7" t="s">
        <v>346</v>
      </c>
      <c r="D179" s="8" t="str">
        <f t="shared" si="1"/>
        <v>TSHIRT-BLACK-XXL</v>
      </c>
      <c r="E179" s="9" t="s">
        <v>12</v>
      </c>
      <c r="F179" s="8"/>
      <c r="G179" s="5"/>
      <c r="H179" s="5"/>
      <c r="I179" s="5"/>
    </row>
    <row r="180">
      <c r="A180" s="5" t="s">
        <v>9</v>
      </c>
      <c r="B180" s="6" t="str">
        <f t="array" ref="B180">IF(D180="","",
 INDEX(Product_Master!A:A,
       MATCH( INDEX(Pack_Master!B:B, MATCH(D180, Pack_Master!A:A, 0)),
              Product_Master!B:B, 0 )
))
</f>
        <v>Kitchen_Containers</v>
      </c>
      <c r="C180" s="7" t="s">
        <v>347</v>
      </c>
      <c r="D180" s="8" t="s">
        <v>348</v>
      </c>
      <c r="E180" s="9" t="s">
        <v>12</v>
      </c>
      <c r="F180" s="8"/>
      <c r="G180" s="5"/>
      <c r="H180" s="5"/>
      <c r="I180" s="5"/>
    </row>
    <row r="181">
      <c r="A181" s="5" t="s">
        <v>9</v>
      </c>
      <c r="B181" s="6" t="str">
        <f t="array" ref="B181">IF(D181="","",
 INDEX(Product_Master!A:A,
       MATCH( INDEX(Pack_Master!B:B, MATCH(D181, Pack_Master!A:A, 0)),
              Product_Master!B:B, 0 )
))
</f>
        <v>Apparel_ArmSleeves</v>
      </c>
      <c r="C181" s="7" t="s">
        <v>349</v>
      </c>
      <c r="D181" s="8" t="s">
        <v>350</v>
      </c>
      <c r="E181" s="9" t="s">
        <v>12</v>
      </c>
      <c r="F181" s="8"/>
      <c r="G181" s="5"/>
      <c r="H181" s="5"/>
      <c r="I181" s="5"/>
    </row>
    <row r="182">
      <c r="A182" s="5" t="s">
        <v>9</v>
      </c>
      <c r="B182" s="6" t="str">
        <f t="array" ref="B182">IF(D182="","",
 INDEX(Product_Master!A:A,
       MATCH( INDEX(Pack_Master!B:B, MATCH(D182, Pack_Master!A:A, 0)),
              Product_Master!B:B, 0 )
))
</f>
        <v>Apparel_Caps_Beanies</v>
      </c>
      <c r="C182" s="7" t="s">
        <v>351</v>
      </c>
      <c r="D182" s="8" t="s">
        <v>351</v>
      </c>
      <c r="E182" s="9" t="s">
        <v>12</v>
      </c>
      <c r="F182" s="8"/>
      <c r="G182" s="5"/>
      <c r="H182" s="5"/>
      <c r="I182" s="5"/>
    </row>
    <row r="183">
      <c r="A183" s="5" t="s">
        <v>9</v>
      </c>
      <c r="B183" s="6" t="str">
        <f t="array" ref="B183">IF(D183="","",
 INDEX(Product_Master!A:A,
       MATCH( INDEX(Pack_Master!B:B, MATCH(D183, Pack_Master!A:A, 0)),
              Product_Master!B:B, 0 )
))
</f>
        <v>Apparel_Caps_Beanies</v>
      </c>
      <c r="C183" s="7" t="s">
        <v>352</v>
      </c>
      <c r="D183" s="8" t="s">
        <v>353</v>
      </c>
      <c r="E183" s="9" t="s">
        <v>12</v>
      </c>
      <c r="F183" s="8"/>
      <c r="G183" s="5"/>
      <c r="H183" s="5"/>
      <c r="I183" s="5"/>
    </row>
    <row r="184">
      <c r="A184" s="5" t="s">
        <v>9</v>
      </c>
      <c r="B184" s="6" t="str">
        <f t="array" ref="B184">IF(D184="","",
 INDEX(Product_Master!A:A,
       MATCH( INDEX(Pack_Master!B:B, MATCH(D184, Pack_Master!A:A, 0)),
              Product_Master!B:B, 0 )
))
</f>
        <v>Apparel_Caps_Beanies</v>
      </c>
      <c r="C184" s="7" t="s">
        <v>353</v>
      </c>
      <c r="D184" s="8" t="s">
        <v>353</v>
      </c>
      <c r="E184" s="9" t="s">
        <v>12</v>
      </c>
      <c r="F184" s="8">
        <v>6.161142039489E12</v>
      </c>
      <c r="G184" s="5"/>
      <c r="H184" s="5"/>
      <c r="I184" s="5"/>
    </row>
    <row r="185">
      <c r="A185" s="5" t="s">
        <v>9</v>
      </c>
      <c r="B185" s="6" t="str">
        <f t="array" ref="B185">IF(D185="","",
 INDEX(Product_Master!A:A,
       MATCH( INDEX(Pack_Master!B:B, MATCH(D185, Pack_Master!A:A, 0)),
              Product_Master!B:B, 0 )
))
</f>
        <v>Apparel_Caps_Beanies</v>
      </c>
      <c r="C185" s="7" t="s">
        <v>354</v>
      </c>
      <c r="D185" s="8" t="s">
        <v>355</v>
      </c>
      <c r="E185" s="9" t="s">
        <v>12</v>
      </c>
      <c r="F185" s="8"/>
      <c r="G185" s="5"/>
      <c r="H185" s="5"/>
      <c r="I185" s="5"/>
    </row>
    <row r="186">
      <c r="A186" s="5" t="s">
        <v>9</v>
      </c>
      <c r="B186" s="6" t="str">
        <f t="array" ref="B186">IF(D186="","",
 INDEX(Product_Master!A:A,
       MATCH( INDEX(Pack_Master!B:B, MATCH(D186, Pack_Master!A:A, 0)),
              Product_Master!B:B, 0 )
))
</f>
        <v>Apparel_Caps_Beanies</v>
      </c>
      <c r="C186" s="7" t="s">
        <v>355</v>
      </c>
      <c r="D186" s="8" t="s">
        <v>355</v>
      </c>
      <c r="E186" s="9" t="s">
        <v>12</v>
      </c>
      <c r="F186" s="8">
        <v>6.161142041383E12</v>
      </c>
      <c r="G186" s="5"/>
      <c r="H186" s="5"/>
      <c r="I186" s="5"/>
    </row>
    <row r="187">
      <c r="A187" s="5" t="s">
        <v>9</v>
      </c>
      <c r="B187" s="6" t="str">
        <f t="array" ref="B187">IF(D187="","",
 INDEX(Product_Master!A:A,
       MATCH( INDEX(Pack_Master!B:B, MATCH(D187, Pack_Master!A:A, 0)),
              Product_Master!B:B, 0 )
))
</f>
        <v>Apparel_Caps_Beanies</v>
      </c>
      <c r="C187" s="7" t="s">
        <v>356</v>
      </c>
      <c r="D187" s="8" t="s">
        <v>356</v>
      </c>
      <c r="E187" s="9" t="s">
        <v>12</v>
      </c>
      <c r="F187" s="8">
        <v>6.161142037164E12</v>
      </c>
      <c r="G187" s="5"/>
      <c r="H187" s="5"/>
      <c r="I187" s="5"/>
    </row>
    <row r="188">
      <c r="A188" s="5" t="s">
        <v>9</v>
      </c>
      <c r="B188" s="6" t="str">
        <f t="array" ref="B188">IF(D188="","",
 INDEX(Product_Master!A:A,
       MATCH( INDEX(Pack_Master!B:B, MATCH(D188, Pack_Master!A:A, 0)),
              Product_Master!B:B, 0 )
))
</f>
        <v>Apparel_Caps_Beanies</v>
      </c>
      <c r="C188" s="7" t="s">
        <v>357</v>
      </c>
      <c r="D188" s="8" t="s">
        <v>358</v>
      </c>
      <c r="E188" s="9" t="s">
        <v>12</v>
      </c>
      <c r="F188" s="8"/>
      <c r="G188" s="5"/>
      <c r="H188" s="5"/>
      <c r="I188" s="5"/>
    </row>
    <row r="189">
      <c r="A189" s="5" t="s">
        <v>9</v>
      </c>
      <c r="B189" s="6" t="str">
        <f t="array" ref="B189">IF(D189="","",
 INDEX(Product_Master!A:A,
       MATCH( INDEX(Pack_Master!B:B, MATCH(D189, Pack_Master!A:A, 0)),
              Product_Master!B:B, 0 )
))
</f>
        <v>Apparel_Caps_Beanies</v>
      </c>
      <c r="C189" s="7" t="s">
        <v>359</v>
      </c>
      <c r="D189" s="8" t="s">
        <v>359</v>
      </c>
      <c r="E189" s="9" t="s">
        <v>12</v>
      </c>
      <c r="F189" s="8" t="s">
        <v>360</v>
      </c>
      <c r="G189" s="5"/>
      <c r="H189" s="5"/>
      <c r="I189" s="5"/>
    </row>
    <row r="190">
      <c r="A190" s="5" t="s">
        <v>9</v>
      </c>
      <c r="B190" s="6" t="str">
        <f t="array" ref="B190">IF(D190="","",
 INDEX(Product_Master!A:A,
       MATCH( INDEX(Pack_Master!B:B, MATCH(D190, Pack_Master!A:A, 0)),
              Product_Master!B:B, 0 )
))
</f>
        <v>Apparel_Caps_Beanies</v>
      </c>
      <c r="C190" s="7" t="s">
        <v>361</v>
      </c>
      <c r="D190" s="8" t="s">
        <v>361</v>
      </c>
      <c r="E190" s="9" t="s">
        <v>12</v>
      </c>
      <c r="F190" s="8" t="s">
        <v>362</v>
      </c>
      <c r="G190" s="5"/>
      <c r="H190" s="5"/>
      <c r="I190" s="5"/>
    </row>
    <row r="191">
      <c r="A191" s="5" t="s">
        <v>9</v>
      </c>
      <c r="B191" s="6" t="str">
        <f t="array" ref="B191">IF(D191="","",
 INDEX(Product_Master!A:A,
       MATCH( INDEX(Pack_Master!B:B, MATCH(D191, Pack_Master!A:A, 0)),
              Product_Master!B:B, 0 )
))
</f>
        <v>Apparel_Caps_Beanies</v>
      </c>
      <c r="C191" s="7" t="s">
        <v>363</v>
      </c>
      <c r="D191" s="8" t="s">
        <v>363</v>
      </c>
      <c r="E191" s="9" t="s">
        <v>12</v>
      </c>
      <c r="F191" s="8" t="s">
        <v>364</v>
      </c>
      <c r="G191" s="5"/>
      <c r="H191" s="5"/>
      <c r="I191" s="5"/>
    </row>
    <row r="192">
      <c r="A192" s="5" t="s">
        <v>9</v>
      </c>
      <c r="B192" s="6" t="str">
        <f t="array" ref="B192">IF(D192="","",
 INDEX(Product_Master!A:A,
       MATCH( INDEX(Pack_Master!B:B, MATCH(D192, Pack_Master!A:A, 0)),
              Product_Master!B:B, 0 )
))
</f>
        <v>Apparel_Caps_Beanies</v>
      </c>
      <c r="C192" s="7" t="s">
        <v>365</v>
      </c>
      <c r="D192" s="8" t="s">
        <v>365</v>
      </c>
      <c r="E192" s="9" t="s">
        <v>12</v>
      </c>
      <c r="F192" s="8" t="s">
        <v>366</v>
      </c>
      <c r="G192" s="5"/>
      <c r="H192" s="5"/>
      <c r="I192" s="5"/>
    </row>
    <row r="193">
      <c r="A193" s="5" t="s">
        <v>9</v>
      </c>
      <c r="B193" s="6" t="str">
        <f t="array" ref="B193">IF(D193="","",
 INDEX(Product_Master!A:A,
       MATCH( INDEX(Pack_Master!B:B, MATCH(D193, Pack_Master!A:A, 0)),
              Product_Master!B:B, 0 )
))
</f>
        <v>Apparel_Caps_Beanies</v>
      </c>
      <c r="C193" s="7" t="s">
        <v>367</v>
      </c>
      <c r="D193" s="8" t="s">
        <v>367</v>
      </c>
      <c r="E193" s="9" t="s">
        <v>12</v>
      </c>
      <c r="F193" s="8">
        <v>6.161142046074E12</v>
      </c>
      <c r="G193" s="5"/>
      <c r="H193" s="5"/>
      <c r="I193" s="5"/>
    </row>
    <row r="194">
      <c r="A194" s="5" t="s">
        <v>9</v>
      </c>
      <c r="B194" s="6" t="str">
        <f t="array" ref="B194">IF(D194="","",
 INDEX(Product_Master!A:A,
       MATCH( INDEX(Pack_Master!B:B, MATCH(D194, Pack_Master!A:A, 0)),
              Product_Master!B:B, 0 )
))
</f>
        <v>Apparel_Caps_Beanies</v>
      </c>
      <c r="C194" s="7" t="s">
        <v>368</v>
      </c>
      <c r="D194" s="8" t="s">
        <v>368</v>
      </c>
      <c r="E194" s="9" t="s">
        <v>12</v>
      </c>
      <c r="F194" s="8"/>
      <c r="G194" s="5"/>
      <c r="H194" s="5"/>
      <c r="I194" s="5"/>
    </row>
    <row r="195">
      <c r="A195" s="5" t="s">
        <v>9</v>
      </c>
      <c r="B195" s="6" t="str">
        <f t="array" ref="B195">IF(D195="","",
 INDEX(Product_Master!A:A,
       MATCH( INDEX(Pack_Master!B:B, MATCH(D195, Pack_Master!A:A, 0)),
              Product_Master!B:B, 0 )
))
</f>
        <v>Apparel_Caps_Beanies</v>
      </c>
      <c r="C195" s="7" t="s">
        <v>369</v>
      </c>
      <c r="D195" s="8" t="s">
        <v>369</v>
      </c>
      <c r="E195" s="9" t="s">
        <v>12</v>
      </c>
      <c r="F195" s="8" t="s">
        <v>370</v>
      </c>
      <c r="G195" s="5"/>
      <c r="H195" s="5"/>
      <c r="I195" s="5"/>
    </row>
    <row r="196">
      <c r="A196" s="5" t="s">
        <v>9</v>
      </c>
      <c r="B196" s="6" t="str">
        <f t="array" ref="B196">IF(D196="","",
 INDEX(Product_Master!A:A,
       MATCH( INDEX(Pack_Master!B:B, MATCH(D196, Pack_Master!A:A, 0)),
              Product_Master!B:B, 0 )
))
</f>
        <v>Apparel_Caps_Beanies</v>
      </c>
      <c r="C196" s="7" t="s">
        <v>371</v>
      </c>
      <c r="D196" s="8" t="s">
        <v>372</v>
      </c>
      <c r="E196" s="9" t="s">
        <v>12</v>
      </c>
      <c r="F196" s="8" t="s">
        <v>373</v>
      </c>
      <c r="G196" s="5"/>
      <c r="H196" s="5"/>
      <c r="I196" s="5"/>
    </row>
    <row r="197">
      <c r="A197" s="5" t="s">
        <v>9</v>
      </c>
      <c r="B197" s="6" t="str">
        <f t="array" ref="B197">IF(D197="","",
 INDEX(Product_Master!A:A,
       MATCH( INDEX(Pack_Master!B:B, MATCH(D197, Pack_Master!A:A, 0)),
              Product_Master!B:B, 0 )
))
</f>
        <v>Apparel_Caps_Beanies</v>
      </c>
      <c r="C197" s="7" t="s">
        <v>374</v>
      </c>
      <c r="D197" s="8" t="s">
        <v>374</v>
      </c>
      <c r="E197" s="9" t="s">
        <v>12</v>
      </c>
      <c r="F197" s="8">
        <v>6.161142039335E12</v>
      </c>
      <c r="G197" s="5"/>
      <c r="H197" s="5"/>
      <c r="I197" s="5"/>
    </row>
    <row r="198">
      <c r="A198" s="5" t="s">
        <v>9</v>
      </c>
      <c r="B198" s="6" t="str">
        <f t="array" ref="B198">IF(D198="","",
 INDEX(Product_Master!A:A,
       MATCH( INDEX(Pack_Master!B:B, MATCH(D198, Pack_Master!A:A, 0)),
              Product_Master!B:B, 0 )
))
</f>
        <v>Apparel_Caps_Beanies</v>
      </c>
      <c r="C198" s="7" t="s">
        <v>375</v>
      </c>
      <c r="D198" s="8" t="s">
        <v>376</v>
      </c>
      <c r="E198" s="9" t="s">
        <v>12</v>
      </c>
      <c r="F198" s="8"/>
      <c r="G198" s="5"/>
      <c r="H198" s="5"/>
      <c r="I198" s="5"/>
    </row>
    <row r="199">
      <c r="A199" s="5" t="s">
        <v>9</v>
      </c>
      <c r="B199" s="6" t="str">
        <f t="array" ref="B199">IF(D199="","",
 INDEX(Product_Master!A:A,
       MATCH( INDEX(Pack_Master!B:B, MATCH(D199, Pack_Master!A:A, 0)),
              Product_Master!B:B, 0 )
))
</f>
        <v>Apparel_Caps_Beanies</v>
      </c>
      <c r="C199" s="7" t="s">
        <v>377</v>
      </c>
      <c r="D199" s="8" t="s">
        <v>377</v>
      </c>
      <c r="E199" s="9" t="s">
        <v>12</v>
      </c>
      <c r="F199" s="8"/>
      <c r="G199" s="5"/>
      <c r="H199" s="5"/>
      <c r="I199" s="5"/>
    </row>
    <row r="200">
      <c r="A200" s="5" t="s">
        <v>9</v>
      </c>
      <c r="B200" s="6" t="str">
        <f t="array" ref="B200">IF(D200="","",
 INDEX(Product_Master!A:A,
       MATCH( INDEX(Pack_Master!B:B, MATCH(D200, Pack_Master!A:A, 0)),
              Product_Master!B:B, 0 )
))
</f>
        <v>Apparel_Caps_Beanies</v>
      </c>
      <c r="C200" s="7" t="s">
        <v>378</v>
      </c>
      <c r="D200" s="8" t="s">
        <v>378</v>
      </c>
      <c r="E200" s="9" t="s">
        <v>12</v>
      </c>
      <c r="F200" s="8">
        <v>6.161142046234E12</v>
      </c>
      <c r="G200" s="5"/>
      <c r="H200" s="5"/>
      <c r="I200" s="5"/>
    </row>
    <row r="201">
      <c r="A201" s="5" t="s">
        <v>9</v>
      </c>
      <c r="B201" s="6" t="str">
        <f t="array" ref="B201">IF(D201="","",
 INDEX(Product_Master!A:A,
       MATCH( INDEX(Pack_Master!B:B, MATCH(D201, Pack_Master!A:A, 0)),
              Product_Master!B:B, 0 )
))
</f>
        <v>Apparel_Caps_Beanies</v>
      </c>
      <c r="C201" s="7" t="s">
        <v>379</v>
      </c>
      <c r="D201" s="8" t="s">
        <v>379</v>
      </c>
      <c r="E201" s="9" t="s">
        <v>12</v>
      </c>
      <c r="F201" s="8"/>
      <c r="G201" s="5"/>
      <c r="H201" s="5"/>
      <c r="I201" s="5"/>
    </row>
    <row r="202">
      <c r="A202" s="5" t="s">
        <v>9</v>
      </c>
      <c r="B202" s="6" t="str">
        <f t="array" ref="B202">IF(D202="","",
 INDEX(Product_Master!A:A,
       MATCH( INDEX(Pack_Master!B:B, MATCH(D202, Pack_Master!A:A, 0)),
              Product_Master!B:B, 0 )
))
</f>
        <v>Apparel_Caps_Beanies</v>
      </c>
      <c r="C202" s="7" t="s">
        <v>380</v>
      </c>
      <c r="D202" s="8" t="s">
        <v>380</v>
      </c>
      <c r="E202" s="9" t="s">
        <v>12</v>
      </c>
      <c r="F202" s="8"/>
      <c r="G202" s="5"/>
      <c r="H202" s="5"/>
      <c r="I202" s="5"/>
    </row>
    <row r="203">
      <c r="A203" s="5" t="s">
        <v>9</v>
      </c>
      <c r="B203" s="6" t="str">
        <f t="array" ref="B203">IF(D203="","",
 INDEX(Product_Master!A:A,
       MATCH( INDEX(Pack_Master!B:B, MATCH(D203, Pack_Master!A:A, 0)),
              Product_Master!B:B, 0 )
))
</f>
        <v>Apparel_Caps_Beanies</v>
      </c>
      <c r="C203" s="7" t="s">
        <v>381</v>
      </c>
      <c r="D203" s="8" t="s">
        <v>381</v>
      </c>
      <c r="E203" s="9" t="s">
        <v>12</v>
      </c>
      <c r="F203" s="8"/>
      <c r="G203" s="5"/>
      <c r="H203" s="5"/>
      <c r="I203" s="5"/>
    </row>
    <row r="204">
      <c r="A204" s="5" t="s">
        <v>9</v>
      </c>
      <c r="B204" s="6" t="str">
        <f t="array" ref="B204">IF(D204="","",
 INDEX(Product_Master!A:A,
       MATCH( INDEX(Pack_Master!B:B, MATCH(D204, Pack_Master!A:A, 0)),
              Product_Master!B:B, 0 )
))
</f>
        <v>Apparel_Caps_Beanies</v>
      </c>
      <c r="C204" s="7" t="s">
        <v>382</v>
      </c>
      <c r="D204" s="8" t="s">
        <v>382</v>
      </c>
      <c r="E204" s="9" t="s">
        <v>12</v>
      </c>
      <c r="F204" s="8"/>
      <c r="G204" s="5"/>
      <c r="H204" s="5"/>
      <c r="I204" s="5"/>
    </row>
    <row r="205">
      <c r="A205" s="5" t="s">
        <v>9</v>
      </c>
      <c r="B205" s="6" t="str">
        <f t="array" ref="B205">IF(D205="","",
 INDEX(Product_Master!A:A,
       MATCH( INDEX(Pack_Master!B:B, MATCH(D205, Pack_Master!A:A, 0)),
              Product_Master!B:B, 0 )
))
</f>
        <v>Apparel_Caps_Beanies</v>
      </c>
      <c r="C205" s="7" t="s">
        <v>383</v>
      </c>
      <c r="D205" s="8" t="s">
        <v>383</v>
      </c>
      <c r="E205" s="9" t="s">
        <v>12</v>
      </c>
      <c r="F205" s="8">
        <v>6.161142047866E12</v>
      </c>
      <c r="G205" s="5"/>
      <c r="H205" s="5"/>
      <c r="I205" s="5"/>
    </row>
    <row r="206">
      <c r="A206" s="5" t="s">
        <v>9</v>
      </c>
      <c r="B206" s="6" t="str">
        <f t="array" ref="B206">IF(D206="","",
 INDEX(Product_Master!A:A,
       MATCH( INDEX(Pack_Master!B:B, MATCH(D206, Pack_Master!A:A, 0)),
              Product_Master!B:B, 0 )
))
</f>
        <v>Apparel_Caps_Beanies</v>
      </c>
      <c r="C206" s="7" t="s">
        <v>384</v>
      </c>
      <c r="D206" s="8" t="s">
        <v>384</v>
      </c>
      <c r="E206" s="9" t="s">
        <v>12</v>
      </c>
      <c r="F206" s="8"/>
      <c r="G206" s="5"/>
      <c r="H206" s="5"/>
      <c r="I206" s="5"/>
    </row>
    <row r="207">
      <c r="A207" s="5" t="s">
        <v>9</v>
      </c>
      <c r="B207" s="6" t="str">
        <f t="array" ref="B207">IF(D207="","",
 INDEX(Product_Master!A:A,
       MATCH( INDEX(Pack_Master!B:B, MATCH(D207, Pack_Master!A:A, 0)),
              Product_Master!B:B, 0 )
))
</f>
        <v>Apparel_Caps_Beanies</v>
      </c>
      <c r="C207" s="7" t="s">
        <v>385</v>
      </c>
      <c r="D207" s="8" t="s">
        <v>385</v>
      </c>
      <c r="E207" s="9" t="s">
        <v>12</v>
      </c>
      <c r="F207" s="8"/>
      <c r="G207" s="5"/>
      <c r="H207" s="5"/>
      <c r="I207" s="5"/>
    </row>
    <row r="208">
      <c r="A208" s="5" t="s">
        <v>9</v>
      </c>
      <c r="B208" s="6" t="str">
        <f t="array" ref="B208">IF(D208="","",
 INDEX(Product_Master!A:A,
       MATCH( INDEX(Pack_Master!B:B, MATCH(D208, Pack_Master!A:A, 0)),
              Product_Master!B:B, 0 )
))
</f>
        <v>Apparel_Caps_Beanies</v>
      </c>
      <c r="C208" s="7" t="s">
        <v>386</v>
      </c>
      <c r="D208" s="8" t="s">
        <v>387</v>
      </c>
      <c r="E208" s="9" t="s">
        <v>12</v>
      </c>
      <c r="F208" s="8">
        <v>6.161142043912E12</v>
      </c>
      <c r="G208" s="5"/>
      <c r="H208" s="5"/>
      <c r="I208" s="5"/>
    </row>
    <row r="209">
      <c r="A209" s="5" t="s">
        <v>9</v>
      </c>
      <c r="B209" s="6" t="str">
        <f t="array" ref="B209">IF(D209="","",
 INDEX(Product_Master!A:A,
       MATCH( INDEX(Pack_Master!B:B, MATCH(D209, Pack_Master!A:A, 0)),
              Product_Master!B:B, 0 )
))
</f>
        <v>Apparel_Caps_Beanies</v>
      </c>
      <c r="C209" s="7" t="s">
        <v>388</v>
      </c>
      <c r="D209" s="8" t="s">
        <v>389</v>
      </c>
      <c r="E209" s="9" t="s">
        <v>12</v>
      </c>
      <c r="F209" s="8">
        <v>6.161142043141E12</v>
      </c>
      <c r="G209" s="5"/>
      <c r="H209" s="5"/>
      <c r="I209" s="5"/>
    </row>
    <row r="210">
      <c r="A210" s="5" t="s">
        <v>9</v>
      </c>
      <c r="B210" s="6" t="str">
        <f t="array" ref="B210">IF(D210="","",
 INDEX(Product_Master!A:A,
       MATCH( INDEX(Pack_Master!B:B, MATCH(D210, Pack_Master!A:A, 0)),
              Product_Master!B:B, 0 )
))
</f>
        <v>Apparel_Caps_Beanies</v>
      </c>
      <c r="C210" s="7" t="s">
        <v>390</v>
      </c>
      <c r="D210" s="8" t="s">
        <v>391</v>
      </c>
      <c r="E210" s="9" t="s">
        <v>12</v>
      </c>
      <c r="F210" s="8"/>
      <c r="G210" s="5"/>
      <c r="H210" s="5"/>
      <c r="I210" s="5"/>
    </row>
    <row r="211">
      <c r="A211" s="5" t="s">
        <v>9</v>
      </c>
      <c r="B211" s="6" t="str">
        <f t="array" ref="B211">IF(D211="","",
 INDEX(Product_Master!A:A,
       MATCH( INDEX(Pack_Master!B:B, MATCH(D211, Pack_Master!A:A, 0)),
              Product_Master!B:B, 0 )
))
</f>
        <v>Apparel_Caps_Beanies</v>
      </c>
      <c r="C211" s="7" t="s">
        <v>392</v>
      </c>
      <c r="D211" s="8" t="s">
        <v>393</v>
      </c>
      <c r="E211" s="9" t="s">
        <v>12</v>
      </c>
      <c r="F211" s="8" t="s">
        <v>394</v>
      </c>
      <c r="G211" s="5"/>
      <c r="H211" s="5"/>
      <c r="I211" s="5"/>
    </row>
    <row r="212">
      <c r="A212" s="5" t="s">
        <v>9</v>
      </c>
      <c r="B212" s="6" t="str">
        <f t="array" ref="B212">IF(D212="","",
 INDEX(Product_Master!A:A,
       MATCH( INDEX(Pack_Master!B:B, MATCH(D212, Pack_Master!A:A, 0)),
              Product_Master!B:B, 0 )
))
</f>
        <v>Apparel_Caps_Beanies</v>
      </c>
      <c r="C212" s="7" t="s">
        <v>395</v>
      </c>
      <c r="D212" s="8" t="s">
        <v>396</v>
      </c>
      <c r="E212" s="9" t="s">
        <v>12</v>
      </c>
      <c r="F212" s="8" t="s">
        <v>397</v>
      </c>
      <c r="G212" s="5"/>
      <c r="H212" s="5"/>
      <c r="I212" s="5" t="s">
        <v>398</v>
      </c>
    </row>
    <row r="213">
      <c r="A213" s="5" t="s">
        <v>9</v>
      </c>
      <c r="B213" s="6" t="str">
        <f t="array" ref="B213">IF(D213="","",
 INDEX(Product_Master!A:A,
       MATCH( INDEX(Pack_Master!B:B, MATCH(D213, Pack_Master!A:A, 0)),
              Product_Master!B:B, 0 )
))
</f>
        <v>Apparel_Caps_Beanies</v>
      </c>
      <c r="C213" s="7" t="s">
        <v>399</v>
      </c>
      <c r="D213" s="8" t="s">
        <v>400</v>
      </c>
      <c r="E213" s="9" t="s">
        <v>12</v>
      </c>
      <c r="F213" s="8" t="s">
        <v>401</v>
      </c>
      <c r="G213" s="5"/>
      <c r="H213" s="5"/>
      <c r="I213" s="5"/>
    </row>
    <row r="214">
      <c r="A214" s="5" t="s">
        <v>9</v>
      </c>
      <c r="B214" s="6" t="str">
        <f t="array" ref="B214">IF(D214="","",
 INDEX(Product_Master!A:A,
       MATCH( INDEX(Pack_Master!B:B, MATCH(D214, Pack_Master!A:A, 0)),
              Product_Master!B:B, 0 )
))
</f>
        <v>Apparel_Caps_Beanies</v>
      </c>
      <c r="C214" s="7" t="s">
        <v>402</v>
      </c>
      <c r="D214" s="8" t="s">
        <v>403</v>
      </c>
      <c r="E214" s="9" t="s">
        <v>12</v>
      </c>
      <c r="F214" s="8" t="s">
        <v>404</v>
      </c>
      <c r="G214" s="5"/>
      <c r="H214" s="5"/>
      <c r="I214" s="5"/>
    </row>
    <row r="215">
      <c r="A215" s="5" t="s">
        <v>9</v>
      </c>
      <c r="B215" s="6" t="str">
        <f t="array" ref="B215">IF(D215="","",
 INDEX(Product_Master!A:A,
       MATCH( INDEX(Pack_Master!B:B, MATCH(D215, Pack_Master!A:A, 0)),
              Product_Master!B:B, 0 )
))
</f>
        <v>Apparel_Tshirts</v>
      </c>
      <c r="C215" s="7" t="s">
        <v>405</v>
      </c>
      <c r="D215" s="8" t="str">
        <f t="shared" ref="D215:D218" si="2">IF(ISNUMBER(SEARCH("TSHIRT", C215)), IF(ISNUMBER(SEARCH("WHITE", C215)), "TSHIRT-WHITE-", "TSHIRT-BLACK-") &amp; IF(ISNUMBER(SEARCH("-XXL", C215)), "XXL", IF(ISNUMBER(SEARCH("-XL", C215)), "XL", IF(ISNUMBER(SEARCH("-L", C215)), "L", IF(ISNUMBER(SEARCH("-M", C215)), "M", "")))), C215)</f>
        <v>TSHIRT-BLACK-L</v>
      </c>
      <c r="E215" s="9" t="s">
        <v>12</v>
      </c>
      <c r="F215" s="8"/>
      <c r="G215" s="5"/>
      <c r="H215" s="5"/>
      <c r="I215" s="5"/>
    </row>
    <row r="216">
      <c r="A216" s="5" t="s">
        <v>9</v>
      </c>
      <c r="B216" s="6" t="str">
        <f t="array" ref="B216">IF(D216="","",
 INDEX(Product_Master!A:A,
       MATCH( INDEX(Pack_Master!B:B, MATCH(D216, Pack_Master!A:A, 0)),
              Product_Master!B:B, 0 )
))
</f>
        <v>Apparel_Tshirts</v>
      </c>
      <c r="C216" s="7" t="s">
        <v>406</v>
      </c>
      <c r="D216" s="8" t="str">
        <f t="shared" si="2"/>
        <v>TSHIRT-BLACK-M</v>
      </c>
      <c r="E216" s="9" t="s">
        <v>12</v>
      </c>
      <c r="F216" s="8"/>
      <c r="G216" s="5"/>
      <c r="H216" s="5"/>
      <c r="I216" s="5"/>
    </row>
    <row r="217">
      <c r="A217" s="5" t="s">
        <v>9</v>
      </c>
      <c r="B217" s="6" t="str">
        <f t="array" ref="B217">IF(D217="","",
 INDEX(Product_Master!A:A,
       MATCH( INDEX(Pack_Master!B:B, MATCH(D217, Pack_Master!A:A, 0)),
              Product_Master!B:B, 0 )
))
</f>
        <v>Apparel_Tshirts</v>
      </c>
      <c r="C217" s="7" t="s">
        <v>407</v>
      </c>
      <c r="D217" s="8" t="str">
        <f t="shared" si="2"/>
        <v>TSHIRT-BLACK-XL</v>
      </c>
      <c r="E217" s="9" t="s">
        <v>12</v>
      </c>
      <c r="F217" s="8"/>
      <c r="G217" s="5"/>
      <c r="H217" s="5"/>
      <c r="I217" s="5"/>
    </row>
    <row r="218">
      <c r="A218" s="5" t="s">
        <v>9</v>
      </c>
      <c r="B218" s="6" t="str">
        <f t="array" ref="B218">IF(D218="","",
 INDEX(Product_Master!A:A,
       MATCH( INDEX(Pack_Master!B:B, MATCH(D218, Pack_Master!A:A, 0)),
              Product_Master!B:B, 0 )
))
</f>
        <v>Apparel_Tshirts</v>
      </c>
      <c r="C218" s="7" t="s">
        <v>408</v>
      </c>
      <c r="D218" s="8" t="str">
        <f t="shared" si="2"/>
        <v>TSHIRT-BLACK-XXL</v>
      </c>
      <c r="E218" s="9" t="s">
        <v>12</v>
      </c>
      <c r="F218" s="8"/>
      <c r="G218" s="5"/>
      <c r="H218" s="5"/>
      <c r="I218" s="5"/>
    </row>
    <row r="219">
      <c r="A219" s="5" t="s">
        <v>9</v>
      </c>
      <c r="B219" s="6" t="str">
        <f t="array" ref="B219">IF(D219="","",
 INDEX(Product_Master!A:A,
       MATCH( INDEX(Pack_Master!B:B, MATCH(D219, Pack_Master!A:A, 0)),
              Product_Master!B:B, 0 )
))
</f>
        <v>Kitchen_Containers</v>
      </c>
      <c r="C219" s="7" t="s">
        <v>409</v>
      </c>
      <c r="D219" s="8" t="s">
        <v>410</v>
      </c>
      <c r="E219" s="9" t="s">
        <v>12</v>
      </c>
      <c r="F219" s="8" t="s">
        <v>411</v>
      </c>
      <c r="G219" s="5"/>
      <c r="H219" s="5"/>
      <c r="I219" s="5"/>
    </row>
    <row r="220">
      <c r="A220" s="5" t="s">
        <v>9</v>
      </c>
      <c r="B220" s="6" t="str">
        <f t="array" ref="B220">IF(D220="","",
 INDEX(Product_Master!A:A,
       MATCH( INDEX(Pack_Master!B:B, MATCH(D220, Pack_Master!A:A, 0)),
              Product_Master!B:B, 0 )
))
</f>
        <v>Kitchen_Containers</v>
      </c>
      <c r="C220" s="7" t="s">
        <v>412</v>
      </c>
      <c r="D220" s="8" t="s">
        <v>413</v>
      </c>
      <c r="E220" s="9" t="s">
        <v>12</v>
      </c>
      <c r="F220" s="8" t="s">
        <v>414</v>
      </c>
      <c r="G220" s="5"/>
      <c r="H220" s="5"/>
      <c r="I220" s="5"/>
    </row>
    <row r="221">
      <c r="A221" s="5" t="s">
        <v>9</v>
      </c>
      <c r="B221" s="6" t="str">
        <f t="array" ref="B221">IF(D221="","",
 INDEX(Product_Master!A:A,
       MATCH( INDEX(Pack_Master!B:B, MATCH(D221, Pack_Master!A:A, 0)),
              Product_Master!B:B, 0 )
))
</f>
        <v>Kitchen_Containers</v>
      </c>
      <c r="C221" s="7" t="s">
        <v>415</v>
      </c>
      <c r="D221" s="8" t="s">
        <v>416</v>
      </c>
      <c r="E221" s="9" t="s">
        <v>12</v>
      </c>
      <c r="F221" s="8"/>
      <c r="G221" s="5"/>
      <c r="H221" s="5"/>
      <c r="I221" s="5"/>
    </row>
    <row r="222">
      <c r="A222" s="5" t="s">
        <v>9</v>
      </c>
      <c r="B222" s="6" t="str">
        <f t="array" ref="B222">IF(D222="","",
 INDEX(Product_Master!A:A,
       MATCH( INDEX(Pack_Master!B:B, MATCH(D222, Pack_Master!A:A, 0)),
              Product_Master!B:B, 0 )
))
</f>
        <v>Kitchen_Containers</v>
      </c>
      <c r="C222" s="7" t="s">
        <v>417</v>
      </c>
      <c r="D222" s="8" t="s">
        <v>418</v>
      </c>
      <c r="E222" s="9" t="s">
        <v>12</v>
      </c>
      <c r="F222" s="8"/>
      <c r="G222" s="5"/>
      <c r="H222" s="5"/>
      <c r="I222" s="5"/>
    </row>
    <row r="223">
      <c r="A223" s="5" t="s">
        <v>9</v>
      </c>
      <c r="B223" s="6" t="str">
        <f t="array" ref="B223">IF(D223="","",
 INDEX(Product_Master!A:A,
       MATCH( INDEX(Pack_Master!B:B, MATCH(D223, Pack_Master!A:A, 0)),
              Product_Master!B:B, 0 )
))
</f>
        <v>Kitchen_Containers</v>
      </c>
      <c r="C223" s="7" t="s">
        <v>419</v>
      </c>
      <c r="D223" s="8" t="s">
        <v>420</v>
      </c>
      <c r="E223" s="9" t="s">
        <v>12</v>
      </c>
      <c r="F223" s="8"/>
      <c r="G223" s="5"/>
      <c r="H223" s="5"/>
      <c r="I223" s="5"/>
    </row>
    <row r="224">
      <c r="A224" s="5" t="s">
        <v>9</v>
      </c>
      <c r="B224" s="6" t="str">
        <f t="array" ref="B224">IF(D224="","",
 INDEX(Product_Master!A:A,
       MATCH( INDEX(Pack_Master!B:B, MATCH(D224, Pack_Master!A:A, 0)),
              Product_Master!B:B, 0 )
))
</f>
        <v>Kitchen_Containers</v>
      </c>
      <c r="C224" s="7" t="s">
        <v>421</v>
      </c>
      <c r="D224" s="8" t="s">
        <v>422</v>
      </c>
      <c r="E224" s="9" t="s">
        <v>12</v>
      </c>
      <c r="F224" s="8"/>
      <c r="G224" s="5"/>
      <c r="H224" s="5"/>
      <c r="I224" s="5"/>
    </row>
    <row r="225">
      <c r="A225" s="5" t="s">
        <v>9</v>
      </c>
      <c r="B225" s="6" t="str">
        <f t="array" ref="B225">IF(D225="","",
 INDEX(Product_Master!A:A,
       MATCH( INDEX(Pack_Master!B:B, MATCH(D225, Pack_Master!A:A, 0)),
              Product_Master!B:B, 0 )
))
</f>
        <v>Kitchen_Containers</v>
      </c>
      <c r="C225" s="7" t="s">
        <v>423</v>
      </c>
      <c r="D225" s="8" t="s">
        <v>424</v>
      </c>
      <c r="E225" s="9" t="s">
        <v>12</v>
      </c>
      <c r="F225" s="8"/>
      <c r="G225" s="5"/>
      <c r="H225" s="5"/>
      <c r="I225" s="5"/>
    </row>
    <row r="226">
      <c r="A226" s="5" t="s">
        <v>9</v>
      </c>
      <c r="B226" s="6" t="str">
        <f t="array" ref="B226">IF(D226="","",
 INDEX(Product_Master!A:A,
       MATCH( INDEX(Pack_Master!B:B, MATCH(D226, Pack_Master!A:A, 0)),
              Product_Master!B:B, 0 )
))
</f>
        <v>Kitchen_Containers</v>
      </c>
      <c r="C226" s="7" t="s">
        <v>425</v>
      </c>
      <c r="D226" s="8" t="s">
        <v>426</v>
      </c>
      <c r="E226" s="9" t="s">
        <v>12</v>
      </c>
      <c r="F226" s="8"/>
      <c r="G226" s="5"/>
      <c r="H226" s="5"/>
      <c r="I226" s="5"/>
    </row>
    <row r="227">
      <c r="A227" s="5" t="s">
        <v>9</v>
      </c>
      <c r="B227" s="6" t="str">
        <f t="array" ref="B227">IF(D227="","",
 INDEX(Product_Master!A:A,
       MATCH( INDEX(Pack_Master!B:B, MATCH(D227, Pack_Master!A:A, 0)),
              Product_Master!B:B, 0 )
))
</f>
        <v>Kitchen_Containers</v>
      </c>
      <c r="C227" s="7" t="s">
        <v>427</v>
      </c>
      <c r="D227" s="8" t="s">
        <v>428</v>
      </c>
      <c r="E227" s="9" t="s">
        <v>12</v>
      </c>
      <c r="F227" s="8"/>
      <c r="G227" s="5"/>
      <c r="H227" s="5"/>
      <c r="I227" s="5"/>
    </row>
    <row r="228">
      <c r="A228" s="5" t="s">
        <v>9</v>
      </c>
      <c r="B228" s="6" t="str">
        <f t="array" ref="B228">IF(D228="","",
 INDEX(Product_Master!A:A,
       MATCH( INDEX(Pack_Master!B:B, MATCH(D228, Pack_Master!A:A, 0)),
              Product_Master!B:B, 0 )
))
</f>
        <v>Kitchen_Containers</v>
      </c>
      <c r="C228" s="7" t="s">
        <v>429</v>
      </c>
      <c r="D228" s="8" t="s">
        <v>430</v>
      </c>
      <c r="E228" s="9" t="s">
        <v>12</v>
      </c>
      <c r="F228" s="8"/>
      <c r="G228" s="5"/>
      <c r="H228" s="5"/>
      <c r="I228" s="5"/>
    </row>
    <row r="229">
      <c r="A229" s="5" t="s">
        <v>9</v>
      </c>
      <c r="B229" s="6" t="str">
        <f t="array" ref="B229">IF(D229="","",
 INDEX(Product_Master!A:A,
       MATCH( INDEX(Pack_Master!B:B, MATCH(D229, Pack_Master!A:A, 0)),
              Product_Master!B:B, 0 )
))
</f>
        <v>Kitchen_Containers</v>
      </c>
      <c r="C229" s="7" t="s">
        <v>431</v>
      </c>
      <c r="D229" s="8" t="s">
        <v>432</v>
      </c>
      <c r="E229" s="9" t="s">
        <v>12</v>
      </c>
      <c r="F229" s="8"/>
      <c r="G229" s="5"/>
      <c r="H229" s="5"/>
      <c r="I229" s="5"/>
    </row>
    <row r="230">
      <c r="A230" s="5" t="s">
        <v>9</v>
      </c>
      <c r="B230" s="6" t="str">
        <f t="array" ref="B230">IF(D230="","",
 INDEX(Product_Master!A:A,
       MATCH( INDEX(Pack_Master!B:B, MATCH(D230, Pack_Master!A:A, 0)),
              Product_Master!B:B, 0 )
))
</f>
        <v>Kitchen_Containers</v>
      </c>
      <c r="C230" s="7" t="s">
        <v>433</v>
      </c>
      <c r="D230" s="8" t="s">
        <v>434</v>
      </c>
      <c r="E230" s="9" t="s">
        <v>12</v>
      </c>
      <c r="F230" s="8"/>
      <c r="G230" s="5"/>
      <c r="H230" s="5"/>
      <c r="I230" s="5"/>
    </row>
    <row r="231">
      <c r="A231" s="5" t="s">
        <v>9</v>
      </c>
      <c r="B231" s="6" t="str">
        <f t="array" ref="B231">IF(D231="","",
 INDEX(Product_Master!A:A,
       MATCH( INDEX(Pack_Master!B:B, MATCH(D231, Pack_Master!A:A, 0)),
              Product_Master!B:B, 0 )
))
</f>
        <v>Kitchen_Containers</v>
      </c>
      <c r="C231" s="7" t="s">
        <v>435</v>
      </c>
      <c r="D231" s="8" t="s">
        <v>436</v>
      </c>
      <c r="E231" s="9" t="s">
        <v>12</v>
      </c>
      <c r="F231" s="8"/>
      <c r="G231" s="5"/>
      <c r="H231" s="5"/>
      <c r="I231" s="5"/>
    </row>
    <row r="232">
      <c r="A232" s="5" t="s">
        <v>9</v>
      </c>
      <c r="B232" s="6" t="str">
        <f t="array" ref="B232">IF(D232="","",
 INDEX(Product_Master!A:A,
       MATCH( INDEX(Pack_Master!B:B, MATCH(D232, Pack_Master!A:A, 0)),
              Product_Master!B:B, 0 )
))
</f>
        <v>Kitchen_Containers</v>
      </c>
      <c r="C232" s="7" t="s">
        <v>437</v>
      </c>
      <c r="D232" s="8" t="s">
        <v>438</v>
      </c>
      <c r="E232" s="9" t="s">
        <v>12</v>
      </c>
      <c r="F232" s="8"/>
      <c r="G232" s="5"/>
      <c r="H232" s="5"/>
      <c r="I232" s="5"/>
    </row>
    <row r="233">
      <c r="A233" s="5" t="s">
        <v>9</v>
      </c>
      <c r="B233" s="6" t="str">
        <f t="array" ref="B233">IF(D233="","",
 INDEX(Product_Master!A:A,
       MATCH( INDEX(Pack_Master!B:B, MATCH(D233, Pack_Master!A:A, 0)),
              Product_Master!B:B, 0 )
))
</f>
        <v>Kitchen_Containers</v>
      </c>
      <c r="C233" s="7" t="s">
        <v>439</v>
      </c>
      <c r="D233" s="8" t="s">
        <v>440</v>
      </c>
      <c r="E233" s="9" t="s">
        <v>12</v>
      </c>
      <c r="F233" s="8"/>
      <c r="G233" s="5"/>
      <c r="H233" s="5"/>
      <c r="I233" s="5"/>
    </row>
    <row r="234">
      <c r="A234" s="5" t="s">
        <v>9</v>
      </c>
      <c r="B234" s="6" t="str">
        <f t="array" ref="B234">IF(D234="","",
 INDEX(Product_Master!A:A,
       MATCH( INDEX(Pack_Master!B:B, MATCH(D234, Pack_Master!A:A, 0)),
              Product_Master!B:B, 0 )
))
</f>
        <v>Kitchen_Containers</v>
      </c>
      <c r="C234" s="7" t="s">
        <v>441</v>
      </c>
      <c r="D234" s="8" t="s">
        <v>442</v>
      </c>
      <c r="E234" s="9" t="s">
        <v>12</v>
      </c>
      <c r="F234" s="8"/>
      <c r="G234" s="5"/>
      <c r="H234" s="5"/>
      <c r="I234" s="5"/>
    </row>
    <row r="235">
      <c r="A235" s="5" t="s">
        <v>9</v>
      </c>
      <c r="B235" s="6" t="str">
        <f t="array" ref="B235">IF(D235="","",
 INDEX(Product_Master!A:A,
       MATCH( INDEX(Pack_Master!B:B, MATCH(D235, Pack_Master!A:A, 0)),
              Product_Master!B:B, 0 )
))
</f>
        <v>Kitchen_Containers</v>
      </c>
      <c r="C235" s="7" t="s">
        <v>443</v>
      </c>
      <c r="D235" s="8" t="s">
        <v>444</v>
      </c>
      <c r="E235" s="9" t="s">
        <v>12</v>
      </c>
      <c r="F235" s="8"/>
      <c r="G235" s="5"/>
      <c r="H235" s="5"/>
      <c r="I235" s="5"/>
    </row>
    <row r="236">
      <c r="A236" s="5" t="s">
        <v>9</v>
      </c>
      <c r="B236" s="6" t="str">
        <f t="array" ref="B236">IF(D236="","",
 INDEX(Product_Master!A:A,
       MATCH( INDEX(Pack_Master!B:B, MATCH(D236, Pack_Master!A:A, 0)),
              Product_Master!B:B, 0 )
))
</f>
        <v>Kitchen_Containers</v>
      </c>
      <c r="C236" s="7" t="s">
        <v>445</v>
      </c>
      <c r="D236" s="8" t="s">
        <v>446</v>
      </c>
      <c r="E236" s="9" t="s">
        <v>12</v>
      </c>
      <c r="F236" s="8"/>
      <c r="G236" s="5"/>
      <c r="H236" s="5"/>
      <c r="I236" s="5"/>
    </row>
    <row r="237">
      <c r="A237" s="5" t="s">
        <v>9</v>
      </c>
      <c r="B237" s="6" t="str">
        <f t="array" ref="B237">IF(D237="","",
 INDEX(Product_Master!A:A,
       MATCH( INDEX(Pack_Master!B:B, MATCH(D237, Pack_Master!A:A, 0)),
              Product_Master!B:B, 0 )
))
</f>
        <v>Kitchen_Containers</v>
      </c>
      <c r="C237" s="7" t="s">
        <v>447</v>
      </c>
      <c r="D237" s="8" t="s">
        <v>448</v>
      </c>
      <c r="E237" s="9" t="s">
        <v>12</v>
      </c>
      <c r="F237" s="8"/>
      <c r="G237" s="5"/>
      <c r="H237" s="5"/>
      <c r="I237" s="5"/>
    </row>
    <row r="238">
      <c r="A238" s="5" t="s">
        <v>9</v>
      </c>
      <c r="B238" s="6" t="str">
        <f t="array" ref="B238">IF(D238="","",
 INDEX(Product_Master!A:A,
       MATCH( INDEX(Pack_Master!B:B, MATCH(D238, Pack_Master!A:A, 0)),
              Product_Master!B:B, 0 )
))
</f>
        <v>Kitchen_Containers</v>
      </c>
      <c r="C238" s="7" t="s">
        <v>449</v>
      </c>
      <c r="D238" s="8" t="s">
        <v>450</v>
      </c>
      <c r="E238" s="9" t="s">
        <v>12</v>
      </c>
      <c r="F238" s="8"/>
      <c r="G238" s="5"/>
      <c r="H238" s="5"/>
      <c r="I238" s="5"/>
    </row>
    <row r="239">
      <c r="A239" s="5" t="s">
        <v>9</v>
      </c>
      <c r="B239" s="6" t="str">
        <f t="array" ref="B239">IF(D239="","",
 INDEX(Product_Master!A:A,
       MATCH( INDEX(Pack_Master!B:B, MATCH(D239, Pack_Master!A:A, 0)),
              Product_Master!B:B, 0 )
))
</f>
        <v>Kitchen_Containers</v>
      </c>
      <c r="C239" s="7" t="s">
        <v>451</v>
      </c>
      <c r="D239" s="8" t="s">
        <v>452</v>
      </c>
      <c r="E239" s="9" t="s">
        <v>12</v>
      </c>
      <c r="F239" s="8" t="s">
        <v>453</v>
      </c>
      <c r="G239" s="5"/>
      <c r="H239" s="5"/>
      <c r="I239" s="5"/>
    </row>
    <row r="240">
      <c r="A240" s="5" t="s">
        <v>9</v>
      </c>
      <c r="B240" s="6" t="str">
        <f t="array" ref="B240">IF(D240="","",
 INDEX(Product_Master!A:A,
       MATCH( INDEX(Pack_Master!B:B, MATCH(D240, Pack_Master!A:A, 0)),
              Product_Master!B:B, 0 )
))
</f>
        <v>Kitchen_Containers</v>
      </c>
      <c r="C240" s="7" t="s">
        <v>454</v>
      </c>
      <c r="D240" s="8" t="s">
        <v>455</v>
      </c>
      <c r="E240" s="9" t="s">
        <v>12</v>
      </c>
      <c r="F240" s="8" t="s">
        <v>456</v>
      </c>
      <c r="G240" s="5"/>
      <c r="H240" s="5"/>
      <c r="I240" s="5"/>
    </row>
    <row r="241">
      <c r="A241" s="5" t="s">
        <v>9</v>
      </c>
      <c r="B241" s="6" t="str">
        <f t="array" ref="B241">IF(D241="","",
 INDEX(Product_Master!A:A,
       MATCH( INDEX(Pack_Master!B:B, MATCH(D241, Pack_Master!A:A, 0)),
              Product_Master!B:B, 0 )
))
</f>
        <v>Automotive_FaceMasks</v>
      </c>
      <c r="C241" s="7" t="s">
        <v>457</v>
      </c>
      <c r="D241" s="8" t="s">
        <v>458</v>
      </c>
      <c r="E241" s="9" t="s">
        <v>12</v>
      </c>
      <c r="F241" s="8"/>
      <c r="G241" s="5"/>
      <c r="H241" s="5"/>
      <c r="I241" s="5"/>
    </row>
    <row r="242">
      <c r="A242" s="5" t="s">
        <v>9</v>
      </c>
      <c r="B242" s="6" t="str">
        <f t="array" ref="B242">IF(D242="","",
 INDEX(Product_Master!A:A,
       MATCH( INDEX(Pack_Master!B:B, MATCH(D242, Pack_Master!A:A, 0)),
              Product_Master!B:B, 0 )
))
</f>
        <v>Apparel_Caps_Beanies</v>
      </c>
      <c r="C242" s="7" t="s">
        <v>459</v>
      </c>
      <c r="D242" s="8" t="s">
        <v>460</v>
      </c>
      <c r="E242" s="9" t="s">
        <v>12</v>
      </c>
      <c r="F242" s="8"/>
      <c r="G242" s="5"/>
      <c r="H242" s="5"/>
      <c r="I242" s="5"/>
    </row>
    <row r="243">
      <c r="A243" s="5" t="s">
        <v>9</v>
      </c>
      <c r="B243" s="6" t="str">
        <f t="array" ref="B243">IF(D243="","",
 INDEX(Product_Master!A:A,
       MATCH( INDEX(Pack_Master!B:B, MATCH(D243, Pack_Master!A:A, 0)),
              Product_Master!B:B, 0 )
))
</f>
        <v>Apparel_Accessories_Winter</v>
      </c>
      <c r="C243" s="7" t="s">
        <v>461</v>
      </c>
      <c r="D243" s="8" t="s">
        <v>462</v>
      </c>
      <c r="E243" s="9" t="s">
        <v>12</v>
      </c>
      <c r="F243" s="8"/>
      <c r="G243" s="5"/>
      <c r="H243" s="5"/>
      <c r="I243" s="5"/>
    </row>
    <row r="244">
      <c r="A244" s="5" t="s">
        <v>9</v>
      </c>
      <c r="B244" s="6" t="str">
        <f t="array" ref="B244">IF(D244="","",
 INDEX(Product_Master!A:A,
       MATCH( INDEX(Pack_Master!B:B, MATCH(D244, Pack_Master!A:A, 0)),
              Product_Master!B:B, 0 )
))
</f>
        <v>Apparel_Accessories_Winter</v>
      </c>
      <c r="C244" s="7" t="s">
        <v>463</v>
      </c>
      <c r="D244" s="8" t="s">
        <v>462</v>
      </c>
      <c r="E244" s="9" t="s">
        <v>12</v>
      </c>
      <c r="F244" s="8"/>
      <c r="G244" s="5"/>
      <c r="H244" s="5"/>
      <c r="I244" s="5"/>
    </row>
    <row r="245">
      <c r="A245" s="5" t="s">
        <v>9</v>
      </c>
      <c r="B245" s="6" t="str">
        <f t="array" ref="B245">IF(D245="","",
 INDEX(Product_Master!A:A,
       MATCH( INDEX(Pack_Master!B:B, MATCH(D245, Pack_Master!A:A, 0)),
              Product_Master!B:B, 0 )
))
</f>
        <v>Apparel_ArmSleeves</v>
      </c>
      <c r="C245" s="7" t="s">
        <v>464</v>
      </c>
      <c r="D245" s="8" t="s">
        <v>140</v>
      </c>
      <c r="E245" s="9" t="s">
        <v>12</v>
      </c>
      <c r="F245" s="8"/>
      <c r="G245" s="5"/>
      <c r="H245" s="5"/>
      <c r="I245" s="5"/>
    </row>
    <row r="246">
      <c r="A246" s="5" t="s">
        <v>9</v>
      </c>
      <c r="B246" s="6" t="str">
        <f t="array" ref="B246">IF(D246="","",
 INDEX(Product_Master!A:A,
       MATCH( INDEX(Pack_Master!B:B, MATCH(D246, Pack_Master!A:A, 0)),
              Product_Master!B:B, 0 )
))
</f>
        <v>Apparel_Accessories_Winter</v>
      </c>
      <c r="C246" s="7" t="s">
        <v>465</v>
      </c>
      <c r="D246" s="8" t="s">
        <v>462</v>
      </c>
      <c r="E246" s="9" t="s">
        <v>12</v>
      </c>
      <c r="F246" s="8"/>
      <c r="G246" s="5"/>
      <c r="H246" s="5"/>
      <c r="I246" s="5"/>
    </row>
    <row r="247">
      <c r="A247" s="5" t="s">
        <v>9</v>
      </c>
      <c r="B247" s="6" t="str">
        <f t="array" ref="B247">IF(D247="","",
 INDEX(Product_Master!A:A,
       MATCH( INDEX(Pack_Master!B:B, MATCH(D247, Pack_Master!A:A, 0)),
              Product_Master!B:B, 0 )
))
</f>
        <v/>
      </c>
      <c r="C247" s="7" t="s">
        <v>466</v>
      </c>
      <c r="D247" s="8"/>
      <c r="E247" s="9" t="s">
        <v>12</v>
      </c>
      <c r="F247" s="8" t="s">
        <v>467</v>
      </c>
      <c r="G247" s="5"/>
      <c r="H247" s="5"/>
      <c r="I247" s="5"/>
    </row>
    <row r="248">
      <c r="A248" s="5" t="s">
        <v>9</v>
      </c>
      <c r="B248" s="6" t="str">
        <f t="array" ref="B248">IF(D248="","",
 INDEX(Product_Master!A:A,
       MATCH( INDEX(Pack_Master!B:B, MATCH(D248, Pack_Master!A:A, 0)),
              Product_Master!B:B, 0 )
))
</f>
        <v>Apparel_Accessories_Winter</v>
      </c>
      <c r="C248" s="7" t="s">
        <v>468</v>
      </c>
      <c r="D248" s="8" t="s">
        <v>469</v>
      </c>
      <c r="E248" s="9" t="s">
        <v>12</v>
      </c>
      <c r="F248" s="8"/>
      <c r="G248" s="5"/>
      <c r="H248" s="5"/>
      <c r="I248" s="5"/>
    </row>
    <row r="249">
      <c r="A249" s="5" t="s">
        <v>9</v>
      </c>
      <c r="B249" s="6" t="str">
        <f t="array" ref="B249">IF(D249="","",
 INDEX(Product_Master!A:A,
       MATCH( INDEX(Pack_Master!B:B, MATCH(D249, Pack_Master!A:A, 0)),
              Product_Master!B:B, 0 )
))
</f>
        <v>Apparel_Caps_Beanies</v>
      </c>
      <c r="C249" s="7" t="s">
        <v>470</v>
      </c>
      <c r="D249" s="8" t="s">
        <v>471</v>
      </c>
      <c r="E249" s="9" t="s">
        <v>12</v>
      </c>
      <c r="F249" s="8"/>
      <c r="G249" s="5"/>
      <c r="H249" s="5"/>
      <c r="I249" s="5"/>
    </row>
    <row r="250">
      <c r="A250" s="5" t="s">
        <v>9</v>
      </c>
      <c r="B250" s="6" t="str">
        <f t="array" ref="B250">IF(D250="","",
 INDEX(Product_Master!A:A,
       MATCH( INDEX(Pack_Master!B:B, MATCH(D250, Pack_Master!A:A, 0)),
              Product_Master!B:B, 0 )
))
</f>
        <v>Apparel_Hoodies_Sweatshirts</v>
      </c>
      <c r="C250" s="7" t="s">
        <v>472</v>
      </c>
      <c r="D250" s="8" t="s">
        <v>472</v>
      </c>
      <c r="E250" s="9" t="s">
        <v>12</v>
      </c>
      <c r="F250" s="8" t="s">
        <v>473</v>
      </c>
      <c r="G250" s="5"/>
      <c r="H250" s="5"/>
      <c r="I250" s="5"/>
    </row>
    <row r="251">
      <c r="A251" s="5" t="s">
        <v>9</v>
      </c>
      <c r="B251" s="6" t="str">
        <f t="array" ref="B251">IF(D251="","",
 INDEX(Product_Master!A:A,
       MATCH( INDEX(Pack_Master!B:B, MATCH(D251, Pack_Master!A:A, 0)),
              Product_Master!B:B, 0 )
))
</f>
        <v>Apparel_Hoodies_Sweatshirts</v>
      </c>
      <c r="C251" s="7" t="s">
        <v>474</v>
      </c>
      <c r="D251" s="8" t="s">
        <v>474</v>
      </c>
      <c r="E251" s="9" t="s">
        <v>12</v>
      </c>
      <c r="F251" s="8" t="s">
        <v>475</v>
      </c>
      <c r="G251" s="5"/>
      <c r="H251" s="5"/>
      <c r="I251" s="5"/>
    </row>
    <row r="252">
      <c r="A252" s="5" t="s">
        <v>9</v>
      </c>
      <c r="B252" s="6" t="str">
        <f t="array" ref="B252">IF(D252="","",
 INDEX(Product_Master!A:A,
       MATCH( INDEX(Pack_Master!B:B, MATCH(D252, Pack_Master!A:A, 0)),
              Product_Master!B:B, 0 )
))
</f>
        <v>Apparel_Hoodies_Sweatshirts</v>
      </c>
      <c r="C252" s="7" t="s">
        <v>476</v>
      </c>
      <c r="D252" s="8" t="s">
        <v>476</v>
      </c>
      <c r="E252" s="9" t="s">
        <v>12</v>
      </c>
      <c r="F252" s="8" t="s">
        <v>477</v>
      </c>
      <c r="G252" s="5"/>
      <c r="H252" s="5"/>
      <c r="I252" s="5"/>
    </row>
    <row r="253">
      <c r="A253" s="5" t="s">
        <v>9</v>
      </c>
      <c r="B253" s="6" t="str">
        <f t="array" ref="B253">IF(D253="","",
 INDEX(Product_Master!A:A,
       MATCH( INDEX(Pack_Master!B:B, MATCH(D253, Pack_Master!A:A, 0)),
              Product_Master!B:B, 0 )
))
</f>
        <v>Apparel_Hoodies_Sweatshirts</v>
      </c>
      <c r="C253" s="7" t="s">
        <v>478</v>
      </c>
      <c r="D253" s="8" t="s">
        <v>478</v>
      </c>
      <c r="E253" s="9" t="s">
        <v>12</v>
      </c>
      <c r="F253" s="8" t="s">
        <v>479</v>
      </c>
      <c r="G253" s="5"/>
      <c r="H253" s="5"/>
      <c r="I253" s="5"/>
    </row>
    <row r="254">
      <c r="A254" s="5" t="s">
        <v>9</v>
      </c>
      <c r="B254" s="6" t="str">
        <f t="array" ref="B254">IF(D254="","",
 INDEX(Product_Master!A:A,
       MATCH( INDEX(Pack_Master!B:B, MATCH(D254, Pack_Master!A:A, 0)),
              Product_Master!B:B, 0 )
))
</f>
        <v>Apparel_Hoodies_Sweatshirts</v>
      </c>
      <c r="C254" s="7" t="s">
        <v>480</v>
      </c>
      <c r="D254" s="8" t="s">
        <v>480</v>
      </c>
      <c r="E254" s="9" t="s">
        <v>12</v>
      </c>
      <c r="F254" s="8" t="s">
        <v>481</v>
      </c>
      <c r="G254" s="5"/>
      <c r="H254" s="5"/>
      <c r="I254" s="5"/>
    </row>
    <row r="255">
      <c r="A255" s="5" t="s">
        <v>9</v>
      </c>
      <c r="B255" s="6" t="str">
        <f t="array" ref="B255">IF(D255="","",
 INDEX(Product_Master!A:A,
       MATCH( INDEX(Pack_Master!B:B, MATCH(D255, Pack_Master!A:A, 0)),
              Product_Master!B:B, 0 )
))
</f>
        <v>Kitchen_Containers</v>
      </c>
      <c r="C255" s="7" t="s">
        <v>482</v>
      </c>
      <c r="D255" s="8" t="s">
        <v>483</v>
      </c>
      <c r="E255" s="9" t="s">
        <v>12</v>
      </c>
      <c r="F255" s="8" t="s">
        <v>484</v>
      </c>
      <c r="G255" s="5"/>
      <c r="H255" s="5"/>
      <c r="I255" s="5"/>
    </row>
    <row r="256">
      <c r="A256" s="5" t="s">
        <v>9</v>
      </c>
      <c r="B256" s="6" t="str">
        <f t="array" ref="B256">IF(D256="","",
 INDEX(Product_Master!A:A,
       MATCH( INDEX(Pack_Master!B:B, MATCH(D256, Pack_Master!A:A, 0)),
              Product_Master!B:B, 0 )
))
</f>
        <v>Kitchen_Containers</v>
      </c>
      <c r="C256" s="7" t="s">
        <v>485</v>
      </c>
      <c r="D256" s="8" t="s">
        <v>486</v>
      </c>
      <c r="E256" s="9" t="s">
        <v>12</v>
      </c>
      <c r="F256" s="8" t="s">
        <v>487</v>
      </c>
      <c r="G256" s="5"/>
      <c r="H256" s="5"/>
      <c r="I256" s="5"/>
    </row>
    <row r="257">
      <c r="A257" s="5" t="s">
        <v>9</v>
      </c>
      <c r="B257" s="6" t="str">
        <f t="array" ref="B257">IF(D257="","",
 INDEX(Product_Master!A:A,
       MATCH( INDEX(Pack_Master!B:B, MATCH(D257, Pack_Master!A:A, 0)),
              Product_Master!B:B, 0 )
))
</f>
        <v>Kitchen_Containers</v>
      </c>
      <c r="C257" s="7" t="s">
        <v>488</v>
      </c>
      <c r="D257" s="8" t="s">
        <v>489</v>
      </c>
      <c r="E257" s="9" t="s">
        <v>12</v>
      </c>
      <c r="F257" s="8" t="s">
        <v>490</v>
      </c>
      <c r="G257" s="5"/>
      <c r="H257" s="5"/>
      <c r="I257" s="5"/>
    </row>
    <row r="258">
      <c r="A258" s="5" t="s">
        <v>9</v>
      </c>
      <c r="B258" s="6" t="str">
        <f t="array" ref="B258">IF(D258="","",
 INDEX(Product_Master!A:A,
       MATCH( INDEX(Pack_Master!B:B, MATCH(D258, Pack_Master!A:A, 0)),
              Product_Master!B:B, 0 )
))
</f>
        <v>Kitchen_Containers</v>
      </c>
      <c r="C258" s="7" t="s">
        <v>491</v>
      </c>
      <c r="D258" s="8" t="s">
        <v>492</v>
      </c>
      <c r="E258" s="9" t="s">
        <v>12</v>
      </c>
      <c r="F258" s="8" t="s">
        <v>493</v>
      </c>
      <c r="G258" s="5"/>
      <c r="H258" s="5"/>
      <c r="I258" s="5"/>
    </row>
    <row r="259">
      <c r="A259" s="5" t="s">
        <v>9</v>
      </c>
      <c r="B259" s="6" t="str">
        <f t="array" ref="B259">IF(D259="","",
 INDEX(Product_Master!A:A,
       MATCH( INDEX(Pack_Master!B:B, MATCH(D259, Pack_Master!A:A, 0)),
              Product_Master!B:B, 0 )
))
</f>
        <v>Kitchen_Containers</v>
      </c>
      <c r="C259" s="7" t="s">
        <v>494</v>
      </c>
      <c r="D259" s="8" t="s">
        <v>495</v>
      </c>
      <c r="E259" s="9" t="s">
        <v>12</v>
      </c>
      <c r="F259" s="8" t="s">
        <v>496</v>
      </c>
      <c r="G259" s="5"/>
      <c r="H259" s="5"/>
      <c r="I259" s="5"/>
    </row>
    <row r="260">
      <c r="A260" s="5" t="s">
        <v>9</v>
      </c>
      <c r="B260" s="6" t="str">
        <f t="array" ref="B260">IF(D260="","",
 INDEX(Product_Master!A:A,
       MATCH( INDEX(Pack_Master!B:B, MATCH(D260, Pack_Master!A:A, 0)),
              Product_Master!B:B, 0 )
))
</f>
        <v>Kitchen_Containers</v>
      </c>
      <c r="C260" s="7" t="s">
        <v>497</v>
      </c>
      <c r="D260" s="8" t="s">
        <v>498</v>
      </c>
      <c r="E260" s="9" t="s">
        <v>12</v>
      </c>
      <c r="F260" s="8" t="s">
        <v>499</v>
      </c>
      <c r="G260" s="5"/>
      <c r="H260" s="5"/>
      <c r="I260" s="5"/>
    </row>
    <row r="261">
      <c r="A261" s="5" t="s">
        <v>9</v>
      </c>
      <c r="B261" s="6" t="str">
        <f t="array" ref="B261">IF(D261="","",
 INDEX(Product_Master!A:A,
       MATCH( INDEX(Pack_Master!B:B, MATCH(D261, Pack_Master!A:A, 0)),
              Product_Master!B:B, 0 )
))
</f>
        <v>Apparel_ArmSleeves</v>
      </c>
      <c r="C261" s="7" t="s">
        <v>500</v>
      </c>
      <c r="D261" s="8" t="s">
        <v>350</v>
      </c>
      <c r="E261" s="9" t="s">
        <v>12</v>
      </c>
      <c r="F261" s="8" t="s">
        <v>501</v>
      </c>
      <c r="G261" s="5"/>
      <c r="H261" s="5"/>
      <c r="I261" s="5"/>
    </row>
    <row r="262">
      <c r="A262" s="5" t="s">
        <v>9</v>
      </c>
      <c r="B262" s="6" t="str">
        <f t="array" ref="B262">IF(D262="","",
 INDEX(Product_Master!A:A,
       MATCH( INDEX(Pack_Master!B:B, MATCH(D262, Pack_Master!A:A, 0)),
              Product_Master!B:B, 0 )
))
</f>
        <v>Apparel_ArmSleeves</v>
      </c>
      <c r="C262" s="7" t="s">
        <v>502</v>
      </c>
      <c r="D262" s="8" t="s">
        <v>140</v>
      </c>
      <c r="E262" s="9" t="s">
        <v>12</v>
      </c>
      <c r="F262" s="8" t="s">
        <v>503</v>
      </c>
      <c r="G262" s="5"/>
      <c r="H262" s="5"/>
      <c r="I262" s="5"/>
    </row>
    <row r="263">
      <c r="A263" s="5" t="s">
        <v>9</v>
      </c>
      <c r="B263" s="6" t="str">
        <f t="array" ref="B263">IF(D263="","",
 INDEX(Product_Master!A:A,
       MATCH( INDEX(Pack_Master!B:B, MATCH(D263, Pack_Master!A:A, 0)),
              Product_Master!B:B, 0 )
))
</f>
        <v>Apparel_ArmSleeves</v>
      </c>
      <c r="C263" s="7" t="s">
        <v>504</v>
      </c>
      <c r="D263" s="8" t="s">
        <v>505</v>
      </c>
      <c r="E263" s="9" t="s">
        <v>12</v>
      </c>
      <c r="F263" s="8" t="s">
        <v>506</v>
      </c>
      <c r="G263" s="5"/>
      <c r="H263" s="5"/>
      <c r="I263" s="5"/>
    </row>
    <row r="264">
      <c r="A264" s="5" t="s">
        <v>9</v>
      </c>
      <c r="B264" s="6" t="str">
        <f t="array" ref="B264">IF(D264="","",
 INDEX(Product_Master!A:A,
       MATCH( INDEX(Pack_Master!B:B, MATCH(D264, Pack_Master!A:A, 0)),
              Product_Master!B:B, 0 )
))
</f>
        <v>Apparel_ArmSleeves</v>
      </c>
      <c r="C264" s="7" t="s">
        <v>507</v>
      </c>
      <c r="D264" s="8" t="s">
        <v>508</v>
      </c>
      <c r="E264" s="9" t="s">
        <v>12</v>
      </c>
      <c r="F264" s="8" t="s">
        <v>509</v>
      </c>
      <c r="G264" s="5"/>
      <c r="H264" s="5"/>
      <c r="I264" s="5"/>
    </row>
    <row r="265">
      <c r="A265" s="5" t="s">
        <v>9</v>
      </c>
      <c r="B265" s="6" t="str">
        <f t="array" ref="B265">IF(D265="","",
 INDEX(Product_Master!A:A,
       MATCH( INDEX(Pack_Master!B:B, MATCH(D265, Pack_Master!A:A, 0)),
              Product_Master!B:B, 0 )
))
</f>
        <v>Apparel_ArmSleeves</v>
      </c>
      <c r="C265" s="7" t="s">
        <v>510</v>
      </c>
      <c r="D265" s="8" t="s">
        <v>511</v>
      </c>
      <c r="E265" s="9" t="s">
        <v>12</v>
      </c>
      <c r="F265" s="8">
        <v>6.161142039915E12</v>
      </c>
      <c r="G265" s="5"/>
      <c r="H265" s="5"/>
      <c r="I265" s="5"/>
    </row>
    <row r="266">
      <c r="A266" s="5" t="s">
        <v>9</v>
      </c>
      <c r="B266" s="6" t="str">
        <f t="array" ref="B266">IF(D266="","",
 INDEX(Product_Master!A:A,
       MATCH( INDEX(Pack_Master!B:B, MATCH(D266, Pack_Master!A:A, 0)),
              Product_Master!B:B, 0 )
))
</f>
        <v>Apparel_ArmSleeves</v>
      </c>
      <c r="C266" s="7" t="s">
        <v>512</v>
      </c>
      <c r="D266" s="8" t="s">
        <v>11</v>
      </c>
      <c r="E266" s="9" t="s">
        <v>12</v>
      </c>
      <c r="F266" s="8">
        <v>6.161142040935E12</v>
      </c>
      <c r="G266" s="5"/>
      <c r="H266" s="5"/>
      <c r="I266" s="5"/>
    </row>
    <row r="267">
      <c r="A267" s="5" t="s">
        <v>9</v>
      </c>
      <c r="B267" s="6" t="str">
        <f t="array" ref="B267">IF(D267="","",
 INDEX(Product_Master!A:A,
       MATCH( INDEX(Pack_Master!B:B, MATCH(D267, Pack_Master!A:A, 0)),
              Product_Master!B:B, 0 )
))
</f>
        <v>Apparel_ArmSleeves</v>
      </c>
      <c r="C267" s="7" t="s">
        <v>513</v>
      </c>
      <c r="D267" s="8" t="s">
        <v>514</v>
      </c>
      <c r="E267" s="9" t="s">
        <v>12</v>
      </c>
      <c r="F267" s="8">
        <v>6.161142038376E12</v>
      </c>
      <c r="G267" s="5"/>
      <c r="H267" s="5"/>
      <c r="I267" s="5"/>
    </row>
    <row r="268">
      <c r="A268" s="5" t="s">
        <v>9</v>
      </c>
      <c r="B268" s="6" t="str">
        <f t="array" ref="B268">IF(D268="","",
 INDEX(Product_Master!A:A,
       MATCH( INDEX(Pack_Master!B:B, MATCH(D268, Pack_Master!A:A, 0)),
              Product_Master!B:B, 0 )
))
</f>
        <v>Apparel_ArmSleeves</v>
      </c>
      <c r="C268" s="7" t="s">
        <v>515</v>
      </c>
      <c r="D268" s="8" t="s">
        <v>133</v>
      </c>
      <c r="E268" s="9" t="s">
        <v>12</v>
      </c>
      <c r="F268" s="8">
        <v>6.161142043363E12</v>
      </c>
      <c r="G268" s="5"/>
      <c r="H268" s="5"/>
      <c r="I268" s="5"/>
    </row>
    <row r="269">
      <c r="A269" s="5" t="s">
        <v>9</v>
      </c>
      <c r="B269" s="6" t="str">
        <f t="array" ref="B269">IF(D269="","",
 INDEX(Product_Master!A:A,
       MATCH( INDEX(Pack_Master!B:B, MATCH(D269, Pack_Master!A:A, 0)),
              Product_Master!B:B, 0 )
))
</f>
        <v>Apparel_Caps_Beanies</v>
      </c>
      <c r="C269" s="7" t="s">
        <v>516</v>
      </c>
      <c r="D269" s="8" t="s">
        <v>374</v>
      </c>
      <c r="E269" s="9" t="s">
        <v>12</v>
      </c>
      <c r="F269" s="8">
        <v>6.161142046494E12</v>
      </c>
      <c r="G269" s="5"/>
      <c r="H269" s="5"/>
      <c r="I269" s="5"/>
    </row>
    <row r="270">
      <c r="A270" s="5" t="s">
        <v>9</v>
      </c>
      <c r="B270" s="6" t="str">
        <f t="array" ref="B270">IF(D270="","",
 INDEX(Product_Master!A:A,
       MATCH( INDEX(Pack_Master!B:B, MATCH(D270, Pack_Master!A:A, 0)),
              Product_Master!B:B, 0 )
))
</f>
        <v>Apparel_Caps_Beanies</v>
      </c>
      <c r="C270" s="7" t="s">
        <v>517</v>
      </c>
      <c r="D270" s="8" t="s">
        <v>377</v>
      </c>
      <c r="E270" s="9" t="s">
        <v>12</v>
      </c>
      <c r="F270" s="8">
        <v>6.161142039984E12</v>
      </c>
      <c r="G270" s="5"/>
      <c r="H270" s="5"/>
      <c r="I270" s="5"/>
    </row>
    <row r="271">
      <c r="A271" s="5" t="s">
        <v>9</v>
      </c>
      <c r="B271" s="6" t="str">
        <f t="array" ref="B271">IF(D271="","",
 INDEX(Product_Master!A:A,
       MATCH( INDEX(Pack_Master!B:B, MATCH(D271, Pack_Master!A:A, 0)),
              Product_Master!B:B, 0 )
))
</f>
        <v>Apparel_Caps_Beanies</v>
      </c>
      <c r="C271" s="7" t="s">
        <v>518</v>
      </c>
      <c r="D271" s="8" t="s">
        <v>460</v>
      </c>
      <c r="E271" s="9" t="s">
        <v>12</v>
      </c>
      <c r="F271" s="8">
        <v>6.161142038185E12</v>
      </c>
      <c r="G271" s="5"/>
      <c r="H271" s="5"/>
      <c r="I271" s="5"/>
    </row>
    <row r="272">
      <c r="A272" s="5" t="s">
        <v>9</v>
      </c>
      <c r="B272" s="6" t="str">
        <f t="array" ref="B272">IF(D272="","",
 INDEX(Product_Master!A:A,
       MATCH( INDEX(Pack_Master!B:B, MATCH(D272, Pack_Master!A:A, 0)),
              Product_Master!B:B, 0 )
))
</f>
        <v>Apparel_Caps_Beanies</v>
      </c>
      <c r="C272" s="7" t="s">
        <v>519</v>
      </c>
      <c r="D272" s="8" t="s">
        <v>520</v>
      </c>
      <c r="E272" s="9" t="s">
        <v>12</v>
      </c>
      <c r="F272" s="8">
        <v>6.16114203813E12</v>
      </c>
      <c r="G272" s="5"/>
      <c r="H272" s="5"/>
      <c r="I272" s="5"/>
    </row>
    <row r="273">
      <c r="A273" s="5" t="s">
        <v>9</v>
      </c>
      <c r="B273" s="6" t="str">
        <f t="array" ref="B273">IF(D273="","",
 INDEX(Product_Master!A:A,
       MATCH( INDEX(Pack_Master!B:B, MATCH(D273, Pack_Master!A:A, 0)),
              Product_Master!B:B, 0 )
))
</f>
        <v>Apparel_Caps_Beanies</v>
      </c>
      <c r="C273" s="7" t="s">
        <v>521</v>
      </c>
      <c r="D273" s="8" t="s">
        <v>376</v>
      </c>
      <c r="E273" s="9" t="s">
        <v>12</v>
      </c>
      <c r="F273" s="8">
        <v>6.161142042038E12</v>
      </c>
      <c r="G273" s="5"/>
      <c r="H273" s="5"/>
      <c r="I273" s="5"/>
    </row>
    <row r="274">
      <c r="A274" s="5" t="s">
        <v>9</v>
      </c>
      <c r="B274" s="6" t="str">
        <f t="array" ref="B274">IF(D274="","",
 INDEX(Product_Master!A:A,
       MATCH( INDEX(Pack_Master!B:B, MATCH(D274, Pack_Master!A:A, 0)),
              Product_Master!B:B, 0 )
))
</f>
        <v>Apparel_Caps_Beanies</v>
      </c>
      <c r="C274" s="7" t="s">
        <v>522</v>
      </c>
      <c r="D274" s="8" t="s">
        <v>378</v>
      </c>
      <c r="E274" s="9" t="s">
        <v>12</v>
      </c>
      <c r="F274" s="8">
        <v>6.161142041208E12</v>
      </c>
      <c r="G274" s="5"/>
      <c r="H274" s="5"/>
      <c r="I274" s="5"/>
    </row>
    <row r="275">
      <c r="A275" s="5" t="s">
        <v>9</v>
      </c>
      <c r="B275" s="6" t="str">
        <f t="array" ref="B275">IF(D275="","",
 INDEX(Product_Master!A:A,
       MATCH( INDEX(Pack_Master!B:B, MATCH(D275, Pack_Master!A:A, 0)),
              Product_Master!B:B, 0 )
))
</f>
        <v>Apparel_Caps_Beanies</v>
      </c>
      <c r="C275" s="7" t="s">
        <v>523</v>
      </c>
      <c r="D275" s="8" t="s">
        <v>524</v>
      </c>
      <c r="E275" s="9" t="s">
        <v>12</v>
      </c>
      <c r="F275" s="8" t="s">
        <v>525</v>
      </c>
      <c r="G275" s="5"/>
      <c r="H275" s="5"/>
      <c r="I275" s="5"/>
    </row>
    <row r="276">
      <c r="A276" s="5" t="s">
        <v>9</v>
      </c>
      <c r="B276" s="6" t="str">
        <f t="array" ref="B276">IF(D276="","",
 INDEX(Product_Master!A:A,
       MATCH( INDEX(Pack_Master!B:B, MATCH(D276, Pack_Master!A:A, 0)),
              Product_Master!B:B, 0 )
))
</f>
        <v>Apparel_Caps_Beanies</v>
      </c>
      <c r="C276" s="7" t="s">
        <v>526</v>
      </c>
      <c r="D276" s="8" t="s">
        <v>391</v>
      </c>
      <c r="E276" s="9" t="s">
        <v>12</v>
      </c>
      <c r="F276" s="8">
        <v>6.161142039908E12</v>
      </c>
      <c r="G276" s="5"/>
      <c r="H276" s="5"/>
      <c r="I276" s="5"/>
    </row>
    <row r="277">
      <c r="A277" s="5" t="s">
        <v>9</v>
      </c>
      <c r="B277" s="6" t="str">
        <f t="array" ref="B277">IF(D277="","",
 INDEX(Product_Master!A:A,
       MATCH( INDEX(Pack_Master!B:B, MATCH(D277, Pack_Master!A:A, 0)),
              Product_Master!B:B, 0 )
))
</f>
        <v>Apparel_Caps_Beanies</v>
      </c>
      <c r="C277" s="7" t="s">
        <v>527</v>
      </c>
      <c r="D277" s="8" t="s">
        <v>379</v>
      </c>
      <c r="E277" s="9" t="s">
        <v>12</v>
      </c>
      <c r="F277" s="8">
        <v>6.161142046401E12</v>
      </c>
      <c r="G277" s="5"/>
      <c r="H277" s="5"/>
      <c r="I277" s="5"/>
    </row>
    <row r="278">
      <c r="A278" s="5" t="s">
        <v>9</v>
      </c>
      <c r="B278" s="6" t="str">
        <f t="array" ref="B278">IF(D278="","",
 INDEX(Product_Master!A:A,
       MATCH( INDEX(Pack_Master!B:B, MATCH(D278, Pack_Master!A:A, 0)),
              Product_Master!B:B, 0 )
))
</f>
        <v>Apparel_Caps_Beanies</v>
      </c>
      <c r="C278" s="7" t="s">
        <v>528</v>
      </c>
      <c r="D278" s="8" t="s">
        <v>379</v>
      </c>
      <c r="E278" s="9" t="s">
        <v>12</v>
      </c>
      <c r="F278" s="8"/>
      <c r="G278" s="5"/>
      <c r="H278" s="5"/>
      <c r="I278" s="5"/>
    </row>
    <row r="279">
      <c r="A279" s="5" t="s">
        <v>9</v>
      </c>
      <c r="B279" s="6" t="str">
        <f t="array" ref="B279">IF(D279="","",
 INDEX(Product_Master!A:A,
       MATCH( INDEX(Pack_Master!B:B, MATCH(D279, Pack_Master!A:A, 0)),
              Product_Master!B:B, 0 )
))
</f>
        <v>Apparel_Caps_Beanies</v>
      </c>
      <c r="C279" s="7" t="s">
        <v>529</v>
      </c>
      <c r="D279" s="8" t="s">
        <v>380</v>
      </c>
      <c r="E279" s="9" t="s">
        <v>12</v>
      </c>
      <c r="F279" s="8">
        <v>6.161142045084E12</v>
      </c>
      <c r="G279" s="5"/>
      <c r="H279" s="5"/>
      <c r="I279" s="5"/>
    </row>
    <row r="280">
      <c r="A280" s="5" t="s">
        <v>9</v>
      </c>
      <c r="B280" s="6" t="str">
        <f t="array" ref="B280">IF(D280="","",
 INDEX(Product_Master!A:A,
       MATCH( INDEX(Pack_Master!B:B, MATCH(D280, Pack_Master!A:A, 0)),
              Product_Master!B:B, 0 )
))
</f>
        <v>Apparel_Caps_Beanies</v>
      </c>
      <c r="C280" s="7" t="s">
        <v>530</v>
      </c>
      <c r="D280" s="8" t="s">
        <v>381</v>
      </c>
      <c r="E280" s="9" t="s">
        <v>12</v>
      </c>
      <c r="F280" s="8">
        <v>6.161142043752E12</v>
      </c>
      <c r="G280" s="5"/>
      <c r="H280" s="5"/>
      <c r="I280" s="5"/>
    </row>
    <row r="281">
      <c r="A281" s="5" t="s">
        <v>9</v>
      </c>
      <c r="B281" s="6" t="str">
        <f t="array" ref="B281">IF(D281="","",
 INDEX(Product_Master!A:A,
       MATCH( INDEX(Pack_Master!B:B, MATCH(D281, Pack_Master!A:A, 0)),
              Product_Master!B:B, 0 )
))
</f>
        <v>Apparel_Caps_Beanies</v>
      </c>
      <c r="C281" s="7" t="s">
        <v>531</v>
      </c>
      <c r="D281" s="8" t="s">
        <v>382</v>
      </c>
      <c r="E281" s="9" t="s">
        <v>12</v>
      </c>
      <c r="F281" s="8">
        <v>6.161142037935E12</v>
      </c>
      <c r="G281" s="5"/>
      <c r="H281" s="5"/>
      <c r="I281" s="5"/>
    </row>
    <row r="282">
      <c r="A282" s="5" t="s">
        <v>9</v>
      </c>
      <c r="B282" s="6" t="str">
        <f t="array" ref="B282">IF(D282="","",
 INDEX(Product_Master!A:A,
       MATCH( INDEX(Pack_Master!B:B, MATCH(D282, Pack_Master!A:A, 0)),
              Product_Master!B:B, 0 )
))
</f>
        <v>Apparel_Caps_Beanies</v>
      </c>
      <c r="C282" s="7" t="s">
        <v>532</v>
      </c>
      <c r="D282" s="8" t="s">
        <v>353</v>
      </c>
      <c r="E282" s="9" t="s">
        <v>12</v>
      </c>
      <c r="F282" s="8">
        <v>6.161142041406E12</v>
      </c>
      <c r="G282" s="5"/>
      <c r="H282" s="5"/>
      <c r="I282" s="5"/>
    </row>
    <row r="283">
      <c r="A283" s="5" t="s">
        <v>9</v>
      </c>
      <c r="B283" s="6" t="str">
        <f t="array" ref="B283">IF(D283="","",
 INDEX(Product_Master!A:A,
       MATCH( INDEX(Pack_Master!B:B, MATCH(D283, Pack_Master!A:A, 0)),
              Product_Master!B:B, 0 )
))
</f>
        <v>Apparel_Caps_Beanies</v>
      </c>
      <c r="C283" s="7" t="s">
        <v>533</v>
      </c>
      <c r="D283" s="8" t="s">
        <v>534</v>
      </c>
      <c r="E283" s="9" t="s">
        <v>12</v>
      </c>
      <c r="F283" s="8">
        <v>6.161142037607E12</v>
      </c>
      <c r="G283" s="5"/>
      <c r="H283" s="5"/>
      <c r="I283" s="5"/>
    </row>
    <row r="284">
      <c r="A284" s="5" t="s">
        <v>9</v>
      </c>
      <c r="B284" s="6" t="str">
        <f t="array" ref="B284">IF(D284="","",
 INDEX(Product_Master!A:A,
       MATCH( INDEX(Pack_Master!B:B, MATCH(D284, Pack_Master!A:A, 0)),
              Product_Master!B:B, 0 )
))
</f>
        <v>Apparel_Caps_Beanies</v>
      </c>
      <c r="C284" s="7" t="s">
        <v>535</v>
      </c>
      <c r="D284" s="8" t="s">
        <v>536</v>
      </c>
      <c r="E284" s="9" t="s">
        <v>12</v>
      </c>
      <c r="F284" s="8">
        <v>6.161142042939E12</v>
      </c>
      <c r="G284" s="5"/>
      <c r="H284" s="5"/>
      <c r="I284" s="5"/>
    </row>
    <row r="285">
      <c r="A285" s="5" t="s">
        <v>9</v>
      </c>
      <c r="B285" s="6" t="str">
        <f t="array" ref="B285">IF(D285="","",
 INDEX(Product_Master!A:A,
       MATCH( INDEX(Pack_Master!B:B, MATCH(D285, Pack_Master!A:A, 0)),
              Product_Master!B:B, 0 )
))
</f>
        <v>Apparel_Caps_Beanies</v>
      </c>
      <c r="C285" s="7" t="s">
        <v>537</v>
      </c>
      <c r="D285" s="8" t="s">
        <v>354</v>
      </c>
      <c r="E285" s="9" t="s">
        <v>12</v>
      </c>
      <c r="F285" s="8">
        <v>6.161142039519E12</v>
      </c>
      <c r="G285" s="5"/>
      <c r="H285" s="5"/>
      <c r="I285" s="5"/>
    </row>
    <row r="286">
      <c r="A286" s="5" t="s">
        <v>9</v>
      </c>
      <c r="B286" s="6" t="str">
        <f t="array" ref="B286">IF(D286="","",
 INDEX(Product_Master!A:A,
       MATCH( INDEX(Pack_Master!B:B, MATCH(D286, Pack_Master!A:A, 0)),
              Product_Master!B:B, 0 )
))
</f>
        <v>Apparel_Caps_Beanies</v>
      </c>
      <c r="C286" s="7" t="s">
        <v>538</v>
      </c>
      <c r="D286" s="8" t="s">
        <v>358</v>
      </c>
      <c r="E286" s="9" t="s">
        <v>12</v>
      </c>
      <c r="F286" s="8">
        <v>6.161142037133E12</v>
      </c>
      <c r="G286" s="5"/>
      <c r="H286" s="5"/>
      <c r="I286" s="5"/>
    </row>
    <row r="287">
      <c r="A287" s="5" t="s">
        <v>9</v>
      </c>
      <c r="B287" s="6" t="str">
        <f t="array" ref="B287">IF(D287="","",
 INDEX(Product_Master!A:A,
       MATCH( INDEX(Pack_Master!B:B, MATCH(D287, Pack_Master!A:A, 0)),
              Product_Master!B:B, 0 )
))
</f>
        <v>Apparel_Caps_Beanies</v>
      </c>
      <c r="C287" s="7" t="s">
        <v>539</v>
      </c>
      <c r="D287" s="8" t="s">
        <v>355</v>
      </c>
      <c r="E287" s="9" t="s">
        <v>12</v>
      </c>
      <c r="F287" s="8">
        <v>6.161142044438E12</v>
      </c>
      <c r="G287" s="5"/>
      <c r="H287" s="5"/>
      <c r="I287" s="5"/>
    </row>
    <row r="288">
      <c r="A288" s="5" t="s">
        <v>9</v>
      </c>
      <c r="B288" s="6" t="str">
        <f t="array" ref="B288">IF(D288="","",
 INDEX(Product_Master!A:A,
       MATCH( INDEX(Pack_Master!B:B, MATCH(D288, Pack_Master!A:A, 0)),
              Product_Master!B:B, 0 )
))
</f>
        <v>Apparel_Caps_Beanies</v>
      </c>
      <c r="C288" s="7" t="s">
        <v>540</v>
      </c>
      <c r="D288" s="8" t="s">
        <v>541</v>
      </c>
      <c r="E288" s="9" t="s">
        <v>12</v>
      </c>
      <c r="F288" s="8">
        <v>6.161142047699E12</v>
      </c>
      <c r="G288" s="5"/>
      <c r="H288" s="5"/>
      <c r="I288" s="5"/>
    </row>
    <row r="289">
      <c r="A289" s="5" t="s">
        <v>9</v>
      </c>
      <c r="B289" s="6" t="str">
        <f t="array" ref="B289">IF(D289="","",
 INDEX(Product_Master!A:A,
       MATCH( INDEX(Pack_Master!B:B, MATCH(D289, Pack_Master!A:A, 0)),
              Product_Master!B:B, 0 )
))
</f>
        <v>Apparel_Caps_Beanies</v>
      </c>
      <c r="C289" s="7" t="s">
        <v>542</v>
      </c>
      <c r="D289" s="8" t="s">
        <v>356</v>
      </c>
      <c r="E289" s="9" t="s">
        <v>12</v>
      </c>
      <c r="F289" s="8">
        <v>6.161142042403E12</v>
      </c>
      <c r="G289" s="5"/>
      <c r="H289" s="5"/>
      <c r="I289" s="5"/>
    </row>
    <row r="290">
      <c r="A290" s="5" t="s">
        <v>9</v>
      </c>
      <c r="B290" s="6" t="str">
        <f t="array" ref="B290">IF(D290="","",
 INDEX(Product_Master!A:A,
       MATCH( INDEX(Pack_Master!B:B, MATCH(D290, Pack_Master!A:A, 0)),
              Product_Master!B:B, 0 )
))
</f>
        <v>Apparel_Caps_Beanies</v>
      </c>
      <c r="C290" s="7" t="s">
        <v>543</v>
      </c>
      <c r="D290" s="8" t="s">
        <v>383</v>
      </c>
      <c r="E290" s="9" t="s">
        <v>12</v>
      </c>
      <c r="F290" s="8">
        <v>6.161142041093E12</v>
      </c>
      <c r="G290" s="5"/>
      <c r="H290" s="5"/>
      <c r="I290" s="5"/>
    </row>
    <row r="291">
      <c r="A291" s="5" t="s">
        <v>9</v>
      </c>
      <c r="B291" s="6" t="str">
        <f t="array" ref="B291">IF(D291="","",
 INDEX(Product_Master!A:A,
       MATCH( INDEX(Pack_Master!B:B, MATCH(D291, Pack_Master!A:A, 0)),
              Product_Master!B:B, 0 )
))
</f>
        <v>Apparel_Caps_Beanies</v>
      </c>
      <c r="C291" s="7" t="s">
        <v>544</v>
      </c>
      <c r="D291" s="8" t="s">
        <v>384</v>
      </c>
      <c r="E291" s="9" t="s">
        <v>12</v>
      </c>
      <c r="F291" s="8">
        <v>6.161142045152E12</v>
      </c>
      <c r="G291" s="5"/>
      <c r="H291" s="5"/>
      <c r="I291" s="5"/>
    </row>
    <row r="292">
      <c r="A292" s="5" t="s">
        <v>9</v>
      </c>
      <c r="B292" s="6" t="str">
        <f t="array" ref="B292">IF(D292="","",
 INDEX(Product_Master!A:A,
       MATCH( INDEX(Pack_Master!B:B, MATCH(D292, Pack_Master!A:A, 0)),
              Product_Master!B:B, 0 )
))
</f>
        <v>Apparel_Caps_Beanies</v>
      </c>
      <c r="C292" s="7" t="s">
        <v>545</v>
      </c>
      <c r="D292" s="8" t="s">
        <v>546</v>
      </c>
      <c r="E292" s="9" t="s">
        <v>12</v>
      </c>
      <c r="F292" s="8">
        <v>6.161142043196E12</v>
      </c>
      <c r="G292" s="5"/>
      <c r="H292" s="5"/>
      <c r="I292" s="5"/>
    </row>
    <row r="293">
      <c r="A293" s="5" t="s">
        <v>9</v>
      </c>
      <c r="B293" s="6" t="str">
        <f t="array" ref="B293">IF(D293="","",
 INDEX(Product_Master!A:A,
       MATCH( INDEX(Pack_Master!B:B, MATCH(D293, Pack_Master!A:A, 0)),
              Product_Master!B:B, 0 )
))
</f>
        <v>Apparel_Caps_Beanies</v>
      </c>
      <c r="C293" s="7" t="s">
        <v>547</v>
      </c>
      <c r="D293" s="8" t="s">
        <v>548</v>
      </c>
      <c r="E293" s="9" t="s">
        <v>12</v>
      </c>
      <c r="F293" s="8" t="s">
        <v>549</v>
      </c>
      <c r="G293" s="5"/>
      <c r="H293" s="5"/>
      <c r="I293" s="5"/>
    </row>
    <row r="294">
      <c r="A294" s="5" t="s">
        <v>9</v>
      </c>
      <c r="B294" s="6" t="str">
        <f t="array" ref="B294">IF(D294="","",
 INDEX(Product_Master!A:A,
       MATCH( INDEX(Pack_Master!B:B, MATCH(D294, Pack_Master!A:A, 0)),
              Product_Master!B:B, 0 )
))
</f>
        <v>Apparel_Caps_Beanies</v>
      </c>
      <c r="C294" s="7" t="s">
        <v>550</v>
      </c>
      <c r="D294" s="8" t="s">
        <v>551</v>
      </c>
      <c r="E294" s="9" t="s">
        <v>12</v>
      </c>
      <c r="F294" s="8"/>
      <c r="G294" s="5"/>
      <c r="H294" s="5"/>
      <c r="I294" s="5"/>
    </row>
    <row r="295">
      <c r="A295" s="5" t="s">
        <v>9</v>
      </c>
      <c r="B295" s="6" t="str">
        <f t="array" ref="B295">IF(D295="","",
 INDEX(Product_Master!A:A,
       MATCH( INDEX(Pack_Master!B:B, MATCH(D295, Pack_Master!A:A, 0)),
              Product_Master!B:B, 0 )
))
</f>
        <v>Apparel_Caps_Beanies</v>
      </c>
      <c r="C295" s="7" t="s">
        <v>552</v>
      </c>
      <c r="D295" s="8" t="s">
        <v>553</v>
      </c>
      <c r="E295" s="9" t="s">
        <v>12</v>
      </c>
      <c r="F295" s="8">
        <v>6.161142036952E12</v>
      </c>
      <c r="G295" s="5"/>
      <c r="H295" s="5"/>
      <c r="I295" s="5"/>
    </row>
    <row r="296">
      <c r="A296" s="5" t="s">
        <v>9</v>
      </c>
      <c r="B296" s="6" t="str">
        <f t="array" ref="B296">IF(D296="","",
 INDEX(Product_Master!A:A,
       MATCH( INDEX(Pack_Master!B:B, MATCH(D296, Pack_Master!A:A, 0)),
              Product_Master!B:B, 0 )
))
</f>
        <v>Apparel_Caps_Beanies</v>
      </c>
      <c r="C296" s="7" t="s">
        <v>554</v>
      </c>
      <c r="D296" s="8" t="s">
        <v>555</v>
      </c>
      <c r="E296" s="9" t="s">
        <v>12</v>
      </c>
      <c r="F296" s="8">
        <v>6.161142037577E12</v>
      </c>
      <c r="G296" s="5"/>
      <c r="H296" s="5"/>
      <c r="I296" s="5"/>
    </row>
    <row r="297">
      <c r="A297" s="5" t="s">
        <v>9</v>
      </c>
      <c r="B297" s="6" t="str">
        <f t="array" ref="B297">IF(D297="","",
 INDEX(Product_Master!A:A,
       MATCH( INDEX(Pack_Master!B:B, MATCH(D297, Pack_Master!A:A, 0)),
              Product_Master!B:B, 0 )
))
</f>
        <v>Apparel_Caps_Beanies</v>
      </c>
      <c r="C297" s="7" t="s">
        <v>556</v>
      </c>
      <c r="D297" s="8" t="s">
        <v>557</v>
      </c>
      <c r="E297" s="9" t="s">
        <v>12</v>
      </c>
      <c r="F297" s="8">
        <v>6.161142046197E12</v>
      </c>
      <c r="G297" s="5"/>
      <c r="H297" s="5"/>
      <c r="I297" s="5"/>
    </row>
    <row r="298">
      <c r="A298" s="5" t="s">
        <v>9</v>
      </c>
      <c r="B298" s="6" t="str">
        <f t="array" ref="B298">IF(D298="","",
 INDEX(Product_Master!A:A,
       MATCH( INDEX(Pack_Master!B:B, MATCH(D298, Pack_Master!A:A, 0)),
              Product_Master!B:B, 0 )
))
</f>
        <v>Apparel_Caps_Beanies</v>
      </c>
      <c r="C298" s="7" t="s">
        <v>558</v>
      </c>
      <c r="D298" s="8" t="s">
        <v>559</v>
      </c>
      <c r="E298" s="9" t="s">
        <v>12</v>
      </c>
      <c r="F298" s="8">
        <v>6.161142046791E12</v>
      </c>
      <c r="G298" s="5"/>
      <c r="H298" s="5"/>
      <c r="I298" s="5"/>
    </row>
    <row r="299">
      <c r="A299" s="5" t="s">
        <v>9</v>
      </c>
      <c r="B299" s="6" t="str">
        <f t="array" ref="B299">IF(D299="","",
 INDEX(Product_Master!A:A,
       MATCH( INDEX(Pack_Master!B:B, MATCH(D299, Pack_Master!A:A, 0)),
              Product_Master!B:B, 0 )
))
</f>
        <v>Apparel_Caps_Beanies</v>
      </c>
      <c r="C299" s="7" t="s">
        <v>560</v>
      </c>
      <c r="D299" s="8" t="s">
        <v>561</v>
      </c>
      <c r="E299" s="9" t="s">
        <v>12</v>
      </c>
      <c r="F299" s="8">
        <v>6.1611420373E12</v>
      </c>
      <c r="G299" s="5"/>
      <c r="H299" s="5"/>
      <c r="I299" s="5"/>
    </row>
    <row r="300">
      <c r="A300" s="5" t="s">
        <v>9</v>
      </c>
      <c r="B300" s="6" t="str">
        <f t="array" ref="B300">IF(D300="","",
 INDEX(Product_Master!A:A,
       MATCH( INDEX(Pack_Master!B:B, MATCH(D300, Pack_Master!A:A, 0)),
              Product_Master!B:B, 0 )
))
</f>
        <v>Apparel_Caps_Beanies</v>
      </c>
      <c r="C300" s="7" t="s">
        <v>562</v>
      </c>
      <c r="D300" s="8" t="s">
        <v>563</v>
      </c>
      <c r="E300" s="9" t="s">
        <v>12</v>
      </c>
      <c r="F300" s="8"/>
      <c r="G300" s="5"/>
      <c r="H300" s="5"/>
      <c r="I300" s="5"/>
    </row>
    <row r="301">
      <c r="A301" s="5" t="s">
        <v>9</v>
      </c>
      <c r="B301" s="6" t="str">
        <f t="array" ref="B301">IF(D301="","",
 INDEX(Product_Master!A:A,
       MATCH( INDEX(Pack_Master!B:B, MATCH(D301, Pack_Master!A:A, 0)),
              Product_Master!B:B, 0 )
))
</f>
        <v>Apparel_Caps_Beanies</v>
      </c>
      <c r="C301" s="7" t="s">
        <v>564</v>
      </c>
      <c r="D301" s="8" t="s">
        <v>565</v>
      </c>
      <c r="E301" s="9" t="s">
        <v>12</v>
      </c>
      <c r="F301" s="8">
        <v>6.161142047262E12</v>
      </c>
      <c r="G301" s="5"/>
      <c r="H301" s="5"/>
      <c r="I301" s="5"/>
    </row>
    <row r="302">
      <c r="A302" s="5" t="s">
        <v>9</v>
      </c>
      <c r="B302" s="6" t="str">
        <f t="array" ref="B302">IF(D302="","",
 INDEX(Product_Master!A:A,
       MATCH( INDEX(Pack_Master!B:B, MATCH(D302, Pack_Master!A:A, 0)),
              Product_Master!B:B, 0 )
))
</f>
        <v>Apparel_Caps_Beanies</v>
      </c>
      <c r="C302" s="7" t="s">
        <v>566</v>
      </c>
      <c r="D302" s="8" t="s">
        <v>567</v>
      </c>
      <c r="E302" s="9" t="s">
        <v>12</v>
      </c>
      <c r="F302" s="8"/>
      <c r="G302" s="5"/>
      <c r="H302" s="5"/>
      <c r="I302" s="5"/>
    </row>
    <row r="303">
      <c r="A303" s="5" t="s">
        <v>9</v>
      </c>
      <c r="B303" s="6" t="str">
        <f t="array" ref="B303">IF(D303="","",
 INDEX(Product_Master!A:A,
       MATCH( INDEX(Pack_Master!B:B, MATCH(D303, Pack_Master!A:A, 0)),
              Product_Master!B:B, 0 )
))
</f>
        <v>Apparel_Caps_Beanies</v>
      </c>
      <c r="C303" s="7" t="s">
        <v>568</v>
      </c>
      <c r="D303" s="8" t="s">
        <v>569</v>
      </c>
      <c r="E303" s="9" t="s">
        <v>12</v>
      </c>
      <c r="F303" s="8">
        <v>6.16114204283E12</v>
      </c>
      <c r="G303" s="5"/>
      <c r="H303" s="5"/>
      <c r="I303" s="5"/>
    </row>
    <row r="304">
      <c r="A304" s="5" t="s">
        <v>9</v>
      </c>
      <c r="B304" s="6" t="str">
        <f t="array" ref="B304">IF(D304="","",
 INDEX(Product_Master!A:A,
       MATCH( INDEX(Pack_Master!B:B, MATCH(D304, Pack_Master!A:A, 0)),
              Product_Master!B:B, 0 )
))
</f>
        <v>Apparel_Caps_Beanies</v>
      </c>
      <c r="C304" s="7" t="s">
        <v>570</v>
      </c>
      <c r="D304" s="8" t="s">
        <v>571</v>
      </c>
      <c r="E304" s="9" t="s">
        <v>12</v>
      </c>
      <c r="F304" s="8">
        <v>6.161142042519E12</v>
      </c>
      <c r="G304" s="5"/>
      <c r="H304" s="5"/>
      <c r="I304" s="5"/>
    </row>
    <row r="305">
      <c r="A305" s="5" t="s">
        <v>9</v>
      </c>
      <c r="B305" s="6" t="str">
        <f t="array" ref="B305">IF(D305="","",
 INDEX(Product_Master!A:A,
       MATCH( INDEX(Pack_Master!B:B, MATCH(D305, Pack_Master!A:A, 0)),
              Product_Master!B:B, 0 )
))
</f>
        <v>Apparel_Caps_Beanies</v>
      </c>
      <c r="C305" s="7" t="s">
        <v>572</v>
      </c>
      <c r="D305" s="8" t="s">
        <v>573</v>
      </c>
      <c r="E305" s="9" t="s">
        <v>12</v>
      </c>
      <c r="F305" s="8"/>
      <c r="G305" s="5"/>
      <c r="H305" s="5"/>
      <c r="I305" s="5"/>
    </row>
    <row r="306">
      <c r="A306" s="5" t="s">
        <v>9</v>
      </c>
      <c r="B306" s="6" t="str">
        <f t="array" ref="B306">IF(D306="","",
 INDEX(Product_Master!A:A,
       MATCH( INDEX(Pack_Master!B:B, MATCH(D306, Pack_Master!A:A, 0)),
              Product_Master!B:B, 0 )
))
</f>
        <v>Apparel_Caps_Beanies</v>
      </c>
      <c r="C306" s="7" t="s">
        <v>574</v>
      </c>
      <c r="D306" s="8" t="s">
        <v>575</v>
      </c>
      <c r="E306" s="9" t="s">
        <v>12</v>
      </c>
      <c r="F306" s="8"/>
      <c r="G306" s="5"/>
      <c r="H306" s="5"/>
      <c r="I306" s="5"/>
    </row>
    <row r="307">
      <c r="A307" s="5" t="s">
        <v>9</v>
      </c>
      <c r="B307" s="6" t="str">
        <f t="array" ref="B307">IF(D307="","",
 INDEX(Product_Master!A:A,
       MATCH( INDEX(Pack_Master!B:B, MATCH(D307, Pack_Master!A:A, 0)),
              Product_Master!B:B, 0 )
))
</f>
        <v>Apparel_Caps_Beanies</v>
      </c>
      <c r="C307" s="7" t="s">
        <v>576</v>
      </c>
      <c r="D307" s="8" t="s">
        <v>577</v>
      </c>
      <c r="E307" s="9" t="s">
        <v>12</v>
      </c>
      <c r="F307" s="8" t="s">
        <v>578</v>
      </c>
      <c r="G307" s="5"/>
      <c r="H307" s="5"/>
      <c r="I307" s="5"/>
    </row>
    <row r="308">
      <c r="A308" s="5" t="s">
        <v>9</v>
      </c>
      <c r="B308" s="6" t="str">
        <f t="array" ref="B308">IF(D308="","",
 INDEX(Product_Master!A:A,
       MATCH( INDEX(Pack_Master!B:B, MATCH(D308, Pack_Master!A:A, 0)),
              Product_Master!B:B, 0 )
))
</f>
        <v>Apparel_Caps_Beanies</v>
      </c>
      <c r="C308" s="7" t="s">
        <v>579</v>
      </c>
      <c r="D308" s="8" t="s">
        <v>580</v>
      </c>
      <c r="E308" s="9" t="s">
        <v>12</v>
      </c>
      <c r="F308" s="8"/>
      <c r="G308" s="5"/>
      <c r="H308" s="5"/>
      <c r="I308" s="5"/>
    </row>
    <row r="309">
      <c r="A309" s="5" t="s">
        <v>9</v>
      </c>
      <c r="B309" s="6" t="str">
        <f t="array" ref="B309">IF(D309="","",
 INDEX(Product_Master!A:A,
       MATCH( INDEX(Pack_Master!B:B, MATCH(D309, Pack_Master!A:A, 0)),
              Product_Master!B:B, 0 )
))
</f>
        <v>Apparel_Caps_Beanies</v>
      </c>
      <c r="C309" s="7" t="s">
        <v>581</v>
      </c>
      <c r="D309" s="8" t="s">
        <v>582</v>
      </c>
      <c r="E309" s="9" t="s">
        <v>12</v>
      </c>
      <c r="F309" s="8">
        <v>6.161142045732E12</v>
      </c>
      <c r="G309" s="5"/>
      <c r="H309" s="5"/>
      <c r="I309" s="5"/>
    </row>
    <row r="310">
      <c r="A310" s="5" t="s">
        <v>9</v>
      </c>
      <c r="B310" s="6" t="str">
        <f t="array" ref="B310">IF(D310="","",
 INDEX(Product_Master!A:A,
       MATCH( INDEX(Pack_Master!B:B, MATCH(D310, Pack_Master!A:A, 0)),
              Product_Master!B:B, 0 )
))
</f>
        <v>Apparel_Caps_Beanies</v>
      </c>
      <c r="C310" s="7" t="s">
        <v>583</v>
      </c>
      <c r="D310" s="8" t="s">
        <v>584</v>
      </c>
      <c r="E310" s="9" t="s">
        <v>12</v>
      </c>
      <c r="F310" s="8"/>
      <c r="G310" s="5"/>
      <c r="H310" s="5"/>
      <c r="I310" s="5"/>
    </row>
    <row r="311">
      <c r="A311" s="5" t="s">
        <v>9</v>
      </c>
      <c r="B311" s="6" t="str">
        <f t="array" ref="B311">IF(D311="","",
 INDEX(Product_Master!A:A,
       MATCH( INDEX(Pack_Master!B:B, MATCH(D311, Pack_Master!A:A, 0)),
              Product_Master!B:B, 0 )
))
</f>
        <v>Apparel_Caps_Beanies</v>
      </c>
      <c r="C311" s="7" t="s">
        <v>585</v>
      </c>
      <c r="D311" s="8" t="s">
        <v>586</v>
      </c>
      <c r="E311" s="9" t="s">
        <v>12</v>
      </c>
      <c r="F311" s="8">
        <v>6.161142043066E12</v>
      </c>
      <c r="G311" s="5"/>
      <c r="H311" s="5"/>
      <c r="I311" s="5"/>
    </row>
    <row r="312">
      <c r="A312" s="5" t="s">
        <v>9</v>
      </c>
      <c r="B312" s="6" t="str">
        <f t="array" ref="B312">IF(D312="","",
 INDEX(Product_Master!A:A,
       MATCH( INDEX(Pack_Master!B:B, MATCH(D312, Pack_Master!A:A, 0)),
              Product_Master!B:B, 0 )
))
</f>
        <v>Apparel_Caps_Beanies</v>
      </c>
      <c r="C312" s="7" t="s">
        <v>587</v>
      </c>
      <c r="D312" s="8" t="s">
        <v>588</v>
      </c>
      <c r="E312" s="9" t="s">
        <v>12</v>
      </c>
      <c r="F312" s="8" t="s">
        <v>589</v>
      </c>
      <c r="G312" s="5"/>
      <c r="H312" s="5"/>
      <c r="I312" s="5"/>
    </row>
    <row r="313">
      <c r="A313" s="5" t="s">
        <v>9</v>
      </c>
      <c r="B313" s="6" t="str">
        <f t="array" ref="B313">IF(D313="","",
 INDEX(Product_Master!A:A,
       MATCH( INDEX(Pack_Master!B:B, MATCH(D313, Pack_Master!A:A, 0)),
              Product_Master!B:B, 0 )
))
</f>
        <v>Apparel_Caps_Beanies</v>
      </c>
      <c r="C313" s="7" t="s">
        <v>590</v>
      </c>
      <c r="D313" s="8" t="s">
        <v>591</v>
      </c>
      <c r="E313" s="9" t="s">
        <v>12</v>
      </c>
      <c r="F313" s="8" t="s">
        <v>592</v>
      </c>
      <c r="G313" s="5"/>
      <c r="H313" s="5"/>
      <c r="I313" s="5"/>
    </row>
    <row r="314">
      <c r="A314" s="5" t="s">
        <v>9</v>
      </c>
      <c r="B314" s="6" t="str">
        <f t="array" ref="B314">IF(D314="","",
 INDEX(Product_Master!A:A,
       MATCH( INDEX(Pack_Master!B:B, MATCH(D314, Pack_Master!A:A, 0)),
              Product_Master!B:B, 0 )
))
</f>
        <v>Apparel_Caps_Beanies</v>
      </c>
      <c r="C314" s="7" t="s">
        <v>593</v>
      </c>
      <c r="D314" s="8" t="s">
        <v>594</v>
      </c>
      <c r="E314" s="9" t="s">
        <v>12</v>
      </c>
      <c r="F314" s="8" t="s">
        <v>595</v>
      </c>
      <c r="G314" s="5"/>
      <c r="H314" s="5"/>
      <c r="I314" s="5"/>
    </row>
    <row r="315">
      <c r="A315" s="5" t="s">
        <v>9</v>
      </c>
      <c r="B315" s="6" t="str">
        <f t="array" ref="B315">IF(D315="","",
 INDEX(Product_Master!A:A,
       MATCH( INDEX(Pack_Master!B:B, MATCH(D315, Pack_Master!A:A, 0)),
              Product_Master!B:B, 0 )
))
</f>
        <v>Apparel_Caps_Beanies</v>
      </c>
      <c r="C315" s="7" t="s">
        <v>596</v>
      </c>
      <c r="D315" s="8" t="s">
        <v>137</v>
      </c>
      <c r="E315" s="9" t="s">
        <v>12</v>
      </c>
      <c r="F315" s="8">
        <v>6.161142044742E12</v>
      </c>
      <c r="G315" s="5"/>
      <c r="H315" s="5"/>
      <c r="I315" s="5"/>
    </row>
    <row r="316">
      <c r="A316" s="5" t="s">
        <v>9</v>
      </c>
      <c r="B316" s="6" t="str">
        <f t="array" ref="B316">IF(D316="","",
 INDEX(Product_Master!A:A,
       MATCH( INDEX(Pack_Master!B:B, MATCH(D316, Pack_Master!A:A, 0)),
              Product_Master!B:B, 0 )
))
</f>
        <v>Apparel_Caps_Beanies</v>
      </c>
      <c r="C316" s="7" t="s">
        <v>597</v>
      </c>
      <c r="D316" s="8" t="s">
        <v>385</v>
      </c>
      <c r="E316" s="9" t="s">
        <v>12</v>
      </c>
      <c r="F316" s="8">
        <v>6.161142038369E12</v>
      </c>
      <c r="G316" s="5"/>
      <c r="H316" s="5"/>
      <c r="I316" s="5"/>
    </row>
    <row r="317">
      <c r="A317" s="5" t="s">
        <v>9</v>
      </c>
      <c r="B317" s="6" t="str">
        <f t="array" ref="B317">IF(D317="","",
 INDEX(Product_Master!A:A,
       MATCH( INDEX(Pack_Master!B:B, MATCH(D317, Pack_Master!A:A, 0)),
              Product_Master!B:B, 0 )
))
</f>
        <v>Apparel_Caps_Beanies</v>
      </c>
      <c r="C317" s="7" t="s">
        <v>598</v>
      </c>
      <c r="D317" s="8" t="s">
        <v>16</v>
      </c>
      <c r="E317" s="9" t="s">
        <v>12</v>
      </c>
      <c r="F317" s="8">
        <v>6.161142037942E12</v>
      </c>
      <c r="G317" s="5"/>
      <c r="H317" s="5"/>
      <c r="I317" s="5"/>
    </row>
    <row r="318">
      <c r="A318" s="5" t="s">
        <v>9</v>
      </c>
      <c r="B318" s="6" t="str">
        <f t="array" ref="B318">IF(D318="","",
 INDEX(Product_Master!A:A,
       MATCH( INDEX(Pack_Master!B:B, MATCH(D318, Pack_Master!A:A, 0)),
              Product_Master!B:B, 0 )
))
</f>
        <v>Apparel_Caps_Beanies</v>
      </c>
      <c r="C318" s="7" t="s">
        <v>599</v>
      </c>
      <c r="D318" s="8" t="s">
        <v>600</v>
      </c>
      <c r="E318" s="9" t="s">
        <v>12</v>
      </c>
      <c r="F318" s="8">
        <v>6.161142047149E12</v>
      </c>
      <c r="G318" s="5"/>
      <c r="H318" s="5"/>
      <c r="I318" s="5"/>
    </row>
    <row r="319">
      <c r="A319" s="5" t="s">
        <v>9</v>
      </c>
      <c r="B319" s="6" t="str">
        <f t="array" ref="B319">IF(D319="","",
 INDEX(Product_Master!A:A,
       MATCH( INDEX(Pack_Master!B:B, MATCH(D319, Pack_Master!A:A, 0)),
              Product_Master!B:B, 0 )
))
</f>
        <v>Apparel_Caps_Beanies</v>
      </c>
      <c r="C319" s="7" t="s">
        <v>601</v>
      </c>
      <c r="D319" s="8" t="s">
        <v>602</v>
      </c>
      <c r="E319" s="9" t="s">
        <v>12</v>
      </c>
      <c r="F319" s="8" t="s">
        <v>603</v>
      </c>
      <c r="G319" s="5"/>
      <c r="H319" s="5"/>
      <c r="I319" s="5"/>
    </row>
    <row r="320">
      <c r="A320" s="5" t="s">
        <v>9</v>
      </c>
      <c r="B320" s="6" t="str">
        <f t="array" ref="B320">IF(D320="","",
 INDEX(Product_Master!A:A,
       MATCH( INDEX(Pack_Master!B:B, MATCH(D320, Pack_Master!A:A, 0)),
              Product_Master!B:B, 0 )
))
</f>
        <v>Apparel_Caps_Beanies</v>
      </c>
      <c r="C320" s="7" t="s">
        <v>604</v>
      </c>
      <c r="D320" s="8" t="s">
        <v>605</v>
      </c>
      <c r="E320" s="9" t="s">
        <v>12</v>
      </c>
      <c r="F320" s="8">
        <v>6.161142044094E12</v>
      </c>
      <c r="G320" s="5"/>
      <c r="H320" s="5"/>
      <c r="I320" s="5"/>
    </row>
    <row r="321">
      <c r="A321" s="5" t="s">
        <v>9</v>
      </c>
      <c r="B321" s="6" t="str">
        <f t="array" ref="B321">IF(D321="","",
 INDEX(Product_Master!A:A,
       MATCH( INDEX(Pack_Master!B:B, MATCH(D321, Pack_Master!A:A, 0)),
              Product_Master!B:B, 0 )
))
</f>
        <v>Apparel_Caps_Beanies</v>
      </c>
      <c r="C321" s="7" t="s">
        <v>606</v>
      </c>
      <c r="D321" s="8" t="s">
        <v>607</v>
      </c>
      <c r="E321" s="9" t="s">
        <v>12</v>
      </c>
      <c r="F321" s="8" t="s">
        <v>608</v>
      </c>
      <c r="G321" s="5"/>
      <c r="H321" s="5"/>
      <c r="I321" s="5"/>
    </row>
    <row r="322">
      <c r="A322" s="5" t="s">
        <v>9</v>
      </c>
      <c r="B322" s="6" t="str">
        <f t="array" ref="B322">IF(D322="","",
 INDEX(Product_Master!A:A,
       MATCH( INDEX(Pack_Master!B:B, MATCH(D322, Pack_Master!A:A, 0)),
              Product_Master!B:B, 0 )
))
</f>
        <v>Apparel_Caps_Beanies</v>
      </c>
      <c r="C322" s="7" t="s">
        <v>609</v>
      </c>
      <c r="D322" s="8" t="s">
        <v>610</v>
      </c>
      <c r="E322" s="9" t="s">
        <v>12</v>
      </c>
      <c r="F322" s="8" t="s">
        <v>611</v>
      </c>
      <c r="G322" s="5"/>
      <c r="H322" s="5"/>
      <c r="I322" s="5"/>
    </row>
    <row r="323">
      <c r="A323" s="5" t="s">
        <v>9</v>
      </c>
      <c r="B323" s="6" t="str">
        <f t="array" ref="B323">IF(D323="","",
 INDEX(Product_Master!A:A,
       MATCH( INDEX(Pack_Master!B:B, MATCH(D323, Pack_Master!A:A, 0)),
              Product_Master!B:B, 0 )
))
</f>
        <v>Apparel_Caps_Beanies</v>
      </c>
      <c r="C323" s="7" t="s">
        <v>612</v>
      </c>
      <c r="D323" s="8" t="s">
        <v>613</v>
      </c>
      <c r="E323" s="9" t="s">
        <v>12</v>
      </c>
      <c r="F323" s="8" t="s">
        <v>614</v>
      </c>
      <c r="G323" s="5"/>
      <c r="H323" s="5"/>
      <c r="I323" s="5"/>
    </row>
    <row r="324">
      <c r="A324" s="5" t="s">
        <v>9</v>
      </c>
      <c r="B324" s="6" t="str">
        <f t="array" ref="B324">IF(D324="","",
 INDEX(Product_Master!A:A,
       MATCH( INDEX(Pack_Master!B:B, MATCH(D324, Pack_Master!A:A, 0)),
              Product_Master!B:B, 0 )
))
</f>
        <v>Apparel_Accessories_Winter</v>
      </c>
      <c r="C324" s="7" t="s">
        <v>615</v>
      </c>
      <c r="D324" s="8" t="s">
        <v>469</v>
      </c>
      <c r="E324" s="9" t="s">
        <v>12</v>
      </c>
      <c r="F324" s="8"/>
      <c r="G324" s="5"/>
      <c r="H324" s="5"/>
      <c r="I324" s="5"/>
    </row>
    <row r="325">
      <c r="A325" s="5" t="s">
        <v>9</v>
      </c>
      <c r="B325" s="6" t="str">
        <f t="array" ref="B325">IF(D325="","",
 INDEX(Product_Master!A:A,
       MATCH( INDEX(Pack_Master!B:B, MATCH(D325, Pack_Master!A:A, 0)),
              Product_Master!B:B, 0 )
))
</f>
        <v>Apparel_Accessories_Winter</v>
      </c>
      <c r="C325" s="7" t="s">
        <v>616</v>
      </c>
      <c r="D325" s="8" t="s">
        <v>617</v>
      </c>
      <c r="E325" s="9" t="s">
        <v>12</v>
      </c>
      <c r="F325" s="8" t="s">
        <v>618</v>
      </c>
      <c r="G325" s="5"/>
      <c r="H325" s="5"/>
      <c r="I325" s="5"/>
    </row>
    <row r="326">
      <c r="A326" s="5" t="s">
        <v>9</v>
      </c>
      <c r="B326" s="6" t="str">
        <f t="array" ref="B326">IF(D326="","",
 INDEX(Product_Master!A:A,
       MATCH( INDEX(Pack_Master!B:B, MATCH(D326, Pack_Master!A:A, 0)),
              Product_Master!B:B, 0 )
))
</f>
        <v>Apparel_Accessories_Winter</v>
      </c>
      <c r="C326" s="7" t="s">
        <v>619</v>
      </c>
      <c r="D326" s="8" t="s">
        <v>620</v>
      </c>
      <c r="E326" s="9" t="s">
        <v>12</v>
      </c>
      <c r="F326" s="8" t="s">
        <v>621</v>
      </c>
      <c r="G326" s="5"/>
      <c r="H326" s="5"/>
      <c r="I326" s="5"/>
    </row>
    <row r="327">
      <c r="A327" s="5" t="s">
        <v>9</v>
      </c>
      <c r="B327" s="6" t="str">
        <f t="array" ref="B327">IF(D327="","",
 INDEX(Product_Master!A:A,
       MATCH( INDEX(Pack_Master!B:B, MATCH(D327, Pack_Master!A:A, 0)),
              Product_Master!B:B, 0 )
))
</f>
        <v>Automotive_FaceMasks</v>
      </c>
      <c r="C327" s="7" t="s">
        <v>622</v>
      </c>
      <c r="D327" s="8" t="s">
        <v>458</v>
      </c>
      <c r="E327" s="9" t="s">
        <v>12</v>
      </c>
      <c r="F327" s="8" t="s">
        <v>623</v>
      </c>
      <c r="G327" s="5"/>
      <c r="H327" s="5"/>
      <c r="I327" s="5"/>
    </row>
    <row r="328">
      <c r="A328" s="5" t="s">
        <v>9</v>
      </c>
      <c r="B328" s="6" t="str">
        <f t="array" ref="B328">IF(D328="","",
 INDEX(Product_Master!A:A,
       MATCH( INDEX(Pack_Master!B:B, MATCH(D328, Pack_Master!A:A, 0)),
              Product_Master!B:B, 0 )
))
</f>
        <v>Automotive_FaceMasks</v>
      </c>
      <c r="C328" s="7" t="s">
        <v>624</v>
      </c>
      <c r="D328" s="8" t="s">
        <v>18</v>
      </c>
      <c r="E328" s="9" t="s">
        <v>12</v>
      </c>
      <c r="F328" s="8" t="s">
        <v>625</v>
      </c>
      <c r="G328" s="5"/>
      <c r="H328" s="5"/>
      <c r="I328" s="5"/>
    </row>
    <row r="329">
      <c r="A329" s="5" t="s">
        <v>9</v>
      </c>
      <c r="B329" s="6" t="str">
        <f t="array" ref="B329">IF(D329="","",
 INDEX(Product_Master!A:A,
       MATCH( INDEX(Pack_Master!B:B, MATCH(D329, Pack_Master!A:A, 0)),
              Product_Master!B:B, 0 )
))
</f>
        <v>Automotive_FaceMasks</v>
      </c>
      <c r="C329" s="7" t="s">
        <v>626</v>
      </c>
      <c r="D329" s="8" t="s">
        <v>627</v>
      </c>
      <c r="E329" s="9" t="s">
        <v>12</v>
      </c>
      <c r="F329" s="8">
        <v>6.161142042649E12</v>
      </c>
      <c r="G329" s="5"/>
      <c r="H329" s="5"/>
      <c r="I329" s="5"/>
    </row>
    <row r="330">
      <c r="A330" s="5" t="s">
        <v>9</v>
      </c>
      <c r="B330" s="6" t="str">
        <f t="array" ref="B330">IF(D330="","",
 INDEX(Product_Master!A:A,
       MATCH( INDEX(Pack_Master!B:B, MATCH(D330, Pack_Master!A:A, 0)),
              Product_Master!B:B, 0 )
))
</f>
        <v>Automotive_FaceMasks</v>
      </c>
      <c r="C330" s="7" t="s">
        <v>628</v>
      </c>
      <c r="D330" s="8" t="s">
        <v>629</v>
      </c>
      <c r="E330" s="9" t="s">
        <v>12</v>
      </c>
      <c r="F330" s="8">
        <v>6.161142038178E12</v>
      </c>
      <c r="G330" s="5"/>
      <c r="H330" s="5"/>
      <c r="I330" s="5"/>
    </row>
    <row r="331">
      <c r="A331" s="5" t="s">
        <v>9</v>
      </c>
      <c r="B331" s="6" t="str">
        <f t="array" ref="B331">IF(D331="","",
 INDEX(Product_Master!A:A,
       MATCH( INDEX(Pack_Master!B:B, MATCH(D331, Pack_Master!A:A, 0)),
              Product_Master!B:B, 0 )
))
</f>
        <v>Automotive_FaceMasks</v>
      </c>
      <c r="C331" s="7" t="s">
        <v>630</v>
      </c>
      <c r="D331" s="8" t="s">
        <v>631</v>
      </c>
      <c r="E331" s="9" t="s">
        <v>12</v>
      </c>
      <c r="F331" s="8" t="s">
        <v>632</v>
      </c>
      <c r="G331" s="5"/>
      <c r="H331" s="5"/>
      <c r="I331" s="5"/>
    </row>
    <row r="332">
      <c r="A332" s="5" t="s">
        <v>9</v>
      </c>
      <c r="B332" s="6" t="str">
        <f t="array" ref="B332">IF(D332="","",
 INDEX(Product_Master!A:A,
       MATCH( INDEX(Pack_Master!B:B, MATCH(D332, Pack_Master!A:A, 0)),
              Product_Master!B:B, 0 )
))
</f>
        <v>Automotive_FaceMasks</v>
      </c>
      <c r="C332" s="7" t="s">
        <v>633</v>
      </c>
      <c r="D332" s="8" t="s">
        <v>634</v>
      </c>
      <c r="E332" s="9" t="s">
        <v>12</v>
      </c>
      <c r="F332" s="8">
        <v>6.161142038284E12</v>
      </c>
      <c r="G332" s="5"/>
      <c r="H332" s="5"/>
      <c r="I332" s="5"/>
    </row>
    <row r="333">
      <c r="A333" s="5" t="s">
        <v>9</v>
      </c>
      <c r="B333" s="6" t="str">
        <f t="array" ref="B333">IF(D333="","",
 INDEX(Product_Master!A:A,
       MATCH( INDEX(Pack_Master!B:B, MATCH(D333, Pack_Master!A:A, 0)),
              Product_Master!B:B, 0 )
))
</f>
        <v>Automotive_FaceMasks</v>
      </c>
      <c r="C333" s="7" t="s">
        <v>635</v>
      </c>
      <c r="D333" s="8" t="s">
        <v>636</v>
      </c>
      <c r="E333" s="9" t="s">
        <v>12</v>
      </c>
      <c r="F333" s="8"/>
      <c r="G333" s="5"/>
      <c r="H333" s="5"/>
      <c r="I333" s="5"/>
    </row>
    <row r="334">
      <c r="A334" s="5" t="s">
        <v>9</v>
      </c>
      <c r="B334" s="6" t="str">
        <f t="array" ref="B334">IF(D334="","",
 INDEX(Product_Master!A:A,
       MATCH( INDEX(Pack_Master!B:B, MATCH(D334, Pack_Master!A:A, 0)),
              Product_Master!B:B, 0 )
))
</f>
        <v>Apparel_Tshirts</v>
      </c>
      <c r="C334" s="7" t="s">
        <v>637</v>
      </c>
      <c r="D334" s="8" t="s">
        <v>638</v>
      </c>
      <c r="E334" s="9" t="s">
        <v>12</v>
      </c>
      <c r="F334" s="8" t="s">
        <v>639</v>
      </c>
      <c r="G334" s="5"/>
      <c r="H334" s="5"/>
      <c r="I334" s="5"/>
    </row>
    <row r="335">
      <c r="A335" s="5" t="s">
        <v>9</v>
      </c>
      <c r="B335" s="6" t="str">
        <f t="array" ref="B335">IF(D335="","",
 INDEX(Product_Master!A:A,
       MATCH( INDEX(Pack_Master!B:B, MATCH(D335, Pack_Master!A:A, 0)),
              Product_Master!B:B, 0 )
))
</f>
        <v>Apparel_Tshirts</v>
      </c>
      <c r="C335" s="7" t="s">
        <v>640</v>
      </c>
      <c r="D335" s="8" t="s">
        <v>641</v>
      </c>
      <c r="E335" s="9" t="s">
        <v>12</v>
      </c>
      <c r="F335" s="8" t="s">
        <v>642</v>
      </c>
      <c r="G335" s="5"/>
      <c r="H335" s="5"/>
      <c r="I335" s="5"/>
    </row>
    <row r="336">
      <c r="A336" s="5" t="s">
        <v>9</v>
      </c>
      <c r="B336" s="6" t="str">
        <f t="array" ref="B336">IF(D336="","",
 INDEX(Product_Master!A:A,
       MATCH( INDEX(Pack_Master!B:B, MATCH(D336, Pack_Master!A:A, 0)),
              Product_Master!B:B, 0 )
))
</f>
        <v>Apparel_Tshirts</v>
      </c>
      <c r="C336" s="7" t="s">
        <v>643</v>
      </c>
      <c r="D336" s="8" t="s">
        <v>644</v>
      </c>
      <c r="E336" s="9" t="s">
        <v>12</v>
      </c>
      <c r="F336" s="8" t="s">
        <v>645</v>
      </c>
      <c r="G336" s="5"/>
      <c r="H336" s="5"/>
      <c r="I336" s="5"/>
    </row>
    <row r="337">
      <c r="A337" s="5" t="s">
        <v>9</v>
      </c>
      <c r="B337" s="6" t="str">
        <f t="array" ref="B337">IF(D337="","",
 INDEX(Product_Master!A:A,
       MATCH( INDEX(Pack_Master!B:B, MATCH(D337, Pack_Master!A:A, 0)),
              Product_Master!B:B, 0 )
))
</f>
        <v>Apparel_Tshirts</v>
      </c>
      <c r="C337" s="7" t="s">
        <v>646</v>
      </c>
      <c r="D337" s="8" t="s">
        <v>647</v>
      </c>
      <c r="E337" s="9" t="s">
        <v>12</v>
      </c>
      <c r="F337" s="8" t="s">
        <v>648</v>
      </c>
      <c r="G337" s="5"/>
      <c r="H337" s="5"/>
      <c r="I337" s="5"/>
    </row>
    <row r="338">
      <c r="A338" s="5" t="s">
        <v>9</v>
      </c>
      <c r="B338" s="6" t="str">
        <f t="array" ref="B338">IF(D338="","",
 INDEX(Product_Master!A:A,
       MATCH( INDEX(Pack_Master!B:B, MATCH(D338, Pack_Master!A:A, 0)),
              Product_Master!B:B, 0 )
))
</f>
        <v>Apparel_Accessories_Winter</v>
      </c>
      <c r="C338" s="7" t="s">
        <v>649</v>
      </c>
      <c r="D338" s="8" t="s">
        <v>650</v>
      </c>
      <c r="E338" s="9" t="s">
        <v>12</v>
      </c>
      <c r="F338" s="8"/>
      <c r="G338" s="5"/>
      <c r="H338" s="5"/>
      <c r="I338" s="5"/>
    </row>
    <row r="339">
      <c r="A339" s="5" t="s">
        <v>9</v>
      </c>
      <c r="B339" s="6" t="str">
        <f t="array" ref="B339">IF(D339="","",
 INDEX(Product_Master!A:A,
       MATCH( INDEX(Pack_Master!B:B, MATCH(D339, Pack_Master!A:A, 0)),
              Product_Master!B:B, 0 )
))
</f>
        <v>Apparel_Tshirts</v>
      </c>
      <c r="C339" s="7" t="s">
        <v>651</v>
      </c>
      <c r="D339" s="8" t="s">
        <v>652</v>
      </c>
      <c r="E339" s="9" t="s">
        <v>12</v>
      </c>
      <c r="F339" s="8"/>
      <c r="G339" s="5"/>
      <c r="H339" s="5"/>
      <c r="I339" s="5"/>
    </row>
    <row r="340">
      <c r="A340" s="5" t="s">
        <v>9</v>
      </c>
      <c r="B340" s="6" t="str">
        <f t="array" ref="B340">IF(D340="","",
 INDEX(Product_Master!A:A,
       MATCH( INDEX(Pack_Master!B:B, MATCH(D340, Pack_Master!A:A, 0)),
              Product_Master!B:B, 0 )
))
</f>
        <v>Apparel_Tshirts</v>
      </c>
      <c r="C340" s="7" t="s">
        <v>653</v>
      </c>
      <c r="D340" s="8" t="s">
        <v>654</v>
      </c>
      <c r="E340" s="9" t="s">
        <v>12</v>
      </c>
      <c r="F340" s="8"/>
      <c r="G340" s="5"/>
      <c r="H340" s="5"/>
      <c r="I340" s="5"/>
    </row>
    <row r="341">
      <c r="A341" s="5" t="s">
        <v>9</v>
      </c>
      <c r="B341" s="6" t="str">
        <f t="array" ref="B341">IF(D341="","",
 INDEX(Product_Master!A:A,
       MATCH( INDEX(Pack_Master!B:B, MATCH(D341, Pack_Master!A:A, 0)),
              Product_Master!B:B, 0 )
))
</f>
        <v>Apparel_Tshirts</v>
      </c>
      <c r="C341" s="7" t="s">
        <v>655</v>
      </c>
      <c r="D341" s="8" t="s">
        <v>656</v>
      </c>
      <c r="E341" s="9" t="s">
        <v>12</v>
      </c>
      <c r="F341" s="8"/>
      <c r="G341" s="5"/>
      <c r="H341" s="5"/>
      <c r="I341" s="5"/>
    </row>
    <row r="342">
      <c r="A342" s="5" t="s">
        <v>9</v>
      </c>
      <c r="B342" s="6" t="str">
        <f t="array" ref="B342">IF(D342="","",
 INDEX(Product_Master!A:A,
       MATCH( INDEX(Pack_Master!B:B, MATCH(D342, Pack_Master!A:A, 0)),
              Product_Master!B:B, 0 )
))
</f>
        <v>Apparel_Tshirts</v>
      </c>
      <c r="C342" s="7" t="s">
        <v>657</v>
      </c>
      <c r="D342" s="8" t="s">
        <v>658</v>
      </c>
      <c r="E342" s="9" t="s">
        <v>12</v>
      </c>
      <c r="F342" s="8"/>
      <c r="G342" s="5"/>
      <c r="H342" s="5"/>
      <c r="I342" s="5"/>
    </row>
    <row r="343">
      <c r="A343" s="5" t="s">
        <v>9</v>
      </c>
      <c r="B343" s="6" t="str">
        <f t="array" ref="B343">IF(D343="","",
 INDEX(Product_Master!A:A,
       MATCH( INDEX(Pack_Master!B:B, MATCH(D343, Pack_Master!A:A, 0)),
              Product_Master!B:B, 0 )
))
</f>
        <v>Apparel_Tshirts</v>
      </c>
      <c r="C343" s="7" t="s">
        <v>659</v>
      </c>
      <c r="D343" s="8" t="s">
        <v>660</v>
      </c>
      <c r="E343" s="9" t="s">
        <v>12</v>
      </c>
      <c r="F343" s="8"/>
      <c r="G343" s="5"/>
      <c r="H343" s="5"/>
      <c r="I343" s="5"/>
    </row>
    <row r="344">
      <c r="A344" s="5" t="s">
        <v>9</v>
      </c>
      <c r="B344" s="6" t="str">
        <f t="array" ref="B344">IF(D344="","",
 INDEX(Product_Master!A:A,
       MATCH( INDEX(Pack_Master!B:B, MATCH(D344, Pack_Master!A:A, 0)),
              Product_Master!B:B, 0 )
))
</f>
        <v>Apparel_Tshirts</v>
      </c>
      <c r="C344" s="7" t="s">
        <v>661</v>
      </c>
      <c r="D344" s="8" t="s">
        <v>662</v>
      </c>
      <c r="E344" s="9" t="s">
        <v>12</v>
      </c>
      <c r="F344" s="8"/>
      <c r="G344" s="5"/>
      <c r="H344" s="5"/>
      <c r="I344" s="5"/>
    </row>
    <row r="345">
      <c r="A345" s="5" t="s">
        <v>9</v>
      </c>
      <c r="B345" s="6" t="str">
        <f t="array" ref="B345">IF(D345="","",
 INDEX(Product_Master!A:A,
       MATCH( INDEX(Pack_Master!B:B, MATCH(D345, Pack_Master!A:A, 0)),
              Product_Master!B:B, 0 )
))
</f>
        <v>Apparel_Tshirts</v>
      </c>
      <c r="C345" s="7" t="s">
        <v>663</v>
      </c>
      <c r="D345" s="8" t="s">
        <v>664</v>
      </c>
      <c r="E345" s="9" t="s">
        <v>12</v>
      </c>
      <c r="F345" s="8"/>
      <c r="G345" s="5"/>
      <c r="H345" s="5"/>
      <c r="I345" s="5"/>
    </row>
    <row r="346">
      <c r="A346" s="5" t="s">
        <v>9</v>
      </c>
      <c r="B346" s="6" t="str">
        <f t="array" ref="B346">IF(D346="","",
 INDEX(Product_Master!A:A,
       MATCH( INDEX(Pack_Master!B:B, MATCH(D346, Pack_Master!A:A, 0)),
              Product_Master!B:B, 0 )
))
</f>
        <v>Apparel_Tshirts</v>
      </c>
      <c r="C346" s="7" t="s">
        <v>665</v>
      </c>
      <c r="D346" s="8" t="s">
        <v>666</v>
      </c>
      <c r="E346" s="9" t="s">
        <v>12</v>
      </c>
      <c r="F346" s="8"/>
      <c r="G346" s="5"/>
      <c r="H346" s="5"/>
      <c r="I346" s="5"/>
    </row>
    <row r="347">
      <c r="A347" s="5" t="s">
        <v>9</v>
      </c>
      <c r="B347" s="6" t="str">
        <f t="array" ref="B347">IF(D347="","",
 INDEX(Product_Master!A:A,
       MATCH( INDEX(Pack_Master!B:B, MATCH(D347, Pack_Master!A:A, 0)),
              Product_Master!B:B, 0 )
))
</f>
        <v>Apparel_Tshirts</v>
      </c>
      <c r="C347" s="7" t="s">
        <v>667</v>
      </c>
      <c r="D347" s="8" t="s">
        <v>668</v>
      </c>
      <c r="E347" s="9" t="s">
        <v>12</v>
      </c>
      <c r="F347" s="8"/>
      <c r="G347" s="5"/>
      <c r="H347" s="5"/>
      <c r="I347" s="5"/>
    </row>
    <row r="348">
      <c r="A348" s="5" t="s">
        <v>9</v>
      </c>
      <c r="B348" s="6" t="str">
        <f t="array" ref="B348">IF(D348="","",
 INDEX(Product_Master!A:A,
       MATCH( INDEX(Pack_Master!B:B, MATCH(D348, Pack_Master!A:A, 0)),
              Product_Master!B:B, 0 )
))
</f>
        <v>Apparel_Tshirts</v>
      </c>
      <c r="C348" s="7" t="s">
        <v>669</v>
      </c>
      <c r="D348" s="8" t="s">
        <v>670</v>
      </c>
      <c r="E348" s="9" t="s">
        <v>12</v>
      </c>
      <c r="F348" s="8"/>
      <c r="G348" s="5"/>
      <c r="H348" s="5"/>
      <c r="I348" s="5"/>
    </row>
    <row r="349">
      <c r="A349" s="5" t="s">
        <v>9</v>
      </c>
      <c r="B349" s="6" t="str">
        <f t="array" ref="B349">IF(D349="","",
 INDEX(Product_Master!A:A,
       MATCH( INDEX(Pack_Master!B:B, MATCH(D349, Pack_Master!A:A, 0)),
              Product_Master!B:B, 0 )
))
</f>
        <v>Apparel_Tshirts</v>
      </c>
      <c r="C349" s="7" t="s">
        <v>671</v>
      </c>
      <c r="D349" s="8" t="s">
        <v>672</v>
      </c>
      <c r="E349" s="9" t="s">
        <v>12</v>
      </c>
      <c r="F349" s="8" t="s">
        <v>673</v>
      </c>
      <c r="G349" s="5"/>
      <c r="H349" s="5"/>
      <c r="I349" s="5"/>
    </row>
    <row r="350">
      <c r="A350" s="5" t="s">
        <v>9</v>
      </c>
      <c r="B350" s="6" t="str">
        <f t="array" ref="B350">IF(D350="","",
 INDEX(Product_Master!A:A,
       MATCH( INDEX(Pack_Master!B:B, MATCH(D350, Pack_Master!A:A, 0)),
              Product_Master!B:B, 0 )
))
</f>
        <v>Apparel_Tshirts</v>
      </c>
      <c r="C350" s="7" t="s">
        <v>674</v>
      </c>
      <c r="D350" s="8" t="s">
        <v>675</v>
      </c>
      <c r="E350" s="9" t="s">
        <v>12</v>
      </c>
      <c r="F350" s="8"/>
      <c r="G350" s="5"/>
      <c r="H350" s="5"/>
      <c r="I350" s="5"/>
    </row>
    <row r="351">
      <c r="A351" s="5" t="s">
        <v>9</v>
      </c>
      <c r="B351" s="6" t="str">
        <f t="array" ref="B351">IF(D351="","",
 INDEX(Product_Master!A:A,
       MATCH( INDEX(Pack_Master!B:B, MATCH(D351, Pack_Master!A:A, 0)),
              Product_Master!B:B, 0 )
))
</f>
        <v>Apparel_Tshirts</v>
      </c>
      <c r="C351" s="7" t="s">
        <v>676</v>
      </c>
      <c r="D351" s="8" t="s">
        <v>677</v>
      </c>
      <c r="E351" s="9" t="s">
        <v>12</v>
      </c>
      <c r="F351" s="8"/>
      <c r="G351" s="5"/>
      <c r="H351" s="5"/>
      <c r="I351" s="5"/>
    </row>
    <row r="352">
      <c r="A352" s="5" t="s">
        <v>9</v>
      </c>
      <c r="B352" s="6" t="str">
        <f t="array" ref="B352">IF(D352="","",
 INDEX(Product_Master!A:A,
       MATCH( INDEX(Pack_Master!B:B, MATCH(D352, Pack_Master!A:A, 0)),
              Product_Master!B:B, 0 )
))
</f>
        <v>Apparel_Tshirts</v>
      </c>
      <c r="C352" s="7" t="s">
        <v>678</v>
      </c>
      <c r="D352" s="8" t="s">
        <v>679</v>
      </c>
      <c r="E352" s="9" t="s">
        <v>12</v>
      </c>
      <c r="F352" s="8"/>
      <c r="G352" s="5"/>
      <c r="H352" s="5"/>
      <c r="I352" s="5"/>
    </row>
    <row r="353">
      <c r="A353" s="5" t="s">
        <v>9</v>
      </c>
      <c r="B353" s="6" t="str">
        <f t="array" ref="B353">IF(D353="","",
 INDEX(Product_Master!A:A,
       MATCH( INDEX(Pack_Master!B:B, MATCH(D353, Pack_Master!A:A, 0)),
              Product_Master!B:B, 0 )
))
</f>
        <v>Apparel_Tshirts</v>
      </c>
      <c r="C353" s="7" t="s">
        <v>680</v>
      </c>
      <c r="D353" s="8" t="s">
        <v>681</v>
      </c>
      <c r="E353" s="9" t="s">
        <v>12</v>
      </c>
      <c r="F353" s="8"/>
      <c r="G353" s="5"/>
      <c r="H353" s="5"/>
      <c r="I353" s="5"/>
    </row>
    <row r="354">
      <c r="A354" s="5" t="s">
        <v>9</v>
      </c>
      <c r="B354" s="6" t="str">
        <f t="array" ref="B354">IF(D354="","",
 INDEX(Product_Master!A:A,
       MATCH( INDEX(Pack_Master!B:B, MATCH(D354, Pack_Master!A:A, 0)),
              Product_Master!B:B, 0 )
))
</f>
        <v>Apparel_Tshirts</v>
      </c>
      <c r="C354" s="7" t="s">
        <v>682</v>
      </c>
      <c r="D354" s="8" t="s">
        <v>683</v>
      </c>
      <c r="E354" s="9" t="s">
        <v>12</v>
      </c>
      <c r="F354" s="8"/>
      <c r="G354" s="5"/>
      <c r="H354" s="5"/>
      <c r="I354" s="5"/>
    </row>
    <row r="355">
      <c r="A355" s="5" t="s">
        <v>9</v>
      </c>
      <c r="B355" s="6" t="str">
        <f t="array" ref="B355">IF(D355="","",
 INDEX(Product_Master!A:A,
       MATCH( INDEX(Pack_Master!B:B, MATCH(D355, Pack_Master!A:A, 0)),
              Product_Master!B:B, 0 )
))
</f>
        <v>Apparel_Tshirts</v>
      </c>
      <c r="C355" s="7" t="s">
        <v>684</v>
      </c>
      <c r="D355" s="8" t="s">
        <v>685</v>
      </c>
      <c r="E355" s="9" t="s">
        <v>12</v>
      </c>
      <c r="F355" s="8"/>
      <c r="G355" s="5"/>
      <c r="H355" s="5"/>
      <c r="I355" s="5"/>
    </row>
    <row r="356">
      <c r="A356" s="5" t="s">
        <v>9</v>
      </c>
      <c r="B356" s="6" t="str">
        <f t="array" ref="B356">IF(D356="","",
 INDEX(Product_Master!A:A,
       MATCH( INDEX(Pack_Master!B:B, MATCH(D356, Pack_Master!A:A, 0)),
              Product_Master!B:B, 0 )
))
</f>
        <v>Apparel_Tshirts</v>
      </c>
      <c r="C356" s="7" t="s">
        <v>686</v>
      </c>
      <c r="D356" s="8" t="s">
        <v>687</v>
      </c>
      <c r="E356" s="9" t="s">
        <v>12</v>
      </c>
      <c r="F356" s="8"/>
      <c r="G356" s="5"/>
      <c r="H356" s="5"/>
      <c r="I356" s="5"/>
    </row>
    <row r="357">
      <c r="A357" s="5" t="s">
        <v>9</v>
      </c>
      <c r="B357" s="6" t="str">
        <f t="array" ref="B357">IF(D357="","",
 INDEX(Product_Master!A:A,
       MATCH( INDEX(Pack_Master!B:B, MATCH(D357, Pack_Master!A:A, 0)),
              Product_Master!B:B, 0 )
))
</f>
        <v>Apparel_Tshirts</v>
      </c>
      <c r="C357" s="7" t="s">
        <v>688</v>
      </c>
      <c r="D357" s="8" t="s">
        <v>689</v>
      </c>
      <c r="E357" s="9" t="s">
        <v>12</v>
      </c>
      <c r="F357" s="8"/>
      <c r="G357" s="5"/>
      <c r="H357" s="5"/>
      <c r="I357" s="5"/>
    </row>
    <row r="358">
      <c r="A358" s="5" t="s">
        <v>9</v>
      </c>
      <c r="B358" s="6" t="str">
        <f t="array" ref="B358">IF(D358="","",
 INDEX(Product_Master!A:A,
       MATCH( INDEX(Pack_Master!B:B, MATCH(D358, Pack_Master!A:A, 0)),
              Product_Master!B:B, 0 )
))
</f>
        <v>Apparel_Tshirts</v>
      </c>
      <c r="C358" s="7" t="s">
        <v>690</v>
      </c>
      <c r="D358" s="8" t="s">
        <v>691</v>
      </c>
      <c r="E358" s="9" t="s">
        <v>12</v>
      </c>
      <c r="F358" s="8"/>
      <c r="G358" s="5"/>
      <c r="H358" s="5"/>
      <c r="I358" s="5"/>
    </row>
    <row r="359">
      <c r="A359" s="5" t="s">
        <v>9</v>
      </c>
      <c r="B359" s="6" t="str">
        <f t="array" ref="B359">IF(D359="","",
 INDEX(Product_Master!A:A,
       MATCH( INDEX(Pack_Master!B:B, MATCH(D359, Pack_Master!A:A, 0)),
              Product_Master!B:B, 0 )
))
</f>
        <v>Apparel_Tshirts</v>
      </c>
      <c r="C359" s="7" t="s">
        <v>692</v>
      </c>
      <c r="D359" s="8" t="s">
        <v>693</v>
      </c>
      <c r="E359" s="9" t="s">
        <v>12</v>
      </c>
      <c r="F359" s="8"/>
      <c r="G359" s="5"/>
      <c r="H359" s="5"/>
      <c r="I359" s="5"/>
    </row>
    <row r="360">
      <c r="A360" s="5" t="s">
        <v>9</v>
      </c>
      <c r="B360" s="6" t="str">
        <f t="array" ref="B360">IF(D360="","",
 INDEX(Product_Master!A:A,
       MATCH( INDEX(Pack_Master!B:B, MATCH(D360, Pack_Master!A:A, 0)),
              Product_Master!B:B, 0 )
))
</f>
        <v>Apparel_Tshirts</v>
      </c>
      <c r="C360" s="7" t="s">
        <v>694</v>
      </c>
      <c r="D360" s="8" t="s">
        <v>695</v>
      </c>
      <c r="E360" s="9" t="s">
        <v>12</v>
      </c>
      <c r="F360" s="8"/>
      <c r="G360" s="5"/>
      <c r="H360" s="5"/>
      <c r="I360" s="5"/>
    </row>
    <row r="361">
      <c r="A361" s="5" t="s">
        <v>9</v>
      </c>
      <c r="B361" s="6" t="str">
        <f t="array" ref="B361">IF(D361="","",
 INDEX(Product_Master!A:A,
       MATCH( INDEX(Pack_Master!B:B, MATCH(D361, Pack_Master!A:A, 0)),
              Product_Master!B:B, 0 )
))
</f>
        <v>Apparel_Tshirts</v>
      </c>
      <c r="C361" s="7" t="s">
        <v>696</v>
      </c>
      <c r="D361" s="8" t="s">
        <v>697</v>
      </c>
      <c r="E361" s="9" t="s">
        <v>12</v>
      </c>
      <c r="F361" s="8"/>
      <c r="G361" s="5"/>
      <c r="H361" s="5"/>
      <c r="I361" s="5"/>
    </row>
    <row r="362">
      <c r="A362" s="5" t="s">
        <v>9</v>
      </c>
      <c r="B362" s="6" t="str">
        <f t="array" ref="B362">IF(D362="","",
 INDEX(Product_Master!A:A,
       MATCH( INDEX(Pack_Master!B:B, MATCH(D362, Pack_Master!A:A, 0)),
              Product_Master!B:B, 0 )
))
</f>
        <v>Apparel_Tshirts</v>
      </c>
      <c r="C362" s="7" t="s">
        <v>698</v>
      </c>
      <c r="D362" s="8" t="s">
        <v>699</v>
      </c>
      <c r="E362" s="9" t="s">
        <v>12</v>
      </c>
      <c r="F362" s="8"/>
      <c r="G362" s="5"/>
      <c r="H362" s="5"/>
      <c r="I362" s="5"/>
    </row>
    <row r="363">
      <c r="A363" s="5" t="s">
        <v>9</v>
      </c>
      <c r="B363" s="6" t="str">
        <f t="array" ref="B363">IF(D363="","",
 INDEX(Product_Master!A:A,
       MATCH( INDEX(Pack_Master!B:B, MATCH(D363, Pack_Master!A:A, 0)),
              Product_Master!B:B, 0 )
))
</f>
        <v>Apparel_Tshirts</v>
      </c>
      <c r="C363" s="7" t="s">
        <v>700</v>
      </c>
      <c r="D363" s="8" t="s">
        <v>701</v>
      </c>
      <c r="E363" s="9" t="s">
        <v>12</v>
      </c>
      <c r="F363" s="8"/>
      <c r="G363" s="5"/>
      <c r="H363" s="5"/>
      <c r="I363" s="5"/>
    </row>
    <row r="364">
      <c r="A364" s="5" t="s">
        <v>9</v>
      </c>
      <c r="B364" s="6" t="str">
        <f t="array" ref="B364">IF(D364="","",
 INDEX(Product_Master!A:A,
       MATCH( INDEX(Pack_Master!B:B, MATCH(D364, Pack_Master!A:A, 0)),
              Product_Master!B:B, 0 )
))
</f>
        <v>Apparel_Tshirts</v>
      </c>
      <c r="C364" s="7" t="s">
        <v>702</v>
      </c>
      <c r="D364" s="8" t="s">
        <v>703</v>
      </c>
      <c r="E364" s="9" t="s">
        <v>12</v>
      </c>
      <c r="F364" s="8"/>
      <c r="G364" s="5"/>
      <c r="H364" s="5"/>
      <c r="I364" s="5"/>
    </row>
    <row r="365">
      <c r="A365" s="5" t="s">
        <v>9</v>
      </c>
      <c r="B365" s="6" t="str">
        <f t="array" ref="B365">IF(D365="","",
 INDEX(Product_Master!A:A,
       MATCH( INDEX(Pack_Master!B:B, MATCH(D365, Pack_Master!A:A, 0)),
              Product_Master!B:B, 0 )
))
</f>
        <v>Apparel_Tshirts</v>
      </c>
      <c r="C365" s="7" t="s">
        <v>704</v>
      </c>
      <c r="D365" s="8" t="s">
        <v>705</v>
      </c>
      <c r="E365" s="9" t="s">
        <v>12</v>
      </c>
      <c r="F365" s="8"/>
      <c r="G365" s="5"/>
      <c r="H365" s="5"/>
      <c r="I365" s="5"/>
    </row>
    <row r="366">
      <c r="A366" s="5" t="s">
        <v>9</v>
      </c>
      <c r="B366" s="6" t="str">
        <f t="array" ref="B366">IF(D366="","",
 INDEX(Product_Master!A:A,
       MATCH( INDEX(Pack_Master!B:B, MATCH(D366, Pack_Master!A:A, 0)),
              Product_Master!B:B, 0 )
))
</f>
        <v>Apparel_Tshirts</v>
      </c>
      <c r="C366" s="7" t="s">
        <v>706</v>
      </c>
      <c r="D366" s="8" t="s">
        <v>707</v>
      </c>
      <c r="E366" s="9" t="s">
        <v>12</v>
      </c>
      <c r="F366" s="8"/>
      <c r="G366" s="5"/>
      <c r="H366" s="5"/>
      <c r="I366" s="5"/>
    </row>
    <row r="367">
      <c r="A367" s="5" t="s">
        <v>9</v>
      </c>
      <c r="B367" s="6" t="str">
        <f t="array" ref="B367">IF(D367="","",
 INDEX(Product_Master!A:A,
       MATCH( INDEX(Pack_Master!B:B, MATCH(D367, Pack_Master!A:A, 0)),
              Product_Master!B:B, 0 )
))
</f>
        <v>Apparel_Tshirts</v>
      </c>
      <c r="C367" s="7" t="s">
        <v>708</v>
      </c>
      <c r="D367" s="8" t="s">
        <v>709</v>
      </c>
      <c r="E367" s="9" t="s">
        <v>12</v>
      </c>
      <c r="F367" s="8"/>
      <c r="G367" s="5"/>
      <c r="H367" s="5"/>
      <c r="I367" s="5"/>
    </row>
    <row r="368">
      <c r="A368" s="5" t="s">
        <v>9</v>
      </c>
      <c r="B368" s="6" t="str">
        <f t="array" ref="B368">IF(D368="","",
 INDEX(Product_Master!A:A,
       MATCH( INDEX(Pack_Master!B:B, MATCH(D368, Pack_Master!A:A, 0)),
              Product_Master!B:B, 0 )
))
</f>
        <v>Apparel_Tshirts</v>
      </c>
      <c r="C368" s="7" t="s">
        <v>710</v>
      </c>
      <c r="D368" s="8" t="s">
        <v>711</v>
      </c>
      <c r="E368" s="9" t="s">
        <v>12</v>
      </c>
      <c r="F368" s="8"/>
      <c r="G368" s="5"/>
      <c r="H368" s="5"/>
      <c r="I368" s="5"/>
    </row>
    <row r="369">
      <c r="A369" s="5" t="s">
        <v>9</v>
      </c>
      <c r="B369" s="6" t="str">
        <f t="array" ref="B369">IF(D369="","",
 INDEX(Product_Master!A:A,
       MATCH( INDEX(Pack_Master!B:B, MATCH(D369, Pack_Master!A:A, 0)),
              Product_Master!B:B, 0 )
))
</f>
        <v>Apparel_Tshirts</v>
      </c>
      <c r="C369" s="7" t="s">
        <v>712</v>
      </c>
      <c r="D369" s="8" t="s">
        <v>713</v>
      </c>
      <c r="E369" s="9" t="s">
        <v>12</v>
      </c>
      <c r="F369" s="8"/>
      <c r="G369" s="5"/>
      <c r="H369" s="5"/>
      <c r="I369" s="5"/>
    </row>
    <row r="370">
      <c r="A370" s="5" t="s">
        <v>9</v>
      </c>
      <c r="B370" s="6" t="str">
        <f t="array" ref="B370">IF(D370="","",
 INDEX(Product_Master!A:A,
       MATCH( INDEX(Pack_Master!B:B, MATCH(D370, Pack_Master!A:A, 0)),
              Product_Master!B:B, 0 )
))
</f>
        <v>Apparel_Tshirts</v>
      </c>
      <c r="C370" s="7" t="s">
        <v>714</v>
      </c>
      <c r="D370" s="8" t="s">
        <v>715</v>
      </c>
      <c r="E370" s="9" t="s">
        <v>12</v>
      </c>
      <c r="F370" s="8"/>
      <c r="G370" s="5"/>
      <c r="H370" s="5"/>
      <c r="I370" s="5"/>
    </row>
    <row r="371">
      <c r="A371" s="5" t="s">
        <v>9</v>
      </c>
      <c r="B371" s="6" t="str">
        <f t="array" ref="B371">IF(D371="","",
 INDEX(Product_Master!A:A,
       MATCH( INDEX(Pack_Master!B:B, MATCH(D371, Pack_Master!A:A, 0)),
              Product_Master!B:B, 0 )
))
</f>
        <v>Apparel_Tshirts</v>
      </c>
      <c r="C371" s="7" t="s">
        <v>716</v>
      </c>
      <c r="D371" s="8" t="s">
        <v>717</v>
      </c>
      <c r="E371" s="9" t="s">
        <v>12</v>
      </c>
      <c r="F371" s="8" t="s">
        <v>718</v>
      </c>
      <c r="G371" s="5"/>
      <c r="H371" s="5"/>
      <c r="I371" s="5"/>
    </row>
    <row r="372">
      <c r="A372" s="5" t="s">
        <v>9</v>
      </c>
      <c r="B372" s="6" t="str">
        <f t="array" ref="B372">IF(D372="","",
 INDEX(Product_Master!A:A,
       MATCH( INDEX(Pack_Master!B:B, MATCH(D372, Pack_Master!A:A, 0)),
              Product_Master!B:B, 0 )
))
</f>
        <v>Apparel_Tshirts</v>
      </c>
      <c r="C372" s="7" t="s">
        <v>719</v>
      </c>
      <c r="D372" s="8" t="s">
        <v>720</v>
      </c>
      <c r="E372" s="9" t="s">
        <v>12</v>
      </c>
      <c r="F372" s="8" t="s">
        <v>721</v>
      </c>
      <c r="G372" s="5"/>
      <c r="H372" s="5"/>
      <c r="I372" s="5"/>
    </row>
    <row r="373">
      <c r="A373" s="5" t="s">
        <v>9</v>
      </c>
      <c r="B373" s="6" t="str">
        <f t="array" ref="B373">IF(D373="","",
 INDEX(Product_Master!A:A,
       MATCH( INDEX(Pack_Master!B:B, MATCH(D373, Pack_Master!A:A, 0)),
              Product_Master!B:B, 0 )
))
</f>
        <v>Apparel_Tshirts</v>
      </c>
      <c r="C373" s="7" t="s">
        <v>722</v>
      </c>
      <c r="D373" s="8" t="s">
        <v>723</v>
      </c>
      <c r="E373" s="9" t="s">
        <v>12</v>
      </c>
      <c r="F373" s="8" t="s">
        <v>724</v>
      </c>
      <c r="G373" s="5"/>
      <c r="H373" s="5"/>
      <c r="I373" s="5"/>
    </row>
    <row r="374">
      <c r="A374" s="5" t="s">
        <v>9</v>
      </c>
      <c r="B374" s="6" t="str">
        <f t="array" ref="B374">IF(D374="","",
 INDEX(Product_Master!A:A,
       MATCH( INDEX(Pack_Master!B:B, MATCH(D374, Pack_Master!A:A, 0)),
              Product_Master!B:B, 0 )
))
</f>
        <v>Apparel_Tshirts</v>
      </c>
      <c r="C374" s="7" t="s">
        <v>725</v>
      </c>
      <c r="D374" s="8" t="s">
        <v>726</v>
      </c>
      <c r="E374" s="9" t="s">
        <v>12</v>
      </c>
      <c r="F374" s="8" t="s">
        <v>727</v>
      </c>
      <c r="G374" s="5"/>
      <c r="H374" s="5"/>
      <c r="I374" s="5"/>
    </row>
    <row r="375">
      <c r="A375" s="5" t="s">
        <v>9</v>
      </c>
      <c r="B375" s="6" t="str">
        <f t="array" ref="B375">IF(D375="","",
 INDEX(Product_Master!A:A,
       MATCH( INDEX(Pack_Master!B:B, MATCH(D375, Pack_Master!A:A, 0)),
              Product_Master!B:B, 0 )
))
</f>
        <v>Apparel_Tshirts</v>
      </c>
      <c r="C375" s="7" t="s">
        <v>728</v>
      </c>
      <c r="D375" s="8" t="s">
        <v>729</v>
      </c>
      <c r="E375" s="9" t="s">
        <v>12</v>
      </c>
      <c r="F375" s="8" t="s">
        <v>730</v>
      </c>
      <c r="G375" s="5"/>
      <c r="H375" s="5"/>
      <c r="I375" s="5"/>
    </row>
    <row r="376">
      <c r="A376" s="5" t="s">
        <v>9</v>
      </c>
      <c r="B376" s="6" t="str">
        <f t="array" ref="B376">IF(D376="","",
 INDEX(Product_Master!A:A,
       MATCH( INDEX(Pack_Master!B:B, MATCH(D376, Pack_Master!A:A, 0)),
              Product_Master!B:B, 0 )
))
</f>
        <v>Apparel_Tshirts</v>
      </c>
      <c r="C376" s="7" t="s">
        <v>731</v>
      </c>
      <c r="D376" s="8" t="s">
        <v>732</v>
      </c>
      <c r="E376" s="9" t="s">
        <v>12</v>
      </c>
      <c r="F376" s="8" t="s">
        <v>733</v>
      </c>
      <c r="G376" s="5"/>
      <c r="H376" s="5"/>
      <c r="I376" s="5"/>
    </row>
    <row r="377">
      <c r="A377" s="5" t="s">
        <v>9</v>
      </c>
      <c r="B377" s="6" t="str">
        <f t="array" ref="B377">IF(D377="","",
 INDEX(Product_Master!A:A,
       MATCH( INDEX(Pack_Master!B:B, MATCH(D377, Pack_Master!A:A, 0)),
              Product_Master!B:B, 0 )
))
</f>
        <v>Apparel_Tshirts</v>
      </c>
      <c r="C377" s="7" t="s">
        <v>734</v>
      </c>
      <c r="D377" s="8" t="s">
        <v>735</v>
      </c>
      <c r="E377" s="9" t="s">
        <v>12</v>
      </c>
      <c r="F377" s="8" t="s">
        <v>736</v>
      </c>
      <c r="G377" s="5"/>
      <c r="H377" s="5"/>
      <c r="I377" s="5"/>
    </row>
    <row r="378">
      <c r="A378" s="5" t="s">
        <v>9</v>
      </c>
      <c r="B378" s="6" t="str">
        <f t="array" ref="B378">IF(D378="","",
 INDEX(Product_Master!A:A,
       MATCH( INDEX(Pack_Master!B:B, MATCH(D378, Pack_Master!A:A, 0)),
              Product_Master!B:B, 0 )
))
</f>
        <v>Apparel_Tshirts</v>
      </c>
      <c r="C378" s="7" t="s">
        <v>737</v>
      </c>
      <c r="D378" s="8" t="s">
        <v>738</v>
      </c>
      <c r="E378" s="9" t="s">
        <v>12</v>
      </c>
      <c r="F378" s="8" t="s">
        <v>739</v>
      </c>
      <c r="G378" s="5"/>
      <c r="H378" s="5"/>
      <c r="I378" s="5"/>
    </row>
    <row r="379">
      <c r="A379" s="5" t="s">
        <v>9</v>
      </c>
      <c r="B379" s="6" t="str">
        <f t="array" ref="B379">IF(D379="","",
 INDEX(Product_Master!A:A,
       MATCH( INDEX(Pack_Master!B:B, MATCH(D379, Pack_Master!A:A, 0)),
              Product_Master!B:B, 0 )
))
</f>
        <v>Apparel_Tshirts</v>
      </c>
      <c r="C379" s="7" t="s">
        <v>740</v>
      </c>
      <c r="D379" s="8" t="s">
        <v>741</v>
      </c>
      <c r="E379" s="9" t="s">
        <v>12</v>
      </c>
      <c r="F379" s="8"/>
      <c r="G379" s="5"/>
      <c r="H379" s="5"/>
      <c r="I379" s="5"/>
    </row>
    <row r="380">
      <c r="A380" s="5" t="s">
        <v>9</v>
      </c>
      <c r="B380" s="6" t="str">
        <f t="array" ref="B380">IF(D380="","",
 INDEX(Product_Master!A:A,
       MATCH( INDEX(Pack_Master!B:B, MATCH(D380, Pack_Master!A:A, 0)),
              Product_Master!B:B, 0 )
))
</f>
        <v>Apparel_Tshirts</v>
      </c>
      <c r="C380" s="7" t="s">
        <v>742</v>
      </c>
      <c r="D380" s="8" t="s">
        <v>743</v>
      </c>
      <c r="E380" s="9" t="s">
        <v>12</v>
      </c>
      <c r="F380" s="8"/>
      <c r="G380" s="5"/>
      <c r="H380" s="5"/>
      <c r="I380" s="5"/>
    </row>
    <row r="381">
      <c r="A381" s="5" t="s">
        <v>9</v>
      </c>
      <c r="B381" s="6" t="str">
        <f t="array" ref="B381">IF(D381="","",
 INDEX(Product_Master!A:A,
       MATCH( INDEX(Pack_Master!B:B, MATCH(D381, Pack_Master!A:A, 0)),
              Product_Master!B:B, 0 )
))
</f>
        <v>Apparel_Tshirts</v>
      </c>
      <c r="C381" s="7" t="s">
        <v>744</v>
      </c>
      <c r="D381" s="8" t="s">
        <v>745</v>
      </c>
      <c r="E381" s="9" t="s">
        <v>12</v>
      </c>
      <c r="F381" s="8"/>
      <c r="G381" s="5"/>
      <c r="H381" s="5"/>
      <c r="I381" s="5"/>
    </row>
    <row r="382">
      <c r="A382" s="5" t="s">
        <v>9</v>
      </c>
      <c r="B382" s="6" t="str">
        <f t="array" ref="B382">IF(D382="","",
 INDEX(Product_Master!A:A,
       MATCH( INDEX(Pack_Master!B:B, MATCH(D382, Pack_Master!A:A, 0)),
              Product_Master!B:B, 0 )
))
</f>
        <v>Apparel_Tshirts</v>
      </c>
      <c r="C382" s="7" t="s">
        <v>746</v>
      </c>
      <c r="D382" s="8" t="s">
        <v>747</v>
      </c>
      <c r="E382" s="9" t="s">
        <v>12</v>
      </c>
      <c r="F382" s="8"/>
      <c r="G382" s="5"/>
      <c r="H382" s="5"/>
      <c r="I382" s="5"/>
    </row>
    <row r="383">
      <c r="A383" s="5" t="s">
        <v>9</v>
      </c>
      <c r="B383" s="6" t="str">
        <f t="array" ref="B383">IF(D383="","",
 INDEX(Product_Master!A:A,
       MATCH( INDEX(Pack_Master!B:B, MATCH(D383, Pack_Master!A:A, 0)),
              Product_Master!B:B, 0 )
))
</f>
        <v>Apparel_Tshirts</v>
      </c>
      <c r="C383" s="7" t="s">
        <v>748</v>
      </c>
      <c r="D383" s="8" t="s">
        <v>749</v>
      </c>
      <c r="E383" s="9" t="s">
        <v>12</v>
      </c>
      <c r="F383" s="8"/>
      <c r="G383" s="5"/>
      <c r="H383" s="5"/>
      <c r="I383" s="5"/>
    </row>
    <row r="384">
      <c r="A384" s="5" t="s">
        <v>9</v>
      </c>
      <c r="B384" s="6" t="str">
        <f t="array" ref="B384">IF(D384="","",
 INDEX(Product_Master!A:A,
       MATCH( INDEX(Pack_Master!B:B, MATCH(D384, Pack_Master!A:A, 0)),
              Product_Master!B:B, 0 )
))
</f>
        <v>Apparel_Tshirts</v>
      </c>
      <c r="C384" s="7" t="s">
        <v>750</v>
      </c>
      <c r="D384" s="8" t="s">
        <v>751</v>
      </c>
      <c r="E384" s="9" t="s">
        <v>12</v>
      </c>
      <c r="F384" s="8"/>
      <c r="G384" s="5"/>
      <c r="H384" s="5"/>
      <c r="I384" s="5"/>
    </row>
    <row r="385">
      <c r="A385" s="5" t="s">
        <v>9</v>
      </c>
      <c r="B385" s="6" t="str">
        <f t="array" ref="B385">IF(D385="","",
 INDEX(Product_Master!A:A,
       MATCH( INDEX(Pack_Master!B:B, MATCH(D385, Pack_Master!A:A, 0)),
              Product_Master!B:B, 0 )
))
</f>
        <v>Apparel_Tshirts</v>
      </c>
      <c r="C385" s="7" t="s">
        <v>752</v>
      </c>
      <c r="D385" s="8" t="s">
        <v>753</v>
      </c>
      <c r="E385" s="9" t="s">
        <v>12</v>
      </c>
      <c r="F385" s="8"/>
      <c r="G385" s="5"/>
      <c r="H385" s="5"/>
      <c r="I385" s="5"/>
    </row>
    <row r="386">
      <c r="A386" s="5" t="s">
        <v>9</v>
      </c>
      <c r="B386" s="6" t="str">
        <f t="array" ref="B386">IF(D386="","",
 INDEX(Product_Master!A:A,
       MATCH( INDEX(Pack_Master!B:B, MATCH(D386, Pack_Master!A:A, 0)),
              Product_Master!B:B, 0 )
))
</f>
        <v>Apparel_Tshirts</v>
      </c>
      <c r="C386" s="7" t="s">
        <v>754</v>
      </c>
      <c r="D386" s="8" t="s">
        <v>755</v>
      </c>
      <c r="E386" s="9" t="s">
        <v>12</v>
      </c>
      <c r="F386" s="8"/>
      <c r="G386" s="5"/>
      <c r="H386" s="5"/>
      <c r="I386" s="5"/>
    </row>
    <row r="387">
      <c r="A387" s="5" t="s">
        <v>9</v>
      </c>
      <c r="B387" s="6" t="str">
        <f t="array" ref="B387">IF(D387="","",
 INDEX(Product_Master!A:A,
       MATCH( INDEX(Pack_Master!B:B, MATCH(D387, Pack_Master!A:A, 0)),
              Product_Master!B:B, 0 )
))
</f>
        <v>Apparel_Tshirts</v>
      </c>
      <c r="C387" s="7" t="s">
        <v>756</v>
      </c>
      <c r="D387" s="8" t="s">
        <v>757</v>
      </c>
      <c r="E387" s="9" t="s">
        <v>12</v>
      </c>
      <c r="F387" s="8" t="s">
        <v>758</v>
      </c>
      <c r="G387" s="5"/>
      <c r="H387" s="5"/>
      <c r="I387" s="5"/>
    </row>
    <row r="388">
      <c r="A388" s="5" t="s">
        <v>9</v>
      </c>
      <c r="B388" s="6" t="str">
        <f t="array" ref="B388">IF(D388="","",
 INDEX(Product_Master!A:A,
       MATCH( INDEX(Pack_Master!B:B, MATCH(D388, Pack_Master!A:A, 0)),
              Product_Master!B:B, 0 )
))
</f>
        <v>Apparel_Tshirts</v>
      </c>
      <c r="C388" s="7" t="s">
        <v>759</v>
      </c>
      <c r="D388" s="8" t="s">
        <v>760</v>
      </c>
      <c r="E388" s="9" t="s">
        <v>12</v>
      </c>
      <c r="F388" s="8" t="s">
        <v>761</v>
      </c>
      <c r="G388" s="5"/>
      <c r="H388" s="5"/>
      <c r="I388" s="5"/>
    </row>
    <row r="389">
      <c r="A389" s="5" t="s">
        <v>9</v>
      </c>
      <c r="B389" s="6" t="str">
        <f t="array" ref="B389">IF(D389="","",
 INDEX(Product_Master!A:A,
       MATCH( INDEX(Pack_Master!B:B, MATCH(D389, Pack_Master!A:A, 0)),
              Product_Master!B:B, 0 )
))
</f>
        <v>Apparel_Tshirts</v>
      </c>
      <c r="C389" s="7" t="s">
        <v>762</v>
      </c>
      <c r="D389" s="8" t="s">
        <v>763</v>
      </c>
      <c r="E389" s="9" t="s">
        <v>12</v>
      </c>
      <c r="F389" s="8" t="s">
        <v>764</v>
      </c>
      <c r="G389" s="5"/>
      <c r="H389" s="5"/>
      <c r="I389" s="5"/>
    </row>
    <row r="390">
      <c r="A390" s="5" t="s">
        <v>9</v>
      </c>
      <c r="B390" s="6" t="str">
        <f t="array" ref="B390">IF(D390="","",
 INDEX(Product_Master!A:A,
       MATCH( INDEX(Pack_Master!B:B, MATCH(D390, Pack_Master!A:A, 0)),
              Product_Master!B:B, 0 )
))
</f>
        <v>Apparel_Tshirts</v>
      </c>
      <c r="C390" s="7" t="s">
        <v>765</v>
      </c>
      <c r="D390" s="8" t="s">
        <v>766</v>
      </c>
      <c r="E390" s="9" t="s">
        <v>12</v>
      </c>
      <c r="F390" s="8" t="s">
        <v>767</v>
      </c>
      <c r="G390" s="5"/>
      <c r="H390" s="5"/>
      <c r="I390" s="5"/>
    </row>
    <row r="391">
      <c r="A391" s="5" t="s">
        <v>9</v>
      </c>
      <c r="B391" s="6" t="str">
        <f t="array" ref="B391">IF(D391="","",
 INDEX(Product_Master!A:A,
       MATCH( INDEX(Pack_Master!B:B, MATCH(D391, Pack_Master!A:A, 0)),
              Product_Master!B:B, 0 )
))
</f>
        <v>Apparel_Tshirts</v>
      </c>
      <c r="C391" s="7" t="s">
        <v>768</v>
      </c>
      <c r="D391" s="8" t="s">
        <v>769</v>
      </c>
      <c r="E391" s="9" t="s">
        <v>12</v>
      </c>
      <c r="F391" s="8" t="s">
        <v>770</v>
      </c>
      <c r="G391" s="5"/>
      <c r="H391" s="5"/>
      <c r="I391" s="5"/>
    </row>
    <row r="392">
      <c r="A392" s="5" t="s">
        <v>9</v>
      </c>
      <c r="B392" s="6" t="str">
        <f t="array" ref="B392">IF(D392="","",
 INDEX(Product_Master!A:A,
       MATCH( INDEX(Pack_Master!B:B, MATCH(D392, Pack_Master!A:A, 0)),
              Product_Master!B:B, 0 )
))
</f>
        <v>Apparel_Tshirts</v>
      </c>
      <c r="C392" s="7" t="s">
        <v>771</v>
      </c>
      <c r="D392" s="8" t="s">
        <v>772</v>
      </c>
      <c r="E392" s="9" t="s">
        <v>12</v>
      </c>
      <c r="F392" s="8" t="s">
        <v>773</v>
      </c>
      <c r="G392" s="5"/>
      <c r="H392" s="5"/>
      <c r="I392" s="5"/>
    </row>
    <row r="393">
      <c r="A393" s="5" t="s">
        <v>9</v>
      </c>
      <c r="B393" s="6" t="str">
        <f t="array" ref="B393">IF(D393="","",
 INDEX(Product_Master!A:A,
       MATCH( INDEX(Pack_Master!B:B, MATCH(D393, Pack_Master!A:A, 0)),
              Product_Master!B:B, 0 )
))
</f>
        <v>Apparel_Tshirts</v>
      </c>
      <c r="C393" s="7" t="s">
        <v>774</v>
      </c>
      <c r="D393" s="8" t="s">
        <v>775</v>
      </c>
      <c r="E393" s="9" t="s">
        <v>12</v>
      </c>
      <c r="F393" s="8" t="s">
        <v>776</v>
      </c>
      <c r="G393" s="5"/>
      <c r="H393" s="5"/>
      <c r="I393" s="5"/>
    </row>
    <row r="394">
      <c r="A394" s="5" t="s">
        <v>9</v>
      </c>
      <c r="B394" s="6" t="str">
        <f t="array" ref="B394">IF(D394="","",
 INDEX(Product_Master!A:A,
       MATCH( INDEX(Pack_Master!B:B, MATCH(D394, Pack_Master!A:A, 0)),
              Product_Master!B:B, 0 )
))
</f>
        <v>Apparel_Tshirts</v>
      </c>
      <c r="C394" s="7" t="s">
        <v>777</v>
      </c>
      <c r="D394" s="8" t="s">
        <v>778</v>
      </c>
      <c r="E394" s="9" t="s">
        <v>12</v>
      </c>
      <c r="F394" s="8" t="s">
        <v>779</v>
      </c>
      <c r="G394" s="5"/>
      <c r="H394" s="5"/>
      <c r="I394" s="5"/>
    </row>
    <row r="395">
      <c r="A395" s="5" t="s">
        <v>9</v>
      </c>
      <c r="B395" s="6" t="str">
        <f t="array" ref="B395">IF(D395="","",
 INDEX(Product_Master!A:A,
       MATCH( INDEX(Pack_Master!B:B, MATCH(D395, Pack_Master!A:A, 0)),
              Product_Master!B:B, 0 )
))
</f>
        <v>Apparel_Tshirts</v>
      </c>
      <c r="C395" s="7" t="s">
        <v>780</v>
      </c>
      <c r="D395" s="8" t="s">
        <v>781</v>
      </c>
      <c r="E395" s="9" t="s">
        <v>12</v>
      </c>
      <c r="F395" s="8"/>
      <c r="G395" s="5"/>
      <c r="H395" s="5"/>
      <c r="I395" s="5"/>
    </row>
    <row r="396">
      <c r="A396" s="5" t="s">
        <v>9</v>
      </c>
      <c r="B396" s="6" t="str">
        <f t="array" ref="B396">IF(D396="","",
 INDEX(Product_Master!A:A,
       MATCH( INDEX(Pack_Master!B:B, MATCH(D396, Pack_Master!A:A, 0)),
              Product_Master!B:B, 0 )
))
</f>
        <v>Apparel_Tshirts</v>
      </c>
      <c r="C396" s="7" t="s">
        <v>782</v>
      </c>
      <c r="D396" s="8" t="s">
        <v>783</v>
      </c>
      <c r="E396" s="9" t="s">
        <v>12</v>
      </c>
      <c r="F396" s="8"/>
      <c r="G396" s="5"/>
      <c r="H396" s="5"/>
      <c r="I396" s="5"/>
    </row>
    <row r="397">
      <c r="A397" s="5" t="s">
        <v>9</v>
      </c>
      <c r="B397" s="6" t="str">
        <f t="array" ref="B397">IF(D397="","",
 INDEX(Product_Master!A:A,
       MATCH( INDEX(Pack_Master!B:B, MATCH(D397, Pack_Master!A:A, 0)),
              Product_Master!B:B, 0 )
))
</f>
        <v>Apparel_Tshirts</v>
      </c>
      <c r="C397" s="7" t="s">
        <v>784</v>
      </c>
      <c r="D397" s="8" t="s">
        <v>785</v>
      </c>
      <c r="E397" s="9" t="s">
        <v>12</v>
      </c>
      <c r="F397" s="8"/>
      <c r="G397" s="5"/>
      <c r="H397" s="5"/>
      <c r="I397" s="5"/>
    </row>
    <row r="398">
      <c r="A398" s="5" t="s">
        <v>9</v>
      </c>
      <c r="B398" s="6" t="str">
        <f t="array" ref="B398">IF(D398="","",
 INDEX(Product_Master!A:A,
       MATCH( INDEX(Pack_Master!B:B, MATCH(D398, Pack_Master!A:A, 0)),
              Product_Master!B:B, 0 )
))
</f>
        <v>Apparel_Tshirts</v>
      </c>
      <c r="C398" s="7" t="s">
        <v>786</v>
      </c>
      <c r="D398" s="8" t="s">
        <v>787</v>
      </c>
      <c r="E398" s="9" t="s">
        <v>12</v>
      </c>
      <c r="F398" s="8"/>
      <c r="G398" s="5"/>
      <c r="H398" s="5"/>
      <c r="I398" s="5"/>
    </row>
    <row r="399">
      <c r="A399" s="5" t="s">
        <v>9</v>
      </c>
      <c r="B399" s="6" t="str">
        <f t="array" ref="B399">IF(D399="","",
 INDEX(Product_Master!A:A,
       MATCH( INDEX(Pack_Master!B:B, MATCH(D399, Pack_Master!A:A, 0)),
              Product_Master!B:B, 0 )
))
</f>
        <v>Apparel_Tshirts</v>
      </c>
      <c r="C399" s="7" t="s">
        <v>788</v>
      </c>
      <c r="D399" s="8" t="s">
        <v>789</v>
      </c>
      <c r="E399" s="9" t="s">
        <v>12</v>
      </c>
      <c r="F399" s="8">
        <v>6.16114204759E12</v>
      </c>
      <c r="G399" s="5"/>
      <c r="H399" s="5"/>
      <c r="I399" s="5"/>
    </row>
    <row r="400">
      <c r="A400" s="5" t="s">
        <v>9</v>
      </c>
      <c r="B400" s="6" t="str">
        <f t="array" ref="B400">IF(D400="","",
 INDEX(Product_Master!A:A,
       MATCH( INDEX(Pack_Master!B:B, MATCH(D400, Pack_Master!A:A, 0)),
              Product_Master!B:B, 0 )
))
</f>
        <v>Apparel_Tshirts</v>
      </c>
      <c r="C400" s="7" t="s">
        <v>790</v>
      </c>
      <c r="D400" s="8" t="s">
        <v>791</v>
      </c>
      <c r="E400" s="9" t="s">
        <v>12</v>
      </c>
      <c r="F400" s="8"/>
      <c r="G400" s="5"/>
      <c r="H400" s="5"/>
      <c r="I400" s="5"/>
    </row>
    <row r="401">
      <c r="A401" s="5" t="s">
        <v>9</v>
      </c>
      <c r="B401" s="6" t="str">
        <f t="array" ref="B401">IF(D401="","",
 INDEX(Product_Master!A:A,
       MATCH( INDEX(Pack_Master!B:B, MATCH(D401, Pack_Master!A:A, 0)),
              Product_Master!B:B, 0 )
))
</f>
        <v>Apparel_Tshirts</v>
      </c>
      <c r="C401" s="7" t="s">
        <v>792</v>
      </c>
      <c r="D401" s="8" t="s">
        <v>793</v>
      </c>
      <c r="E401" s="9" t="s">
        <v>12</v>
      </c>
      <c r="F401" s="8"/>
      <c r="G401" s="5"/>
      <c r="H401" s="5"/>
      <c r="I401" s="5"/>
    </row>
    <row r="402">
      <c r="A402" s="5" t="s">
        <v>9</v>
      </c>
      <c r="B402" s="6" t="str">
        <f t="array" ref="B402">IF(D402="","",
 INDEX(Product_Master!A:A,
       MATCH( INDEX(Pack_Master!B:B, MATCH(D402, Pack_Master!A:A, 0)),
              Product_Master!B:B, 0 )
))
</f>
        <v>Apparel_Tshirts</v>
      </c>
      <c r="C402" s="7" t="s">
        <v>794</v>
      </c>
      <c r="D402" s="8" t="s">
        <v>795</v>
      </c>
      <c r="E402" s="9" t="s">
        <v>12</v>
      </c>
      <c r="F402" s="8"/>
      <c r="G402" s="5"/>
      <c r="H402" s="5"/>
      <c r="I402" s="5"/>
    </row>
    <row r="403">
      <c r="A403" s="5" t="s">
        <v>9</v>
      </c>
      <c r="B403" s="6" t="str">
        <f t="array" ref="B403">IF(D403="","",
 INDEX(Product_Master!A:A,
       MATCH( INDEX(Pack_Master!B:B, MATCH(D403, Pack_Master!A:A, 0)),
              Product_Master!B:B, 0 )
))
</f>
        <v>Apparel_Tshirts</v>
      </c>
      <c r="C403" s="7" t="s">
        <v>796</v>
      </c>
      <c r="D403" s="8" t="s">
        <v>797</v>
      </c>
      <c r="E403" s="9" t="s">
        <v>12</v>
      </c>
      <c r="F403" s="8"/>
      <c r="G403" s="5"/>
      <c r="H403" s="5"/>
      <c r="I403" s="5"/>
    </row>
    <row r="404">
      <c r="A404" s="5" t="s">
        <v>9</v>
      </c>
      <c r="B404" s="6" t="str">
        <f t="array" ref="B404">IF(D404="","",
 INDEX(Product_Master!A:A,
       MATCH( INDEX(Pack_Master!B:B, MATCH(D404, Pack_Master!A:A, 0)),
              Product_Master!B:B, 0 )
))
</f>
        <v>Automotive_FaceMasks</v>
      </c>
      <c r="C404" s="7" t="s">
        <v>798</v>
      </c>
      <c r="D404" s="8" t="s">
        <v>458</v>
      </c>
      <c r="E404" s="9" t="s">
        <v>12</v>
      </c>
      <c r="F404" s="8"/>
      <c r="G404" s="5"/>
      <c r="H404" s="5"/>
      <c r="I404" s="5"/>
    </row>
    <row r="405">
      <c r="A405" s="5" t="s">
        <v>9</v>
      </c>
      <c r="B405" s="6" t="str">
        <f t="array" ref="B405">IF(D405="","",
 INDEX(Product_Master!A:A,
       MATCH( INDEX(Pack_Master!B:B, MATCH(D405, Pack_Master!A:A, 0)),
              Product_Master!B:B, 0 )
))
</f>
        <v>Automotive_FaceMasks</v>
      </c>
      <c r="C405" s="7" t="s">
        <v>799</v>
      </c>
      <c r="D405" s="8" t="s">
        <v>18</v>
      </c>
      <c r="E405" s="9" t="s">
        <v>12</v>
      </c>
      <c r="F405" s="8"/>
      <c r="G405" s="5"/>
      <c r="H405" s="5"/>
      <c r="I405" s="5"/>
    </row>
    <row r="406">
      <c r="A406" s="5" t="s">
        <v>9</v>
      </c>
      <c r="B406" s="6" t="str">
        <f t="array" ref="B406">IF(D406="","",
 INDEX(Product_Master!A:A,
       MATCH( INDEX(Pack_Master!B:B, MATCH(D406, Pack_Master!A:A, 0)),
              Product_Master!B:B, 0 )
))
</f>
        <v>Apparel_Accessories_Winter</v>
      </c>
      <c r="C406" s="7" t="s">
        <v>800</v>
      </c>
      <c r="D406" s="8" t="s">
        <v>800</v>
      </c>
      <c r="E406" s="9" t="s">
        <v>12</v>
      </c>
      <c r="F406" s="8" t="s">
        <v>801</v>
      </c>
      <c r="G406" s="5"/>
      <c r="H406" s="5"/>
      <c r="I406" s="5"/>
    </row>
    <row r="407">
      <c r="A407" s="5" t="s">
        <v>9</v>
      </c>
      <c r="B407" s="6" t="str">
        <f t="array" ref="B407">IF(D407="","",
 INDEX(Product_Master!A:A,
       MATCH( INDEX(Pack_Master!B:B, MATCH(D407, Pack_Master!A:A, 0)),
              Product_Master!B:B, 0 )
))
</f>
        <v>Apparel_Accessories_Winter</v>
      </c>
      <c r="C407" s="7" t="s">
        <v>802</v>
      </c>
      <c r="D407" s="8" t="s">
        <v>802</v>
      </c>
      <c r="E407" s="9" t="s">
        <v>12</v>
      </c>
      <c r="F407" s="8" t="s">
        <v>803</v>
      </c>
      <c r="G407" s="5"/>
      <c r="H407" s="5"/>
      <c r="I407" s="5"/>
    </row>
    <row r="408">
      <c r="A408" s="5" t="s">
        <v>9</v>
      </c>
      <c r="B408" s="6" t="str">
        <f t="array" ref="B408">IF(D408="","",
 INDEX(Product_Master!A:A,
       MATCH( INDEX(Pack_Master!B:B, MATCH(D408, Pack_Master!A:A, 0)),
              Product_Master!B:B, 0 )
))
</f>
        <v>Apparel_Accessories_Winter</v>
      </c>
      <c r="C408" s="7" t="s">
        <v>804</v>
      </c>
      <c r="D408" s="8" t="s">
        <v>804</v>
      </c>
      <c r="E408" s="9" t="s">
        <v>12</v>
      </c>
      <c r="F408" s="8"/>
      <c r="G408" s="5"/>
      <c r="H408" s="5"/>
      <c r="I408" s="5"/>
    </row>
    <row r="409">
      <c r="A409" s="5" t="s">
        <v>9</v>
      </c>
      <c r="B409" s="6" t="str">
        <f t="array" ref="B409">IF(D409="","",
 INDEX(Product_Master!A:A,
       MATCH( INDEX(Pack_Master!B:B, MATCH(D409, Pack_Master!A:A, 0)),
              Product_Master!B:B, 0 )
))
</f>
        <v>Apparel_Accessories_Winter</v>
      </c>
      <c r="C409" s="7" t="s">
        <v>805</v>
      </c>
      <c r="D409" s="8" t="s">
        <v>805</v>
      </c>
      <c r="E409" s="9" t="s">
        <v>12</v>
      </c>
      <c r="F409" s="8"/>
      <c r="G409" s="5"/>
      <c r="H409" s="5"/>
      <c r="I409" s="5"/>
    </row>
    <row r="410">
      <c r="A410" s="5" t="s">
        <v>9</v>
      </c>
      <c r="B410" s="6" t="str">
        <f t="array" ref="B410">IF(D410="","",
 INDEX(Product_Master!A:A,
       MATCH( INDEX(Pack_Master!B:B, MATCH(D410, Pack_Master!A:A, 0)),
              Product_Master!B:B, 0 )
))
</f>
        <v>Apparel_Accessories_Winter</v>
      </c>
      <c r="C410" s="7" t="s">
        <v>806</v>
      </c>
      <c r="D410" s="8" t="s">
        <v>806</v>
      </c>
      <c r="E410" s="9" t="s">
        <v>12</v>
      </c>
      <c r="F410" s="8"/>
      <c r="G410" s="5"/>
      <c r="H410" s="5"/>
      <c r="I410" s="5"/>
    </row>
    <row r="411">
      <c r="A411" s="5" t="s">
        <v>9</v>
      </c>
      <c r="B411" s="6" t="str">
        <f t="array" ref="B411">IF(D411="","",
 INDEX(Product_Master!A:A,
       MATCH( INDEX(Pack_Master!B:B, MATCH(D411, Pack_Master!A:A, 0)),
              Product_Master!B:B, 0 )
))
</f>
        <v>Garden_Planters</v>
      </c>
      <c r="C411" s="7" t="s">
        <v>807</v>
      </c>
      <c r="D411" s="8" t="s">
        <v>808</v>
      </c>
      <c r="E411" s="9" t="s">
        <v>12</v>
      </c>
      <c r="F411" s="8" t="s">
        <v>809</v>
      </c>
      <c r="G411" s="5"/>
      <c r="H411" s="5"/>
      <c r="I411" s="5"/>
    </row>
    <row r="412">
      <c r="A412" s="5" t="s">
        <v>9</v>
      </c>
      <c r="B412" s="6" t="str">
        <f t="array" ref="B412">IF(D412="","",
 INDEX(Product_Master!A:A,
       MATCH( INDEX(Pack_Master!B:B, MATCH(D412, Pack_Master!A:A, 0)),
              Product_Master!B:B, 0 )
))
</f>
        <v>Garden_Planters</v>
      </c>
      <c r="C412" s="7" t="s">
        <v>810</v>
      </c>
      <c r="D412" s="8" t="s">
        <v>811</v>
      </c>
      <c r="E412" s="9" t="s">
        <v>12</v>
      </c>
      <c r="F412" s="8" t="s">
        <v>812</v>
      </c>
      <c r="G412" s="5"/>
      <c r="H412" s="5"/>
      <c r="I412" s="5"/>
    </row>
    <row r="413">
      <c r="A413" s="5" t="s">
        <v>9</v>
      </c>
      <c r="B413" s="6" t="str">
        <f t="array" ref="B413">IF(D413="","",
 INDEX(Product_Master!A:A,
       MATCH( INDEX(Pack_Master!B:B, MATCH(D413, Pack_Master!A:A, 0)),
              Product_Master!B:B, 0 )
))
</f>
        <v>Garden_Planters</v>
      </c>
      <c r="C413" s="7" t="s">
        <v>813</v>
      </c>
      <c r="D413" s="8" t="s">
        <v>814</v>
      </c>
      <c r="E413" s="9" t="s">
        <v>12</v>
      </c>
      <c r="F413" s="8" t="s">
        <v>815</v>
      </c>
      <c r="G413" s="5"/>
      <c r="H413" s="5"/>
      <c r="I413" s="5"/>
    </row>
    <row r="414">
      <c r="A414" s="5" t="s">
        <v>9</v>
      </c>
      <c r="B414" s="6" t="str">
        <f t="array" ref="B414">IF(D414="","",
 INDEX(Product_Master!A:A,
       MATCH( INDEX(Pack_Master!B:B, MATCH(D414, Pack_Master!A:A, 0)),
              Product_Master!B:B, 0 )
))
</f>
        <v>Garden_Planters</v>
      </c>
      <c r="C414" s="7" t="s">
        <v>816</v>
      </c>
      <c r="D414" s="8" t="s">
        <v>817</v>
      </c>
      <c r="E414" s="9" t="s">
        <v>12</v>
      </c>
      <c r="F414" s="8" t="s">
        <v>818</v>
      </c>
      <c r="G414" s="5"/>
      <c r="H414" s="5"/>
      <c r="I414" s="5"/>
    </row>
    <row r="415">
      <c r="A415" s="5" t="s">
        <v>9</v>
      </c>
      <c r="B415" s="6" t="str">
        <f t="array" ref="B415">IF(D415="","",
 INDEX(Product_Master!A:A,
       MATCH( INDEX(Pack_Master!B:B, MATCH(D415, Pack_Master!A:A, 0)),
              Product_Master!B:B, 0 )
))
</f>
        <v>Garden_Planters</v>
      </c>
      <c r="C415" s="7" t="s">
        <v>819</v>
      </c>
      <c r="D415" s="8" t="s">
        <v>820</v>
      </c>
      <c r="E415" s="9" t="s">
        <v>12</v>
      </c>
      <c r="F415" s="8" t="s">
        <v>821</v>
      </c>
      <c r="G415" s="5"/>
      <c r="H415" s="5"/>
      <c r="I415" s="5"/>
    </row>
    <row r="416">
      <c r="A416" s="5" t="s">
        <v>9</v>
      </c>
      <c r="B416" s="6" t="str">
        <f t="array" ref="B416">IF(D416="","",
 INDEX(Product_Master!A:A,
       MATCH( INDEX(Pack_Master!B:B, MATCH(D416, Pack_Master!A:A, 0)),
              Product_Master!B:B, 0 )
))
</f>
        <v>Garden_Planters</v>
      </c>
      <c r="C416" s="7" t="s">
        <v>822</v>
      </c>
      <c r="D416" s="8" t="s">
        <v>823</v>
      </c>
      <c r="E416" s="9" t="s">
        <v>12</v>
      </c>
      <c r="F416" s="8" t="s">
        <v>824</v>
      </c>
      <c r="G416" s="5"/>
      <c r="H416" s="5"/>
      <c r="I416" s="5"/>
    </row>
    <row r="417">
      <c r="A417" s="5" t="s">
        <v>9</v>
      </c>
      <c r="B417" s="6" t="str">
        <f t="array" ref="B417">IF(D417="","",
 INDEX(Product_Master!A:A,
       MATCH( INDEX(Pack_Master!B:B, MATCH(D417, Pack_Master!A:A, 0)),
              Product_Master!B:B, 0 )
))
</f>
        <v>Garden_Planters</v>
      </c>
      <c r="C417" s="7" t="s">
        <v>825</v>
      </c>
      <c r="D417" s="8" t="s">
        <v>826</v>
      </c>
      <c r="E417" s="9" t="s">
        <v>12</v>
      </c>
      <c r="F417" s="8"/>
      <c r="G417" s="5"/>
      <c r="H417" s="5"/>
      <c r="I417" s="5"/>
    </row>
    <row r="418">
      <c r="A418" s="5" t="s">
        <v>9</v>
      </c>
      <c r="B418" s="6" t="str">
        <f t="array" ref="B418">IF(D418="","",
 INDEX(Product_Master!A:A,
       MATCH( INDEX(Pack_Master!B:B, MATCH(D418, Pack_Master!A:A, 0)),
              Product_Master!B:B, 0 )
))
</f>
        <v>Garden_Planters</v>
      </c>
      <c r="C418" s="7" t="s">
        <v>827</v>
      </c>
      <c r="D418" s="8" t="s">
        <v>828</v>
      </c>
      <c r="E418" s="9" t="s">
        <v>12</v>
      </c>
      <c r="F418" s="8"/>
      <c r="G418" s="5"/>
      <c r="H418" s="5"/>
      <c r="I418" s="5"/>
    </row>
    <row r="419">
      <c r="A419" s="5" t="s">
        <v>9</v>
      </c>
      <c r="B419" s="6" t="str">
        <f t="array" ref="B419">IF(D419="","",
 INDEX(Product_Master!A:A,
       MATCH( INDEX(Pack_Master!B:B, MATCH(D419, Pack_Master!A:A, 0)),
              Product_Master!B:B, 0 )
))
</f>
        <v>Garden_Planters</v>
      </c>
      <c r="C419" s="7" t="s">
        <v>829</v>
      </c>
      <c r="D419" s="8" t="s">
        <v>830</v>
      </c>
      <c r="E419" s="9" t="s">
        <v>12</v>
      </c>
      <c r="F419" s="8"/>
      <c r="G419" s="5"/>
      <c r="H419" s="5"/>
      <c r="I419" s="5"/>
    </row>
    <row r="420">
      <c r="A420" s="5" t="s">
        <v>9</v>
      </c>
      <c r="B420" s="6" t="str">
        <f t="array" ref="B420">IF(D420="","",
 INDEX(Product_Master!A:A,
       MATCH( INDEX(Pack_Master!B:B, MATCH(D420, Pack_Master!A:A, 0)),
              Product_Master!B:B, 0 )
))
</f>
        <v>Garden_Planters</v>
      </c>
      <c r="C420" s="7" t="s">
        <v>831</v>
      </c>
      <c r="D420" s="8" t="s">
        <v>832</v>
      </c>
      <c r="E420" s="9" t="s">
        <v>12</v>
      </c>
      <c r="F420" s="8"/>
      <c r="G420" s="5"/>
      <c r="H420" s="5"/>
      <c r="I420" s="5"/>
    </row>
    <row r="421">
      <c r="A421" s="5" t="s">
        <v>9</v>
      </c>
      <c r="B421" s="6" t="str">
        <f t="array" ref="B421">IF(D421="","",
 INDEX(Product_Master!A:A,
       MATCH( INDEX(Pack_Master!B:B, MATCH(D421, Pack_Master!A:A, 0)),
              Product_Master!B:B, 0 )
))
</f>
        <v>Garden_Planters</v>
      </c>
      <c r="C421" s="7" t="s">
        <v>833</v>
      </c>
      <c r="D421" s="8" t="s">
        <v>834</v>
      </c>
      <c r="E421" s="9" t="s">
        <v>12</v>
      </c>
      <c r="F421" s="8" t="s">
        <v>835</v>
      </c>
      <c r="G421" s="5"/>
      <c r="H421" s="5"/>
      <c r="I421" s="5"/>
    </row>
    <row r="422">
      <c r="A422" s="5" t="s">
        <v>9</v>
      </c>
      <c r="B422" s="6" t="str">
        <f t="array" ref="B422">IF(D422="","",
 INDEX(Product_Master!A:A,
       MATCH( INDEX(Pack_Master!B:B, MATCH(D422, Pack_Master!A:A, 0)),
              Product_Master!B:B, 0 )
))
</f>
        <v>Garden_Planters</v>
      </c>
      <c r="C422" s="7" t="s">
        <v>836</v>
      </c>
      <c r="D422" s="8" t="s">
        <v>837</v>
      </c>
      <c r="E422" s="9" t="s">
        <v>12</v>
      </c>
      <c r="F422" s="8"/>
      <c r="G422" s="5"/>
      <c r="H422" s="5"/>
      <c r="I422" s="5"/>
    </row>
    <row r="423">
      <c r="A423" s="5" t="s">
        <v>9</v>
      </c>
      <c r="B423" s="6" t="str">
        <f t="array" ref="B423">IF(D423="","",
 INDEX(Product_Master!A:A,
       MATCH( INDEX(Pack_Master!B:B, MATCH(D423, Pack_Master!A:A, 0)),
              Product_Master!B:B, 0 )
))
</f>
        <v>Garden_Planters</v>
      </c>
      <c r="C423" s="7" t="s">
        <v>838</v>
      </c>
      <c r="D423" s="8" t="s">
        <v>839</v>
      </c>
      <c r="E423" s="9" t="s">
        <v>12</v>
      </c>
      <c r="F423" s="8"/>
      <c r="G423" s="5"/>
      <c r="H423" s="5"/>
      <c r="I423" s="5"/>
    </row>
    <row r="424">
      <c r="A424" s="5" t="s">
        <v>9</v>
      </c>
      <c r="B424" s="6" t="str">
        <f t="array" ref="B424">IF(D424="","",
 INDEX(Product_Master!A:A,
       MATCH( INDEX(Pack_Master!B:B, MATCH(D424, Pack_Master!A:A, 0)),
              Product_Master!B:B, 0 )
))
</f>
        <v>Garden_Planters</v>
      </c>
      <c r="C424" s="7" t="s">
        <v>840</v>
      </c>
      <c r="D424" s="8" t="s">
        <v>841</v>
      </c>
      <c r="E424" s="9" t="s">
        <v>12</v>
      </c>
      <c r="F424" s="8"/>
      <c r="G424" s="5"/>
      <c r="H424" s="5"/>
      <c r="I424" s="5"/>
    </row>
    <row r="425">
      <c r="A425" s="5" t="s">
        <v>9</v>
      </c>
      <c r="B425" s="6" t="str">
        <f t="array" ref="B425">IF(D425="","",
 INDEX(Product_Master!A:A,
       MATCH( INDEX(Pack_Master!B:B, MATCH(D425, Pack_Master!A:A, 0)),
              Product_Master!B:B, 0 )
))
</f>
        <v>Garden_Planters</v>
      </c>
      <c r="C425" s="7" t="s">
        <v>842</v>
      </c>
      <c r="D425" s="8" t="s">
        <v>843</v>
      </c>
      <c r="E425" s="9" t="s">
        <v>12</v>
      </c>
      <c r="F425" s="8"/>
      <c r="G425" s="5"/>
      <c r="H425" s="5"/>
      <c r="I425" s="5"/>
    </row>
    <row r="426">
      <c r="A426" s="5" t="s">
        <v>9</v>
      </c>
      <c r="B426" s="6" t="str">
        <f t="array" ref="B426">IF(D426="","",
 INDEX(Product_Master!A:A,
       MATCH( INDEX(Pack_Master!B:B, MATCH(D426, Pack_Master!A:A, 0)),
              Product_Master!B:B, 0 )
))
</f>
        <v>Garden_Planters</v>
      </c>
      <c r="C426" s="7" t="s">
        <v>844</v>
      </c>
      <c r="D426" s="8" t="s">
        <v>845</v>
      </c>
      <c r="E426" s="9" t="s">
        <v>12</v>
      </c>
      <c r="F426" s="8"/>
      <c r="G426" s="5"/>
      <c r="H426" s="5"/>
      <c r="I426" s="5"/>
    </row>
    <row r="427">
      <c r="A427" s="5" t="s">
        <v>9</v>
      </c>
      <c r="B427" s="6" t="str">
        <f t="array" ref="B427">IF(D427="","",
 INDEX(Product_Master!A:A,
       MATCH( INDEX(Pack_Master!B:B, MATCH(D427, Pack_Master!A:A, 0)),
              Product_Master!B:B, 0 )
))
</f>
        <v>Garden_Planters</v>
      </c>
      <c r="C427" s="7" t="s">
        <v>846</v>
      </c>
      <c r="D427" s="8" t="s">
        <v>847</v>
      </c>
      <c r="E427" s="9" t="s">
        <v>12</v>
      </c>
      <c r="F427" s="8" t="s">
        <v>848</v>
      </c>
      <c r="G427" s="5"/>
      <c r="H427" s="5"/>
      <c r="I427" s="5"/>
    </row>
    <row r="428">
      <c r="A428" s="5" t="s">
        <v>9</v>
      </c>
      <c r="B428" s="6" t="str">
        <f t="array" ref="B428">IF(D428="","",
 INDEX(Product_Master!A:A,
       MATCH( INDEX(Pack_Master!B:B, MATCH(D428, Pack_Master!A:A, 0)),
              Product_Master!B:B, 0 )
))
</f>
        <v>Garden_Planters</v>
      </c>
      <c r="C428" s="7" t="s">
        <v>849</v>
      </c>
      <c r="D428" s="8" t="s">
        <v>850</v>
      </c>
      <c r="E428" s="9" t="s">
        <v>12</v>
      </c>
      <c r="F428" s="8"/>
      <c r="G428" s="5"/>
      <c r="H428" s="5"/>
      <c r="I428" s="5"/>
    </row>
    <row r="429">
      <c r="A429" s="5" t="s">
        <v>9</v>
      </c>
      <c r="B429" s="6" t="str">
        <f t="array" ref="B429">IF(D429="","",
 INDEX(Product_Master!A:A,
       MATCH( INDEX(Pack_Master!B:B, MATCH(D429, Pack_Master!A:A, 0)),
              Product_Master!B:B, 0 )
))
</f>
        <v>Garden_Planters</v>
      </c>
      <c r="C429" s="7" t="s">
        <v>851</v>
      </c>
      <c r="D429" s="8" t="s">
        <v>852</v>
      </c>
      <c r="E429" s="9" t="s">
        <v>12</v>
      </c>
      <c r="F429" s="8"/>
      <c r="G429" s="5"/>
      <c r="H429" s="5"/>
      <c r="I429" s="5"/>
    </row>
    <row r="430">
      <c r="A430" s="5" t="s">
        <v>9</v>
      </c>
      <c r="B430" s="6" t="str">
        <f t="array" ref="B430">IF(D430="","",
 INDEX(Product_Master!A:A,
       MATCH( INDEX(Pack_Master!B:B, MATCH(D430, Pack_Master!A:A, 0)),
              Product_Master!B:B, 0 )
))
</f>
        <v>Garden_Planters</v>
      </c>
      <c r="C430" s="7" t="s">
        <v>853</v>
      </c>
      <c r="D430" s="8" t="s">
        <v>854</v>
      </c>
      <c r="E430" s="9" t="s">
        <v>12</v>
      </c>
      <c r="F430" s="8"/>
      <c r="G430" s="5"/>
      <c r="H430" s="5"/>
      <c r="I430" s="5"/>
    </row>
    <row r="431">
      <c r="A431" s="5" t="s">
        <v>9</v>
      </c>
      <c r="B431" s="6" t="str">
        <f t="array" ref="B431">IF(D431="","",
 INDEX(Product_Master!A:A,
       MATCH( INDEX(Pack_Master!B:B, MATCH(D431, Pack_Master!A:A, 0)),
              Product_Master!B:B, 0 )
))
</f>
        <v>Garden_Planters</v>
      </c>
      <c r="C431" s="7" t="s">
        <v>855</v>
      </c>
      <c r="D431" s="8" t="s">
        <v>856</v>
      </c>
      <c r="E431" s="9" t="s">
        <v>12</v>
      </c>
      <c r="F431" s="8"/>
      <c r="G431" s="5"/>
      <c r="H431" s="5"/>
      <c r="I431" s="5"/>
    </row>
    <row r="432">
      <c r="A432" s="5" t="s">
        <v>9</v>
      </c>
      <c r="B432" s="6" t="str">
        <f t="array" ref="B432">IF(D432="","",
 INDEX(Product_Master!A:A,
       MATCH( INDEX(Pack_Master!B:B, MATCH(D432, Pack_Master!A:A, 0)),
              Product_Master!B:B, 0 )
))
</f>
        <v>Garden_Planters</v>
      </c>
      <c r="C432" s="7" t="s">
        <v>857</v>
      </c>
      <c r="D432" s="8" t="s">
        <v>858</v>
      </c>
      <c r="E432" s="9" t="s">
        <v>12</v>
      </c>
      <c r="F432" s="8"/>
      <c r="G432" s="5"/>
      <c r="H432" s="5"/>
      <c r="I432" s="5"/>
    </row>
    <row r="433">
      <c r="A433" s="5" t="s">
        <v>9</v>
      </c>
      <c r="B433" s="6" t="str">
        <f t="array" ref="B433">IF(D433="","",
 INDEX(Product_Master!A:A,
       MATCH( INDEX(Pack_Master!B:B, MATCH(D433, Pack_Master!A:A, 0)),
              Product_Master!B:B, 0 )
))
</f>
        <v>Garden_Planters</v>
      </c>
      <c r="C433" s="7" t="s">
        <v>859</v>
      </c>
      <c r="D433" s="8" t="s">
        <v>860</v>
      </c>
      <c r="E433" s="9" t="s">
        <v>12</v>
      </c>
      <c r="F433" s="8" t="s">
        <v>861</v>
      </c>
      <c r="G433" s="5"/>
      <c r="H433" s="5"/>
      <c r="I433" s="5"/>
    </row>
    <row r="434">
      <c r="A434" s="5" t="s">
        <v>9</v>
      </c>
      <c r="B434" s="6" t="str">
        <f t="array" ref="B434">IF(D434="","",
 INDEX(Product_Master!A:A,
       MATCH( INDEX(Pack_Master!B:B, MATCH(D434, Pack_Master!A:A, 0)),
              Product_Master!B:B, 0 )
))
</f>
        <v>Garden_Planters</v>
      </c>
      <c r="C434" s="7" t="s">
        <v>862</v>
      </c>
      <c r="D434" s="8" t="s">
        <v>863</v>
      </c>
      <c r="E434" s="9" t="s">
        <v>12</v>
      </c>
      <c r="F434" s="8"/>
      <c r="G434" s="5"/>
      <c r="H434" s="5"/>
      <c r="I434" s="5"/>
    </row>
    <row r="435">
      <c r="A435" s="5" t="s">
        <v>9</v>
      </c>
      <c r="B435" s="6" t="str">
        <f t="array" ref="B435">IF(D435="","",
 INDEX(Product_Master!A:A,
       MATCH( INDEX(Pack_Master!B:B, MATCH(D435, Pack_Master!A:A, 0)),
              Product_Master!B:B, 0 )
))
</f>
        <v>Garden_Planters</v>
      </c>
      <c r="C435" s="7" t="s">
        <v>864</v>
      </c>
      <c r="D435" s="8" t="s">
        <v>865</v>
      </c>
      <c r="E435" s="9" t="s">
        <v>12</v>
      </c>
      <c r="F435" s="8">
        <v>6.161142044407E12</v>
      </c>
      <c r="G435" s="5"/>
      <c r="H435" s="5"/>
      <c r="I435" s="5"/>
    </row>
    <row r="436">
      <c r="A436" s="5" t="s">
        <v>9</v>
      </c>
      <c r="B436" s="6" t="str">
        <f t="array" ref="B436">IF(D436="","",
 INDEX(Product_Master!A:A,
       MATCH( INDEX(Pack_Master!B:B, MATCH(D436, Pack_Master!A:A, 0)),
              Product_Master!B:B, 0 )
))
</f>
        <v>Garden_Planters</v>
      </c>
      <c r="C436" s="7" t="s">
        <v>866</v>
      </c>
      <c r="D436" s="8" t="s">
        <v>867</v>
      </c>
      <c r="E436" s="9" t="s">
        <v>12</v>
      </c>
      <c r="F436" s="8">
        <v>6.161142039144E12</v>
      </c>
      <c r="G436" s="5"/>
      <c r="H436" s="5"/>
      <c r="I436" s="5"/>
    </row>
    <row r="437">
      <c r="A437" s="5" t="s">
        <v>9</v>
      </c>
      <c r="B437" s="6" t="str">
        <f t="array" ref="B437">IF(D437="","",
 INDEX(Product_Master!A:A,
       MATCH( INDEX(Pack_Master!B:B, MATCH(D437, Pack_Master!A:A, 0)),
              Product_Master!B:B, 0 )
))
</f>
        <v>Garden_Planters</v>
      </c>
      <c r="C437" s="7" t="s">
        <v>868</v>
      </c>
      <c r="D437" s="8" t="s">
        <v>869</v>
      </c>
      <c r="E437" s="9" t="s">
        <v>12</v>
      </c>
      <c r="F437" s="8">
        <v>6.161142044292E12</v>
      </c>
      <c r="G437" s="5"/>
      <c r="H437" s="5"/>
      <c r="I437" s="5"/>
    </row>
    <row r="438">
      <c r="A438" s="5" t="s">
        <v>9</v>
      </c>
      <c r="B438" s="6" t="str">
        <f t="array" ref="B438">IF(D438="","",
 INDEX(Product_Master!A:A,
       MATCH( INDEX(Pack_Master!B:B, MATCH(D438, Pack_Master!A:A, 0)),
              Product_Master!B:B, 0 )
))
</f>
        <v>Garden_Planters</v>
      </c>
      <c r="C438" s="7" t="s">
        <v>870</v>
      </c>
      <c r="D438" s="8" t="s">
        <v>871</v>
      </c>
      <c r="E438" s="9" t="s">
        <v>12</v>
      </c>
      <c r="F438" s="8"/>
      <c r="G438" s="5"/>
      <c r="H438" s="5"/>
      <c r="I438" s="5"/>
    </row>
    <row r="439">
      <c r="A439" s="5" t="s">
        <v>9</v>
      </c>
      <c r="B439" s="6" t="str">
        <f t="array" ref="B439">IF(D439="","",
 INDEX(Product_Master!A:A,
       MATCH( INDEX(Pack_Master!B:B, MATCH(D439, Pack_Master!A:A, 0)),
              Product_Master!B:B, 0 )
))
</f>
        <v>Garden_Planters</v>
      </c>
      <c r="C439" s="7" t="s">
        <v>872</v>
      </c>
      <c r="D439" s="8" t="s">
        <v>873</v>
      </c>
      <c r="E439" s="9" t="s">
        <v>12</v>
      </c>
      <c r="F439" s="8"/>
      <c r="G439" s="5"/>
      <c r="H439" s="5"/>
      <c r="I439" s="5"/>
    </row>
    <row r="440">
      <c r="A440" s="5" t="s">
        <v>9</v>
      </c>
      <c r="B440" s="6" t="str">
        <f t="array" ref="B440">IF(D440="","",
 INDEX(Product_Master!A:A,
       MATCH( INDEX(Pack_Master!B:B, MATCH(D440, Pack_Master!A:A, 0)),
              Product_Master!B:B, 0 )
))
</f>
        <v>Garden_Planters</v>
      </c>
      <c r="C440" s="7" t="s">
        <v>874</v>
      </c>
      <c r="D440" s="8" t="s">
        <v>875</v>
      </c>
      <c r="E440" s="9" t="s">
        <v>12</v>
      </c>
      <c r="F440" s="8"/>
      <c r="G440" s="5"/>
      <c r="H440" s="5"/>
      <c r="I440" s="5"/>
    </row>
    <row r="441">
      <c r="A441" s="5" t="s">
        <v>9</v>
      </c>
      <c r="B441" s="6" t="str">
        <f t="array" ref="B441">IF(D441="","",
 INDEX(Product_Master!A:A,
       MATCH( INDEX(Pack_Master!B:B, MATCH(D441, Pack_Master!A:A, 0)),
              Product_Master!B:B, 0 )
))
</f>
        <v>Garden_Planters</v>
      </c>
      <c r="C441" s="7" t="s">
        <v>876</v>
      </c>
      <c r="D441" s="8" t="s">
        <v>877</v>
      </c>
      <c r="E441" s="9" t="s">
        <v>12</v>
      </c>
      <c r="F441" s="8"/>
      <c r="G441" s="5"/>
      <c r="H441" s="5"/>
      <c r="I441" s="5"/>
    </row>
    <row r="442">
      <c r="A442" s="5" t="s">
        <v>9</v>
      </c>
      <c r="B442" s="6" t="str">
        <f t="array" ref="B442">IF(D442="","",
 INDEX(Product_Master!A:A,
       MATCH( INDEX(Pack_Master!B:B, MATCH(D442, Pack_Master!A:A, 0)),
              Product_Master!B:B, 0 )
))
</f>
        <v>Garden_Planters</v>
      </c>
      <c r="C442" s="7" t="s">
        <v>878</v>
      </c>
      <c r="D442" s="8" t="s">
        <v>879</v>
      </c>
      <c r="E442" s="9" t="s">
        <v>12</v>
      </c>
      <c r="F442" s="8">
        <v>6.161142041628E12</v>
      </c>
      <c r="G442" s="5"/>
      <c r="H442" s="5"/>
      <c r="I442" s="5"/>
    </row>
    <row r="443">
      <c r="A443" s="5" t="s">
        <v>9</v>
      </c>
      <c r="B443" s="6" t="str">
        <f t="array" ref="B443">IF(D443="","",
 INDEX(Product_Master!A:A,
       MATCH( INDEX(Pack_Master!B:B, MATCH(D443, Pack_Master!A:A, 0)),
              Product_Master!B:B, 0 )
))
</f>
        <v>Garden_Planters</v>
      </c>
      <c r="C443" s="7" t="s">
        <v>880</v>
      </c>
      <c r="D443" s="8" t="s">
        <v>881</v>
      </c>
      <c r="E443" s="9" t="s">
        <v>12</v>
      </c>
      <c r="F443" s="8">
        <v>6.161142044681E12</v>
      </c>
      <c r="G443" s="5"/>
      <c r="H443" s="5"/>
      <c r="I443" s="5"/>
    </row>
    <row r="444">
      <c r="A444" s="5" t="s">
        <v>9</v>
      </c>
      <c r="B444" s="6" t="str">
        <f t="array" ref="B444">IF(D444="","",
 INDEX(Product_Master!A:A,
       MATCH( INDEX(Pack_Master!B:B, MATCH(D444, Pack_Master!A:A, 0)),
              Product_Master!B:B, 0 )
))
</f>
        <v>Garden_Planters</v>
      </c>
      <c r="C444" s="7" t="s">
        <v>882</v>
      </c>
      <c r="D444" s="8" t="s">
        <v>883</v>
      </c>
      <c r="E444" s="9" t="s">
        <v>12</v>
      </c>
      <c r="F444" s="8">
        <v>6.161142046319E12</v>
      </c>
      <c r="G444" s="5"/>
      <c r="H444" s="5"/>
      <c r="I444" s="5"/>
    </row>
    <row r="445">
      <c r="A445" s="5" t="s">
        <v>9</v>
      </c>
      <c r="B445" s="6" t="str">
        <f t="array" ref="B445">IF(D445="","",
 INDEX(Product_Master!A:A,
       MATCH( INDEX(Pack_Master!B:B, MATCH(D445, Pack_Master!A:A, 0)),
              Product_Master!B:B, 0 )
))
</f>
        <v>Garden_Planters</v>
      </c>
      <c r="C445" s="7" t="s">
        <v>884</v>
      </c>
      <c r="D445" s="8" t="s">
        <v>885</v>
      </c>
      <c r="E445" s="9" t="s">
        <v>12</v>
      </c>
      <c r="F445" s="8"/>
      <c r="G445" s="5"/>
      <c r="H445" s="5"/>
      <c r="I445" s="5"/>
    </row>
    <row r="446">
      <c r="A446" s="5" t="s">
        <v>9</v>
      </c>
      <c r="B446" s="6" t="str">
        <f t="array" ref="B446">IF(D446="","",
 INDEX(Product_Master!A:A,
       MATCH( INDEX(Pack_Master!B:B, MATCH(D446, Pack_Master!A:A, 0)),
              Product_Master!B:B, 0 )
))
</f>
        <v>Garden_Planters</v>
      </c>
      <c r="C446" s="7" t="s">
        <v>886</v>
      </c>
      <c r="D446" s="8" t="s">
        <v>887</v>
      </c>
      <c r="E446" s="9" t="s">
        <v>12</v>
      </c>
      <c r="F446" s="8">
        <v>6.161142045404E12</v>
      </c>
      <c r="G446" s="5"/>
      <c r="H446" s="5"/>
      <c r="I446" s="5"/>
    </row>
    <row r="447">
      <c r="A447" s="5" t="s">
        <v>9</v>
      </c>
      <c r="B447" s="6" t="str">
        <f t="array" ref="B447">IF(D447="","",
 INDEX(Product_Master!A:A,
       MATCH( INDEX(Pack_Master!B:B, MATCH(D447, Pack_Master!A:A, 0)),
              Product_Master!B:B, 0 )
))
</f>
        <v>Garden_Planters</v>
      </c>
      <c r="C447" s="7" t="s">
        <v>888</v>
      </c>
      <c r="D447" s="8" t="s">
        <v>889</v>
      </c>
      <c r="E447" s="9" t="s">
        <v>12</v>
      </c>
      <c r="F447" s="8">
        <v>6.161142041246E12</v>
      </c>
      <c r="G447" s="5"/>
      <c r="H447" s="5"/>
      <c r="I447" s="5"/>
    </row>
    <row r="448">
      <c r="A448" s="5" t="s">
        <v>9</v>
      </c>
      <c r="B448" s="6" t="str">
        <f t="array" ref="B448">IF(D448="","",
 INDEX(Product_Master!A:A,
       MATCH( INDEX(Pack_Master!B:B, MATCH(D448, Pack_Master!A:A, 0)),
              Product_Master!B:B, 0 )
))
</f>
        <v>Garden_Planters</v>
      </c>
      <c r="C448" s="7" t="s">
        <v>890</v>
      </c>
      <c r="D448" s="8" t="s">
        <v>891</v>
      </c>
      <c r="E448" s="9" t="s">
        <v>12</v>
      </c>
      <c r="F448" s="8">
        <v>6.161142045923E12</v>
      </c>
      <c r="G448" s="5"/>
      <c r="H448" s="5"/>
      <c r="I448" s="5"/>
    </row>
    <row r="449">
      <c r="A449" s="5" t="s">
        <v>9</v>
      </c>
      <c r="B449" s="6" t="str">
        <f t="array" ref="B449">IF(D449="","",
 INDEX(Product_Master!A:A,
       MATCH( INDEX(Pack_Master!B:B, MATCH(D449, Pack_Master!A:A, 0)),
              Product_Master!B:B, 0 )
))
</f>
        <v>Garden_Planters</v>
      </c>
      <c r="C449" s="7" t="s">
        <v>892</v>
      </c>
      <c r="D449" s="8" t="s">
        <v>893</v>
      </c>
      <c r="E449" s="9" t="s">
        <v>12</v>
      </c>
      <c r="F449" s="8"/>
      <c r="G449" s="5"/>
      <c r="H449" s="5"/>
      <c r="I449" s="5"/>
    </row>
    <row r="450">
      <c r="A450" s="5" t="s">
        <v>9</v>
      </c>
      <c r="B450" s="6" t="str">
        <f t="array" ref="B450">IF(D450="","",
 INDEX(Product_Master!A:A,
       MATCH( INDEX(Pack_Master!B:B, MATCH(D450, Pack_Master!A:A, 0)),
              Product_Master!B:B, 0 )
))
</f>
        <v>Garden_Planters</v>
      </c>
      <c r="C450" s="7" t="s">
        <v>894</v>
      </c>
      <c r="D450" s="8" t="s">
        <v>895</v>
      </c>
      <c r="E450" s="9" t="s">
        <v>12</v>
      </c>
      <c r="F450" s="8">
        <v>6.161142038413E12</v>
      </c>
      <c r="G450" s="5"/>
      <c r="H450" s="5"/>
      <c r="I450" s="5"/>
    </row>
    <row r="451">
      <c r="A451" s="5" t="s">
        <v>9</v>
      </c>
      <c r="B451" s="6" t="str">
        <f t="array" ref="B451">IF(D451="","",
 INDEX(Product_Master!A:A,
       MATCH( INDEX(Pack_Master!B:B, MATCH(D451, Pack_Master!A:A, 0)),
              Product_Master!B:B, 0 )
))
</f>
        <v>Garden_Planters</v>
      </c>
      <c r="C451" s="7" t="s">
        <v>896</v>
      </c>
      <c r="D451" s="8" t="s">
        <v>897</v>
      </c>
      <c r="E451" s="9" t="s">
        <v>12</v>
      </c>
      <c r="F451" s="8">
        <v>6.16114203941E12</v>
      </c>
      <c r="G451" s="5"/>
      <c r="H451" s="5"/>
      <c r="I451" s="5"/>
    </row>
    <row r="452">
      <c r="A452" s="5" t="s">
        <v>9</v>
      </c>
      <c r="B452" s="6" t="str">
        <f t="array" ref="B452">IF(D452="","",
 INDEX(Product_Master!A:A,
       MATCH( INDEX(Pack_Master!B:B, MATCH(D452, Pack_Master!A:A, 0)),
              Product_Master!B:B, 0 )
))
</f>
        <v>Garden_Planters</v>
      </c>
      <c r="C452" s="7" t="s">
        <v>898</v>
      </c>
      <c r="D452" s="8" t="s">
        <v>899</v>
      </c>
      <c r="E452" s="9" t="s">
        <v>12</v>
      </c>
      <c r="F452" s="8">
        <v>6.161142040898E12</v>
      </c>
      <c r="G452" s="5"/>
      <c r="H452" s="5"/>
      <c r="I452" s="5"/>
    </row>
    <row r="453">
      <c r="A453" s="5" t="s">
        <v>9</v>
      </c>
      <c r="B453" s="6" t="str">
        <f t="array" ref="B453">IF(D453="","",
 INDEX(Product_Master!A:A,
       MATCH( INDEX(Pack_Master!B:B, MATCH(D453, Pack_Master!A:A, 0)),
              Product_Master!B:B, 0 )
))
</f>
        <v>Garden_Planters</v>
      </c>
      <c r="C453" s="7" t="s">
        <v>900</v>
      </c>
      <c r="D453" s="8" t="s">
        <v>901</v>
      </c>
      <c r="E453" s="9" t="s">
        <v>12</v>
      </c>
      <c r="F453" s="8"/>
      <c r="G453" s="5"/>
      <c r="H453" s="5"/>
      <c r="I453" s="5"/>
    </row>
    <row r="454">
      <c r="A454" s="5" t="s">
        <v>9</v>
      </c>
      <c r="B454" s="6" t="str">
        <f t="array" ref="B454">IF(D454="","",
 INDEX(Product_Master!A:A,
       MATCH( INDEX(Pack_Master!B:B, MATCH(D454, Pack_Master!A:A, 0)),
              Product_Master!B:B, 0 )
))
</f>
        <v>Garden_Planters</v>
      </c>
      <c r="C454" s="7" t="s">
        <v>902</v>
      </c>
      <c r="D454" s="8" t="s">
        <v>903</v>
      </c>
      <c r="E454" s="9" t="s">
        <v>12</v>
      </c>
      <c r="F454" s="8" t="s">
        <v>904</v>
      </c>
      <c r="G454" s="5"/>
      <c r="H454" s="5">
        <v>46024.0</v>
      </c>
      <c r="I454" s="5"/>
    </row>
    <row r="455">
      <c r="A455" s="5" t="s">
        <v>9</v>
      </c>
      <c r="B455" s="6" t="str">
        <f t="array" ref="B455">IF(D455="","",
 INDEX(Product_Master!A:A,
       MATCH( INDEX(Pack_Master!B:B, MATCH(D455, Pack_Master!A:A, 0)),
              Product_Master!B:B, 0 )
))
</f>
        <v>Garden_Planters</v>
      </c>
      <c r="C455" s="7" t="s">
        <v>905</v>
      </c>
      <c r="D455" s="8" t="s">
        <v>906</v>
      </c>
      <c r="E455" s="9" t="s">
        <v>12</v>
      </c>
      <c r="F455" s="8" t="s">
        <v>907</v>
      </c>
      <c r="G455" s="5"/>
      <c r="H455" s="5">
        <v>46024.0</v>
      </c>
      <c r="I455" s="5"/>
    </row>
    <row r="456">
      <c r="A456" s="5" t="s">
        <v>9</v>
      </c>
      <c r="B456" s="6" t="str">
        <f t="array" ref="B456">IF(D456="","",
 INDEX(Product_Master!A:A,
       MATCH( INDEX(Pack_Master!B:B, MATCH(D456, Pack_Master!A:A, 0)),
              Product_Master!B:B, 0 )
))
</f>
        <v>Garden_Planters</v>
      </c>
      <c r="C456" s="7" t="s">
        <v>908</v>
      </c>
      <c r="D456" s="8" t="s">
        <v>909</v>
      </c>
      <c r="E456" s="9" t="s">
        <v>12</v>
      </c>
      <c r="F456" s="8" t="s">
        <v>910</v>
      </c>
      <c r="G456" s="5"/>
      <c r="H456" s="5">
        <v>46024.0</v>
      </c>
      <c r="I456" s="5"/>
    </row>
    <row r="457">
      <c r="A457" s="5" t="s">
        <v>9</v>
      </c>
      <c r="B457" s="6" t="str">
        <f t="array" ref="B457">IF(D457="","",
 INDEX(Product_Master!A:A,
       MATCH( INDEX(Pack_Master!B:B, MATCH(D457, Pack_Master!A:A, 0)),
              Product_Master!B:B, 0 )
))
</f>
        <v>Garden_Planters</v>
      </c>
      <c r="C457" s="7" t="s">
        <v>911</v>
      </c>
      <c r="D457" s="8" t="s">
        <v>912</v>
      </c>
      <c r="E457" s="9" t="s">
        <v>12</v>
      </c>
      <c r="F457" s="8"/>
      <c r="G457" s="5"/>
      <c r="H457" s="5"/>
      <c r="I457" s="5"/>
    </row>
    <row r="458">
      <c r="A458" s="5" t="s">
        <v>9</v>
      </c>
      <c r="B458" s="6" t="str">
        <f t="array" ref="B458">IF(D458="","",
 INDEX(Product_Master!A:A,
       MATCH( INDEX(Pack_Master!B:B, MATCH(D458, Pack_Master!A:A, 0)),
              Product_Master!B:B, 0 )
))
</f>
        <v>Garden_Planters</v>
      </c>
      <c r="C458" s="7" t="s">
        <v>913</v>
      </c>
      <c r="D458" s="8" t="s">
        <v>914</v>
      </c>
      <c r="E458" s="9" t="s">
        <v>12</v>
      </c>
      <c r="F458" s="8" t="s">
        <v>915</v>
      </c>
      <c r="G458" s="5"/>
      <c r="H458" s="5">
        <v>46024.0</v>
      </c>
      <c r="I458" s="5"/>
    </row>
    <row r="459">
      <c r="A459" s="5" t="s">
        <v>9</v>
      </c>
      <c r="B459" s="6" t="str">
        <f t="array" ref="B459">IF(D459="","",
 INDEX(Product_Master!A:A,
       MATCH( INDEX(Pack_Master!B:B, MATCH(D459, Pack_Master!A:A, 0)),
              Product_Master!B:B, 0 )
))
</f>
        <v>Garden_Planters</v>
      </c>
      <c r="C459" s="7" t="s">
        <v>916</v>
      </c>
      <c r="D459" s="8" t="s">
        <v>917</v>
      </c>
      <c r="E459" s="9" t="s">
        <v>12</v>
      </c>
      <c r="F459" s="8" t="s">
        <v>918</v>
      </c>
      <c r="G459" s="5"/>
      <c r="H459" s="5">
        <v>46024.0</v>
      </c>
      <c r="I459" s="5"/>
    </row>
    <row r="460">
      <c r="A460" s="5" t="s">
        <v>9</v>
      </c>
      <c r="B460" s="6" t="str">
        <f t="array" ref="B460">IF(D460="","",
 INDEX(Product_Master!A:A,
       MATCH( INDEX(Pack_Master!B:B, MATCH(D460, Pack_Master!A:A, 0)),
              Product_Master!B:B, 0 )
))
</f>
        <v>Garden_Planters</v>
      </c>
      <c r="C460" s="7" t="s">
        <v>919</v>
      </c>
      <c r="D460" s="8" t="s">
        <v>920</v>
      </c>
      <c r="E460" s="9" t="s">
        <v>12</v>
      </c>
      <c r="F460" s="8" t="s">
        <v>921</v>
      </c>
      <c r="G460" s="5"/>
      <c r="H460" s="5">
        <v>46024.0</v>
      </c>
      <c r="I460" s="5"/>
    </row>
    <row r="461">
      <c r="A461" s="5" t="s">
        <v>9</v>
      </c>
      <c r="B461" s="6" t="str">
        <f t="array" ref="B461">IF(D461="","",
 INDEX(Product_Master!A:A,
       MATCH( INDEX(Pack_Master!B:B, MATCH(D461, Pack_Master!A:A, 0)),
              Product_Master!B:B, 0 )
))
</f>
        <v>Garden_Planters</v>
      </c>
      <c r="C461" s="7" t="s">
        <v>922</v>
      </c>
      <c r="D461" s="8" t="s">
        <v>923</v>
      </c>
      <c r="E461" s="9" t="s">
        <v>12</v>
      </c>
      <c r="F461" s="8"/>
      <c r="G461" s="5"/>
      <c r="H461" s="5"/>
      <c r="I461" s="5"/>
    </row>
    <row r="462">
      <c r="A462" s="5" t="s">
        <v>9</v>
      </c>
      <c r="B462" s="6" t="str">
        <f t="array" ref="B462">IF(D462="","",
 INDEX(Product_Master!A:A,
       MATCH( INDEX(Pack_Master!B:B, MATCH(D462, Pack_Master!A:A, 0)),
              Product_Master!B:B, 0 )
))
</f>
        <v>Garden_Planters</v>
      </c>
      <c r="C462" s="7" t="s">
        <v>924</v>
      </c>
      <c r="D462" s="8" t="s">
        <v>925</v>
      </c>
      <c r="E462" s="9" t="s">
        <v>12</v>
      </c>
      <c r="F462" s="8" t="s">
        <v>926</v>
      </c>
      <c r="G462" s="5"/>
      <c r="H462" s="5">
        <v>46024.0</v>
      </c>
      <c r="I462" s="5"/>
    </row>
    <row r="463">
      <c r="A463" s="5" t="s">
        <v>9</v>
      </c>
      <c r="B463" s="6" t="str">
        <f t="array" ref="B463">IF(D463="","",
 INDEX(Product_Master!A:A,
       MATCH( INDEX(Pack_Master!B:B, MATCH(D463, Pack_Master!A:A, 0)),
              Product_Master!B:B, 0 )
))
</f>
        <v>Garden_Planters</v>
      </c>
      <c r="C463" s="7" t="s">
        <v>927</v>
      </c>
      <c r="D463" s="8" t="s">
        <v>928</v>
      </c>
      <c r="E463" s="9" t="s">
        <v>12</v>
      </c>
      <c r="F463" s="8" t="s">
        <v>929</v>
      </c>
      <c r="G463" s="5"/>
      <c r="H463" s="5">
        <v>46024.0</v>
      </c>
      <c r="I463" s="5"/>
    </row>
    <row r="464">
      <c r="A464" s="5" t="s">
        <v>9</v>
      </c>
      <c r="B464" s="6" t="str">
        <f t="array" ref="B464">IF(D464="","",
 INDEX(Product_Master!A:A,
       MATCH( INDEX(Pack_Master!B:B, MATCH(D464, Pack_Master!A:A, 0)),
              Product_Master!B:B, 0 )
))
</f>
        <v>Garden_Planters</v>
      </c>
      <c r="C464" s="7" t="s">
        <v>930</v>
      </c>
      <c r="D464" s="8" t="s">
        <v>931</v>
      </c>
      <c r="E464" s="9" t="s">
        <v>12</v>
      </c>
      <c r="F464" s="8" t="s">
        <v>932</v>
      </c>
      <c r="G464" s="5"/>
      <c r="H464" s="5">
        <v>46024.0</v>
      </c>
      <c r="I464" s="5"/>
    </row>
    <row r="465">
      <c r="A465" s="5" t="s">
        <v>9</v>
      </c>
      <c r="B465" s="6" t="str">
        <f t="array" ref="B465">IF(D465="","",
 INDEX(Product_Master!A:A,
       MATCH( INDEX(Pack_Master!B:B, MATCH(D465, Pack_Master!A:A, 0)),
              Product_Master!B:B, 0 )
))
</f>
        <v>Garden_Planters</v>
      </c>
      <c r="C465" s="7" t="s">
        <v>933</v>
      </c>
      <c r="D465" s="8" t="s">
        <v>934</v>
      </c>
      <c r="E465" s="9" t="s">
        <v>12</v>
      </c>
      <c r="F465" s="8"/>
      <c r="G465" s="5"/>
      <c r="H465" s="5"/>
      <c r="I465" s="5"/>
    </row>
    <row r="466">
      <c r="A466" s="5" t="s">
        <v>9</v>
      </c>
      <c r="B466" s="6" t="str">
        <f t="array" ref="B466">IF(D466="","",
 INDEX(Product_Master!A:A,
       MATCH( INDEX(Pack_Master!B:B, MATCH(D466, Pack_Master!A:A, 0)),
              Product_Master!B:B, 0 )
))
</f>
        <v>Garden_Planters</v>
      </c>
      <c r="C466" s="7" t="s">
        <v>935</v>
      </c>
      <c r="D466" s="8" t="s">
        <v>936</v>
      </c>
      <c r="E466" s="9" t="s">
        <v>12</v>
      </c>
      <c r="F466" s="8" t="s">
        <v>937</v>
      </c>
      <c r="G466" s="5"/>
      <c r="H466" s="5"/>
      <c r="I466" s="5"/>
    </row>
    <row r="467">
      <c r="A467" s="5" t="s">
        <v>9</v>
      </c>
      <c r="B467" s="6" t="str">
        <f t="array" ref="B467">IF(D467="","",
 INDEX(Product_Master!A:A,
       MATCH( INDEX(Pack_Master!B:B, MATCH(D467, Pack_Master!A:A, 0)),
              Product_Master!B:B, 0 )
))
</f>
        <v>Garden_Planters</v>
      </c>
      <c r="C467" s="7" t="s">
        <v>938</v>
      </c>
      <c r="D467" s="8" t="s">
        <v>939</v>
      </c>
      <c r="E467" s="9" t="s">
        <v>12</v>
      </c>
      <c r="F467" s="8" t="s">
        <v>940</v>
      </c>
      <c r="G467" s="5"/>
      <c r="H467" s="5"/>
      <c r="I467" s="5"/>
    </row>
    <row r="468">
      <c r="A468" s="5" t="s">
        <v>9</v>
      </c>
      <c r="B468" s="6" t="str">
        <f t="array" ref="B468">IF(D468="","",
 INDEX(Product_Master!A:A,
       MATCH( INDEX(Pack_Master!B:B, MATCH(D468, Pack_Master!A:A, 0)),
              Product_Master!B:B, 0 )
))
</f>
        <v>Garden_Planters</v>
      </c>
      <c r="C468" s="7" t="s">
        <v>941</v>
      </c>
      <c r="D468" s="8" t="s">
        <v>942</v>
      </c>
      <c r="E468" s="9" t="s">
        <v>12</v>
      </c>
      <c r="F468" s="8" t="s">
        <v>943</v>
      </c>
      <c r="G468" s="5"/>
      <c r="H468" s="5"/>
      <c r="I468" s="5"/>
    </row>
    <row r="469">
      <c r="A469" s="5" t="s">
        <v>9</v>
      </c>
      <c r="B469" s="6" t="str">
        <f t="array" ref="B469">IF(D469="","",
 INDEX(Product_Master!A:A,
       MATCH( INDEX(Pack_Master!B:B, MATCH(D469, Pack_Master!A:A, 0)),
              Product_Master!B:B, 0 )
))
</f>
        <v>Garden_Planters</v>
      </c>
      <c r="C469" s="7" t="s">
        <v>944</v>
      </c>
      <c r="D469" s="8" t="s">
        <v>945</v>
      </c>
      <c r="E469" s="9" t="s">
        <v>12</v>
      </c>
      <c r="F469" s="8" t="s">
        <v>946</v>
      </c>
      <c r="G469" s="5"/>
      <c r="H469" s="5"/>
      <c r="I469" s="5"/>
    </row>
    <row r="470">
      <c r="A470" s="5" t="s">
        <v>9</v>
      </c>
      <c r="B470" s="6" t="str">
        <f t="array" ref="B470">IF(D470="","",
 INDEX(Product_Master!A:A,
       MATCH( INDEX(Pack_Master!B:B, MATCH(D470, Pack_Master!A:A, 0)),
              Product_Master!B:B, 0 )
))
</f>
        <v>Garden_Planters</v>
      </c>
      <c r="C470" s="7" t="s">
        <v>947</v>
      </c>
      <c r="D470" s="8" t="s">
        <v>948</v>
      </c>
      <c r="E470" s="9" t="s">
        <v>12</v>
      </c>
      <c r="F470" s="8" t="s">
        <v>949</v>
      </c>
      <c r="G470" s="5"/>
      <c r="H470" s="5"/>
      <c r="I470" s="5"/>
    </row>
    <row r="471">
      <c r="A471" s="5" t="s">
        <v>9</v>
      </c>
      <c r="B471" s="6" t="str">
        <f t="array" ref="B471">IF(D471="","",
 INDEX(Product_Master!A:A,
       MATCH( INDEX(Pack_Master!B:B, MATCH(D471, Pack_Master!A:A, 0)),
              Product_Master!B:B, 0 )
))
</f>
        <v>Garden_Planters</v>
      </c>
      <c r="C471" s="7" t="s">
        <v>950</v>
      </c>
      <c r="D471" s="8" t="s">
        <v>951</v>
      </c>
      <c r="E471" s="9" t="s">
        <v>12</v>
      </c>
      <c r="F471" s="8" t="s">
        <v>952</v>
      </c>
      <c r="G471" s="5"/>
      <c r="H471" s="5"/>
      <c r="I471" s="5"/>
    </row>
    <row r="472">
      <c r="A472" s="5" t="s">
        <v>9</v>
      </c>
      <c r="B472" s="6" t="str">
        <f t="array" ref="B472">IF(D472="","",
 INDEX(Product_Master!A:A,
       MATCH( INDEX(Pack_Master!B:B, MATCH(D472, Pack_Master!A:A, 0)),
              Product_Master!B:B, 0 )
))
</f>
        <v>Garden_Planters</v>
      </c>
      <c r="C472" s="7" t="s">
        <v>953</v>
      </c>
      <c r="D472" s="8" t="s">
        <v>954</v>
      </c>
      <c r="E472" s="9" t="s">
        <v>12</v>
      </c>
      <c r="F472" s="8" t="s">
        <v>955</v>
      </c>
      <c r="G472" s="5"/>
      <c r="H472" s="5"/>
      <c r="I472" s="5"/>
    </row>
    <row r="473">
      <c r="A473" s="5" t="s">
        <v>9</v>
      </c>
      <c r="B473" s="6" t="str">
        <f t="array" ref="B473">IF(D473="","",
 INDEX(Product_Master!A:A,
       MATCH( INDEX(Pack_Master!B:B, MATCH(D473, Pack_Master!A:A, 0)),
              Product_Master!B:B, 0 )
))
</f>
        <v>Garden_Planters</v>
      </c>
      <c r="C473" s="7" t="s">
        <v>956</v>
      </c>
      <c r="D473" s="8" t="s">
        <v>957</v>
      </c>
      <c r="E473" s="9" t="s">
        <v>12</v>
      </c>
      <c r="F473" s="8" t="s">
        <v>958</v>
      </c>
      <c r="G473" s="5"/>
      <c r="H473" s="5"/>
      <c r="I473" s="5"/>
    </row>
    <row r="474">
      <c r="A474" s="5" t="s">
        <v>9</v>
      </c>
      <c r="B474" s="6" t="str">
        <f t="array" ref="B474">IF(D474="","",
 INDEX(Product_Master!A:A,
       MATCH( INDEX(Pack_Master!B:B, MATCH(D474, Pack_Master!A:A, 0)),
              Product_Master!B:B, 0 )
))
</f>
        <v>Garden_Planters</v>
      </c>
      <c r="C474" s="7" t="s">
        <v>959</v>
      </c>
      <c r="D474" s="8" t="s">
        <v>960</v>
      </c>
      <c r="E474" s="9" t="s">
        <v>12</v>
      </c>
      <c r="F474" s="8" t="s">
        <v>961</v>
      </c>
      <c r="G474" s="5"/>
      <c r="H474" s="5"/>
      <c r="I474" s="5"/>
    </row>
    <row r="475">
      <c r="A475" s="5" t="s">
        <v>9</v>
      </c>
      <c r="B475" s="6" t="str">
        <f t="array" ref="B475">IF(D475="","",
 INDEX(Product_Master!A:A,
       MATCH( INDEX(Pack_Master!B:B, MATCH(D475, Pack_Master!A:A, 0)),
              Product_Master!B:B, 0 )
))
</f>
        <v>Garden_Planters</v>
      </c>
      <c r="C475" s="7" t="s">
        <v>962</v>
      </c>
      <c r="D475" s="8" t="s">
        <v>936</v>
      </c>
      <c r="E475" s="9" t="s">
        <v>12</v>
      </c>
      <c r="F475" s="8">
        <v>4.204116567082E12</v>
      </c>
      <c r="G475" s="5"/>
      <c r="H475" s="5"/>
      <c r="I475" s="5"/>
    </row>
    <row r="476">
      <c r="A476" s="5" t="s">
        <v>9</v>
      </c>
      <c r="B476" s="6" t="str">
        <f t="array" ref="B476">IF(D476="","",
 INDEX(Product_Master!A:A,
       MATCH( INDEX(Pack_Master!B:B, MATCH(D476, Pack_Master!A:A, 0)),
              Product_Master!B:B, 0 )
))
</f>
        <v>Garden_Planters</v>
      </c>
      <c r="C476" s="7" t="s">
        <v>963</v>
      </c>
      <c r="D476" s="8" t="s">
        <v>939</v>
      </c>
      <c r="E476" s="9" t="s">
        <v>12</v>
      </c>
      <c r="F476" s="8">
        <v>4.204116567099E12</v>
      </c>
      <c r="G476" s="5"/>
      <c r="H476" s="5"/>
      <c r="I476" s="5"/>
    </row>
    <row r="477">
      <c r="A477" s="5" t="s">
        <v>9</v>
      </c>
      <c r="B477" s="6" t="str">
        <f t="array" ref="B477">IF(D477="","",
 INDEX(Product_Master!A:A,
       MATCH( INDEX(Pack_Master!B:B, MATCH(D477, Pack_Master!A:A, 0)),
              Product_Master!B:B, 0 )
))
</f>
        <v>Garden_Planters</v>
      </c>
      <c r="C477" s="7" t="s">
        <v>964</v>
      </c>
      <c r="D477" s="8" t="s">
        <v>942</v>
      </c>
      <c r="E477" s="9" t="s">
        <v>12</v>
      </c>
      <c r="F477" s="8" t="s">
        <v>965</v>
      </c>
      <c r="G477" s="5"/>
      <c r="H477" s="5"/>
      <c r="I477" s="5"/>
    </row>
    <row r="478">
      <c r="A478" s="5" t="s">
        <v>9</v>
      </c>
      <c r="B478" s="6" t="str">
        <f t="array" ref="B478">IF(D478="","",
 INDEX(Product_Master!A:A,
       MATCH( INDEX(Pack_Master!B:B, MATCH(D478, Pack_Master!A:A, 0)),
              Product_Master!B:B, 0 )
))
</f>
        <v>Garden_Planters</v>
      </c>
      <c r="C478" s="7" t="s">
        <v>966</v>
      </c>
      <c r="D478" s="8" t="s">
        <v>945</v>
      </c>
      <c r="E478" s="9" t="s">
        <v>12</v>
      </c>
      <c r="F478" s="8">
        <v>4.20411656731E12</v>
      </c>
      <c r="G478" s="5"/>
      <c r="H478" s="5"/>
      <c r="I478" s="5"/>
    </row>
    <row r="479">
      <c r="A479" s="5" t="s">
        <v>9</v>
      </c>
      <c r="B479" s="6" t="str">
        <f t="array" ref="B479">IF(D479="","",
 INDEX(Product_Master!A:A,
       MATCH( INDEX(Pack_Master!B:B, MATCH(D479, Pack_Master!A:A, 0)),
              Product_Master!B:B, 0 )
))
</f>
        <v>Garden_Planters</v>
      </c>
      <c r="C479" s="7" t="s">
        <v>967</v>
      </c>
      <c r="D479" s="8" t="s">
        <v>948</v>
      </c>
      <c r="E479" s="9" t="s">
        <v>12</v>
      </c>
      <c r="F479" s="8">
        <v>4.204116567358E12</v>
      </c>
      <c r="G479" s="5"/>
      <c r="H479" s="5"/>
      <c r="I479" s="5"/>
    </row>
    <row r="480">
      <c r="A480" s="5" t="s">
        <v>9</v>
      </c>
      <c r="B480" s="6" t="str">
        <f t="array" ref="B480">IF(D480="","",
 INDEX(Product_Master!A:A,
       MATCH( INDEX(Pack_Master!B:B, MATCH(D480, Pack_Master!A:A, 0)),
              Product_Master!B:B, 0 )
))
</f>
        <v>Garden_Planters</v>
      </c>
      <c r="C480" s="7" t="s">
        <v>968</v>
      </c>
      <c r="D480" s="8" t="s">
        <v>951</v>
      </c>
      <c r="E480" s="9" t="s">
        <v>12</v>
      </c>
      <c r="F480" s="8" t="s">
        <v>969</v>
      </c>
      <c r="G480" s="5"/>
      <c r="H480" s="5"/>
      <c r="I480" s="5"/>
    </row>
    <row r="481">
      <c r="A481" s="5" t="s">
        <v>9</v>
      </c>
      <c r="B481" s="6" t="str">
        <f t="array" ref="B481">IF(D481="","",
 INDEX(Product_Master!A:A,
       MATCH( INDEX(Pack_Master!B:B, MATCH(D481, Pack_Master!A:A, 0)),
              Product_Master!B:B, 0 )
))
</f>
        <v>Garden_Planters</v>
      </c>
      <c r="C481" s="7" t="s">
        <v>970</v>
      </c>
      <c r="D481" s="8" t="s">
        <v>954</v>
      </c>
      <c r="E481" s="9" t="s">
        <v>12</v>
      </c>
      <c r="F481" s="8">
        <v>4.204116567402E12</v>
      </c>
      <c r="G481" s="5"/>
      <c r="H481" s="5"/>
      <c r="I481" s="5"/>
    </row>
    <row r="482">
      <c r="A482" s="5" t="s">
        <v>9</v>
      </c>
      <c r="B482" s="6" t="str">
        <f t="array" ref="B482">IF(D482="","",
 INDEX(Product_Master!A:A,
       MATCH( INDEX(Pack_Master!B:B, MATCH(D482, Pack_Master!A:A, 0)),
              Product_Master!B:B, 0 )
))
</f>
        <v>Garden_Planters</v>
      </c>
      <c r="C482" s="7" t="s">
        <v>971</v>
      </c>
      <c r="D482" s="8" t="s">
        <v>957</v>
      </c>
      <c r="E482" s="9" t="s">
        <v>12</v>
      </c>
      <c r="F482" s="8">
        <v>4.204116567488E12</v>
      </c>
      <c r="G482" s="5"/>
      <c r="H482" s="5"/>
      <c r="I482" s="5"/>
    </row>
    <row r="483">
      <c r="A483" s="5" t="s">
        <v>9</v>
      </c>
      <c r="B483" s="6" t="str">
        <f t="array" ref="B483">IF(D483="","",
 INDEX(Product_Master!A:A,
       MATCH( INDEX(Pack_Master!B:B, MATCH(D483, Pack_Master!A:A, 0)),
              Product_Master!B:B, 0 )
))
</f>
        <v>Garden_Planters</v>
      </c>
      <c r="C483" s="7" t="s">
        <v>972</v>
      </c>
      <c r="D483" s="8" t="s">
        <v>960</v>
      </c>
      <c r="E483" s="9" t="s">
        <v>12</v>
      </c>
      <c r="F483" s="8" t="s">
        <v>973</v>
      </c>
      <c r="G483" s="5"/>
      <c r="H483" s="5"/>
      <c r="I483" s="5"/>
    </row>
    <row r="484">
      <c r="A484" s="5" t="s">
        <v>9</v>
      </c>
      <c r="B484" s="6" t="str">
        <f t="array" ref="B484">IF(D484="","",
 INDEX(Product_Master!A:A,
       MATCH( INDEX(Pack_Master!B:B, MATCH(D484, Pack_Master!A:A, 0)),
              Product_Master!B:B, 0 )
))
</f>
        <v>Garden_Planters</v>
      </c>
      <c r="C484" s="7" t="s">
        <v>974</v>
      </c>
      <c r="D484" s="8" t="s">
        <v>975</v>
      </c>
      <c r="E484" s="9" t="s">
        <v>12</v>
      </c>
      <c r="F484" s="8">
        <v>6.161142045329E12</v>
      </c>
      <c r="G484" s="5"/>
      <c r="H484" s="5"/>
      <c r="I484" s="5"/>
    </row>
    <row r="485">
      <c r="A485" s="5" t="s">
        <v>9</v>
      </c>
      <c r="B485" s="6" t="str">
        <f t="array" ref="B485">IF(D485="","",
 INDEX(Product_Master!A:A,
       MATCH( INDEX(Pack_Master!B:B, MATCH(D485, Pack_Master!A:A, 0)),
              Product_Master!B:B, 0 )
))
</f>
        <v>Garden_Planters</v>
      </c>
      <c r="C485" s="7" t="s">
        <v>976</v>
      </c>
      <c r="D485" s="8" t="s">
        <v>977</v>
      </c>
      <c r="E485" s="9" t="s">
        <v>12</v>
      </c>
      <c r="F485" s="8">
        <v>6.161142039458E12</v>
      </c>
      <c r="G485" s="5"/>
      <c r="H485" s="5"/>
      <c r="I485" s="5"/>
    </row>
    <row r="486">
      <c r="A486" s="5" t="s">
        <v>9</v>
      </c>
      <c r="B486" s="6" t="str">
        <f t="array" ref="B486">IF(D486="","",
 INDEX(Product_Master!A:A,
       MATCH( INDEX(Pack_Master!B:B, MATCH(D486, Pack_Master!A:A, 0)),
              Product_Master!B:B, 0 )
))
</f>
        <v>Garden_Planters</v>
      </c>
      <c r="C486" s="7" t="s">
        <v>978</v>
      </c>
      <c r="D486" s="8" t="s">
        <v>979</v>
      </c>
      <c r="E486" s="9" t="s">
        <v>12</v>
      </c>
      <c r="F486" s="8">
        <v>6.161142045817E12</v>
      </c>
      <c r="G486" s="5"/>
      <c r="H486" s="5"/>
      <c r="I486" s="5"/>
    </row>
    <row r="487">
      <c r="A487" s="5" t="s">
        <v>9</v>
      </c>
      <c r="B487" s="6" t="str">
        <f t="array" ref="B487">IF(D487="","",
 INDEX(Product_Master!A:A,
       MATCH( INDEX(Pack_Master!B:B, MATCH(D487, Pack_Master!A:A, 0)),
              Product_Master!B:B, 0 )
))
</f>
        <v>Garden_Planters</v>
      </c>
      <c r="C487" s="7" t="s">
        <v>980</v>
      </c>
      <c r="D487" s="8" t="s">
        <v>981</v>
      </c>
      <c r="E487" s="9" t="s">
        <v>12</v>
      </c>
      <c r="F487" s="8">
        <v>6.1611420465E12</v>
      </c>
      <c r="G487" s="5"/>
      <c r="H487" s="5"/>
      <c r="I487" s="5"/>
    </row>
    <row r="488">
      <c r="A488" s="5" t="s">
        <v>9</v>
      </c>
      <c r="B488" s="6" t="str">
        <f t="array" ref="B488">IF(D488="","",
 INDEX(Product_Master!A:A,
       MATCH( INDEX(Pack_Master!B:B, MATCH(D488, Pack_Master!A:A, 0)),
              Product_Master!B:B, 0 )
))
</f>
        <v>Garden_Planters</v>
      </c>
      <c r="C488" s="7" t="s">
        <v>982</v>
      </c>
      <c r="D488" s="8" t="s">
        <v>983</v>
      </c>
      <c r="E488" s="9" t="s">
        <v>12</v>
      </c>
      <c r="F488" s="8">
        <v>6.1611420458E12</v>
      </c>
      <c r="G488" s="5"/>
      <c r="H488" s="5"/>
      <c r="I488" s="5"/>
    </row>
    <row r="489">
      <c r="A489" s="5" t="s">
        <v>9</v>
      </c>
      <c r="B489" s="6" t="str">
        <f t="array" ref="B489">IF(D489="","",
 INDEX(Product_Master!A:A,
       MATCH( INDEX(Pack_Master!B:B, MATCH(D489, Pack_Master!A:A, 0)),
              Product_Master!B:B, 0 )
))
</f>
        <v>Garden_Planters</v>
      </c>
      <c r="C489" s="7" t="s">
        <v>984</v>
      </c>
      <c r="D489" s="8" t="s">
        <v>985</v>
      </c>
      <c r="E489" s="9" t="s">
        <v>12</v>
      </c>
      <c r="F489" s="8">
        <v>6.161142042946E12</v>
      </c>
      <c r="G489" s="5"/>
      <c r="H489" s="5"/>
      <c r="I489" s="5"/>
    </row>
    <row r="490">
      <c r="A490" s="5" t="s">
        <v>9</v>
      </c>
      <c r="B490" s="6" t="str">
        <f t="array" ref="B490">IF(D490="","",
 INDEX(Product_Master!A:A,
       MATCH( INDEX(Pack_Master!B:B, MATCH(D490, Pack_Master!A:A, 0)),
              Product_Master!B:B, 0 )
))
</f>
        <v>Garden_Planters</v>
      </c>
      <c r="C490" s="7" t="s">
        <v>986</v>
      </c>
      <c r="D490" s="8" t="s">
        <v>987</v>
      </c>
      <c r="E490" s="9" t="s">
        <v>12</v>
      </c>
      <c r="F490" s="8">
        <v>6.161142047781E12</v>
      </c>
      <c r="G490" s="5"/>
      <c r="H490" s="5"/>
      <c r="I490" s="5"/>
    </row>
    <row r="491">
      <c r="A491" s="5" t="s">
        <v>9</v>
      </c>
      <c r="B491" s="6" t="str">
        <f t="array" ref="B491">IF(D491="","",
 INDEX(Product_Master!A:A,
       MATCH( INDEX(Pack_Master!B:B, MATCH(D491, Pack_Master!A:A, 0)),
              Product_Master!B:B, 0 )
))
</f>
        <v>Garden_Planters</v>
      </c>
      <c r="C491" s="7" t="s">
        <v>988</v>
      </c>
      <c r="D491" s="8" t="s">
        <v>989</v>
      </c>
      <c r="E491" s="9" t="s">
        <v>12</v>
      </c>
      <c r="F491" s="8">
        <v>6.161142038642E12</v>
      </c>
      <c r="G491" s="5"/>
      <c r="H491" s="5"/>
      <c r="I491" s="5"/>
    </row>
    <row r="492">
      <c r="A492" s="5" t="s">
        <v>9</v>
      </c>
      <c r="B492" s="6" t="str">
        <f t="array" ref="B492">IF(D492="","",
 INDEX(Product_Master!A:A,
       MATCH( INDEX(Pack_Master!B:B, MATCH(D492, Pack_Master!A:A, 0)),
              Product_Master!B:B, 0 )
))
</f>
        <v>Garden_Planters</v>
      </c>
      <c r="C492" s="7" t="s">
        <v>990</v>
      </c>
      <c r="D492" s="8" t="s">
        <v>991</v>
      </c>
      <c r="E492" s="9" t="s">
        <v>12</v>
      </c>
      <c r="F492" s="8">
        <v>6.161142046654E12</v>
      </c>
      <c r="G492" s="5"/>
      <c r="H492" s="5"/>
      <c r="I492" s="5"/>
    </row>
    <row r="493">
      <c r="A493" s="5" t="s">
        <v>9</v>
      </c>
      <c r="B493" s="6" t="str">
        <f t="array" ref="B493">IF(D493="","",
 INDEX(Product_Master!A:A,
       MATCH( INDEX(Pack_Master!B:B, MATCH(D493, Pack_Master!A:A, 0)),
              Product_Master!B:B, 0 )
))
</f>
        <v>Garden_Planters</v>
      </c>
      <c r="C493" s="7" t="s">
        <v>992</v>
      </c>
      <c r="D493" s="8" t="s">
        <v>993</v>
      </c>
      <c r="E493" s="9" t="s">
        <v>12</v>
      </c>
      <c r="F493" s="8">
        <v>6.161142040027E12</v>
      </c>
      <c r="G493" s="5"/>
      <c r="H493" s="5"/>
      <c r="I493" s="5"/>
    </row>
    <row r="494">
      <c r="A494" s="5" t="s">
        <v>9</v>
      </c>
      <c r="B494" s="6" t="str">
        <f t="array" ref="B494">IF(D494="","",
 INDEX(Product_Master!A:A,
       MATCH( INDEX(Pack_Master!B:B, MATCH(D494, Pack_Master!A:A, 0)),
              Product_Master!B:B, 0 )
))
</f>
        <v>Garden_Planters</v>
      </c>
      <c r="C494" s="7" t="s">
        <v>994</v>
      </c>
      <c r="D494" s="8" t="s">
        <v>995</v>
      </c>
      <c r="E494" s="9" t="s">
        <v>12</v>
      </c>
      <c r="F494" s="8"/>
      <c r="G494" s="5"/>
      <c r="H494" s="5"/>
      <c r="I494" s="5"/>
    </row>
    <row r="495">
      <c r="A495" s="5" t="s">
        <v>9</v>
      </c>
      <c r="B495" s="6" t="str">
        <f t="array" ref="B495">IF(D495="","",
 INDEX(Product_Master!A:A,
       MATCH( INDEX(Pack_Master!B:B, MATCH(D495, Pack_Master!A:A, 0)),
              Product_Master!B:B, 0 )
))
</f>
        <v>Garden_Planters</v>
      </c>
      <c r="C495" s="7" t="s">
        <v>996</v>
      </c>
      <c r="D495" s="8" t="s">
        <v>871</v>
      </c>
      <c r="E495" s="9" t="s">
        <v>12</v>
      </c>
      <c r="F495" s="8"/>
      <c r="G495" s="5"/>
      <c r="H495" s="5"/>
      <c r="I495" s="5"/>
    </row>
    <row r="496">
      <c r="A496" s="5" t="s">
        <v>9</v>
      </c>
      <c r="B496" s="6" t="str">
        <f t="array" ref="B496">IF(D496="","",
 INDEX(Product_Master!A:A,
       MATCH( INDEX(Pack_Master!B:B, MATCH(D496, Pack_Master!A:A, 0)),
              Product_Master!B:B, 0 )
))
</f>
        <v>Garden_Planters</v>
      </c>
      <c r="C496" s="7" t="s">
        <v>997</v>
      </c>
      <c r="D496" s="8" t="s">
        <v>998</v>
      </c>
      <c r="E496" s="9" t="s">
        <v>12</v>
      </c>
      <c r="F496" s="8"/>
      <c r="G496" s="5"/>
      <c r="H496" s="5"/>
      <c r="I496" s="5"/>
    </row>
    <row r="497">
      <c r="A497" s="5" t="s">
        <v>9</v>
      </c>
      <c r="B497" s="6" t="str">
        <f t="array" ref="B497">IF(D497="","",
 INDEX(Product_Master!A:A,
       MATCH( INDEX(Pack_Master!B:B, MATCH(D497, Pack_Master!A:A, 0)),
              Product_Master!B:B, 0 )
))
</f>
        <v>Garden_Planters</v>
      </c>
      <c r="C497" s="7" t="s">
        <v>999</v>
      </c>
      <c r="D497" s="8" t="s">
        <v>1000</v>
      </c>
      <c r="E497" s="9" t="s">
        <v>12</v>
      </c>
      <c r="F497" s="8"/>
      <c r="G497" s="5"/>
      <c r="H497" s="5"/>
      <c r="I497" s="5"/>
    </row>
    <row r="498">
      <c r="A498" s="5" t="s">
        <v>9</v>
      </c>
      <c r="B498" s="6" t="str">
        <f t="array" ref="B498">IF(D498="","",
 INDEX(Product_Master!A:A,
       MATCH( INDEX(Pack_Master!B:B, MATCH(D498, Pack_Master!A:A, 0)),
              Product_Master!B:B, 0 )
))
</f>
        <v>Garden_Planters</v>
      </c>
      <c r="C498" s="7" t="s">
        <v>1001</v>
      </c>
      <c r="D498" s="8" t="s">
        <v>1002</v>
      </c>
      <c r="E498" s="9" t="s">
        <v>12</v>
      </c>
      <c r="F498" s="8"/>
      <c r="G498" s="5"/>
      <c r="H498" s="5"/>
      <c r="I498" s="5"/>
    </row>
    <row r="499">
      <c r="A499" s="5" t="s">
        <v>9</v>
      </c>
      <c r="B499" s="6" t="str">
        <f t="array" ref="B499">IF(D499="","",
 INDEX(Product_Master!A:A,
       MATCH( INDEX(Pack_Master!B:B, MATCH(D499, Pack_Master!A:A, 0)),
              Product_Master!B:B, 0 )
))
</f>
        <v>Garden_Planters</v>
      </c>
      <c r="C499" s="7" t="s">
        <v>1003</v>
      </c>
      <c r="D499" s="8" t="s">
        <v>873</v>
      </c>
      <c r="E499" s="9" t="s">
        <v>12</v>
      </c>
      <c r="F499" s="8"/>
      <c r="G499" s="5"/>
      <c r="H499" s="5"/>
      <c r="I499" s="5"/>
    </row>
    <row r="500">
      <c r="A500" s="5" t="s">
        <v>9</v>
      </c>
      <c r="B500" s="6" t="str">
        <f t="array" ref="B500">IF(D500="","",
 INDEX(Product_Master!A:A,
       MATCH( INDEX(Pack_Master!B:B, MATCH(D500, Pack_Master!A:A, 0)),
              Product_Master!B:B, 0 )
))
</f>
        <v>Garden_Planters</v>
      </c>
      <c r="C500" s="7" t="s">
        <v>1004</v>
      </c>
      <c r="D500" s="8" t="s">
        <v>1005</v>
      </c>
      <c r="E500" s="9" t="s">
        <v>12</v>
      </c>
      <c r="F500" s="8"/>
      <c r="G500" s="5"/>
      <c r="H500" s="5"/>
      <c r="I500" s="5"/>
    </row>
    <row r="501">
      <c r="A501" s="5" t="s">
        <v>9</v>
      </c>
      <c r="B501" s="6" t="str">
        <f t="array" ref="B501">IF(D501="","",
 INDEX(Product_Master!A:A,
       MATCH( INDEX(Pack_Master!B:B, MATCH(D501, Pack_Master!A:A, 0)),
              Product_Master!B:B, 0 )
))
</f>
        <v>Garden_Planters</v>
      </c>
      <c r="C501" s="7" t="s">
        <v>1006</v>
      </c>
      <c r="D501" s="8" t="s">
        <v>1007</v>
      </c>
      <c r="E501" s="9" t="s">
        <v>12</v>
      </c>
      <c r="F501" s="8"/>
      <c r="G501" s="5"/>
      <c r="H501" s="5"/>
      <c r="I501" s="5"/>
    </row>
    <row r="502">
      <c r="A502" s="5" t="s">
        <v>9</v>
      </c>
      <c r="B502" s="6" t="str">
        <f t="array" ref="B502">IF(D502="","",
 INDEX(Product_Master!A:A,
       MATCH( INDEX(Pack_Master!B:B, MATCH(D502, Pack_Master!A:A, 0)),
              Product_Master!B:B, 0 )
))
</f>
        <v>Garden_Planters</v>
      </c>
      <c r="C502" s="7" t="s">
        <v>1008</v>
      </c>
      <c r="D502" s="8" t="s">
        <v>1009</v>
      </c>
      <c r="E502" s="9" t="s">
        <v>12</v>
      </c>
      <c r="F502" s="8"/>
      <c r="G502" s="5"/>
      <c r="H502" s="5"/>
      <c r="I502" s="5"/>
    </row>
    <row r="503">
      <c r="A503" s="5" t="s">
        <v>9</v>
      </c>
      <c r="B503" s="6" t="str">
        <f t="array" ref="B503">IF(D503="","",
 INDEX(Product_Master!A:A,
       MATCH( INDEX(Pack_Master!B:B, MATCH(D503, Pack_Master!A:A, 0)),
              Product_Master!B:B, 0 )
))
</f>
        <v>Garden_Planters</v>
      </c>
      <c r="C503" s="7" t="s">
        <v>1010</v>
      </c>
      <c r="D503" s="8" t="s">
        <v>1011</v>
      </c>
      <c r="E503" s="9" t="s">
        <v>12</v>
      </c>
      <c r="F503" s="8"/>
      <c r="G503" s="5"/>
      <c r="H503" s="5"/>
      <c r="I503" s="5"/>
    </row>
    <row r="504">
      <c r="A504" s="5" t="s">
        <v>9</v>
      </c>
      <c r="B504" s="6" t="str">
        <f t="array" ref="B504">IF(D504="","",
 INDEX(Product_Master!A:A,
       MATCH( INDEX(Pack_Master!B:B, MATCH(D504, Pack_Master!A:A, 0)),
              Product_Master!B:B, 0 )
))
</f>
        <v>Garden_Planters</v>
      </c>
      <c r="C504" s="7" t="s">
        <v>1012</v>
      </c>
      <c r="D504" s="8" t="s">
        <v>1013</v>
      </c>
      <c r="E504" s="9" t="s">
        <v>12</v>
      </c>
      <c r="F504" s="8"/>
      <c r="G504" s="5"/>
      <c r="H504" s="5"/>
      <c r="I504" s="5"/>
    </row>
    <row r="505">
      <c r="A505" s="5" t="s">
        <v>9</v>
      </c>
      <c r="B505" s="6" t="str">
        <f t="array" ref="B505">IF(D505="","",
 INDEX(Product_Master!A:A,
       MATCH( INDEX(Pack_Master!B:B, MATCH(D505, Pack_Master!A:A, 0)),
              Product_Master!B:B, 0 )
))
</f>
        <v>Garden_Planters</v>
      </c>
      <c r="C505" s="7" t="s">
        <v>1014</v>
      </c>
      <c r="D505" s="8" t="s">
        <v>1015</v>
      </c>
      <c r="E505" s="9" t="s">
        <v>12</v>
      </c>
      <c r="F505" s="8"/>
      <c r="G505" s="5"/>
      <c r="H505" s="5"/>
      <c r="I505" s="5"/>
    </row>
    <row r="506">
      <c r="A506" s="5" t="s">
        <v>9</v>
      </c>
      <c r="B506" s="6" t="str">
        <f t="array" ref="B506">IF(D506="","",
 INDEX(Product_Master!A:A,
       MATCH( INDEX(Pack_Master!B:B, MATCH(D506, Pack_Master!A:A, 0)),
              Product_Master!B:B, 0 )
))
</f>
        <v>Garden_Planters</v>
      </c>
      <c r="C506" s="7" t="s">
        <v>1016</v>
      </c>
      <c r="D506" s="8" t="s">
        <v>1017</v>
      </c>
      <c r="E506" s="9" t="s">
        <v>12</v>
      </c>
      <c r="F506" s="8"/>
      <c r="G506" s="5"/>
      <c r="H506" s="5"/>
      <c r="I506" s="5"/>
    </row>
    <row r="507">
      <c r="A507" s="5" t="s">
        <v>9</v>
      </c>
      <c r="B507" s="6" t="str">
        <f t="array" ref="B507">IF(D507="","",
 INDEX(Product_Master!A:A,
       MATCH( INDEX(Pack_Master!B:B, MATCH(D507, Pack_Master!A:A, 0)),
              Product_Master!B:B, 0 )
))
</f>
        <v>Garden_Planters</v>
      </c>
      <c r="C507" s="7" t="s">
        <v>1018</v>
      </c>
      <c r="D507" s="8" t="s">
        <v>875</v>
      </c>
      <c r="E507" s="9" t="s">
        <v>12</v>
      </c>
      <c r="F507" s="8"/>
      <c r="G507" s="5"/>
      <c r="H507" s="5"/>
      <c r="I507" s="5"/>
    </row>
    <row r="508">
      <c r="A508" s="5" t="s">
        <v>9</v>
      </c>
      <c r="B508" s="6" t="str">
        <f t="array" ref="B508">IF(D508="","",
 INDEX(Product_Master!A:A,
       MATCH( INDEX(Pack_Master!B:B, MATCH(D508, Pack_Master!A:A, 0)),
              Product_Master!B:B, 0 )
))
</f>
        <v>Garden_Planters</v>
      </c>
      <c r="C508" s="7" t="s">
        <v>1019</v>
      </c>
      <c r="D508" s="8" t="s">
        <v>1020</v>
      </c>
      <c r="E508" s="9" t="s">
        <v>12</v>
      </c>
      <c r="F508" s="8"/>
      <c r="G508" s="5"/>
      <c r="H508" s="5"/>
      <c r="I508" s="5"/>
    </row>
    <row r="509">
      <c r="A509" s="5" t="s">
        <v>9</v>
      </c>
      <c r="B509" s="6" t="str">
        <f t="array" ref="B509">IF(D509="","",
 INDEX(Product_Master!A:A,
       MATCH( INDEX(Pack_Master!B:B, MATCH(D509, Pack_Master!A:A, 0)),
              Product_Master!B:B, 0 )
))
</f>
        <v>Garden_Planters</v>
      </c>
      <c r="C509" s="7" t="s">
        <v>1021</v>
      </c>
      <c r="D509" s="8" t="s">
        <v>1022</v>
      </c>
      <c r="E509" s="9" t="s">
        <v>12</v>
      </c>
      <c r="F509" s="8"/>
      <c r="G509" s="5"/>
      <c r="H509" s="5"/>
      <c r="I509" s="5"/>
    </row>
    <row r="510">
      <c r="A510" s="5" t="s">
        <v>9</v>
      </c>
      <c r="B510" s="6" t="str">
        <f t="array" ref="B510">IF(D510="","",
 INDEX(Product_Master!A:A,
       MATCH( INDEX(Pack_Master!B:B, MATCH(D510, Pack_Master!A:A, 0)),
              Product_Master!B:B, 0 )
))
</f>
        <v>Garden_Planters</v>
      </c>
      <c r="C510" s="7" t="s">
        <v>1023</v>
      </c>
      <c r="D510" s="8" t="s">
        <v>1024</v>
      </c>
      <c r="E510" s="9" t="s">
        <v>12</v>
      </c>
      <c r="F510" s="8"/>
      <c r="G510" s="5"/>
      <c r="H510" s="5"/>
      <c r="I510" s="5"/>
    </row>
    <row r="511">
      <c r="A511" s="5" t="s">
        <v>9</v>
      </c>
      <c r="B511" s="6" t="str">
        <f t="array" ref="B511">IF(D511="","",
 INDEX(Product_Master!A:A,
       MATCH( INDEX(Pack_Master!B:B, MATCH(D511, Pack_Master!A:A, 0)),
              Product_Master!B:B, 0 )
))
</f>
        <v>Garden_Planters</v>
      </c>
      <c r="C511" s="7" t="s">
        <v>1025</v>
      </c>
      <c r="D511" s="8" t="s">
        <v>1026</v>
      </c>
      <c r="E511" s="9" t="s">
        <v>12</v>
      </c>
      <c r="F511" s="8">
        <v>6.161142041666E12</v>
      </c>
      <c r="G511" s="5"/>
      <c r="H511" s="5"/>
      <c r="I511" s="5"/>
    </row>
    <row r="512">
      <c r="A512" s="5" t="s">
        <v>9</v>
      </c>
      <c r="B512" s="6" t="str">
        <f t="array" ref="B512">IF(D512="","",
 INDEX(Product_Master!A:A,
       MATCH( INDEX(Pack_Master!B:B, MATCH(D512, Pack_Master!A:A, 0)),
              Product_Master!B:B, 0 )
))
</f>
        <v>Garden_Planters</v>
      </c>
      <c r="C512" s="7" t="s">
        <v>1027</v>
      </c>
      <c r="D512" s="8" t="s">
        <v>1028</v>
      </c>
      <c r="E512" s="9" t="s">
        <v>12</v>
      </c>
      <c r="F512" s="8">
        <v>6.161142047934E12</v>
      </c>
      <c r="G512" s="5"/>
      <c r="H512" s="5"/>
      <c r="I512" s="5"/>
    </row>
    <row r="513">
      <c r="A513" s="5" t="s">
        <v>9</v>
      </c>
      <c r="B513" s="6" t="str">
        <f t="array" ref="B513">IF(D513="","",
 INDEX(Product_Master!A:A,
       MATCH( INDEX(Pack_Master!B:B, MATCH(D513, Pack_Master!A:A, 0)),
              Product_Master!B:B, 0 )
))
</f>
        <v>Garden_Planters</v>
      </c>
      <c r="C513" s="7" t="s">
        <v>1029</v>
      </c>
      <c r="D513" s="8" t="s">
        <v>1030</v>
      </c>
      <c r="E513" s="9" t="s">
        <v>12</v>
      </c>
      <c r="F513" s="8">
        <v>6.161142043622E12</v>
      </c>
      <c r="G513" s="5"/>
      <c r="H513" s="5"/>
      <c r="I513" s="5"/>
    </row>
    <row r="514">
      <c r="A514" s="5" t="s">
        <v>9</v>
      </c>
      <c r="B514" s="6" t="str">
        <f t="array" ref="B514">IF(D514="","",
 INDEX(Product_Master!A:A,
       MATCH( INDEX(Pack_Master!B:B, MATCH(D514, Pack_Master!A:A, 0)),
              Product_Master!B:B, 0 )
))
</f>
        <v>Garden_Planters</v>
      </c>
      <c r="C514" s="7" t="s">
        <v>1031</v>
      </c>
      <c r="D514" s="8" t="s">
        <v>1032</v>
      </c>
      <c r="E514" s="9" t="s">
        <v>12</v>
      </c>
      <c r="F514" s="8"/>
      <c r="G514" s="5"/>
      <c r="H514" s="5"/>
      <c r="I514" s="5"/>
    </row>
    <row r="515">
      <c r="A515" s="5" t="s">
        <v>9</v>
      </c>
      <c r="B515" s="6" t="str">
        <f t="array" ref="B515">IF(D515="","",
 INDEX(Product_Master!A:A,
       MATCH( INDEX(Pack_Master!B:B, MATCH(D515, Pack_Master!A:A, 0)),
              Product_Master!B:B, 0 )
))
</f>
        <v>Garden_Planters</v>
      </c>
      <c r="C515" s="7" t="s">
        <v>1033</v>
      </c>
      <c r="D515" s="8" t="s">
        <v>1034</v>
      </c>
      <c r="E515" s="9" t="s">
        <v>12</v>
      </c>
      <c r="F515" s="8">
        <v>6.161142047408E12</v>
      </c>
      <c r="G515" s="5"/>
      <c r="H515" s="5"/>
      <c r="I515" s="5"/>
    </row>
    <row r="516">
      <c r="A516" s="5" t="s">
        <v>9</v>
      </c>
      <c r="B516" s="6" t="str">
        <f t="array" ref="B516">IF(D516="","",
 INDEX(Product_Master!A:A,
       MATCH( INDEX(Pack_Master!B:B, MATCH(D516, Pack_Master!A:A, 0)),
              Product_Master!B:B, 0 )
))
</f>
        <v>Garden_Planters</v>
      </c>
      <c r="C516" s="7" t="s">
        <v>1035</v>
      </c>
      <c r="D516" s="8" t="s">
        <v>1036</v>
      </c>
      <c r="E516" s="9" t="s">
        <v>12</v>
      </c>
      <c r="F516" s="8">
        <v>6.161142040034E12</v>
      </c>
      <c r="G516" s="5"/>
      <c r="H516" s="5"/>
      <c r="I516" s="5"/>
    </row>
    <row r="517">
      <c r="A517" s="5" t="s">
        <v>9</v>
      </c>
      <c r="B517" s="6" t="str">
        <f t="array" ref="B517">IF(D517="","",
 INDEX(Product_Master!A:A,
       MATCH( INDEX(Pack_Master!B:B, MATCH(D517, Pack_Master!A:A, 0)),
              Product_Master!B:B, 0 )
))
</f>
        <v>Garden_Planters</v>
      </c>
      <c r="C517" s="7" t="s">
        <v>1037</v>
      </c>
      <c r="D517" s="8" t="s">
        <v>1038</v>
      </c>
      <c r="E517" s="9" t="s">
        <v>12</v>
      </c>
      <c r="F517" s="8" t="s">
        <v>1039</v>
      </c>
      <c r="G517" s="5"/>
      <c r="H517" s="5"/>
      <c r="I517" s="5"/>
    </row>
    <row r="518">
      <c r="A518" s="5" t="s">
        <v>9</v>
      </c>
      <c r="B518" s="6" t="str">
        <f t="array" ref="B518">IF(D518="","",
 INDEX(Product_Master!A:A,
       MATCH( INDEX(Pack_Master!B:B, MATCH(D518, Pack_Master!A:A, 0)),
              Product_Master!B:B, 0 )
))
</f>
        <v>Garden_Planters</v>
      </c>
      <c r="C518" s="7" t="s">
        <v>1040</v>
      </c>
      <c r="D518" s="8" t="s">
        <v>1041</v>
      </c>
      <c r="E518" s="9" t="s">
        <v>12</v>
      </c>
      <c r="F518" s="8" t="s">
        <v>1042</v>
      </c>
      <c r="G518" s="5"/>
      <c r="H518" s="5"/>
      <c r="I518" s="5"/>
    </row>
    <row r="519">
      <c r="A519" s="5" t="s">
        <v>9</v>
      </c>
      <c r="B519" s="6" t="str">
        <f t="array" ref="B519">IF(D519="","",
 INDEX(Product_Master!A:A,
       MATCH( INDEX(Pack_Master!B:B, MATCH(D519, Pack_Master!A:A, 0)),
              Product_Master!B:B, 0 )
))
</f>
        <v>Garden_Planters</v>
      </c>
      <c r="C519" s="7" t="s">
        <v>1043</v>
      </c>
      <c r="D519" s="8" t="s">
        <v>1044</v>
      </c>
      <c r="E519" s="9" t="s">
        <v>12</v>
      </c>
      <c r="F519" s="8" t="s">
        <v>1045</v>
      </c>
      <c r="G519" s="5"/>
      <c r="H519" s="5"/>
      <c r="I519" s="5"/>
    </row>
    <row r="520">
      <c r="A520" s="5" t="s">
        <v>9</v>
      </c>
      <c r="B520" s="6" t="str">
        <f t="array" ref="B520">IF(D520="","",
 INDEX(Product_Master!A:A,
       MATCH( INDEX(Pack_Master!B:B, MATCH(D520, Pack_Master!A:A, 0)),
              Product_Master!B:B, 0 )
))
</f>
        <v>Garden_Planters</v>
      </c>
      <c r="C520" s="7" t="s">
        <v>1046</v>
      </c>
      <c r="D520" s="8" t="s">
        <v>1047</v>
      </c>
      <c r="E520" s="9" t="s">
        <v>12</v>
      </c>
      <c r="F520" s="8" t="s">
        <v>1048</v>
      </c>
      <c r="G520" s="5"/>
      <c r="H520" s="5"/>
      <c r="I520" s="5"/>
    </row>
    <row r="521">
      <c r="A521" s="5" t="s">
        <v>9</v>
      </c>
      <c r="B521" s="6" t="str">
        <f t="array" ref="B521">IF(D521="","",
 INDEX(Product_Master!A:A,
       MATCH( INDEX(Pack_Master!B:B, MATCH(D521, Pack_Master!A:A, 0)),
              Product_Master!B:B, 0 )
))
</f>
        <v>Garden_Planters</v>
      </c>
      <c r="C521" s="7" t="s">
        <v>1049</v>
      </c>
      <c r="D521" s="8" t="s">
        <v>1050</v>
      </c>
      <c r="E521" s="9" t="s">
        <v>12</v>
      </c>
      <c r="F521" s="8" t="s">
        <v>1051</v>
      </c>
      <c r="G521" s="5"/>
      <c r="H521" s="5"/>
      <c r="I521" s="5"/>
    </row>
    <row r="522">
      <c r="A522" s="5" t="s">
        <v>9</v>
      </c>
      <c r="B522" s="6" t="str">
        <f t="array" ref="B522">IF(D522="","",
 INDEX(Product_Master!A:A,
       MATCH( INDEX(Pack_Master!B:B, MATCH(D522, Pack_Master!A:A, 0)),
              Product_Master!B:B, 0 )
))
</f>
        <v>Garden_Planters</v>
      </c>
      <c r="C522" s="7" t="s">
        <v>1052</v>
      </c>
      <c r="D522" s="8" t="s">
        <v>1053</v>
      </c>
      <c r="E522" s="9" t="s">
        <v>12</v>
      </c>
      <c r="F522" s="8" t="s">
        <v>1054</v>
      </c>
      <c r="G522" s="5"/>
      <c r="H522" s="5"/>
      <c r="I522" s="5"/>
    </row>
    <row r="523">
      <c r="A523" s="5" t="s">
        <v>9</v>
      </c>
      <c r="B523" s="6" t="str">
        <f t="array" ref="B523">IF(D523="","",
 INDEX(Product_Master!A:A,
       MATCH( INDEX(Pack_Master!B:B, MATCH(D523, Pack_Master!A:A, 0)),
              Product_Master!B:B, 0 )
))
</f>
        <v>Garden_Planters</v>
      </c>
      <c r="C523" s="7" t="s">
        <v>1055</v>
      </c>
      <c r="D523" s="8" t="s">
        <v>1056</v>
      </c>
      <c r="E523" s="9" t="s">
        <v>12</v>
      </c>
      <c r="F523" s="8" t="s">
        <v>1057</v>
      </c>
      <c r="G523" s="5"/>
      <c r="H523" s="5"/>
      <c r="I523" s="5"/>
    </row>
    <row r="524">
      <c r="A524" s="5" t="s">
        <v>9</v>
      </c>
      <c r="B524" s="6" t="str">
        <f t="array" ref="B524">IF(D524="","",
 INDEX(Product_Master!A:A,
       MATCH( INDEX(Pack_Master!B:B, MATCH(D524, Pack_Master!A:A, 0)),
              Product_Master!B:B, 0 )
))
</f>
        <v>Garden_Planters</v>
      </c>
      <c r="C524" s="7" t="s">
        <v>1058</v>
      </c>
      <c r="D524" s="8" t="s">
        <v>1059</v>
      </c>
      <c r="E524" s="9" t="s">
        <v>12</v>
      </c>
      <c r="F524" s="8" t="s">
        <v>1060</v>
      </c>
      <c r="G524" s="5"/>
      <c r="H524" s="5"/>
      <c r="I524" s="5"/>
    </row>
    <row r="525">
      <c r="A525" s="5" t="s">
        <v>9</v>
      </c>
      <c r="B525" s="6" t="str">
        <f t="array" ref="B525">IF(D525="","",
 INDEX(Product_Master!A:A,
       MATCH( INDEX(Pack_Master!B:B, MATCH(D525, Pack_Master!A:A, 0)),
              Product_Master!B:B, 0 )
))
</f>
        <v>Automotive_FaceMasks</v>
      </c>
      <c r="C525" s="7" t="s">
        <v>1061</v>
      </c>
      <c r="D525" s="8" t="s">
        <v>22</v>
      </c>
      <c r="E525" s="9" t="s">
        <v>12</v>
      </c>
      <c r="F525" s="8"/>
      <c r="G525" s="5"/>
      <c r="H525" s="5"/>
      <c r="I525" s="5"/>
    </row>
    <row r="526">
      <c r="A526" s="5" t="s">
        <v>9</v>
      </c>
      <c r="B526" s="6" t="str">
        <f t="array" ref="B526">IF(D526="","",
 INDEX(Product_Master!A:A,
       MATCH( INDEX(Pack_Master!B:B, MATCH(D526, Pack_Master!A:A, 0)),
              Product_Master!B:B, 0 )
))
</f>
        <v>Apparel_Caps_Beanies</v>
      </c>
      <c r="C526" s="7" t="s">
        <v>1062</v>
      </c>
      <c r="D526" s="8" t="s">
        <v>546</v>
      </c>
      <c r="E526" s="9" t="s">
        <v>12</v>
      </c>
      <c r="F526" s="8"/>
      <c r="G526" s="5"/>
      <c r="H526" s="5"/>
      <c r="I526" s="5"/>
    </row>
    <row r="527">
      <c r="A527" s="5" t="s">
        <v>9</v>
      </c>
      <c r="B527" s="6" t="str">
        <f t="array" ref="B527">IF(D527="","",
 INDEX(Product_Master!A:A,
       MATCH( INDEX(Pack_Master!B:B, MATCH(D527, Pack_Master!A:A, 0)),
              Product_Master!B:B, 0 )
))
</f>
        <v>Apparel_ArmSleeves</v>
      </c>
      <c r="C527" s="7" t="s">
        <v>1063</v>
      </c>
      <c r="D527" s="8" t="s">
        <v>511</v>
      </c>
      <c r="E527" s="9" t="s">
        <v>12</v>
      </c>
      <c r="F527" s="8"/>
      <c r="G527" s="5"/>
      <c r="H527" s="5"/>
      <c r="I527" s="5"/>
    </row>
    <row r="528">
      <c r="A528" s="5" t="s">
        <v>9</v>
      </c>
      <c r="B528" s="6" t="str">
        <f t="array" ref="B528">IF(D528="","",
 INDEX(Product_Master!A:A,
       MATCH( INDEX(Pack_Master!B:B, MATCH(D528, Pack_Master!A:A, 0)),
              Product_Master!B:B, 0 )
))
</f>
        <v>Apparel_Caps_Beanies</v>
      </c>
      <c r="C528" s="7" t="s">
        <v>1064</v>
      </c>
      <c r="D528" s="8" t="s">
        <v>1065</v>
      </c>
      <c r="E528" s="9" t="s">
        <v>12</v>
      </c>
      <c r="F528" s="8"/>
      <c r="G528" s="5"/>
      <c r="H528" s="5"/>
      <c r="I528" s="5"/>
    </row>
    <row r="529">
      <c r="A529" s="5" t="s">
        <v>9</v>
      </c>
      <c r="B529" s="6" t="str">
        <f t="array" ref="B529">IF(D529="","",
 INDEX(Product_Master!A:A,
       MATCH( INDEX(Pack_Master!B:B, MATCH(D529, Pack_Master!A:A, 0)),
              Product_Master!B:B, 0 )
))
</f>
        <v>Apparel_ArmSleeves</v>
      </c>
      <c r="C529" s="7" t="s">
        <v>1066</v>
      </c>
      <c r="D529" s="8" t="s">
        <v>514</v>
      </c>
      <c r="E529" s="9" t="s">
        <v>12</v>
      </c>
      <c r="F529" s="8"/>
      <c r="G529" s="5"/>
      <c r="H529" s="5"/>
      <c r="I529" s="5"/>
    </row>
    <row r="530">
      <c r="A530" s="5" t="s">
        <v>9</v>
      </c>
      <c r="B530" s="6" t="str">
        <f t="array" ref="B530">IF(D530="","",
 INDEX(Product_Master!A:A,
       MATCH( INDEX(Pack_Master!B:B, MATCH(D530, Pack_Master!A:A, 0)),
              Product_Master!B:B, 0 )
))
</f>
        <v>Apparel_Hoodies_Sweatshirts</v>
      </c>
      <c r="C530" s="7" t="s">
        <v>1067</v>
      </c>
      <c r="D530" s="8" t="s">
        <v>1067</v>
      </c>
      <c r="E530" s="9" t="s">
        <v>12</v>
      </c>
      <c r="F530" s="8"/>
      <c r="G530" s="5"/>
      <c r="H530" s="5"/>
      <c r="I530" s="5"/>
    </row>
    <row r="531">
      <c r="A531" s="5" t="s">
        <v>9</v>
      </c>
      <c r="B531" s="6" t="str">
        <f t="array" ref="B531">IF(D531="","",
 INDEX(Product_Master!A:A,
       MATCH( INDEX(Pack_Master!B:B, MATCH(D531, Pack_Master!A:A, 0)),
              Product_Master!B:B, 0 )
))
</f>
        <v>Apparel_Hoodies_Sweatshirts</v>
      </c>
      <c r="C531" s="7" t="s">
        <v>1068</v>
      </c>
      <c r="D531" s="8" t="s">
        <v>1068</v>
      </c>
      <c r="E531" s="9" t="s">
        <v>12</v>
      </c>
      <c r="F531" s="8"/>
      <c r="G531" s="5"/>
      <c r="H531" s="5"/>
      <c r="I531" s="5"/>
    </row>
    <row r="532">
      <c r="A532" s="5" t="s">
        <v>9</v>
      </c>
      <c r="B532" s="6" t="str">
        <f t="array" ref="B532">IF(D532="","",
 INDEX(Product_Master!A:A,
       MATCH( INDEX(Pack_Master!B:B, MATCH(D532, Pack_Master!A:A, 0)),
              Product_Master!B:B, 0 )
))
</f>
        <v>Apparel_Hoodies_Sweatshirts</v>
      </c>
      <c r="C532" s="7" t="s">
        <v>1069</v>
      </c>
      <c r="D532" s="8" t="s">
        <v>1069</v>
      </c>
      <c r="E532" s="9" t="s">
        <v>12</v>
      </c>
      <c r="F532" s="8"/>
      <c r="G532" s="5"/>
      <c r="H532" s="5"/>
      <c r="I532" s="5"/>
    </row>
    <row r="533">
      <c r="A533" s="5" t="s">
        <v>9</v>
      </c>
      <c r="B533" s="6" t="str">
        <f t="array" ref="B533">IF(D533="","",
 INDEX(Product_Master!A:A,
       MATCH( INDEX(Pack_Master!B:B, MATCH(D533, Pack_Master!A:A, 0)),
              Product_Master!B:B, 0 )
))
</f>
        <v>Apparel_Hoodies_Sweatshirts</v>
      </c>
      <c r="C533" s="7" t="s">
        <v>1070</v>
      </c>
      <c r="D533" s="8" t="s">
        <v>1070</v>
      </c>
      <c r="E533" s="9" t="s">
        <v>12</v>
      </c>
      <c r="F533" s="8" t="s">
        <v>1071</v>
      </c>
      <c r="G533" s="5"/>
      <c r="H533" s="5"/>
      <c r="I533" s="5"/>
    </row>
    <row r="534">
      <c r="A534" s="5" t="s">
        <v>9</v>
      </c>
      <c r="B534" s="6" t="str">
        <f t="array" ref="B534">IF(D534="","",
 INDEX(Product_Master!A:A,
       MATCH( INDEX(Pack_Master!B:B, MATCH(D534, Pack_Master!A:A, 0)),
              Product_Master!B:B, 0 )
))
</f>
        <v>Apparel_Hoodies_Sweatshirts</v>
      </c>
      <c r="C534" s="7" t="s">
        <v>1072</v>
      </c>
      <c r="D534" s="8" t="s">
        <v>1072</v>
      </c>
      <c r="E534" s="9" t="s">
        <v>12</v>
      </c>
      <c r="F534" s="8"/>
      <c r="G534" s="5"/>
      <c r="H534" s="5"/>
      <c r="I534" s="5"/>
    </row>
    <row r="535">
      <c r="A535" s="5" t="s">
        <v>9</v>
      </c>
      <c r="B535" s="6" t="str">
        <f t="array" ref="B535">IF(D535="","",
 INDEX(Product_Master!A:A,
       MATCH( INDEX(Pack_Master!B:B, MATCH(D535, Pack_Master!A:A, 0)),
              Product_Master!B:B, 0 )
))
</f>
        <v>Apparel_Hoodies_Sweatshirts</v>
      </c>
      <c r="C535" s="7" t="s">
        <v>1073</v>
      </c>
      <c r="D535" s="8" t="s">
        <v>1073</v>
      </c>
      <c r="E535" s="9" t="s">
        <v>12</v>
      </c>
      <c r="F535" s="8"/>
      <c r="G535" s="5"/>
      <c r="H535" s="5"/>
      <c r="I535" s="5"/>
    </row>
    <row r="536">
      <c r="A536" s="5" t="s">
        <v>9</v>
      </c>
      <c r="B536" s="6" t="str">
        <f t="array" ref="B536">IF(D536="","",
 INDEX(Product_Master!A:A,
       MATCH( INDEX(Pack_Master!B:B, MATCH(D536, Pack_Master!A:A, 0)),
              Product_Master!B:B, 0 )
))
</f>
        <v>Apparel_Tshirts</v>
      </c>
      <c r="C536" s="7" t="s">
        <v>1074</v>
      </c>
      <c r="D536" s="8" t="str">
        <f t="shared" ref="D536:D583" si="3">IF(ISNUMBER(SEARCH("TSHIRT", C536)), IF(ISNUMBER(SEARCH("WHITE", C536)), "TSHIRT-WHITE-", "TSHIRT-BLACK-") &amp; IF(ISNUMBER(SEARCH("-XXL", C536)), "XXL", IF(ISNUMBER(SEARCH("-XL", C536)), "XL", IF(ISNUMBER(SEARCH("-L", C536)), "L", IF(ISNUMBER(SEARCH("-M", C536)), "M", "")))), C536)</f>
        <v>TSHIRT-BLACK-L</v>
      </c>
      <c r="E536" s="9" t="s">
        <v>12</v>
      </c>
      <c r="F536" s="8"/>
      <c r="G536" s="5"/>
      <c r="H536" s="5"/>
      <c r="I536" s="5"/>
    </row>
    <row r="537">
      <c r="A537" s="5" t="s">
        <v>9</v>
      </c>
      <c r="B537" s="6" t="str">
        <f t="array" ref="B537">IF(D537="","",
 INDEX(Product_Master!A:A,
       MATCH( INDEX(Pack_Master!B:B, MATCH(D537, Pack_Master!A:A, 0)),
              Product_Master!B:B, 0 )
))
</f>
        <v>Apparel_Tshirts</v>
      </c>
      <c r="C537" s="7" t="s">
        <v>1075</v>
      </c>
      <c r="D537" s="8" t="str">
        <f t="shared" si="3"/>
        <v>TSHIRT-BLACK-M</v>
      </c>
      <c r="E537" s="9" t="s">
        <v>12</v>
      </c>
      <c r="F537" s="8"/>
      <c r="G537" s="5"/>
      <c r="H537" s="5"/>
      <c r="I537" s="5"/>
    </row>
    <row r="538">
      <c r="A538" s="5" t="s">
        <v>9</v>
      </c>
      <c r="B538" s="6" t="str">
        <f t="array" ref="B538">IF(D538="","",
 INDEX(Product_Master!A:A,
       MATCH( INDEX(Pack_Master!B:B, MATCH(D538, Pack_Master!A:A, 0)),
              Product_Master!B:B, 0 )
))
</f>
        <v>Apparel_Tshirts</v>
      </c>
      <c r="C538" s="7" t="s">
        <v>1076</v>
      </c>
      <c r="D538" s="8" t="str">
        <f t="shared" si="3"/>
        <v>TSHIRT-BLACK-XL</v>
      </c>
      <c r="E538" s="9" t="s">
        <v>12</v>
      </c>
      <c r="F538" s="8"/>
      <c r="G538" s="5"/>
      <c r="H538" s="5"/>
      <c r="I538" s="5"/>
    </row>
    <row r="539">
      <c r="A539" s="5" t="s">
        <v>9</v>
      </c>
      <c r="B539" s="6" t="str">
        <f t="array" ref="B539">IF(D539="","",
 INDEX(Product_Master!A:A,
       MATCH( INDEX(Pack_Master!B:B, MATCH(D539, Pack_Master!A:A, 0)),
              Product_Master!B:B, 0 )
))
</f>
        <v>Apparel_Tshirts</v>
      </c>
      <c r="C539" s="7" t="s">
        <v>1077</v>
      </c>
      <c r="D539" s="8" t="str">
        <f t="shared" si="3"/>
        <v>TSHIRT-BLACK-XXL</v>
      </c>
      <c r="E539" s="9" t="s">
        <v>12</v>
      </c>
      <c r="F539" s="8"/>
      <c r="G539" s="5"/>
      <c r="H539" s="5"/>
      <c r="I539" s="5"/>
    </row>
    <row r="540">
      <c r="A540" s="5" t="s">
        <v>9</v>
      </c>
      <c r="B540" s="6" t="str">
        <f t="array" ref="B540">IF(D540="","",
 INDEX(Product_Master!A:A,
       MATCH( INDEX(Pack_Master!B:B, MATCH(D540, Pack_Master!A:A, 0)),
              Product_Master!B:B, 0 )
))
</f>
        <v>Apparel_Tshirts</v>
      </c>
      <c r="C540" s="7" t="s">
        <v>1078</v>
      </c>
      <c r="D540" s="8" t="str">
        <f t="shared" si="3"/>
        <v>TSHIRT-WHITE-L</v>
      </c>
      <c r="E540" s="9" t="s">
        <v>12</v>
      </c>
      <c r="F540" s="8"/>
      <c r="G540" s="5"/>
      <c r="H540" s="5"/>
      <c r="I540" s="5"/>
    </row>
    <row r="541">
      <c r="A541" s="5" t="s">
        <v>9</v>
      </c>
      <c r="B541" s="6" t="str">
        <f t="array" ref="B541">IF(D541="","",
 INDEX(Product_Master!A:A,
       MATCH( INDEX(Pack_Master!B:B, MATCH(D541, Pack_Master!A:A, 0)),
              Product_Master!B:B, 0 )
))
</f>
        <v>Apparel_Tshirts</v>
      </c>
      <c r="C541" s="7" t="s">
        <v>1079</v>
      </c>
      <c r="D541" s="8" t="str">
        <f t="shared" si="3"/>
        <v>TSHIRT-WHITE-M</v>
      </c>
      <c r="E541" s="9" t="s">
        <v>12</v>
      </c>
      <c r="F541" s="8"/>
      <c r="G541" s="5"/>
      <c r="H541" s="5"/>
      <c r="I541" s="5"/>
    </row>
    <row r="542">
      <c r="A542" s="5" t="s">
        <v>9</v>
      </c>
      <c r="B542" s="6" t="str">
        <f t="array" ref="B542">IF(D542="","",
 INDEX(Product_Master!A:A,
       MATCH( INDEX(Pack_Master!B:B, MATCH(D542, Pack_Master!A:A, 0)),
              Product_Master!B:B, 0 )
))
</f>
        <v>Apparel_Tshirts</v>
      </c>
      <c r="C542" s="7" t="s">
        <v>1080</v>
      </c>
      <c r="D542" s="8" t="str">
        <f t="shared" si="3"/>
        <v>TSHIRT-WHITE-XL</v>
      </c>
      <c r="E542" s="9" t="s">
        <v>12</v>
      </c>
      <c r="F542" s="8"/>
      <c r="G542" s="5"/>
      <c r="H542" s="5"/>
      <c r="I542" s="5"/>
    </row>
    <row r="543">
      <c r="A543" s="5" t="s">
        <v>9</v>
      </c>
      <c r="B543" s="6" t="str">
        <f t="array" ref="B543">IF(D543="","",
 INDEX(Product_Master!A:A,
       MATCH( INDEX(Pack_Master!B:B, MATCH(D543, Pack_Master!A:A, 0)),
              Product_Master!B:B, 0 )
))
</f>
        <v>Apparel_Tshirts</v>
      </c>
      <c r="C543" s="7" t="s">
        <v>1081</v>
      </c>
      <c r="D543" s="8" t="str">
        <f t="shared" si="3"/>
        <v>TSHIRT-WHITE-XXL</v>
      </c>
      <c r="E543" s="9" t="s">
        <v>12</v>
      </c>
      <c r="F543" s="8"/>
      <c r="G543" s="5"/>
      <c r="H543" s="5"/>
      <c r="I543" s="5"/>
    </row>
    <row r="544">
      <c r="A544" s="5" t="s">
        <v>9</v>
      </c>
      <c r="B544" s="6" t="str">
        <f t="array" ref="B544">IF(D544="","",
 INDEX(Product_Master!A:A,
       MATCH( INDEX(Pack_Master!B:B, MATCH(D544, Pack_Master!A:A, 0)),
              Product_Master!B:B, 0 )
))
</f>
        <v>Apparel_Tshirts</v>
      </c>
      <c r="C544" s="7" t="s">
        <v>1082</v>
      </c>
      <c r="D544" s="8" t="str">
        <f t="shared" si="3"/>
        <v>TSHIRT-BLACK-L</v>
      </c>
      <c r="E544" s="9" t="s">
        <v>12</v>
      </c>
      <c r="F544" s="8" t="s">
        <v>1083</v>
      </c>
      <c r="G544" s="5"/>
      <c r="H544" s="5"/>
      <c r="I544" s="5"/>
    </row>
    <row r="545">
      <c r="A545" s="5" t="s">
        <v>9</v>
      </c>
      <c r="B545" s="6" t="str">
        <f t="array" ref="B545">IF(D545="","",
 INDEX(Product_Master!A:A,
       MATCH( INDEX(Pack_Master!B:B, MATCH(D545, Pack_Master!A:A, 0)),
              Product_Master!B:B, 0 )
))
</f>
        <v>Apparel_Tshirts</v>
      </c>
      <c r="C545" s="7" t="s">
        <v>1084</v>
      </c>
      <c r="D545" s="8" t="str">
        <f t="shared" si="3"/>
        <v>TSHIRT-BLACK-M</v>
      </c>
      <c r="E545" s="9" t="s">
        <v>12</v>
      </c>
      <c r="F545" s="8" t="s">
        <v>1085</v>
      </c>
      <c r="G545" s="5"/>
      <c r="H545" s="5"/>
      <c r="I545" s="5"/>
    </row>
    <row r="546">
      <c r="A546" s="5" t="s">
        <v>9</v>
      </c>
      <c r="B546" s="6" t="str">
        <f t="array" ref="B546">IF(D546="","",
 INDEX(Product_Master!A:A,
       MATCH( INDEX(Pack_Master!B:B, MATCH(D546, Pack_Master!A:A, 0)),
              Product_Master!B:B, 0 )
))
</f>
        <v>Apparel_Tshirts</v>
      </c>
      <c r="C546" s="7" t="s">
        <v>1086</v>
      </c>
      <c r="D546" s="8" t="str">
        <f t="shared" si="3"/>
        <v>TSHIRT-BLACK-XL</v>
      </c>
      <c r="E546" s="9" t="s">
        <v>12</v>
      </c>
      <c r="F546" s="8" t="s">
        <v>1087</v>
      </c>
      <c r="G546" s="5"/>
      <c r="H546" s="5"/>
      <c r="I546" s="5"/>
    </row>
    <row r="547">
      <c r="A547" s="5" t="s">
        <v>9</v>
      </c>
      <c r="B547" s="6" t="str">
        <f t="array" ref="B547">IF(D547="","",
 INDEX(Product_Master!A:A,
       MATCH( INDEX(Pack_Master!B:B, MATCH(D547, Pack_Master!A:A, 0)),
              Product_Master!B:B, 0 )
))
</f>
        <v>Apparel_Tshirts</v>
      </c>
      <c r="C547" s="7" t="s">
        <v>1088</v>
      </c>
      <c r="D547" s="8" t="str">
        <f t="shared" si="3"/>
        <v>TSHIRT-BLACK-XXL</v>
      </c>
      <c r="E547" s="9" t="s">
        <v>12</v>
      </c>
      <c r="F547" s="8" t="s">
        <v>1089</v>
      </c>
      <c r="G547" s="5"/>
      <c r="H547" s="5"/>
      <c r="I547" s="5"/>
    </row>
    <row r="548">
      <c r="A548" s="5" t="s">
        <v>9</v>
      </c>
      <c r="B548" s="6" t="str">
        <f t="array" ref="B548">IF(D548="","",
 INDEX(Product_Master!A:A,
       MATCH( INDEX(Pack_Master!B:B, MATCH(D548, Pack_Master!A:A, 0)),
              Product_Master!B:B, 0 )
))
</f>
        <v>Apparel_Tshirts</v>
      </c>
      <c r="C548" s="7" t="s">
        <v>1090</v>
      </c>
      <c r="D548" s="8" t="str">
        <f t="shared" si="3"/>
        <v>TSHIRT-BLACK-L</v>
      </c>
      <c r="E548" s="9" t="s">
        <v>12</v>
      </c>
      <c r="F548" s="8" t="s">
        <v>1091</v>
      </c>
      <c r="G548" s="5"/>
      <c r="H548" s="5"/>
      <c r="I548" s="5"/>
    </row>
    <row r="549">
      <c r="A549" s="5" t="s">
        <v>9</v>
      </c>
      <c r="B549" s="6" t="str">
        <f t="array" ref="B549">IF(D549="","",
 INDEX(Product_Master!A:A,
       MATCH( INDEX(Pack_Master!B:B, MATCH(D549, Pack_Master!A:A, 0)),
              Product_Master!B:B, 0 )
))
</f>
        <v>Apparel_Tshirts</v>
      </c>
      <c r="C549" s="7" t="s">
        <v>1092</v>
      </c>
      <c r="D549" s="8" t="str">
        <f t="shared" si="3"/>
        <v>TSHIRT-BLACK-M</v>
      </c>
      <c r="E549" s="9" t="s">
        <v>12</v>
      </c>
      <c r="F549" s="8" t="s">
        <v>1093</v>
      </c>
      <c r="G549" s="5"/>
      <c r="H549" s="5"/>
      <c r="I549" s="5"/>
    </row>
    <row r="550">
      <c r="A550" s="5" t="s">
        <v>9</v>
      </c>
      <c r="B550" s="6" t="str">
        <f t="array" ref="B550">IF(D550="","",
 INDEX(Product_Master!A:A,
       MATCH( INDEX(Pack_Master!B:B, MATCH(D550, Pack_Master!A:A, 0)),
              Product_Master!B:B, 0 )
))
</f>
        <v>Apparel_Tshirts</v>
      </c>
      <c r="C550" s="7" t="s">
        <v>1094</v>
      </c>
      <c r="D550" s="8" t="str">
        <f t="shared" si="3"/>
        <v>TSHIRT-BLACK-XL</v>
      </c>
      <c r="E550" s="9" t="s">
        <v>12</v>
      </c>
      <c r="F550" s="8" t="s">
        <v>1095</v>
      </c>
      <c r="G550" s="5"/>
      <c r="H550" s="5"/>
      <c r="I550" s="5"/>
    </row>
    <row r="551">
      <c r="A551" s="5" t="s">
        <v>9</v>
      </c>
      <c r="B551" s="6" t="str">
        <f t="array" ref="B551">IF(D551="","",
 INDEX(Product_Master!A:A,
       MATCH( INDEX(Pack_Master!B:B, MATCH(D551, Pack_Master!A:A, 0)),
              Product_Master!B:B, 0 )
))
</f>
        <v>Apparel_Tshirts</v>
      </c>
      <c r="C551" s="7" t="s">
        <v>1096</v>
      </c>
      <c r="D551" s="8" t="str">
        <f t="shared" si="3"/>
        <v>TSHIRT-BLACK-XXL</v>
      </c>
      <c r="E551" s="9" t="s">
        <v>12</v>
      </c>
      <c r="F551" s="8" t="s">
        <v>1097</v>
      </c>
      <c r="G551" s="5"/>
      <c r="H551" s="5"/>
      <c r="I551" s="5"/>
    </row>
    <row r="552">
      <c r="A552" s="5" t="s">
        <v>9</v>
      </c>
      <c r="B552" s="6" t="str">
        <f t="array" ref="B552">IF(D552="","",
 INDEX(Product_Master!A:A,
       MATCH( INDEX(Pack_Master!B:B, MATCH(D552, Pack_Master!A:A, 0)),
              Product_Master!B:B, 0 )
))
</f>
        <v>Apparel_Tshirts</v>
      </c>
      <c r="C552" s="7" t="s">
        <v>1098</v>
      </c>
      <c r="D552" s="8" t="str">
        <f t="shared" si="3"/>
        <v>TSHIRT-BLACK-L</v>
      </c>
      <c r="E552" s="9" t="s">
        <v>12</v>
      </c>
      <c r="F552" s="8" t="s">
        <v>1099</v>
      </c>
      <c r="G552" s="5"/>
      <c r="H552" s="5"/>
      <c r="I552" s="5"/>
    </row>
    <row r="553">
      <c r="A553" s="5" t="s">
        <v>9</v>
      </c>
      <c r="B553" s="6" t="str">
        <f t="array" ref="B553">IF(D553="","",
 INDEX(Product_Master!A:A,
       MATCH( INDEX(Pack_Master!B:B, MATCH(D553, Pack_Master!A:A, 0)),
              Product_Master!B:B, 0 )
))
</f>
        <v>Apparel_Tshirts</v>
      </c>
      <c r="C553" s="7" t="s">
        <v>1100</v>
      </c>
      <c r="D553" s="8" t="str">
        <f t="shared" si="3"/>
        <v>TSHIRT-BLACK-M</v>
      </c>
      <c r="E553" s="9" t="s">
        <v>12</v>
      </c>
      <c r="F553" s="8" t="s">
        <v>1101</v>
      </c>
      <c r="G553" s="5"/>
      <c r="H553" s="5"/>
      <c r="I553" s="5"/>
    </row>
    <row r="554">
      <c r="A554" s="5" t="s">
        <v>9</v>
      </c>
      <c r="B554" s="6" t="str">
        <f t="array" ref="B554">IF(D554="","",
 INDEX(Product_Master!A:A,
       MATCH( INDEX(Pack_Master!B:B, MATCH(D554, Pack_Master!A:A, 0)),
              Product_Master!B:B, 0 )
))
</f>
        <v>Apparel_Tshirts</v>
      </c>
      <c r="C554" s="7" t="s">
        <v>1102</v>
      </c>
      <c r="D554" s="8" t="str">
        <f t="shared" si="3"/>
        <v>TSHIRT-BLACK-XL</v>
      </c>
      <c r="E554" s="9" t="s">
        <v>12</v>
      </c>
      <c r="F554" s="8" t="s">
        <v>1103</v>
      </c>
      <c r="G554" s="5"/>
      <c r="H554" s="5"/>
      <c r="I554" s="5"/>
    </row>
    <row r="555">
      <c r="A555" s="5" t="s">
        <v>9</v>
      </c>
      <c r="B555" s="6" t="str">
        <f t="array" ref="B555">IF(D555="","",
 INDEX(Product_Master!A:A,
       MATCH( INDEX(Pack_Master!B:B, MATCH(D555, Pack_Master!A:A, 0)),
              Product_Master!B:B, 0 )
))
</f>
        <v>Apparel_Tshirts</v>
      </c>
      <c r="C555" s="7" t="s">
        <v>1104</v>
      </c>
      <c r="D555" s="8" t="str">
        <f t="shared" si="3"/>
        <v>TSHIRT-BLACK-XXL</v>
      </c>
      <c r="E555" s="9" t="s">
        <v>12</v>
      </c>
      <c r="F555" s="8" t="s">
        <v>1105</v>
      </c>
      <c r="G555" s="5"/>
      <c r="H555" s="5"/>
      <c r="I555" s="5"/>
    </row>
    <row r="556">
      <c r="A556" s="5" t="s">
        <v>9</v>
      </c>
      <c r="B556" s="6" t="str">
        <f t="array" ref="B556">IF(D556="","",
 INDEX(Product_Master!A:A,
       MATCH( INDEX(Pack_Master!B:B, MATCH(D556, Pack_Master!A:A, 0)),
              Product_Master!B:B, 0 )
))
</f>
        <v>Apparel_Tshirts</v>
      </c>
      <c r="C556" s="7" t="s">
        <v>1106</v>
      </c>
      <c r="D556" s="8" t="str">
        <f t="shared" si="3"/>
        <v>TSHIRT-BLACK-L</v>
      </c>
      <c r="E556" s="9" t="s">
        <v>12</v>
      </c>
      <c r="F556" s="8" t="s">
        <v>1107</v>
      </c>
      <c r="G556" s="5"/>
      <c r="H556" s="5"/>
      <c r="I556" s="5"/>
    </row>
    <row r="557">
      <c r="A557" s="5" t="s">
        <v>9</v>
      </c>
      <c r="B557" s="6" t="str">
        <f t="array" ref="B557">IF(D557="","",
 INDEX(Product_Master!A:A,
       MATCH( INDEX(Pack_Master!B:B, MATCH(D557, Pack_Master!A:A, 0)),
              Product_Master!B:B, 0 )
))
</f>
        <v>Apparel_Tshirts</v>
      </c>
      <c r="C557" s="7" t="s">
        <v>1108</v>
      </c>
      <c r="D557" s="8" t="str">
        <f t="shared" si="3"/>
        <v>TSHIRT-BLACK-M</v>
      </c>
      <c r="E557" s="9" t="s">
        <v>12</v>
      </c>
      <c r="F557" s="8" t="s">
        <v>1109</v>
      </c>
      <c r="G557" s="5"/>
      <c r="H557" s="5"/>
      <c r="I557" s="5"/>
    </row>
    <row r="558">
      <c r="A558" s="5" t="s">
        <v>9</v>
      </c>
      <c r="B558" s="6" t="str">
        <f t="array" ref="B558">IF(D558="","",
 INDEX(Product_Master!A:A,
       MATCH( INDEX(Pack_Master!B:B, MATCH(D558, Pack_Master!A:A, 0)),
              Product_Master!B:B, 0 )
))
</f>
        <v>Apparel_Tshirts</v>
      </c>
      <c r="C558" s="7" t="s">
        <v>1110</v>
      </c>
      <c r="D558" s="8" t="str">
        <f t="shared" si="3"/>
        <v>TSHIRT-BLACK-XL</v>
      </c>
      <c r="E558" s="9" t="s">
        <v>12</v>
      </c>
      <c r="F558" s="8" t="s">
        <v>1111</v>
      </c>
      <c r="G558" s="5"/>
      <c r="H558" s="5"/>
      <c r="I558" s="5"/>
    </row>
    <row r="559">
      <c r="A559" s="5" t="s">
        <v>9</v>
      </c>
      <c r="B559" s="6" t="str">
        <f t="array" ref="B559">IF(D559="","",
 INDEX(Product_Master!A:A,
       MATCH( INDEX(Pack_Master!B:B, MATCH(D559, Pack_Master!A:A, 0)),
              Product_Master!B:B, 0 )
))
</f>
        <v>Apparel_Tshirts</v>
      </c>
      <c r="C559" s="7" t="s">
        <v>1112</v>
      </c>
      <c r="D559" s="8" t="str">
        <f t="shared" si="3"/>
        <v>TSHIRT-BLACK-XXL</v>
      </c>
      <c r="E559" s="9" t="s">
        <v>12</v>
      </c>
      <c r="F559" s="8" t="s">
        <v>1113</v>
      </c>
      <c r="G559" s="5"/>
      <c r="H559" s="5"/>
      <c r="I559" s="5"/>
    </row>
    <row r="560">
      <c r="A560" s="5" t="s">
        <v>9</v>
      </c>
      <c r="B560" s="6" t="str">
        <f t="array" ref="B560">IF(D560="","",
 INDEX(Product_Master!A:A,
       MATCH( INDEX(Pack_Master!B:B, MATCH(D560, Pack_Master!A:A, 0)),
              Product_Master!B:B, 0 )
))
</f>
        <v>Apparel_Tshirts</v>
      </c>
      <c r="C560" s="7" t="s">
        <v>1114</v>
      </c>
      <c r="D560" s="8" t="str">
        <f t="shared" si="3"/>
        <v>TSHIRT-BLACK-L</v>
      </c>
      <c r="E560" s="9" t="s">
        <v>12</v>
      </c>
      <c r="F560" s="8" t="s">
        <v>1107</v>
      </c>
      <c r="G560" s="5"/>
      <c r="H560" s="5"/>
      <c r="I560" s="5"/>
    </row>
    <row r="561">
      <c r="A561" s="5" t="s">
        <v>9</v>
      </c>
      <c r="B561" s="6" t="str">
        <f t="array" ref="B561">IF(D561="","",
 INDEX(Product_Master!A:A,
       MATCH( INDEX(Pack_Master!B:B, MATCH(D561, Pack_Master!A:A, 0)),
              Product_Master!B:B, 0 )
))
</f>
        <v>Apparel_Tshirts</v>
      </c>
      <c r="C561" s="7" t="s">
        <v>1115</v>
      </c>
      <c r="D561" s="8" t="str">
        <f t="shared" si="3"/>
        <v>TSHIRT-BLACK-M</v>
      </c>
      <c r="E561" s="9" t="s">
        <v>12</v>
      </c>
      <c r="F561" s="8" t="s">
        <v>1109</v>
      </c>
      <c r="G561" s="5"/>
      <c r="H561" s="5"/>
      <c r="I561" s="5"/>
    </row>
    <row r="562">
      <c r="A562" s="5" t="s">
        <v>9</v>
      </c>
      <c r="B562" s="6" t="str">
        <f t="array" ref="B562">IF(D562="","",
 INDEX(Product_Master!A:A,
       MATCH( INDEX(Pack_Master!B:B, MATCH(D562, Pack_Master!A:A, 0)),
              Product_Master!B:B, 0 )
))
</f>
        <v>Apparel_Tshirts</v>
      </c>
      <c r="C562" s="7" t="s">
        <v>1116</v>
      </c>
      <c r="D562" s="8" t="str">
        <f t="shared" si="3"/>
        <v>TSHIRT-BLACK-XL</v>
      </c>
      <c r="E562" s="9" t="s">
        <v>12</v>
      </c>
      <c r="F562" s="8" t="s">
        <v>1111</v>
      </c>
      <c r="G562" s="5"/>
      <c r="H562" s="5"/>
      <c r="I562" s="5"/>
    </row>
    <row r="563">
      <c r="A563" s="5" t="s">
        <v>9</v>
      </c>
      <c r="B563" s="6" t="str">
        <f t="array" ref="B563">IF(D563="","",
 INDEX(Product_Master!A:A,
       MATCH( INDEX(Pack_Master!B:B, MATCH(D563, Pack_Master!A:A, 0)),
              Product_Master!B:B, 0 )
))
</f>
        <v>Apparel_Tshirts</v>
      </c>
      <c r="C563" s="7" t="s">
        <v>1117</v>
      </c>
      <c r="D563" s="8" t="str">
        <f t="shared" si="3"/>
        <v>TSHIRT-BLACK-XXL</v>
      </c>
      <c r="E563" s="9" t="s">
        <v>12</v>
      </c>
      <c r="F563" s="8" t="s">
        <v>1113</v>
      </c>
      <c r="G563" s="5"/>
      <c r="H563" s="5"/>
      <c r="I563" s="5"/>
    </row>
    <row r="564">
      <c r="A564" s="5" t="s">
        <v>9</v>
      </c>
      <c r="B564" s="6" t="str">
        <f t="array" ref="B564">IF(D564="","",
 INDEX(Product_Master!A:A,
       MATCH( INDEX(Pack_Master!B:B, MATCH(D564, Pack_Master!A:A, 0)),
              Product_Master!B:B, 0 )
))
</f>
        <v>Apparel_Tshirts</v>
      </c>
      <c r="C564" s="7" t="s">
        <v>1118</v>
      </c>
      <c r="D564" s="8" t="str">
        <f t="shared" si="3"/>
        <v>TSHIRT-BLACK-L</v>
      </c>
      <c r="E564" s="9" t="s">
        <v>12</v>
      </c>
      <c r="F564" s="8"/>
      <c r="G564" s="5"/>
      <c r="H564" s="5"/>
      <c r="I564" s="5"/>
    </row>
    <row r="565">
      <c r="A565" s="5" t="s">
        <v>9</v>
      </c>
      <c r="B565" s="6" t="str">
        <f t="array" ref="B565">IF(D565="","",
 INDEX(Product_Master!A:A,
       MATCH( INDEX(Pack_Master!B:B, MATCH(D565, Pack_Master!A:A, 0)),
              Product_Master!B:B, 0 )
))
</f>
        <v>Apparel_Tshirts</v>
      </c>
      <c r="C565" s="7" t="s">
        <v>1119</v>
      </c>
      <c r="D565" s="8" t="str">
        <f t="shared" si="3"/>
        <v>TSHIRT-BLACK-M</v>
      </c>
      <c r="E565" s="9" t="s">
        <v>12</v>
      </c>
      <c r="F565" s="8"/>
      <c r="G565" s="5"/>
      <c r="H565" s="5"/>
      <c r="I565" s="5"/>
    </row>
    <row r="566">
      <c r="A566" s="5" t="s">
        <v>9</v>
      </c>
      <c r="B566" s="6" t="str">
        <f t="array" ref="B566">IF(D566="","",
 INDEX(Product_Master!A:A,
       MATCH( INDEX(Pack_Master!B:B, MATCH(D566, Pack_Master!A:A, 0)),
              Product_Master!B:B, 0 )
))
</f>
        <v>Apparel_Tshirts</v>
      </c>
      <c r="C566" s="7" t="s">
        <v>1120</v>
      </c>
      <c r="D566" s="8" t="str">
        <f t="shared" si="3"/>
        <v>TSHIRT-BLACK-XL</v>
      </c>
      <c r="E566" s="9" t="s">
        <v>12</v>
      </c>
      <c r="F566" s="8"/>
      <c r="G566" s="5"/>
      <c r="H566" s="5"/>
      <c r="I566" s="5"/>
    </row>
    <row r="567">
      <c r="A567" s="5" t="s">
        <v>9</v>
      </c>
      <c r="B567" s="6" t="str">
        <f t="array" ref="B567">IF(D567="","",
 INDEX(Product_Master!A:A,
       MATCH( INDEX(Pack_Master!B:B, MATCH(D567, Pack_Master!A:A, 0)),
              Product_Master!B:B, 0 )
))
</f>
        <v>Apparel_Tshirts</v>
      </c>
      <c r="C567" s="7" t="s">
        <v>1121</v>
      </c>
      <c r="D567" s="8" t="str">
        <f t="shared" si="3"/>
        <v>TSHIRT-BLACK-XXL</v>
      </c>
      <c r="E567" s="9" t="s">
        <v>12</v>
      </c>
      <c r="F567" s="8" t="s">
        <v>1122</v>
      </c>
      <c r="G567" s="5"/>
      <c r="H567" s="5"/>
      <c r="I567" s="5"/>
    </row>
    <row r="568">
      <c r="A568" s="5" t="s">
        <v>9</v>
      </c>
      <c r="B568" s="6" t="str">
        <f t="array" ref="B568">IF(D568="","",
 INDEX(Product_Master!A:A,
       MATCH( INDEX(Pack_Master!B:B, MATCH(D568, Pack_Master!A:A, 0)),
              Product_Master!B:B, 0 )
))
</f>
        <v>Apparel_Tshirts</v>
      </c>
      <c r="C568" s="7" t="s">
        <v>1123</v>
      </c>
      <c r="D568" s="8" t="str">
        <f t="shared" si="3"/>
        <v>TSHIRT-BLACK-L</v>
      </c>
      <c r="E568" s="9" t="s">
        <v>12</v>
      </c>
      <c r="F568" s="8" t="s">
        <v>1124</v>
      </c>
      <c r="G568" s="5"/>
      <c r="H568" s="5"/>
      <c r="I568" s="5"/>
    </row>
    <row r="569">
      <c r="A569" s="5" t="s">
        <v>9</v>
      </c>
      <c r="B569" s="6" t="str">
        <f t="array" ref="B569">IF(D569="","",
 INDEX(Product_Master!A:A,
       MATCH( INDEX(Pack_Master!B:B, MATCH(D569, Pack_Master!A:A, 0)),
              Product_Master!B:B, 0 )
))
</f>
        <v>Apparel_Tshirts</v>
      </c>
      <c r="C569" s="7" t="s">
        <v>1125</v>
      </c>
      <c r="D569" s="8" t="str">
        <f t="shared" si="3"/>
        <v>TSHIRT-BLACK-M</v>
      </c>
      <c r="E569" s="9" t="s">
        <v>12</v>
      </c>
      <c r="F569" s="8" t="s">
        <v>1126</v>
      </c>
      <c r="G569" s="5"/>
      <c r="H569" s="5"/>
      <c r="I569" s="5"/>
    </row>
    <row r="570">
      <c r="A570" s="5" t="s">
        <v>9</v>
      </c>
      <c r="B570" s="6" t="str">
        <f t="array" ref="B570">IF(D570="","",
 INDEX(Product_Master!A:A,
       MATCH( INDEX(Pack_Master!B:B, MATCH(D570, Pack_Master!A:A, 0)),
              Product_Master!B:B, 0 )
))
</f>
        <v>Apparel_Tshirts</v>
      </c>
      <c r="C570" s="7" t="s">
        <v>1127</v>
      </c>
      <c r="D570" s="8" t="str">
        <f t="shared" si="3"/>
        <v>TSHIRT-BLACK-XL</v>
      </c>
      <c r="E570" s="9" t="s">
        <v>12</v>
      </c>
      <c r="F570" s="8" t="s">
        <v>1128</v>
      </c>
      <c r="G570" s="5"/>
      <c r="H570" s="5"/>
      <c r="I570" s="5"/>
    </row>
    <row r="571">
      <c r="A571" s="5" t="s">
        <v>9</v>
      </c>
      <c r="B571" s="6" t="str">
        <f t="array" ref="B571">IF(D571="","",
 INDEX(Product_Master!A:A,
       MATCH( INDEX(Pack_Master!B:B, MATCH(D571, Pack_Master!A:A, 0)),
              Product_Master!B:B, 0 )
))
</f>
        <v>Apparel_Tshirts</v>
      </c>
      <c r="C571" s="7" t="s">
        <v>1129</v>
      </c>
      <c r="D571" s="8" t="str">
        <f t="shared" si="3"/>
        <v>TSHIRT-BLACK-XXL</v>
      </c>
      <c r="E571" s="9" t="s">
        <v>12</v>
      </c>
      <c r="F571" s="8" t="s">
        <v>1122</v>
      </c>
      <c r="G571" s="5"/>
      <c r="H571" s="5"/>
      <c r="I571" s="5"/>
    </row>
    <row r="572">
      <c r="A572" s="5" t="s">
        <v>9</v>
      </c>
      <c r="B572" s="6" t="str">
        <f t="array" ref="B572">IF(D572="","",
 INDEX(Product_Master!A:A,
       MATCH( INDEX(Pack_Master!B:B, MATCH(D572, Pack_Master!A:A, 0)),
              Product_Master!B:B, 0 )
))
</f>
        <v>Apparel_Tshirts</v>
      </c>
      <c r="C572" s="7" t="s">
        <v>1130</v>
      </c>
      <c r="D572" s="8" t="str">
        <f t="shared" si="3"/>
        <v>TSHIRT-BLACK-L</v>
      </c>
      <c r="E572" s="9" t="s">
        <v>12</v>
      </c>
      <c r="F572" s="8" t="s">
        <v>1131</v>
      </c>
      <c r="G572" s="5"/>
      <c r="H572" s="5"/>
      <c r="I572" s="5"/>
    </row>
    <row r="573">
      <c r="A573" s="5" t="s">
        <v>9</v>
      </c>
      <c r="B573" s="6" t="str">
        <f t="array" ref="B573">IF(D573="","",
 INDEX(Product_Master!A:A,
       MATCH( INDEX(Pack_Master!B:B, MATCH(D573, Pack_Master!A:A, 0)),
              Product_Master!B:B, 0 )
))
</f>
        <v>Apparel_Tshirts</v>
      </c>
      <c r="C573" s="7" t="s">
        <v>1132</v>
      </c>
      <c r="D573" s="8" t="str">
        <f t="shared" si="3"/>
        <v>TSHIRT-BLACK-M</v>
      </c>
      <c r="E573" s="9" t="s">
        <v>12</v>
      </c>
      <c r="F573" s="8" t="s">
        <v>1133</v>
      </c>
      <c r="G573" s="5"/>
      <c r="H573" s="5"/>
      <c r="I573" s="5"/>
    </row>
    <row r="574">
      <c r="A574" s="5" t="s">
        <v>9</v>
      </c>
      <c r="B574" s="6" t="str">
        <f t="array" ref="B574">IF(D574="","",
 INDEX(Product_Master!A:A,
       MATCH( INDEX(Pack_Master!B:B, MATCH(D574, Pack_Master!A:A, 0)),
              Product_Master!B:B, 0 )
))
</f>
        <v>Apparel_Tshirts</v>
      </c>
      <c r="C574" s="7" t="s">
        <v>1134</v>
      </c>
      <c r="D574" s="8" t="str">
        <f t="shared" si="3"/>
        <v>TSHIRT-BLACK-XL</v>
      </c>
      <c r="E574" s="9" t="s">
        <v>12</v>
      </c>
      <c r="F574" s="8" t="s">
        <v>1135</v>
      </c>
      <c r="G574" s="5"/>
      <c r="H574" s="5"/>
      <c r="I574" s="5"/>
    </row>
    <row r="575">
      <c r="A575" s="5" t="s">
        <v>9</v>
      </c>
      <c r="B575" s="6" t="str">
        <f t="array" ref="B575">IF(D575="","",
 INDEX(Product_Master!A:A,
       MATCH( INDEX(Pack_Master!B:B, MATCH(D575, Pack_Master!A:A, 0)),
              Product_Master!B:B, 0 )
))
</f>
        <v>Apparel_Tshirts</v>
      </c>
      <c r="C575" s="7" t="s">
        <v>1136</v>
      </c>
      <c r="D575" s="8" t="str">
        <f t="shared" si="3"/>
        <v>TSHIRT-BLACK-XXL</v>
      </c>
      <c r="E575" s="9" t="s">
        <v>12</v>
      </c>
      <c r="F575" s="8" t="s">
        <v>1137</v>
      </c>
      <c r="G575" s="5"/>
      <c r="H575" s="5"/>
      <c r="I575" s="5"/>
    </row>
    <row r="576">
      <c r="A576" s="5" t="s">
        <v>9</v>
      </c>
      <c r="B576" s="6" t="str">
        <f t="array" ref="B576">IF(D576="","",
 INDEX(Product_Master!A:A,
       MATCH( INDEX(Pack_Master!B:B, MATCH(D576, Pack_Master!A:A, 0)),
              Product_Master!B:B, 0 )
))
</f>
        <v>Apparel_Tshirts</v>
      </c>
      <c r="C576" s="7" t="s">
        <v>1138</v>
      </c>
      <c r="D576" s="8" t="str">
        <f t="shared" si="3"/>
        <v>TSHIRT-BLACK-L</v>
      </c>
      <c r="E576" s="9" t="s">
        <v>12</v>
      </c>
      <c r="F576" s="8" t="s">
        <v>1139</v>
      </c>
      <c r="G576" s="5"/>
      <c r="H576" s="5"/>
      <c r="I576" s="5"/>
    </row>
    <row r="577">
      <c r="A577" s="5" t="s">
        <v>9</v>
      </c>
      <c r="B577" s="6" t="str">
        <f t="array" ref="B577">IF(D577="","",
 INDEX(Product_Master!A:A,
       MATCH( INDEX(Pack_Master!B:B, MATCH(D577, Pack_Master!A:A, 0)),
              Product_Master!B:B, 0 )
))
</f>
        <v>Apparel_Tshirts</v>
      </c>
      <c r="C577" s="7" t="s">
        <v>1140</v>
      </c>
      <c r="D577" s="8" t="str">
        <f t="shared" si="3"/>
        <v>TSHIRT-BLACK-M</v>
      </c>
      <c r="E577" s="9" t="s">
        <v>12</v>
      </c>
      <c r="F577" s="8" t="s">
        <v>1141</v>
      </c>
      <c r="G577" s="5"/>
      <c r="H577" s="5"/>
      <c r="I577" s="5"/>
    </row>
    <row r="578">
      <c r="A578" s="5" t="s">
        <v>9</v>
      </c>
      <c r="B578" s="6" t="str">
        <f t="array" ref="B578">IF(D578="","",
 INDEX(Product_Master!A:A,
       MATCH( INDEX(Pack_Master!B:B, MATCH(D578, Pack_Master!A:A, 0)),
              Product_Master!B:B, 0 )
))
</f>
        <v>Apparel_Tshirts</v>
      </c>
      <c r="C578" s="7" t="s">
        <v>1142</v>
      </c>
      <c r="D578" s="8" t="str">
        <f t="shared" si="3"/>
        <v>TSHIRT-BLACK-XL</v>
      </c>
      <c r="E578" s="9" t="s">
        <v>12</v>
      </c>
      <c r="F578" s="8" t="s">
        <v>1143</v>
      </c>
      <c r="G578" s="5"/>
      <c r="H578" s="5"/>
      <c r="I578" s="5"/>
    </row>
    <row r="579">
      <c r="A579" s="5" t="s">
        <v>9</v>
      </c>
      <c r="B579" s="6" t="str">
        <f t="array" ref="B579">IF(D579="","",
 INDEX(Product_Master!A:A,
       MATCH( INDEX(Pack_Master!B:B, MATCH(D579, Pack_Master!A:A, 0)),
              Product_Master!B:B, 0 )
))
</f>
        <v>Apparel_Tshirts</v>
      </c>
      <c r="C579" s="7" t="s">
        <v>1144</v>
      </c>
      <c r="D579" s="8" t="str">
        <f t="shared" si="3"/>
        <v>TSHIRT-BLACK-XXL</v>
      </c>
      <c r="E579" s="9" t="s">
        <v>12</v>
      </c>
      <c r="F579" s="8" t="s">
        <v>1145</v>
      </c>
      <c r="G579" s="5"/>
      <c r="H579" s="5"/>
      <c r="I579" s="5"/>
    </row>
    <row r="580">
      <c r="A580" s="5" t="s">
        <v>9</v>
      </c>
      <c r="B580" s="6" t="str">
        <f t="array" ref="B580">IF(D580="","",
 INDEX(Product_Master!A:A,
       MATCH( INDEX(Pack_Master!B:B, MATCH(D580, Pack_Master!A:A, 0)),
              Product_Master!B:B, 0 )
))
</f>
        <v>Apparel_Tshirts</v>
      </c>
      <c r="C580" s="7" t="s">
        <v>1146</v>
      </c>
      <c r="D580" s="8" t="str">
        <f t="shared" si="3"/>
        <v>TSHIRT-BLACK-L</v>
      </c>
      <c r="E580" s="9" t="s">
        <v>12</v>
      </c>
      <c r="F580" s="8" t="s">
        <v>1147</v>
      </c>
      <c r="G580" s="5"/>
      <c r="H580" s="5"/>
      <c r="I580" s="5"/>
    </row>
    <row r="581">
      <c r="A581" s="5" t="s">
        <v>9</v>
      </c>
      <c r="B581" s="6" t="str">
        <f t="array" ref="B581">IF(D581="","",
 INDEX(Product_Master!A:A,
       MATCH( INDEX(Pack_Master!B:B, MATCH(D581, Pack_Master!A:A, 0)),
              Product_Master!B:B, 0 )
))
</f>
        <v>Apparel_Tshirts</v>
      </c>
      <c r="C581" s="7" t="s">
        <v>1148</v>
      </c>
      <c r="D581" s="8" t="str">
        <f t="shared" si="3"/>
        <v>TSHIRT-BLACK-M</v>
      </c>
      <c r="E581" s="9" t="s">
        <v>12</v>
      </c>
      <c r="F581" s="8" t="s">
        <v>1149</v>
      </c>
      <c r="G581" s="5"/>
      <c r="H581" s="5"/>
      <c r="I581" s="5"/>
    </row>
    <row r="582">
      <c r="A582" s="5" t="s">
        <v>9</v>
      </c>
      <c r="B582" s="6" t="str">
        <f t="array" ref="B582">IF(D582="","",
 INDEX(Product_Master!A:A,
       MATCH( INDEX(Pack_Master!B:B, MATCH(D582, Pack_Master!A:A, 0)),
              Product_Master!B:B, 0 )
))
</f>
        <v>Apparel_Tshirts</v>
      </c>
      <c r="C582" s="7" t="s">
        <v>1150</v>
      </c>
      <c r="D582" s="8" t="str">
        <f t="shared" si="3"/>
        <v>TSHIRT-BLACK-XL</v>
      </c>
      <c r="E582" s="9" t="s">
        <v>12</v>
      </c>
      <c r="F582" s="8" t="s">
        <v>1151</v>
      </c>
      <c r="G582" s="5"/>
      <c r="H582" s="5"/>
      <c r="I582" s="5"/>
    </row>
    <row r="583">
      <c r="A583" s="5" t="s">
        <v>9</v>
      </c>
      <c r="B583" s="6" t="str">
        <f t="array" ref="B583">IF(D583="","",
 INDEX(Product_Master!A:A,
       MATCH( INDEX(Pack_Master!B:B, MATCH(D583, Pack_Master!A:A, 0)),
              Product_Master!B:B, 0 )
))
</f>
        <v>Apparel_Tshirts</v>
      </c>
      <c r="C583" s="7" t="s">
        <v>1152</v>
      </c>
      <c r="D583" s="8" t="str">
        <f t="shared" si="3"/>
        <v>TSHIRT-BLACK-XXL</v>
      </c>
      <c r="E583" s="9" t="s">
        <v>12</v>
      </c>
      <c r="F583" s="8" t="s">
        <v>1153</v>
      </c>
      <c r="G583" s="5"/>
      <c r="H583" s="5"/>
      <c r="I583" s="5"/>
    </row>
    <row r="584">
      <c r="A584" s="5" t="s">
        <v>9</v>
      </c>
      <c r="B584" s="6" t="str">
        <f t="array" ref="B584">IF(D584="","",
 INDEX(Product_Master!A:A,
       MATCH( INDEX(Pack_Master!B:B, MATCH(D584, Pack_Master!A:A, 0)),
              Product_Master!B:B, 0 )
))
</f>
        <v>Apparel_Caps_Beanies</v>
      </c>
      <c r="C584" s="7" t="s">
        <v>1154</v>
      </c>
      <c r="D584" s="8" t="s">
        <v>534</v>
      </c>
      <c r="E584" s="9" t="s">
        <v>12</v>
      </c>
      <c r="F584" s="8">
        <v>6.161142046029E12</v>
      </c>
      <c r="G584" s="5"/>
      <c r="H584" s="5"/>
      <c r="I584" s="5"/>
    </row>
    <row r="585">
      <c r="A585" s="5" t="s">
        <v>9</v>
      </c>
      <c r="B585" s="6" t="str">
        <f t="array" ref="B585">IF(D585="","",
 INDEX(Product_Master!A:A,
       MATCH( INDEX(Pack_Master!B:B, MATCH(D585, Pack_Master!A:A, 0)),
              Product_Master!B:B, 0 )
))
</f>
        <v>Apparel_Caps_Beanies</v>
      </c>
      <c r="C585" s="7" t="s">
        <v>1155</v>
      </c>
      <c r="D585" s="8" t="s">
        <v>536</v>
      </c>
      <c r="E585" s="9" t="s">
        <v>12</v>
      </c>
      <c r="F585" s="8">
        <v>6.161142047675E12</v>
      </c>
      <c r="G585" s="5"/>
      <c r="H585" s="5"/>
      <c r="I585" s="5"/>
    </row>
    <row r="586">
      <c r="A586" s="5" t="s">
        <v>9</v>
      </c>
      <c r="B586" s="6" t="str">
        <f t="array" ref="B586">IF(D586="","",
 INDEX(Product_Master!A:A,
       MATCH( INDEX(Pack_Master!B:B, MATCH(D586, Pack_Master!A:A, 0)),
              Product_Master!B:B, 0 )
))
</f>
        <v>Apparel_Caps_Beanies</v>
      </c>
      <c r="C586" s="7" t="s">
        <v>1156</v>
      </c>
      <c r="D586" s="8" t="s">
        <v>1157</v>
      </c>
      <c r="E586" s="9" t="s">
        <v>12</v>
      </c>
      <c r="F586" s="8"/>
      <c r="G586" s="5"/>
      <c r="H586" s="5"/>
      <c r="I586" s="5"/>
    </row>
    <row r="587">
      <c r="A587" s="5" t="s">
        <v>9</v>
      </c>
      <c r="B587" s="6" t="str">
        <f t="array" ref="B587">IF(D587="","",
 INDEX(Product_Master!A:A,
       MATCH( INDEX(Pack_Master!B:B, MATCH(D587, Pack_Master!A:A, 0)),
              Product_Master!B:B, 0 )
))
</f>
        <v>Apparel_Caps_Beanies</v>
      </c>
      <c r="C587" s="7" t="s">
        <v>1158</v>
      </c>
      <c r="D587" s="8" t="s">
        <v>460</v>
      </c>
      <c r="E587" s="9" t="s">
        <v>12</v>
      </c>
      <c r="F587" s="8"/>
      <c r="G587" s="5"/>
      <c r="H587" s="5"/>
      <c r="I587" s="5"/>
    </row>
    <row r="588">
      <c r="A588" s="5" t="s">
        <v>9</v>
      </c>
      <c r="B588" s="6" t="str">
        <f t="array" ref="B588">IF(D588="","",
 INDEX(Product_Master!A:A,
       MATCH( INDEX(Pack_Master!B:B, MATCH(D588, Pack_Master!A:A, 0)),
              Product_Master!B:B, 0 )
))
</f>
        <v>Apparel_Caps_Beanies</v>
      </c>
      <c r="C588" s="7" t="s">
        <v>1159</v>
      </c>
      <c r="D588" s="8" t="s">
        <v>288</v>
      </c>
      <c r="E588" s="9" t="s">
        <v>12</v>
      </c>
      <c r="F588" s="8"/>
      <c r="G588" s="5"/>
      <c r="H588" s="5"/>
      <c r="I588" s="5"/>
    </row>
    <row r="589">
      <c r="A589" s="5" t="s">
        <v>9</v>
      </c>
      <c r="B589" s="6" t="str">
        <f t="array" ref="B589">IF(D589="","",
 INDEX(Product_Master!A:A,
       MATCH( INDEX(Pack_Master!B:B, MATCH(D589, Pack_Master!A:A, 0)),
              Product_Master!B:B, 0 )
))
</f>
        <v>Automotive_FaceMasks</v>
      </c>
      <c r="C589" s="7" t="s">
        <v>1160</v>
      </c>
      <c r="D589" s="8" t="s">
        <v>1161</v>
      </c>
      <c r="E589" s="9" t="s">
        <v>12</v>
      </c>
      <c r="F589" s="8"/>
      <c r="G589" s="5"/>
      <c r="H589" s="5"/>
      <c r="I589" s="5"/>
    </row>
    <row r="590">
      <c r="A590" s="5" t="s">
        <v>1162</v>
      </c>
      <c r="B590" s="6" t="str">
        <f t="array" ref="B590">IF(D590="","",
 INDEX(Product_Master!A:A,
       MATCH( INDEX(Pack_Master!B:B, MATCH(D590, Pack_Master!A:A, 0)),
              Product_Master!B:B, 0 )
))
</f>
        <v>Apparel_ArmSleeves</v>
      </c>
      <c r="C590" s="7" t="s">
        <v>1163</v>
      </c>
      <c r="D590" s="8" t="s">
        <v>11</v>
      </c>
      <c r="E590" s="9" t="s">
        <v>12</v>
      </c>
      <c r="F590" s="8" t="s">
        <v>1164</v>
      </c>
      <c r="G590" s="5"/>
      <c r="H590" s="5"/>
      <c r="I590" s="5"/>
    </row>
    <row r="591">
      <c r="A591" s="5" t="s">
        <v>1162</v>
      </c>
      <c r="B591" s="6" t="str">
        <f t="array" ref="B591">IF(D591="","",
 INDEX(Product_Master!A:A,
       MATCH( INDEX(Pack_Master!B:B, MATCH(D591, Pack_Master!A:A, 0)),
              Product_Master!B:B, 0 )
))
</f>
        <v>Automotive_FaceMasks</v>
      </c>
      <c r="C591" s="7" t="s">
        <v>1165</v>
      </c>
      <c r="D591" s="8" t="s">
        <v>22</v>
      </c>
      <c r="E591" s="9" t="s">
        <v>12</v>
      </c>
      <c r="F591" s="8" t="s">
        <v>1166</v>
      </c>
      <c r="G591" s="5"/>
      <c r="H591" s="5"/>
      <c r="I591" s="5"/>
    </row>
    <row r="592">
      <c r="A592" s="5" t="s">
        <v>1162</v>
      </c>
      <c r="B592" s="6" t="str">
        <f t="array" ref="B592">IF(D592="","",
 INDEX(Product_Master!A:A,
       MATCH( INDEX(Pack_Master!B:B, MATCH(D592, Pack_Master!A:A, 0)),
              Product_Master!B:B, 0 )
))
</f>
        <v>Apparel_Accessories_Winter</v>
      </c>
      <c r="C592" s="7" t="s">
        <v>141</v>
      </c>
      <c r="D592" s="8" t="s">
        <v>141</v>
      </c>
      <c r="E592" s="9" t="s">
        <v>12</v>
      </c>
      <c r="F592" s="8" t="s">
        <v>1167</v>
      </c>
      <c r="G592" s="5"/>
      <c r="H592" s="5"/>
      <c r="I592" s="5"/>
    </row>
    <row r="593">
      <c r="A593" s="5" t="s">
        <v>1162</v>
      </c>
      <c r="B593" s="6" t="str">
        <f t="array" ref="B593">IF(D593="","",
 INDEX(Product_Master!A:A,
       MATCH( INDEX(Pack_Master!B:B, MATCH(D593, Pack_Master!A:A, 0)),
              Product_Master!B:B, 0 )
))
</f>
        <v>Apparel_Accessories_Winter</v>
      </c>
      <c r="C593" s="7" t="s">
        <v>157</v>
      </c>
      <c r="D593" s="8" t="s">
        <v>157</v>
      </c>
      <c r="E593" s="9" t="s">
        <v>12</v>
      </c>
      <c r="F593" s="8" t="s">
        <v>1168</v>
      </c>
      <c r="G593" s="5"/>
      <c r="H593" s="5"/>
      <c r="I593" s="5"/>
    </row>
    <row r="594">
      <c r="A594" s="5" t="s">
        <v>1162</v>
      </c>
      <c r="B594" s="6" t="str">
        <f t="array" ref="B594">IF(D594="","",
 INDEX(Product_Master!A:A,
       MATCH( INDEX(Pack_Master!B:B, MATCH(D594, Pack_Master!A:A, 0)),
              Product_Master!B:B, 0 )
))
</f>
        <v>Apparel_Accessories_Winter</v>
      </c>
      <c r="C594" s="7" t="s">
        <v>161</v>
      </c>
      <c r="D594" s="8" t="s">
        <v>161</v>
      </c>
      <c r="E594" s="9" t="s">
        <v>12</v>
      </c>
      <c r="F594" s="8" t="s">
        <v>1169</v>
      </c>
      <c r="G594" s="5"/>
      <c r="H594" s="5"/>
      <c r="I594" s="5"/>
    </row>
    <row r="595">
      <c r="A595" s="5" t="s">
        <v>1162</v>
      </c>
      <c r="B595" s="6" t="str">
        <f t="array" ref="B595">IF(D595="","",
 INDEX(Product_Master!A:A,
       MATCH( INDEX(Pack_Master!B:B, MATCH(D595, Pack_Master!A:A, 0)),
              Product_Master!B:B, 0 )
))
</f>
        <v>Apparel_Accessories_Winter</v>
      </c>
      <c r="C595" s="7" t="s">
        <v>162</v>
      </c>
      <c r="D595" s="8" t="s">
        <v>162</v>
      </c>
      <c r="E595" s="9" t="s">
        <v>12</v>
      </c>
      <c r="F595" s="8" t="s">
        <v>1170</v>
      </c>
      <c r="G595" s="5"/>
      <c r="H595" s="5"/>
      <c r="I595" s="5"/>
    </row>
    <row r="596">
      <c r="A596" s="5" t="s">
        <v>1162</v>
      </c>
      <c r="B596" s="6" t="str">
        <f t="array" ref="B596">IF(D596="","",
 INDEX(Product_Master!A:A,
       MATCH( INDEX(Pack_Master!B:B, MATCH(D596, Pack_Master!A:A, 0)),
              Product_Master!B:B, 0 )
))
</f>
        <v>Apparel_Accessories_Winter</v>
      </c>
      <c r="C596" s="7" t="s">
        <v>163</v>
      </c>
      <c r="D596" s="8" t="s">
        <v>163</v>
      </c>
      <c r="E596" s="9" t="s">
        <v>12</v>
      </c>
      <c r="F596" s="8" t="s">
        <v>1171</v>
      </c>
      <c r="G596" s="5"/>
      <c r="H596" s="5"/>
      <c r="I596" s="5"/>
    </row>
    <row r="597">
      <c r="A597" s="5" t="s">
        <v>1162</v>
      </c>
      <c r="B597" s="6" t="str">
        <f t="array" ref="B597">IF(D597="","",
 INDEX(Product_Master!A:A,
       MATCH( INDEX(Pack_Master!B:B, MATCH(D597, Pack_Master!A:A, 0)),
              Product_Master!B:B, 0 )
))
</f>
        <v>Apparel_Accessories_Winter</v>
      </c>
      <c r="C597" s="7" t="s">
        <v>164</v>
      </c>
      <c r="D597" s="8" t="s">
        <v>164</v>
      </c>
      <c r="E597" s="9" t="s">
        <v>12</v>
      </c>
      <c r="F597" s="8" t="s">
        <v>1172</v>
      </c>
      <c r="G597" s="5"/>
      <c r="H597" s="5"/>
      <c r="I597" s="5"/>
    </row>
    <row r="598">
      <c r="A598" s="5" t="s">
        <v>1162</v>
      </c>
      <c r="B598" s="6" t="str">
        <f t="array" ref="B598">IF(D598="","",
 INDEX(Product_Master!A:A,
       MATCH( INDEX(Pack_Master!B:B, MATCH(D598, Pack_Master!A:A, 0)),
              Product_Master!B:B, 0 )
))
</f>
        <v>Apparel_Accessories_Winter</v>
      </c>
      <c r="C598" s="7" t="s">
        <v>165</v>
      </c>
      <c r="D598" s="8" t="s">
        <v>165</v>
      </c>
      <c r="E598" s="9" t="s">
        <v>12</v>
      </c>
      <c r="F598" s="8" t="s">
        <v>1173</v>
      </c>
      <c r="G598" s="5"/>
      <c r="H598" s="5"/>
      <c r="I598" s="5"/>
    </row>
    <row r="599">
      <c r="A599" s="5" t="s">
        <v>1162</v>
      </c>
      <c r="B599" s="6" t="str">
        <f t="array" ref="B599">IF(D599="","",
 INDEX(Product_Master!A:A,
       MATCH( INDEX(Pack_Master!B:B, MATCH(D599, Pack_Master!A:A, 0)),
              Product_Master!B:B, 0 )
))
</f>
        <v>Apparel_Accessories_Winter</v>
      </c>
      <c r="C599" s="7" t="s">
        <v>166</v>
      </c>
      <c r="D599" s="8" t="s">
        <v>166</v>
      </c>
      <c r="E599" s="9" t="s">
        <v>12</v>
      </c>
      <c r="F599" s="8" t="s">
        <v>1174</v>
      </c>
      <c r="G599" s="5"/>
      <c r="H599" s="5"/>
      <c r="I599" s="5"/>
    </row>
    <row r="600">
      <c r="A600" s="5" t="s">
        <v>1162</v>
      </c>
      <c r="B600" s="6" t="str">
        <f t="array" ref="B600">IF(D600="","",
 INDEX(Product_Master!A:A,
       MATCH( INDEX(Pack_Master!B:B, MATCH(D600, Pack_Master!A:A, 0)),
              Product_Master!B:B, 0 )
))
</f>
        <v>Automotive_FaceMasks</v>
      </c>
      <c r="C600" s="7" t="s">
        <v>170</v>
      </c>
      <c r="D600" s="8" t="s">
        <v>171</v>
      </c>
      <c r="E600" s="9" t="s">
        <v>12</v>
      </c>
      <c r="F600" s="8" t="s">
        <v>1175</v>
      </c>
      <c r="G600" s="5"/>
      <c r="H600" s="5"/>
      <c r="I600" s="5"/>
    </row>
    <row r="601">
      <c r="A601" s="5" t="s">
        <v>1162</v>
      </c>
      <c r="B601" s="6" t="str">
        <f t="array" ref="B601">IF(D601="","",
 INDEX(Product_Master!A:A,
       MATCH( INDEX(Pack_Master!B:B, MATCH(D601, Pack_Master!A:A, 0)),
              Product_Master!B:B, 0 )
))
</f>
        <v>Automotive_FaceMasks</v>
      </c>
      <c r="C601" s="7" t="s">
        <v>1176</v>
      </c>
      <c r="D601" s="8" t="s">
        <v>173</v>
      </c>
      <c r="E601" s="9" t="s">
        <v>12</v>
      </c>
      <c r="F601" s="8" t="s">
        <v>1177</v>
      </c>
      <c r="G601" s="5"/>
      <c r="H601" s="5"/>
      <c r="I601" s="5"/>
    </row>
    <row r="602">
      <c r="A602" s="5" t="s">
        <v>1162</v>
      </c>
      <c r="B602" s="6" t="str">
        <f t="array" ref="B602">IF(D602="","",
 INDEX(Product_Master!A:A,
       MATCH( INDEX(Pack_Master!B:B, MATCH(D602, Pack_Master!A:A, 0)),
              Product_Master!B:B, 0 )
))
</f>
        <v>Automotive_FaceMasks</v>
      </c>
      <c r="C602" s="7" t="s">
        <v>172</v>
      </c>
      <c r="D602" s="8" t="s">
        <v>173</v>
      </c>
      <c r="E602" s="9" t="s">
        <v>12</v>
      </c>
      <c r="F602" s="8" t="s">
        <v>1178</v>
      </c>
      <c r="G602" s="5"/>
      <c r="H602" s="5"/>
      <c r="I602" s="5"/>
    </row>
    <row r="603">
      <c r="A603" s="5" t="s">
        <v>1162</v>
      </c>
      <c r="B603" s="6" t="str">
        <f t="array" ref="B603">IF(D603="","",
 INDEX(Product_Master!A:A,
       MATCH( INDEX(Pack_Master!B:B, MATCH(D603, Pack_Master!A:A, 0)),
              Product_Master!B:B, 0 )
))
</f>
        <v>Automotive_FaceMasks</v>
      </c>
      <c r="C603" s="7" t="s">
        <v>177</v>
      </c>
      <c r="D603" s="8" t="s">
        <v>178</v>
      </c>
      <c r="E603" s="9" t="s">
        <v>12</v>
      </c>
      <c r="F603" s="8" t="s">
        <v>1179</v>
      </c>
      <c r="G603" s="5"/>
      <c r="H603" s="5"/>
      <c r="I603" s="5"/>
    </row>
    <row r="604">
      <c r="A604" s="5" t="s">
        <v>1162</v>
      </c>
      <c r="B604" s="6" t="str">
        <f t="array" ref="B604">IF(D604="","",
 INDEX(Product_Master!A:A,
       MATCH( INDEX(Pack_Master!B:B, MATCH(D604, Pack_Master!A:A, 0)),
              Product_Master!B:B, 0 )
))
</f>
        <v>Apparel_Caps_Beanies</v>
      </c>
      <c r="C604" s="7" t="s">
        <v>179</v>
      </c>
      <c r="D604" s="8" t="s">
        <v>179</v>
      </c>
      <c r="E604" s="9" t="s">
        <v>12</v>
      </c>
      <c r="F604" s="8" t="s">
        <v>1180</v>
      </c>
      <c r="G604" s="5"/>
      <c r="H604" s="5"/>
      <c r="I604" s="5"/>
    </row>
    <row r="605">
      <c r="A605" s="5" t="s">
        <v>1162</v>
      </c>
      <c r="B605" s="6" t="str">
        <f t="array" ref="B605">IF(D605="","",
 INDEX(Product_Master!A:A,
       MATCH( INDEX(Pack_Master!B:B, MATCH(D605, Pack_Master!A:A, 0)),
              Product_Master!B:B, 0 )
))
</f>
        <v>Apparel_Caps_Beanies</v>
      </c>
      <c r="C605" s="7" t="s">
        <v>181</v>
      </c>
      <c r="D605" s="8" t="s">
        <v>181</v>
      </c>
      <c r="E605" s="9" t="s">
        <v>12</v>
      </c>
      <c r="F605" s="8" t="s">
        <v>1181</v>
      </c>
      <c r="G605" s="5"/>
      <c r="H605" s="5"/>
      <c r="I605" s="5"/>
    </row>
    <row r="606">
      <c r="A606" s="5" t="s">
        <v>1162</v>
      </c>
      <c r="B606" s="6" t="str">
        <f t="array" ref="B606">IF(D606="","",
 INDEX(Product_Master!A:A,
       MATCH( INDEX(Pack_Master!B:B, MATCH(D606, Pack_Master!A:A, 0)),
              Product_Master!B:B, 0 )
))
</f>
        <v>Apparel_Caps_Beanies</v>
      </c>
      <c r="C606" s="7" t="s">
        <v>183</v>
      </c>
      <c r="D606" s="8" t="s">
        <v>183</v>
      </c>
      <c r="E606" s="9" t="s">
        <v>12</v>
      </c>
      <c r="F606" s="8" t="s">
        <v>1182</v>
      </c>
      <c r="G606" s="5"/>
      <c r="H606" s="5"/>
      <c r="I606" s="5"/>
    </row>
    <row r="607">
      <c r="A607" s="5" t="s">
        <v>1162</v>
      </c>
      <c r="B607" s="6" t="str">
        <f t="array" ref="B607">IF(D607="","",
 INDEX(Product_Master!A:A,
       MATCH( INDEX(Pack_Master!B:B, MATCH(D607, Pack_Master!A:A, 0)),
              Product_Master!B:B, 0 )
))
</f>
        <v>Apparel_Caps_Beanies</v>
      </c>
      <c r="C607" s="7" t="s">
        <v>185</v>
      </c>
      <c r="D607" s="8" t="s">
        <v>185</v>
      </c>
      <c r="E607" s="9" t="s">
        <v>12</v>
      </c>
      <c r="F607" s="8" t="s">
        <v>1183</v>
      </c>
      <c r="G607" s="5"/>
      <c r="H607" s="5"/>
      <c r="I607" s="5"/>
    </row>
    <row r="608">
      <c r="A608" s="5" t="s">
        <v>1162</v>
      </c>
      <c r="B608" s="6" t="str">
        <f t="array" ref="B608">IF(D608="","",
 INDEX(Product_Master!A:A,
       MATCH( INDEX(Pack_Master!B:B, MATCH(D608, Pack_Master!A:A, 0)),
              Product_Master!B:B, 0 )
))
</f>
        <v>Apparel_Caps_Beanies</v>
      </c>
      <c r="C608" s="7" t="s">
        <v>187</v>
      </c>
      <c r="D608" s="8" t="s">
        <v>187</v>
      </c>
      <c r="E608" s="9" t="s">
        <v>12</v>
      </c>
      <c r="F608" s="8" t="s">
        <v>1184</v>
      </c>
      <c r="G608" s="5"/>
      <c r="H608" s="5"/>
      <c r="I608" s="5"/>
    </row>
    <row r="609">
      <c r="A609" s="5" t="s">
        <v>1162</v>
      </c>
      <c r="B609" s="6" t="str">
        <f t="array" ref="B609">IF(D609="","",
 INDEX(Product_Master!A:A,
       MATCH( INDEX(Pack_Master!B:B, MATCH(D609, Pack_Master!A:A, 0)),
              Product_Master!B:B, 0 )
))
</f>
        <v>Apparel_Caps_Beanies</v>
      </c>
      <c r="C609" s="7" t="s">
        <v>189</v>
      </c>
      <c r="D609" s="8" t="s">
        <v>189</v>
      </c>
      <c r="E609" s="9" t="s">
        <v>12</v>
      </c>
      <c r="F609" s="8" t="s">
        <v>1185</v>
      </c>
      <c r="G609" s="5"/>
      <c r="H609" s="5"/>
      <c r="I609" s="5"/>
    </row>
    <row r="610">
      <c r="A610" s="5" t="s">
        <v>1162</v>
      </c>
      <c r="B610" s="6" t="str">
        <f t="array" ref="B610">IF(D610="","",
 INDEX(Product_Master!A:A,
       MATCH( INDEX(Pack_Master!B:B, MATCH(D610, Pack_Master!A:A, 0)),
              Product_Master!B:B, 0 )
))
</f>
        <v>Apparel_Caps_Beanies</v>
      </c>
      <c r="C610" s="7" t="s">
        <v>191</v>
      </c>
      <c r="D610" s="8" t="s">
        <v>191</v>
      </c>
      <c r="E610" s="9" t="s">
        <v>12</v>
      </c>
      <c r="F610" s="8" t="s">
        <v>1186</v>
      </c>
      <c r="G610" s="5"/>
      <c r="H610" s="5"/>
      <c r="I610" s="5"/>
    </row>
    <row r="611">
      <c r="A611" s="5" t="s">
        <v>1162</v>
      </c>
      <c r="B611" s="6" t="str">
        <f t="array" ref="B611">IF(D611="","",
 INDEX(Product_Master!A:A,
       MATCH( INDEX(Pack_Master!B:B, MATCH(D611, Pack_Master!A:A, 0)),
              Product_Master!B:B, 0 )
))
</f>
        <v>Apparel_Caps_Beanies</v>
      </c>
      <c r="C611" s="7" t="s">
        <v>193</v>
      </c>
      <c r="D611" s="8" t="s">
        <v>193</v>
      </c>
      <c r="E611" s="9" t="s">
        <v>12</v>
      </c>
      <c r="F611" s="8" t="s">
        <v>1187</v>
      </c>
      <c r="G611" s="5"/>
      <c r="H611" s="5"/>
      <c r="I611" s="5"/>
    </row>
    <row r="612">
      <c r="A612" s="5" t="s">
        <v>1162</v>
      </c>
      <c r="B612" s="6" t="str">
        <f t="array" ref="B612">IF(D612="","",
 INDEX(Product_Master!A:A,
       MATCH( INDEX(Pack_Master!B:B, MATCH(D612, Pack_Master!A:A, 0)),
              Product_Master!B:B, 0 )
))
</f>
        <v>Apparel_Caps_Beanies</v>
      </c>
      <c r="C612" s="7" t="s">
        <v>195</v>
      </c>
      <c r="D612" s="8" t="s">
        <v>195</v>
      </c>
      <c r="E612" s="9" t="s">
        <v>12</v>
      </c>
      <c r="F612" s="8" t="s">
        <v>1188</v>
      </c>
      <c r="G612" s="5"/>
      <c r="H612" s="5"/>
      <c r="I612" s="5"/>
    </row>
    <row r="613">
      <c r="A613" s="5" t="s">
        <v>1162</v>
      </c>
      <c r="B613" s="6" t="str">
        <f t="array" ref="B613">IF(D613="","",
 INDEX(Product_Master!A:A,
       MATCH( INDEX(Pack_Master!B:B, MATCH(D613, Pack_Master!A:A, 0)),
              Product_Master!B:B, 0 )
))
</f>
        <v>Apparel_Caps_Beanies</v>
      </c>
      <c r="C613" s="7" t="s">
        <v>197</v>
      </c>
      <c r="D613" s="8" t="s">
        <v>197</v>
      </c>
      <c r="E613" s="9" t="s">
        <v>12</v>
      </c>
      <c r="F613" s="8" t="s">
        <v>1189</v>
      </c>
      <c r="G613" s="5"/>
      <c r="H613" s="5"/>
      <c r="I613" s="5"/>
    </row>
    <row r="614">
      <c r="A614" s="5" t="s">
        <v>1162</v>
      </c>
      <c r="B614" s="6" t="str">
        <f t="array" ref="B614">IF(D614="","",
 INDEX(Product_Master!A:A,
       MATCH( INDEX(Pack_Master!B:B, MATCH(D614, Pack_Master!A:A, 0)),
              Product_Master!B:B, 0 )
))
</f>
        <v>Apparel_Caps_Beanies</v>
      </c>
      <c r="C614" s="7" t="s">
        <v>199</v>
      </c>
      <c r="D614" s="8" t="s">
        <v>199</v>
      </c>
      <c r="E614" s="9" t="s">
        <v>12</v>
      </c>
      <c r="F614" s="8" t="s">
        <v>1190</v>
      </c>
      <c r="G614" s="5"/>
      <c r="H614" s="5"/>
      <c r="I614" s="5"/>
    </row>
    <row r="615">
      <c r="A615" s="5" t="s">
        <v>1162</v>
      </c>
      <c r="B615" s="6" t="str">
        <f t="array" ref="B615">IF(D615="","",
 INDEX(Product_Master!A:A,
       MATCH( INDEX(Pack_Master!B:B, MATCH(D615, Pack_Master!A:A, 0)),
              Product_Master!B:B, 0 )
))
</f>
        <v>Apparel_Caps_Beanies</v>
      </c>
      <c r="C615" s="7" t="s">
        <v>201</v>
      </c>
      <c r="D615" s="8" t="s">
        <v>201</v>
      </c>
      <c r="E615" s="9" t="s">
        <v>12</v>
      </c>
      <c r="F615" s="8" t="s">
        <v>1191</v>
      </c>
      <c r="G615" s="5"/>
      <c r="H615" s="5"/>
      <c r="I615" s="5"/>
    </row>
    <row r="616">
      <c r="A616" s="5" t="s">
        <v>1162</v>
      </c>
      <c r="B616" s="6" t="str">
        <f t="array" ref="B616">IF(D616="","",
 INDEX(Product_Master!A:A,
       MATCH( INDEX(Pack_Master!B:B, MATCH(D616, Pack_Master!A:A, 0)),
              Product_Master!B:B, 0 )
))
</f>
        <v>Apparel_Caps_Beanies</v>
      </c>
      <c r="C616" s="7" t="s">
        <v>216</v>
      </c>
      <c r="D616" s="8" t="s">
        <v>216</v>
      </c>
      <c r="E616" s="9" t="s">
        <v>12</v>
      </c>
      <c r="F616" s="8" t="s">
        <v>1192</v>
      </c>
      <c r="G616" s="5"/>
      <c r="H616" s="5"/>
      <c r="I616" s="5"/>
    </row>
    <row r="617">
      <c r="A617" s="5" t="s">
        <v>1162</v>
      </c>
      <c r="B617" s="6" t="str">
        <f t="array" ref="B617">IF(D617="","",
 INDEX(Product_Master!A:A,
       MATCH( INDEX(Pack_Master!B:B, MATCH(D617, Pack_Master!A:A, 0)),
              Product_Master!B:B, 0 )
))
</f>
        <v>Apparel_Caps_Beanies</v>
      </c>
      <c r="C617" s="7" t="s">
        <v>219</v>
      </c>
      <c r="D617" s="8" t="s">
        <v>219</v>
      </c>
      <c r="E617" s="9" t="s">
        <v>12</v>
      </c>
      <c r="F617" s="8" t="s">
        <v>1193</v>
      </c>
      <c r="G617" s="5"/>
      <c r="H617" s="5"/>
      <c r="I617" s="5"/>
    </row>
    <row r="618">
      <c r="A618" s="5" t="s">
        <v>1162</v>
      </c>
      <c r="B618" s="6" t="str">
        <f t="array" ref="B618">IF(D618="","",
 INDEX(Product_Master!A:A,
       MATCH( INDEX(Pack_Master!B:B, MATCH(D618, Pack_Master!A:A, 0)),
              Product_Master!B:B, 0 )
))
</f>
        <v>Apparel_Caps_Beanies</v>
      </c>
      <c r="C618" s="7" t="s">
        <v>222</v>
      </c>
      <c r="D618" s="8" t="s">
        <v>222</v>
      </c>
      <c r="E618" s="9" t="s">
        <v>12</v>
      </c>
      <c r="F618" s="8" t="s">
        <v>1194</v>
      </c>
      <c r="G618" s="5"/>
      <c r="H618" s="5"/>
      <c r="I618" s="5"/>
    </row>
    <row r="619">
      <c r="A619" s="5" t="s">
        <v>1162</v>
      </c>
      <c r="B619" s="6" t="str">
        <f t="array" ref="B619">IF(D619="","",
 INDEX(Product_Master!A:A,
       MATCH( INDEX(Pack_Master!B:B, MATCH(D619, Pack_Master!A:A, 0)),
              Product_Master!B:B, 0 )
))
</f>
        <v>Apparel_Caps_Beanies</v>
      </c>
      <c r="C619" s="7" t="s">
        <v>225</v>
      </c>
      <c r="D619" s="8" t="s">
        <v>225</v>
      </c>
      <c r="E619" s="9" t="s">
        <v>12</v>
      </c>
      <c r="F619" s="8" t="s">
        <v>1195</v>
      </c>
      <c r="G619" s="5"/>
      <c r="H619" s="5"/>
      <c r="I619" s="5"/>
    </row>
    <row r="620">
      <c r="A620" s="5" t="s">
        <v>1162</v>
      </c>
      <c r="B620" s="6" t="str">
        <f t="array" ref="B620">IF(D620="","",
 INDEX(Product_Master!A:A,
       MATCH( INDEX(Pack_Master!B:B, MATCH(D620, Pack_Master!A:A, 0)),
              Product_Master!B:B, 0 )
))
</f>
        <v>Apparel_Caps_Beanies</v>
      </c>
      <c r="C620" s="7" t="s">
        <v>228</v>
      </c>
      <c r="D620" s="8" t="s">
        <v>228</v>
      </c>
      <c r="E620" s="9" t="s">
        <v>12</v>
      </c>
      <c r="F620" s="8" t="s">
        <v>1196</v>
      </c>
      <c r="G620" s="5"/>
      <c r="H620" s="5"/>
      <c r="I620" s="5"/>
    </row>
    <row r="621">
      <c r="A621" s="5" t="s">
        <v>1162</v>
      </c>
      <c r="B621" s="6" t="str">
        <f t="array" ref="B621">IF(D621="","",
 INDEX(Product_Master!A:A,
       MATCH( INDEX(Pack_Master!B:B, MATCH(D621, Pack_Master!A:A, 0)),
              Product_Master!B:B, 0 )
))
</f>
        <v>Apparel_Caps_Beanies</v>
      </c>
      <c r="C621" s="7" t="s">
        <v>232</v>
      </c>
      <c r="D621" s="8" t="s">
        <v>232</v>
      </c>
      <c r="E621" s="9" t="s">
        <v>12</v>
      </c>
      <c r="F621" s="8" t="s">
        <v>1197</v>
      </c>
      <c r="G621" s="5"/>
      <c r="H621" s="5"/>
      <c r="I621" s="5"/>
    </row>
    <row r="622">
      <c r="A622" s="5" t="s">
        <v>1162</v>
      </c>
      <c r="B622" s="6" t="str">
        <f t="array" ref="B622">IF(D622="","",
 INDEX(Product_Master!A:A,
       MATCH( INDEX(Pack_Master!B:B, MATCH(D622, Pack_Master!A:A, 0)),
              Product_Master!B:B, 0 )
))
</f>
        <v>Apparel_Caps_Beanies</v>
      </c>
      <c r="C622" s="7" t="s">
        <v>234</v>
      </c>
      <c r="D622" s="8" t="s">
        <v>234</v>
      </c>
      <c r="E622" s="9" t="s">
        <v>12</v>
      </c>
      <c r="F622" s="8" t="s">
        <v>1198</v>
      </c>
      <c r="G622" s="5"/>
      <c r="H622" s="5"/>
      <c r="I622" s="5"/>
    </row>
    <row r="623">
      <c r="A623" s="5" t="s">
        <v>1162</v>
      </c>
      <c r="B623" s="6" t="str">
        <f t="array" ref="B623">IF(D623="","",
 INDEX(Product_Master!A:A,
       MATCH( INDEX(Pack_Master!B:B, MATCH(D623, Pack_Master!A:A, 0)),
              Product_Master!B:B, 0 )
))
</f>
        <v>Apparel_Caps_Beanies</v>
      </c>
      <c r="C623" s="7" t="s">
        <v>236</v>
      </c>
      <c r="D623" s="8" t="s">
        <v>236</v>
      </c>
      <c r="E623" s="9" t="s">
        <v>12</v>
      </c>
      <c r="F623" s="8" t="s">
        <v>1199</v>
      </c>
      <c r="G623" s="5"/>
      <c r="H623" s="5"/>
      <c r="I623" s="5"/>
    </row>
    <row r="624">
      <c r="A624" s="5" t="s">
        <v>1162</v>
      </c>
      <c r="B624" s="6" t="str">
        <f t="array" ref="B624">IF(D624="","",
 INDEX(Product_Master!A:A,
       MATCH( INDEX(Pack_Master!B:B, MATCH(D624, Pack_Master!A:A, 0)),
              Product_Master!B:B, 0 )
))
</f>
        <v>Apparel_Caps_Beanies</v>
      </c>
      <c r="C624" s="7" t="s">
        <v>1200</v>
      </c>
      <c r="D624" s="8" t="s">
        <v>1200</v>
      </c>
      <c r="E624" s="9" t="s">
        <v>12</v>
      </c>
      <c r="F624" s="8" t="s">
        <v>1201</v>
      </c>
      <c r="G624" s="5"/>
      <c r="H624" s="5"/>
      <c r="I624" s="5"/>
    </row>
    <row r="625">
      <c r="A625" s="5" t="s">
        <v>1162</v>
      </c>
      <c r="B625" s="6" t="str">
        <f t="array" ref="B625">IF(D625="","",
 INDEX(Product_Master!A:A,
       MATCH( INDEX(Pack_Master!B:B, MATCH(D625, Pack_Master!A:A, 0)),
              Product_Master!B:B, 0 )
))
</f>
        <v>Apparel_Caps_Beanies</v>
      </c>
      <c r="C625" s="7" t="s">
        <v>1202</v>
      </c>
      <c r="D625" s="8" t="s">
        <v>1202</v>
      </c>
      <c r="E625" s="9" t="s">
        <v>12</v>
      </c>
      <c r="F625" s="8" t="s">
        <v>1203</v>
      </c>
      <c r="G625" s="5"/>
      <c r="H625" s="5"/>
      <c r="I625" s="5"/>
    </row>
    <row r="626">
      <c r="A626" s="5" t="s">
        <v>1162</v>
      </c>
      <c r="B626" s="6" t="str">
        <f t="array" ref="B626">IF(D626="","",
 INDEX(Product_Master!A:A,
       MATCH( INDEX(Pack_Master!B:B, MATCH(D626, Pack_Master!A:A, 0)),
              Product_Master!B:B, 0 )
))
</f>
        <v>Apparel_Caps_Beanies</v>
      </c>
      <c r="C626" s="7" t="s">
        <v>240</v>
      </c>
      <c r="D626" s="8" t="s">
        <v>240</v>
      </c>
      <c r="E626" s="9" t="s">
        <v>12</v>
      </c>
      <c r="F626" s="8" t="s">
        <v>1204</v>
      </c>
      <c r="G626" s="5"/>
      <c r="H626" s="5"/>
      <c r="I626" s="5"/>
    </row>
    <row r="627">
      <c r="A627" s="5" t="s">
        <v>1162</v>
      </c>
      <c r="B627" s="6" t="str">
        <f t="array" ref="B627">IF(D627="","",
 INDEX(Product_Master!A:A,
       MATCH( INDEX(Pack_Master!B:B, MATCH(D627, Pack_Master!A:A, 0)),
              Product_Master!B:B, 0 )
))
</f>
        <v>Apparel_Caps_Beanies</v>
      </c>
      <c r="C627" s="7" t="s">
        <v>256</v>
      </c>
      <c r="D627" s="8" t="s">
        <v>257</v>
      </c>
      <c r="E627" s="9" t="s">
        <v>12</v>
      </c>
      <c r="F627" s="8" t="s">
        <v>1205</v>
      </c>
      <c r="G627" s="5"/>
      <c r="H627" s="5"/>
      <c r="I627" s="5"/>
    </row>
    <row r="628">
      <c r="A628" s="5" t="s">
        <v>1162</v>
      </c>
      <c r="B628" s="6" t="str">
        <f t="array" ref="B628">IF(D628="","",
 INDEX(Product_Master!A:A,
       MATCH( INDEX(Pack_Master!B:B, MATCH(D628, Pack_Master!A:A, 0)),
              Product_Master!B:B, 0 )
))
</f>
        <v>Apparel_Caps_Beanies</v>
      </c>
      <c r="C628" s="7" t="s">
        <v>258</v>
      </c>
      <c r="D628" s="8" t="s">
        <v>259</v>
      </c>
      <c r="E628" s="9" t="s">
        <v>12</v>
      </c>
      <c r="F628" s="8" t="s">
        <v>1206</v>
      </c>
      <c r="G628" s="5"/>
      <c r="H628" s="5"/>
      <c r="I628" s="5"/>
    </row>
    <row r="629">
      <c r="A629" s="5" t="s">
        <v>1162</v>
      </c>
      <c r="B629" s="6" t="str">
        <f t="array" ref="B629">IF(D629="","",
 INDEX(Product_Master!A:A,
       MATCH( INDEX(Pack_Master!B:B, MATCH(D629, Pack_Master!A:A, 0)),
              Product_Master!B:B, 0 )
))
</f>
        <v>Apparel_Caps_Beanies</v>
      </c>
      <c r="C629" s="7" t="s">
        <v>264</v>
      </c>
      <c r="D629" s="8" t="s">
        <v>1207</v>
      </c>
      <c r="E629" s="9" t="s">
        <v>12</v>
      </c>
      <c r="F629" s="8" t="s">
        <v>1208</v>
      </c>
      <c r="G629" s="5"/>
      <c r="H629" s="5"/>
      <c r="I629" s="5"/>
    </row>
    <row r="630">
      <c r="A630" s="5" t="s">
        <v>1162</v>
      </c>
      <c r="B630" s="6" t="str">
        <f t="array" ref="B630">IF(D630="","",
 INDEX(Product_Master!A:A,
       MATCH( INDEX(Pack_Master!B:B, MATCH(D630, Pack_Master!A:A, 0)),
              Product_Master!B:B, 0 )
))
</f>
        <v>Apparel_Caps_Beanies</v>
      </c>
      <c r="C630" s="7" t="s">
        <v>272</v>
      </c>
      <c r="D630" s="8" t="s">
        <v>269</v>
      </c>
      <c r="E630" s="9" t="s">
        <v>12</v>
      </c>
      <c r="F630" s="8" t="s">
        <v>1209</v>
      </c>
      <c r="G630" s="5"/>
      <c r="H630" s="5"/>
      <c r="I630" s="5"/>
    </row>
    <row r="631">
      <c r="A631" s="5" t="s">
        <v>1162</v>
      </c>
      <c r="B631" s="6" t="str">
        <f t="array" ref="B631">IF(D631="","",
 INDEX(Product_Master!A:A,
       MATCH( INDEX(Pack_Master!B:B, MATCH(D631, Pack_Master!A:A, 0)),
              Product_Master!B:B, 0 )
))
</f>
        <v>Apparel_Caps_Beanies</v>
      </c>
      <c r="C631" s="7" t="s">
        <v>273</v>
      </c>
      <c r="D631" s="8" t="s">
        <v>321</v>
      </c>
      <c r="E631" s="9" t="s">
        <v>12</v>
      </c>
      <c r="F631" s="8" t="s">
        <v>1210</v>
      </c>
      <c r="G631" s="5"/>
      <c r="H631" s="5"/>
      <c r="I631" s="5"/>
    </row>
    <row r="632">
      <c r="A632" s="5" t="s">
        <v>1162</v>
      </c>
      <c r="B632" s="6" t="str">
        <f t="array" ref="B632">IF(D632="","",
 INDEX(Product_Master!A:A,
       MATCH( INDEX(Pack_Master!B:B, MATCH(D632, Pack_Master!A:A, 0)),
              Product_Master!B:B, 0 )
))
</f>
        <v>Apparel_Caps_Beanies</v>
      </c>
      <c r="C632" s="7" t="s">
        <v>283</v>
      </c>
      <c r="D632" s="8" t="s">
        <v>283</v>
      </c>
      <c r="E632" s="9" t="s">
        <v>12</v>
      </c>
      <c r="F632" s="8" t="s">
        <v>1211</v>
      </c>
      <c r="G632" s="5"/>
      <c r="H632" s="5"/>
      <c r="I632" s="5"/>
    </row>
    <row r="633">
      <c r="A633" s="5" t="s">
        <v>1162</v>
      </c>
      <c r="B633" s="6" t="str">
        <f t="array" ref="B633">IF(D633="","",
 INDEX(Product_Master!A:A,
       MATCH( INDEX(Pack_Master!B:B, MATCH(D633, Pack_Master!A:A, 0)),
              Product_Master!B:B, 0 )
))
</f>
        <v>Apparel_Caps_Beanies</v>
      </c>
      <c r="C633" s="7" t="s">
        <v>281</v>
      </c>
      <c r="D633" s="8" t="s">
        <v>281</v>
      </c>
      <c r="E633" s="9" t="s">
        <v>12</v>
      </c>
      <c r="F633" s="8" t="s">
        <v>1212</v>
      </c>
      <c r="G633" s="5"/>
      <c r="H633" s="5"/>
      <c r="I633" s="5"/>
    </row>
    <row r="634">
      <c r="A634" s="5" t="s">
        <v>1162</v>
      </c>
      <c r="B634" s="6" t="str">
        <f t="array" ref="B634">IF(D634="","",
 INDEX(Product_Master!A:A,
       MATCH( INDEX(Pack_Master!B:B, MATCH(D634, Pack_Master!A:A, 0)),
              Product_Master!B:B, 0 )
))
</f>
        <v>Apparel_Caps_Beanies</v>
      </c>
      <c r="C634" s="7" t="s">
        <v>1213</v>
      </c>
      <c r="D634" s="8" t="s">
        <v>286</v>
      </c>
      <c r="E634" s="9" t="s">
        <v>12</v>
      </c>
      <c r="F634" s="8" t="s">
        <v>1214</v>
      </c>
      <c r="G634" s="5"/>
      <c r="H634" s="5"/>
      <c r="I634" s="5"/>
    </row>
    <row r="635">
      <c r="A635" s="5" t="s">
        <v>1162</v>
      </c>
      <c r="B635" s="6" t="str">
        <f t="array" ref="B635">IF(D635="","",
 INDEX(Product_Master!A:A,
       MATCH( INDEX(Pack_Master!B:B, MATCH(D635, Pack_Master!A:A, 0)),
              Product_Master!B:B, 0 )
))
</f>
        <v>Apparel_Caps_Beanies</v>
      </c>
      <c r="C635" s="7" t="s">
        <v>288</v>
      </c>
      <c r="D635" s="8" t="s">
        <v>288</v>
      </c>
      <c r="E635" s="9" t="s">
        <v>12</v>
      </c>
      <c r="F635" s="8" t="s">
        <v>1215</v>
      </c>
      <c r="G635" s="5"/>
      <c r="H635" s="5"/>
      <c r="I635" s="5"/>
    </row>
    <row r="636">
      <c r="A636" s="5" t="s">
        <v>1162</v>
      </c>
      <c r="B636" s="6" t="str">
        <f t="array" ref="B636">IF(D636="","",
 INDEX(Product_Master!A:A,
       MATCH( INDEX(Pack_Master!B:B, MATCH(D636, Pack_Master!A:A, 0)),
              Product_Master!B:B, 0 )
))
</f>
        <v>Apparel_Caps_Beanies</v>
      </c>
      <c r="C636" s="7" t="s">
        <v>291</v>
      </c>
      <c r="D636" s="8" t="s">
        <v>291</v>
      </c>
      <c r="E636" s="9" t="s">
        <v>12</v>
      </c>
      <c r="F636" s="8" t="s">
        <v>1216</v>
      </c>
      <c r="G636" s="5"/>
      <c r="H636" s="5"/>
      <c r="I636" s="5"/>
    </row>
    <row r="637">
      <c r="A637" s="5" t="s">
        <v>1162</v>
      </c>
      <c r="B637" s="6" t="str">
        <f t="array" ref="B637">IF(D637="","",
 INDEX(Product_Master!A:A,
       MATCH( INDEX(Pack_Master!B:B, MATCH(D637, Pack_Master!A:A, 0)),
              Product_Master!B:B, 0 )
))
</f>
        <v>Apparel_Caps_Beanies</v>
      </c>
      <c r="C637" s="7" t="s">
        <v>293</v>
      </c>
      <c r="D637" s="8" t="s">
        <v>293</v>
      </c>
      <c r="E637" s="9" t="s">
        <v>12</v>
      </c>
      <c r="F637" s="8" t="s">
        <v>1217</v>
      </c>
      <c r="G637" s="5"/>
      <c r="H637" s="5"/>
      <c r="I637" s="5"/>
    </row>
    <row r="638">
      <c r="A638" s="5" t="s">
        <v>1162</v>
      </c>
      <c r="B638" s="6" t="str">
        <f t="array" ref="B638">IF(D638="","",
 INDEX(Product_Master!A:A,
       MATCH( INDEX(Pack_Master!B:B, MATCH(D638, Pack_Master!A:A, 0)),
              Product_Master!B:B, 0 )
))
</f>
        <v>Apparel_Caps_Beanies</v>
      </c>
      <c r="C638" s="7" t="s">
        <v>263</v>
      </c>
      <c r="D638" s="8" t="s">
        <v>263</v>
      </c>
      <c r="E638" s="9" t="s">
        <v>12</v>
      </c>
      <c r="F638" s="8" t="s">
        <v>1218</v>
      </c>
      <c r="G638" s="5"/>
      <c r="H638" s="5"/>
      <c r="I638" s="5"/>
    </row>
    <row r="639">
      <c r="A639" s="5" t="s">
        <v>1162</v>
      </c>
      <c r="B639" s="6" t="str">
        <f t="array" ref="B639">IF(D639="","",
 INDEX(Product_Master!A:A,
       MATCH( INDEX(Pack_Master!B:B, MATCH(D639, Pack_Master!A:A, 0)),
              Product_Master!B:B, 0 )
))
</f>
        <v>Apparel_Caps_Beanies</v>
      </c>
      <c r="C639" s="7" t="s">
        <v>267</v>
      </c>
      <c r="D639" s="8" t="s">
        <v>267</v>
      </c>
      <c r="E639" s="9" t="s">
        <v>12</v>
      </c>
      <c r="F639" s="8" t="s">
        <v>1219</v>
      </c>
      <c r="G639" s="5"/>
      <c r="H639" s="5"/>
      <c r="I639" s="5"/>
    </row>
    <row r="640">
      <c r="A640" s="5" t="s">
        <v>1162</v>
      </c>
      <c r="B640" s="6" t="str">
        <f t="array" ref="B640">IF(D640="","",
 INDEX(Product_Master!A:A,
       MATCH( INDEX(Pack_Master!B:B, MATCH(D640, Pack_Master!A:A, 0)),
              Product_Master!B:B, 0 )
))
</f>
        <v>Apparel_Caps_Beanies</v>
      </c>
      <c r="C640" s="7" t="s">
        <v>305</v>
      </c>
      <c r="D640" s="8" t="s">
        <v>305</v>
      </c>
      <c r="E640" s="9" t="s">
        <v>12</v>
      </c>
      <c r="F640" s="8" t="s">
        <v>1220</v>
      </c>
      <c r="G640" s="5"/>
      <c r="H640" s="5"/>
      <c r="I640" s="5"/>
    </row>
    <row r="641">
      <c r="A641" s="5" t="s">
        <v>1162</v>
      </c>
      <c r="B641" s="6" t="str">
        <f t="array" ref="B641">IF(D641="","",
 INDEX(Product_Master!A:A,
       MATCH( INDEX(Pack_Master!B:B, MATCH(D641, Pack_Master!A:A, 0)),
              Product_Master!B:B, 0 )
))
</f>
        <v>Apparel_Caps_Beanies</v>
      </c>
      <c r="C641" s="7" t="s">
        <v>311</v>
      </c>
      <c r="D641" s="8" t="s">
        <v>311</v>
      </c>
      <c r="E641" s="9" t="s">
        <v>12</v>
      </c>
      <c r="F641" s="8" t="s">
        <v>1221</v>
      </c>
      <c r="G641" s="5"/>
      <c r="H641" s="5"/>
      <c r="I641" s="5"/>
    </row>
    <row r="642">
      <c r="A642" s="5" t="s">
        <v>1162</v>
      </c>
      <c r="B642" s="6" t="str">
        <f t="array" ref="B642">IF(D642="","",
 INDEX(Product_Master!A:A,
       MATCH( INDEX(Pack_Master!B:B, MATCH(D642, Pack_Master!A:A, 0)),
              Product_Master!B:B, 0 )
))
</f>
        <v>Apparel_Caps_Beanies</v>
      </c>
      <c r="C642" s="7" t="s">
        <v>313</v>
      </c>
      <c r="D642" s="8" t="s">
        <v>313</v>
      </c>
      <c r="E642" s="9" t="s">
        <v>12</v>
      </c>
      <c r="F642" s="8" t="s">
        <v>1222</v>
      </c>
      <c r="G642" s="5"/>
      <c r="H642" s="5"/>
      <c r="I642" s="5"/>
    </row>
    <row r="643">
      <c r="A643" s="5" t="s">
        <v>1162</v>
      </c>
      <c r="B643" s="6" t="str">
        <f t="array" ref="B643">IF(D643="","",
 INDEX(Product_Master!A:A,
       MATCH( INDEX(Pack_Master!B:B, MATCH(D643, Pack_Master!A:A, 0)),
              Product_Master!B:B, 0 )
))
</f>
        <v>Apparel_Caps_Beanies</v>
      </c>
      <c r="C643" s="7" t="s">
        <v>316</v>
      </c>
      <c r="D643" s="8" t="s">
        <v>316</v>
      </c>
      <c r="E643" s="9" t="s">
        <v>12</v>
      </c>
      <c r="F643" s="8" t="s">
        <v>1223</v>
      </c>
      <c r="G643" s="5"/>
      <c r="H643" s="5"/>
      <c r="I643" s="5"/>
    </row>
    <row r="644">
      <c r="A644" s="5" t="s">
        <v>1162</v>
      </c>
      <c r="B644" s="6" t="str">
        <f t="array" ref="B644">IF(D644="","",
 INDEX(Product_Master!A:A,
       MATCH( INDEX(Pack_Master!B:B, MATCH(D644, Pack_Master!A:A, 0)),
              Product_Master!B:B, 0 )
))
</f>
        <v>Apparel_Caps_Beanies</v>
      </c>
      <c r="C644" s="7" t="s">
        <v>269</v>
      </c>
      <c r="D644" s="8" t="s">
        <v>269</v>
      </c>
      <c r="E644" s="9" t="s">
        <v>12</v>
      </c>
      <c r="F644" s="8" t="s">
        <v>1224</v>
      </c>
      <c r="G644" s="5"/>
      <c r="H644" s="5"/>
      <c r="I644" s="5"/>
    </row>
    <row r="645">
      <c r="A645" s="5" t="s">
        <v>1162</v>
      </c>
      <c r="B645" s="6" t="str">
        <f t="array" ref="B645">IF(D645="","",
 INDEX(Product_Master!A:A,
       MATCH( INDEX(Pack_Master!B:B, MATCH(D645, Pack_Master!A:A, 0)),
              Product_Master!B:B, 0 )
))
</f>
        <v>Apparel_Caps_Beanies</v>
      </c>
      <c r="C645" s="7" t="s">
        <v>321</v>
      </c>
      <c r="D645" s="8" t="s">
        <v>321</v>
      </c>
      <c r="E645" s="9" t="s">
        <v>12</v>
      </c>
      <c r="F645" s="8" t="s">
        <v>1225</v>
      </c>
      <c r="G645" s="5"/>
      <c r="H645" s="5"/>
      <c r="I645" s="5"/>
    </row>
    <row r="646">
      <c r="A646" s="5" t="s">
        <v>1162</v>
      </c>
      <c r="B646" s="6" t="str">
        <f t="array" ref="B646">IF(D646="","",
 INDEX(Product_Master!A:A,
       MATCH( INDEX(Pack_Master!B:B, MATCH(D646, Pack_Master!A:A, 0)),
              Product_Master!B:B, 0 )
))
</f>
        <v>Apparel_Caps_Beanies</v>
      </c>
      <c r="C646" s="7" t="s">
        <v>1226</v>
      </c>
      <c r="D646" s="8" t="s">
        <v>281</v>
      </c>
      <c r="E646" s="9" t="s">
        <v>12</v>
      </c>
      <c r="F646" s="8" t="s">
        <v>1227</v>
      </c>
      <c r="G646" s="5"/>
      <c r="H646" s="5"/>
      <c r="I646" s="5"/>
    </row>
    <row r="647">
      <c r="A647" s="5" t="s">
        <v>1162</v>
      </c>
      <c r="B647" s="6" t="str">
        <f t="array" ref="B647">IF(D647="","",
 INDEX(Product_Master!A:A,
       MATCH( INDEX(Pack_Master!B:B, MATCH(D647, Pack_Master!A:A, 0)),
              Product_Master!B:B, 0 )
))
</f>
        <v>Apparel_Caps_Beanies</v>
      </c>
      <c r="C647" s="7" t="s">
        <v>333</v>
      </c>
      <c r="D647" s="8" t="s">
        <v>333</v>
      </c>
      <c r="E647" s="9" t="s">
        <v>12</v>
      </c>
      <c r="F647" s="8" t="s">
        <v>1228</v>
      </c>
      <c r="G647" s="5"/>
      <c r="H647" s="5"/>
      <c r="I647" s="5"/>
    </row>
    <row r="648">
      <c r="A648" s="5" t="s">
        <v>1162</v>
      </c>
      <c r="B648" s="6" t="str">
        <f t="array" ref="B648">IF(D648="","",
 INDEX(Product_Master!A:A,
       MATCH( INDEX(Pack_Master!B:B, MATCH(D648, Pack_Master!A:A, 0)),
              Product_Master!B:B, 0 )
))
</f>
        <v>Apparel_Tshirts</v>
      </c>
      <c r="C648" s="7" t="s">
        <v>1229</v>
      </c>
      <c r="D648" s="8" t="str">
        <f t="shared" ref="D648:D671" si="4">IF(ISNUMBER(SEARCH("TSHIRT", C648)), IF(ISNUMBER(SEARCH("WHITE", C648)), "TSHIRT-WHITE-", "TSHIRT-BLACK-") &amp; IF(ISNUMBER(SEARCH("-XXL", C648)), "XXL", IF(ISNUMBER(SEARCH("-XL", C648)), "XL", IF(ISNUMBER(SEARCH("-L", C648)), "L", IF(ISNUMBER(SEARCH("-M", C648)), "M", "")))), C648)</f>
        <v>TSHIRT-BLACK-L</v>
      </c>
      <c r="E648" s="9" t="s">
        <v>12</v>
      </c>
      <c r="F648" s="8" t="s">
        <v>1230</v>
      </c>
      <c r="G648" s="5"/>
      <c r="H648" s="5"/>
      <c r="I648" s="5"/>
    </row>
    <row r="649">
      <c r="A649" s="5" t="s">
        <v>1162</v>
      </c>
      <c r="B649" s="6" t="str">
        <f t="array" ref="B649">IF(D649="","",
 INDEX(Product_Master!A:A,
       MATCH( INDEX(Pack_Master!B:B, MATCH(D649, Pack_Master!A:A, 0)),
              Product_Master!B:B, 0 )
))
</f>
        <v>Apparel_Tshirts</v>
      </c>
      <c r="C649" s="7" t="s">
        <v>1231</v>
      </c>
      <c r="D649" s="8" t="str">
        <f t="shared" si="4"/>
        <v>TSHIRT-BLACK-M</v>
      </c>
      <c r="E649" s="9" t="s">
        <v>12</v>
      </c>
      <c r="F649" s="8" t="s">
        <v>1232</v>
      </c>
      <c r="G649" s="5"/>
      <c r="H649" s="5"/>
      <c r="I649" s="5"/>
    </row>
    <row r="650">
      <c r="A650" s="5" t="s">
        <v>1162</v>
      </c>
      <c r="B650" s="6" t="str">
        <f t="array" ref="B650">IF(D650="","",
 INDEX(Product_Master!A:A,
       MATCH( INDEX(Pack_Master!B:B, MATCH(D650, Pack_Master!A:A, 0)),
              Product_Master!B:B, 0 )
))
</f>
        <v>Apparel_Tshirts</v>
      </c>
      <c r="C650" s="7" t="s">
        <v>1233</v>
      </c>
      <c r="D650" s="8" t="str">
        <f t="shared" si="4"/>
        <v>TSHIRT-BLACK-XL</v>
      </c>
      <c r="E650" s="9" t="s">
        <v>12</v>
      </c>
      <c r="F650" s="8" t="s">
        <v>1234</v>
      </c>
      <c r="G650" s="5"/>
      <c r="H650" s="5"/>
      <c r="I650" s="5"/>
    </row>
    <row r="651">
      <c r="A651" s="5" t="s">
        <v>1162</v>
      </c>
      <c r="B651" s="6" t="str">
        <f t="array" ref="B651">IF(D651="","",
 INDEX(Product_Master!A:A,
       MATCH( INDEX(Pack_Master!B:B, MATCH(D651, Pack_Master!A:A, 0)),
              Product_Master!B:B, 0 )
))
</f>
        <v>Apparel_Tshirts</v>
      </c>
      <c r="C651" s="7" t="s">
        <v>1235</v>
      </c>
      <c r="D651" s="8" t="str">
        <f t="shared" si="4"/>
        <v>TSHIRT-BLACK-XXL</v>
      </c>
      <c r="E651" s="9" t="s">
        <v>12</v>
      </c>
      <c r="F651" s="8" t="s">
        <v>1236</v>
      </c>
      <c r="G651" s="5"/>
      <c r="H651" s="5"/>
      <c r="I651" s="5"/>
    </row>
    <row r="652">
      <c r="A652" s="5" t="s">
        <v>1162</v>
      </c>
      <c r="B652" s="6" t="str">
        <f t="array" ref="B652">IF(D652="","",
 INDEX(Product_Master!A:A,
       MATCH( INDEX(Pack_Master!B:B, MATCH(D652, Pack_Master!A:A, 0)),
              Product_Master!B:B, 0 )
))
</f>
        <v>Apparel_Tshirts</v>
      </c>
      <c r="C652" s="7" t="s">
        <v>1237</v>
      </c>
      <c r="D652" s="8" t="str">
        <f t="shared" si="4"/>
        <v>TSHIRT-BLACK-L</v>
      </c>
      <c r="E652" s="9" t="s">
        <v>12</v>
      </c>
      <c r="F652" s="8" t="s">
        <v>1238</v>
      </c>
      <c r="G652" s="5"/>
      <c r="H652" s="5"/>
      <c r="I652" s="5"/>
    </row>
    <row r="653">
      <c r="A653" s="5" t="s">
        <v>1162</v>
      </c>
      <c r="B653" s="6" t="str">
        <f t="array" ref="B653">IF(D653="","",
 INDEX(Product_Master!A:A,
       MATCH( INDEX(Pack_Master!B:B, MATCH(D653, Pack_Master!A:A, 0)),
              Product_Master!B:B, 0 )
))
</f>
        <v>Apparel_Tshirts</v>
      </c>
      <c r="C653" s="7" t="s">
        <v>1239</v>
      </c>
      <c r="D653" s="8" t="str">
        <f t="shared" si="4"/>
        <v>TSHIRT-BLACK-M</v>
      </c>
      <c r="E653" s="9" t="s">
        <v>12</v>
      </c>
      <c r="F653" s="8" t="s">
        <v>1240</v>
      </c>
      <c r="G653" s="5"/>
      <c r="H653" s="5"/>
      <c r="I653" s="5"/>
    </row>
    <row r="654">
      <c r="A654" s="5" t="s">
        <v>1162</v>
      </c>
      <c r="B654" s="6" t="str">
        <f t="array" ref="B654">IF(D654="","",
 INDEX(Product_Master!A:A,
       MATCH( INDEX(Pack_Master!B:B, MATCH(D654, Pack_Master!A:A, 0)),
              Product_Master!B:B, 0 )
))
</f>
        <v>Apparel_Tshirts</v>
      </c>
      <c r="C654" s="7" t="s">
        <v>1241</v>
      </c>
      <c r="D654" s="8" t="str">
        <f t="shared" si="4"/>
        <v>TSHIRT-BLACK-XL</v>
      </c>
      <c r="E654" s="9" t="s">
        <v>12</v>
      </c>
      <c r="F654" s="8" t="s">
        <v>1242</v>
      </c>
      <c r="G654" s="5"/>
      <c r="H654" s="5"/>
      <c r="I654" s="5"/>
    </row>
    <row r="655">
      <c r="A655" s="5" t="s">
        <v>1162</v>
      </c>
      <c r="B655" s="6" t="str">
        <f t="array" ref="B655">IF(D655="","",
 INDEX(Product_Master!A:A,
       MATCH( INDEX(Pack_Master!B:B, MATCH(D655, Pack_Master!A:A, 0)),
              Product_Master!B:B, 0 )
))
</f>
        <v>Apparel_Tshirts</v>
      </c>
      <c r="C655" s="7" t="s">
        <v>1243</v>
      </c>
      <c r="D655" s="8" t="str">
        <f t="shared" si="4"/>
        <v>TSHIRT-BLACK-XXL</v>
      </c>
      <c r="E655" s="9" t="s">
        <v>12</v>
      </c>
      <c r="F655" s="8" t="s">
        <v>1244</v>
      </c>
      <c r="G655" s="5"/>
      <c r="H655" s="5"/>
      <c r="I655" s="5"/>
    </row>
    <row r="656">
      <c r="A656" s="5" t="s">
        <v>1162</v>
      </c>
      <c r="B656" s="6" t="str">
        <f t="array" ref="B656">IF(D656="","",
 INDEX(Product_Master!A:A,
       MATCH( INDEX(Pack_Master!B:B, MATCH(D656, Pack_Master!A:A, 0)),
              Product_Master!B:B, 0 )
))
</f>
        <v>Apparel_Tshirts</v>
      </c>
      <c r="C656" s="7" t="s">
        <v>1245</v>
      </c>
      <c r="D656" s="8" t="str">
        <f t="shared" si="4"/>
        <v>TSHIRT-BLACK-L</v>
      </c>
      <c r="E656" s="9" t="s">
        <v>12</v>
      </c>
      <c r="F656" s="8" t="s">
        <v>1246</v>
      </c>
      <c r="G656" s="5"/>
      <c r="H656" s="5"/>
      <c r="I656" s="5"/>
    </row>
    <row r="657">
      <c r="A657" s="5" t="s">
        <v>1162</v>
      </c>
      <c r="B657" s="6" t="str">
        <f t="array" ref="B657">IF(D657="","",
 INDEX(Product_Master!A:A,
       MATCH( INDEX(Pack_Master!B:B, MATCH(D657, Pack_Master!A:A, 0)),
              Product_Master!B:B, 0 )
))
</f>
        <v>Apparel_Tshirts</v>
      </c>
      <c r="C657" s="7" t="s">
        <v>1247</v>
      </c>
      <c r="D657" s="8" t="str">
        <f t="shared" si="4"/>
        <v>TSHIRT-BLACK-L</v>
      </c>
      <c r="E657" s="9" t="s">
        <v>12</v>
      </c>
      <c r="F657" s="8" t="s">
        <v>1248</v>
      </c>
      <c r="G657" s="5"/>
      <c r="H657" s="5"/>
      <c r="I657" s="5"/>
    </row>
    <row r="658">
      <c r="A658" s="5" t="s">
        <v>1162</v>
      </c>
      <c r="B658" s="6" t="str">
        <f t="array" ref="B658">IF(D658="","",
 INDEX(Product_Master!A:A,
       MATCH( INDEX(Pack_Master!B:B, MATCH(D658, Pack_Master!A:A, 0)),
              Product_Master!B:B, 0 )
))
</f>
        <v>Apparel_Tshirts</v>
      </c>
      <c r="C658" s="7" t="s">
        <v>1249</v>
      </c>
      <c r="D658" s="8" t="str">
        <f t="shared" si="4"/>
        <v>TSHIRT-BLACK-XL</v>
      </c>
      <c r="E658" s="9" t="s">
        <v>12</v>
      </c>
      <c r="F658" s="8" t="s">
        <v>1250</v>
      </c>
      <c r="G658" s="5"/>
      <c r="H658" s="5"/>
      <c r="I658" s="5"/>
    </row>
    <row r="659">
      <c r="A659" s="5" t="s">
        <v>1162</v>
      </c>
      <c r="B659" s="6" t="str">
        <f t="array" ref="B659">IF(D659="","",
 INDEX(Product_Master!A:A,
       MATCH( INDEX(Pack_Master!B:B, MATCH(D659, Pack_Master!A:A, 0)),
              Product_Master!B:B, 0 )
))
</f>
        <v>Apparel_Tshirts</v>
      </c>
      <c r="C659" s="7" t="s">
        <v>1251</v>
      </c>
      <c r="D659" s="8" t="str">
        <f t="shared" si="4"/>
        <v>TSHIRT-BLACK-XXL</v>
      </c>
      <c r="E659" s="9" t="s">
        <v>12</v>
      </c>
      <c r="F659" s="8" t="s">
        <v>1252</v>
      </c>
      <c r="G659" s="5"/>
      <c r="H659" s="5"/>
      <c r="I659" s="5"/>
    </row>
    <row r="660">
      <c r="A660" s="5" t="s">
        <v>1162</v>
      </c>
      <c r="B660" s="6" t="str">
        <f t="array" ref="B660">IF(D660="","",
 INDEX(Product_Master!A:A,
       MATCH( INDEX(Pack_Master!B:B, MATCH(D660, Pack_Master!A:A, 0)),
              Product_Master!B:B, 0 )
))
</f>
        <v>Apparel_Tshirts</v>
      </c>
      <c r="C660" s="7" t="s">
        <v>1253</v>
      </c>
      <c r="D660" s="8" t="str">
        <f t="shared" si="4"/>
        <v>TSHIRT-BLACK-L</v>
      </c>
      <c r="E660" s="9" t="s">
        <v>12</v>
      </c>
      <c r="F660" s="8" t="s">
        <v>1254</v>
      </c>
      <c r="G660" s="5"/>
      <c r="H660" s="5"/>
      <c r="I660" s="5"/>
    </row>
    <row r="661">
      <c r="A661" s="5" t="s">
        <v>1162</v>
      </c>
      <c r="B661" s="6" t="str">
        <f t="array" ref="B661">IF(D661="","",
 INDEX(Product_Master!A:A,
       MATCH( INDEX(Pack_Master!B:B, MATCH(D661, Pack_Master!A:A, 0)),
              Product_Master!B:B, 0 )
))
</f>
        <v>Apparel_Tshirts</v>
      </c>
      <c r="C661" s="7" t="s">
        <v>1255</v>
      </c>
      <c r="D661" s="8" t="str">
        <f t="shared" si="4"/>
        <v>TSHIRT-BLACK-M</v>
      </c>
      <c r="E661" s="9" t="s">
        <v>12</v>
      </c>
      <c r="F661" s="8" t="s">
        <v>1256</v>
      </c>
      <c r="G661" s="5"/>
      <c r="H661" s="5"/>
      <c r="I661" s="5"/>
    </row>
    <row r="662">
      <c r="A662" s="5" t="s">
        <v>1162</v>
      </c>
      <c r="B662" s="6" t="str">
        <f t="array" ref="B662">IF(D662="","",
 INDEX(Product_Master!A:A,
       MATCH( INDEX(Pack_Master!B:B, MATCH(D662, Pack_Master!A:A, 0)),
              Product_Master!B:B, 0 )
))
</f>
        <v>Apparel_Tshirts</v>
      </c>
      <c r="C662" s="7" t="s">
        <v>1257</v>
      </c>
      <c r="D662" s="8" t="str">
        <f t="shared" si="4"/>
        <v>TSHIRT-BLACK-XL</v>
      </c>
      <c r="E662" s="9" t="s">
        <v>12</v>
      </c>
      <c r="F662" s="8" t="s">
        <v>1258</v>
      </c>
      <c r="G662" s="5"/>
      <c r="H662" s="5"/>
      <c r="I662" s="5"/>
    </row>
    <row r="663">
      <c r="A663" s="5" t="s">
        <v>1162</v>
      </c>
      <c r="B663" s="6" t="str">
        <f t="array" ref="B663">IF(D663="","",
 INDEX(Product_Master!A:A,
       MATCH( INDEX(Pack_Master!B:B, MATCH(D663, Pack_Master!A:A, 0)),
              Product_Master!B:B, 0 )
))
</f>
        <v>Apparel_Tshirts</v>
      </c>
      <c r="C663" s="7" t="s">
        <v>1259</v>
      </c>
      <c r="D663" s="8" t="str">
        <f t="shared" si="4"/>
        <v>TSHIRT-BLACK-XXL</v>
      </c>
      <c r="E663" s="9" t="s">
        <v>12</v>
      </c>
      <c r="F663" s="8" t="s">
        <v>1260</v>
      </c>
      <c r="G663" s="5"/>
      <c r="H663" s="5"/>
      <c r="I663" s="5"/>
    </row>
    <row r="664">
      <c r="A664" s="5" t="s">
        <v>1162</v>
      </c>
      <c r="B664" s="6" t="str">
        <f t="array" ref="B664">IF(D664="","",
 INDEX(Product_Master!A:A,
       MATCH( INDEX(Pack_Master!B:B, MATCH(D664, Pack_Master!A:A, 0)),
              Product_Master!B:B, 0 )
))
</f>
        <v>Apparel_Tshirts</v>
      </c>
      <c r="C664" s="7" t="s">
        <v>343</v>
      </c>
      <c r="D664" s="8" t="str">
        <f t="shared" si="4"/>
        <v>TSHIRT-BLACK-L</v>
      </c>
      <c r="E664" s="9" t="s">
        <v>12</v>
      </c>
      <c r="F664" s="8" t="s">
        <v>1261</v>
      </c>
      <c r="G664" s="5"/>
      <c r="H664" s="5"/>
      <c r="I664" s="5"/>
    </row>
    <row r="665">
      <c r="A665" s="5" t="s">
        <v>1162</v>
      </c>
      <c r="B665" s="6" t="str">
        <f t="array" ref="B665">IF(D665="","",
 INDEX(Product_Master!A:A,
       MATCH( INDEX(Pack_Master!B:B, MATCH(D665, Pack_Master!A:A, 0)),
              Product_Master!B:B, 0 )
))
</f>
        <v>Apparel_Tshirts</v>
      </c>
      <c r="C665" s="7" t="s">
        <v>344</v>
      </c>
      <c r="D665" s="8" t="str">
        <f t="shared" si="4"/>
        <v>TSHIRT-BLACK-M</v>
      </c>
      <c r="E665" s="9" t="s">
        <v>12</v>
      </c>
      <c r="F665" s="8" t="s">
        <v>1262</v>
      </c>
      <c r="G665" s="5"/>
      <c r="H665" s="5"/>
      <c r="I665" s="5"/>
    </row>
    <row r="666">
      <c r="A666" s="5" t="s">
        <v>1162</v>
      </c>
      <c r="B666" s="6" t="str">
        <f t="array" ref="B666">IF(D666="","",
 INDEX(Product_Master!A:A,
       MATCH( INDEX(Pack_Master!B:B, MATCH(D666, Pack_Master!A:A, 0)),
              Product_Master!B:B, 0 )
))
</f>
        <v>Apparel_Tshirts</v>
      </c>
      <c r="C666" s="7" t="s">
        <v>345</v>
      </c>
      <c r="D666" s="8" t="str">
        <f t="shared" si="4"/>
        <v>TSHIRT-BLACK-XL</v>
      </c>
      <c r="E666" s="9" t="s">
        <v>12</v>
      </c>
      <c r="F666" s="8" t="s">
        <v>1263</v>
      </c>
      <c r="G666" s="5"/>
      <c r="H666" s="5"/>
      <c r="I666" s="5"/>
    </row>
    <row r="667">
      <c r="A667" s="5" t="s">
        <v>1162</v>
      </c>
      <c r="B667" s="6" t="str">
        <f t="array" ref="B667">IF(D667="","",
 INDEX(Product_Master!A:A,
       MATCH( INDEX(Pack_Master!B:B, MATCH(D667, Pack_Master!A:A, 0)),
              Product_Master!B:B, 0 )
))
</f>
        <v>Apparel_Tshirts</v>
      </c>
      <c r="C667" s="7" t="s">
        <v>346</v>
      </c>
      <c r="D667" s="8" t="str">
        <f t="shared" si="4"/>
        <v>TSHIRT-BLACK-XXL</v>
      </c>
      <c r="E667" s="9" t="s">
        <v>12</v>
      </c>
      <c r="F667" s="8" t="s">
        <v>1264</v>
      </c>
      <c r="G667" s="5"/>
      <c r="H667" s="5"/>
      <c r="I667" s="5"/>
    </row>
    <row r="668">
      <c r="A668" s="5" t="s">
        <v>1162</v>
      </c>
      <c r="B668" s="6" t="str">
        <f t="array" ref="B668">IF(D668="","",
 INDEX(Product_Master!A:A,
       MATCH( INDEX(Pack_Master!B:B, MATCH(D668, Pack_Master!A:A, 0)),
              Product_Master!B:B, 0 )
))
</f>
        <v>Apparel_Tshirts</v>
      </c>
      <c r="C668" s="7" t="s">
        <v>1265</v>
      </c>
      <c r="D668" s="8" t="str">
        <f t="shared" si="4"/>
        <v>TSHIRT-BLACK-L</v>
      </c>
      <c r="E668" s="9" t="s">
        <v>12</v>
      </c>
      <c r="F668" s="8" t="s">
        <v>1266</v>
      </c>
      <c r="G668" s="5"/>
      <c r="H668" s="5"/>
      <c r="I668" s="5"/>
    </row>
    <row r="669">
      <c r="A669" s="5" t="s">
        <v>1162</v>
      </c>
      <c r="B669" s="6" t="str">
        <f t="array" ref="B669">IF(D669="","",
 INDEX(Product_Master!A:A,
       MATCH( INDEX(Pack_Master!B:B, MATCH(D669, Pack_Master!A:A, 0)),
              Product_Master!B:B, 0 )
))
</f>
        <v>Apparel_Tshirts</v>
      </c>
      <c r="C669" s="7" t="s">
        <v>1267</v>
      </c>
      <c r="D669" s="8" t="str">
        <f t="shared" si="4"/>
        <v>TSHIRT-BLACK-M</v>
      </c>
      <c r="E669" s="9" t="s">
        <v>12</v>
      </c>
      <c r="F669" s="8" t="s">
        <v>1268</v>
      </c>
      <c r="G669" s="5"/>
      <c r="H669" s="5"/>
      <c r="I669" s="5"/>
    </row>
    <row r="670">
      <c r="A670" s="5" t="s">
        <v>1162</v>
      </c>
      <c r="B670" s="6" t="str">
        <f t="array" ref="B670">IF(D670="","",
 INDEX(Product_Master!A:A,
       MATCH( INDEX(Pack_Master!B:B, MATCH(D670, Pack_Master!A:A, 0)),
              Product_Master!B:B, 0 )
))
</f>
        <v>Apparel_Tshirts</v>
      </c>
      <c r="C670" s="7" t="s">
        <v>1269</v>
      </c>
      <c r="D670" s="8" t="str">
        <f t="shared" si="4"/>
        <v>TSHIRT-BLACK-XL</v>
      </c>
      <c r="E670" s="9" t="s">
        <v>12</v>
      </c>
      <c r="F670" s="8" t="s">
        <v>1270</v>
      </c>
      <c r="G670" s="5"/>
      <c r="H670" s="5"/>
      <c r="I670" s="5"/>
    </row>
    <row r="671">
      <c r="A671" s="5" t="s">
        <v>1162</v>
      </c>
      <c r="B671" s="6" t="str">
        <f t="array" ref="B671">IF(D671="","",
 INDEX(Product_Master!A:A,
       MATCH( INDEX(Pack_Master!B:B, MATCH(D671, Pack_Master!A:A, 0)),
              Product_Master!B:B, 0 )
))
</f>
        <v>Apparel_Tshirts</v>
      </c>
      <c r="C671" s="7" t="s">
        <v>1271</v>
      </c>
      <c r="D671" s="8" t="str">
        <f t="shared" si="4"/>
        <v>TSHIRT-BLACK-XXL</v>
      </c>
      <c r="E671" s="9" t="s">
        <v>12</v>
      </c>
      <c r="F671" s="8" t="s">
        <v>1272</v>
      </c>
      <c r="G671" s="5"/>
      <c r="H671" s="5"/>
      <c r="I671" s="5"/>
    </row>
    <row r="672">
      <c r="A672" s="5" t="s">
        <v>1162</v>
      </c>
      <c r="B672" s="6" t="str">
        <f t="array" ref="B672">IF(D672="","",
 INDEX(Product_Master!A:A,
       MATCH( INDEX(Pack_Master!B:B, MATCH(D672, Pack_Master!A:A, 0)),
              Product_Master!B:B, 0 )
))
</f>
        <v>Apparel_Caps_Beanies</v>
      </c>
      <c r="C672" s="7" t="s">
        <v>1273</v>
      </c>
      <c r="D672" s="8" t="s">
        <v>393</v>
      </c>
      <c r="E672" s="9" t="s">
        <v>12</v>
      </c>
      <c r="F672" s="8" t="s">
        <v>1274</v>
      </c>
      <c r="G672" s="5"/>
      <c r="H672" s="5"/>
      <c r="I672" s="5"/>
    </row>
    <row r="673">
      <c r="A673" s="5" t="s">
        <v>1162</v>
      </c>
      <c r="B673" s="6" t="str">
        <f t="array" ref="B673">IF(D673="","",
 INDEX(Product_Master!A:A,
       MATCH( INDEX(Pack_Master!B:B, MATCH(D673, Pack_Master!A:A, 0)),
              Product_Master!B:B, 0 )
))
</f>
        <v>Apparel_Tshirts</v>
      </c>
      <c r="C673" s="7" t="s">
        <v>1275</v>
      </c>
      <c r="D673" s="8" t="str">
        <f t="shared" ref="D673:D683" si="5">IF(ISNUMBER(SEARCH("TSHIRT", C673)), IF(ISNUMBER(SEARCH("WHITE", C673)), "TSHIRT-WHITE-", "TSHIRT-BLACK-") &amp; IF(ISNUMBER(SEARCH("-XXL", C673)), "XXL", IF(ISNUMBER(SEARCH("-XL", C673)), "XL", IF(ISNUMBER(SEARCH("-L", C673)), "L", IF(ISNUMBER(SEARCH("-M", C673)), "M", "")))), C673)</f>
        <v>TSHIRT-BLACK-M</v>
      </c>
      <c r="E673" s="9" t="s">
        <v>12</v>
      </c>
      <c r="F673" s="8" t="s">
        <v>1276</v>
      </c>
      <c r="G673" s="5"/>
      <c r="H673" s="5"/>
      <c r="I673" s="5"/>
    </row>
    <row r="674">
      <c r="A674" s="5" t="s">
        <v>1162</v>
      </c>
      <c r="B674" s="6" t="str">
        <f t="array" ref="B674">IF(D674="","",
 INDEX(Product_Master!A:A,
       MATCH( INDEX(Pack_Master!B:B, MATCH(D674, Pack_Master!A:A, 0)),
              Product_Master!B:B, 0 )
))
</f>
        <v>Apparel_Tshirts</v>
      </c>
      <c r="C674" s="7" t="s">
        <v>1277</v>
      </c>
      <c r="D674" s="8" t="str">
        <f t="shared" si="5"/>
        <v>TSHIRT-BLACK-XL</v>
      </c>
      <c r="E674" s="9" t="s">
        <v>12</v>
      </c>
      <c r="F674" s="8" t="s">
        <v>1278</v>
      </c>
      <c r="G674" s="5"/>
      <c r="H674" s="5"/>
      <c r="I674" s="5"/>
    </row>
    <row r="675">
      <c r="A675" s="5" t="s">
        <v>1162</v>
      </c>
      <c r="B675" s="6" t="str">
        <f t="array" ref="B675">IF(D675="","",
 INDEX(Product_Master!A:A,
       MATCH( INDEX(Pack_Master!B:B, MATCH(D675, Pack_Master!A:A, 0)),
              Product_Master!B:B, 0 )
))
</f>
        <v>Apparel_Tshirts</v>
      </c>
      <c r="C675" s="7" t="s">
        <v>1279</v>
      </c>
      <c r="D675" s="8" t="str">
        <f t="shared" si="5"/>
        <v>TSHIRT-BLACK-XXL</v>
      </c>
      <c r="E675" s="9" t="s">
        <v>12</v>
      </c>
      <c r="F675" s="8" t="s">
        <v>1280</v>
      </c>
      <c r="G675" s="5"/>
      <c r="H675" s="5"/>
      <c r="I675" s="5"/>
    </row>
    <row r="676">
      <c r="A676" s="5" t="s">
        <v>1162</v>
      </c>
      <c r="B676" s="6" t="str">
        <f t="array" ref="B676">IF(D676="","",
 INDEX(Product_Master!A:A,
       MATCH( INDEX(Pack_Master!B:B, MATCH(D676, Pack_Master!A:A, 0)),
              Product_Master!B:B, 0 )
))
</f>
        <v>Apparel_Tshirts</v>
      </c>
      <c r="C676" s="7" t="s">
        <v>1281</v>
      </c>
      <c r="D676" s="8" t="str">
        <f t="shared" si="5"/>
        <v>TSHIRT-BLACK-L</v>
      </c>
      <c r="E676" s="9" t="s">
        <v>12</v>
      </c>
      <c r="F676" s="8" t="s">
        <v>1282</v>
      </c>
      <c r="G676" s="5"/>
      <c r="H676" s="5"/>
      <c r="I676" s="5"/>
    </row>
    <row r="677">
      <c r="A677" s="5" t="s">
        <v>1162</v>
      </c>
      <c r="B677" s="6" t="str">
        <f t="array" ref="B677">IF(D677="","",
 INDEX(Product_Master!A:A,
       MATCH( INDEX(Pack_Master!B:B, MATCH(D677, Pack_Master!A:A, 0)),
              Product_Master!B:B, 0 )
))
</f>
        <v>Apparel_Tshirts</v>
      </c>
      <c r="C677" s="7" t="s">
        <v>1283</v>
      </c>
      <c r="D677" s="8" t="str">
        <f t="shared" si="5"/>
        <v>TSHIRT-BLACK-M</v>
      </c>
      <c r="E677" s="9" t="s">
        <v>12</v>
      </c>
      <c r="F677" s="8" t="s">
        <v>1284</v>
      </c>
      <c r="G677" s="5"/>
      <c r="H677" s="5"/>
      <c r="I677" s="5"/>
    </row>
    <row r="678">
      <c r="A678" s="5" t="s">
        <v>1162</v>
      </c>
      <c r="B678" s="6" t="str">
        <f t="array" ref="B678">IF(D678="","",
 INDEX(Product_Master!A:A,
       MATCH( INDEX(Pack_Master!B:B, MATCH(D678, Pack_Master!A:A, 0)),
              Product_Master!B:B, 0 )
))
</f>
        <v>Apparel_Tshirts</v>
      </c>
      <c r="C678" s="7" t="s">
        <v>1285</v>
      </c>
      <c r="D678" s="8" t="str">
        <f t="shared" si="5"/>
        <v>TSHIRT-BLACK-XL</v>
      </c>
      <c r="E678" s="9" t="s">
        <v>12</v>
      </c>
      <c r="F678" s="8" t="s">
        <v>1286</v>
      </c>
      <c r="G678" s="5"/>
      <c r="H678" s="5"/>
      <c r="I678" s="5"/>
    </row>
    <row r="679">
      <c r="A679" s="5" t="s">
        <v>1162</v>
      </c>
      <c r="B679" s="6" t="str">
        <f t="array" ref="B679">IF(D679="","",
 INDEX(Product_Master!A:A,
       MATCH( INDEX(Pack_Master!B:B, MATCH(D679, Pack_Master!A:A, 0)),
              Product_Master!B:B, 0 )
))
</f>
        <v>Apparel_Tshirts</v>
      </c>
      <c r="C679" s="7" t="s">
        <v>1287</v>
      </c>
      <c r="D679" s="8" t="str">
        <f t="shared" si="5"/>
        <v>TSHIRT-BLACK-XXL</v>
      </c>
      <c r="E679" s="9" t="s">
        <v>12</v>
      </c>
      <c r="F679" s="8" t="s">
        <v>1288</v>
      </c>
      <c r="G679" s="5"/>
      <c r="H679" s="5"/>
      <c r="I679" s="5"/>
    </row>
    <row r="680">
      <c r="A680" s="5" t="s">
        <v>1162</v>
      </c>
      <c r="B680" s="6" t="str">
        <f t="array" ref="B680">IF(D680="","",
 INDEX(Product_Master!A:A,
       MATCH( INDEX(Pack_Master!B:B, MATCH(D680, Pack_Master!A:A, 0)),
              Product_Master!B:B, 0 )
))
</f>
        <v>Apparel_Tshirts</v>
      </c>
      <c r="C680" s="7" t="s">
        <v>1289</v>
      </c>
      <c r="D680" s="8" t="str">
        <f t="shared" si="5"/>
        <v>TSHIRT-BLACK-L</v>
      </c>
      <c r="E680" s="9" t="s">
        <v>12</v>
      </c>
      <c r="F680" s="8" t="s">
        <v>1290</v>
      </c>
      <c r="G680" s="5"/>
      <c r="H680" s="5"/>
      <c r="I680" s="5"/>
    </row>
    <row r="681">
      <c r="A681" s="5" t="s">
        <v>1162</v>
      </c>
      <c r="B681" s="6" t="str">
        <f t="array" ref="B681">IF(D681="","",
 INDEX(Product_Master!A:A,
       MATCH( INDEX(Pack_Master!B:B, MATCH(D681, Pack_Master!A:A, 0)),
              Product_Master!B:B, 0 )
))
</f>
        <v>Apparel_Tshirts</v>
      </c>
      <c r="C681" s="7" t="s">
        <v>1291</v>
      </c>
      <c r="D681" s="8" t="str">
        <f t="shared" si="5"/>
        <v>TSHIRT-BLACK-M</v>
      </c>
      <c r="E681" s="9" t="s">
        <v>12</v>
      </c>
      <c r="F681" s="8" t="s">
        <v>1292</v>
      </c>
      <c r="G681" s="5"/>
      <c r="H681" s="5"/>
      <c r="I681" s="5"/>
    </row>
    <row r="682">
      <c r="A682" s="5" t="s">
        <v>1162</v>
      </c>
      <c r="B682" s="6" t="str">
        <f t="array" ref="B682">IF(D682="","",
 INDEX(Product_Master!A:A,
       MATCH( INDEX(Pack_Master!B:B, MATCH(D682, Pack_Master!A:A, 0)),
              Product_Master!B:B, 0 )
))
</f>
        <v>Apparel_Tshirts</v>
      </c>
      <c r="C682" s="7" t="s">
        <v>1293</v>
      </c>
      <c r="D682" s="8" t="str">
        <f t="shared" si="5"/>
        <v>TSHIRT-BLACK-XL</v>
      </c>
      <c r="E682" s="9" t="s">
        <v>12</v>
      </c>
      <c r="F682" s="8" t="s">
        <v>1294</v>
      </c>
      <c r="G682" s="5"/>
      <c r="H682" s="5"/>
      <c r="I682" s="5"/>
    </row>
    <row r="683">
      <c r="A683" s="5" t="s">
        <v>1162</v>
      </c>
      <c r="B683" s="6" t="str">
        <f t="array" ref="B683">IF(D683="","",
 INDEX(Product_Master!A:A,
       MATCH( INDEX(Pack_Master!B:B, MATCH(D683, Pack_Master!A:A, 0)),
              Product_Master!B:B, 0 )
))
</f>
        <v>Apparel_Tshirts</v>
      </c>
      <c r="C683" s="7" t="s">
        <v>1295</v>
      </c>
      <c r="D683" s="8" t="str">
        <f t="shared" si="5"/>
        <v>TSHIRT-BLACK-XXL</v>
      </c>
      <c r="E683" s="9" t="s">
        <v>12</v>
      </c>
      <c r="F683" s="8" t="s">
        <v>1296</v>
      </c>
      <c r="G683" s="5"/>
      <c r="H683" s="5"/>
      <c r="I683" s="5"/>
    </row>
    <row r="684">
      <c r="A684" s="5" t="s">
        <v>1162</v>
      </c>
      <c r="B684" s="6" t="str">
        <f t="array" ref="B684">IF(D684="","",
 INDEX(Product_Master!A:A,
       MATCH( INDEX(Pack_Master!B:B, MATCH(D684, Pack_Master!A:A, 0)),
              Product_Master!B:B, 0 )
))
</f>
        <v>Kitchen_Containers</v>
      </c>
      <c r="C684" s="7" t="s">
        <v>1297</v>
      </c>
      <c r="D684" s="8" t="s">
        <v>1298</v>
      </c>
      <c r="E684" s="9" t="s">
        <v>12</v>
      </c>
      <c r="F684" s="8" t="s">
        <v>1299</v>
      </c>
      <c r="G684" s="5"/>
      <c r="H684" s="5"/>
      <c r="I684" s="5"/>
    </row>
    <row r="685">
      <c r="A685" s="5" t="s">
        <v>1162</v>
      </c>
      <c r="B685" s="6" t="str">
        <f t="array" ref="B685">IF(D685="","",
 INDEX(Product_Master!A:A,
       MATCH( INDEX(Pack_Master!B:B, MATCH(D685, Pack_Master!A:A, 0)),
              Product_Master!B:B, 0 )
))
</f>
        <v>Kitchen_Containers</v>
      </c>
      <c r="C685" s="7" t="s">
        <v>1300</v>
      </c>
      <c r="D685" s="8" t="s">
        <v>1301</v>
      </c>
      <c r="E685" s="9" t="s">
        <v>12</v>
      </c>
      <c r="F685" s="8" t="s">
        <v>1302</v>
      </c>
      <c r="G685" s="5"/>
      <c r="H685" s="5"/>
      <c r="I685" s="5"/>
    </row>
    <row r="686">
      <c r="A686" s="5" t="s">
        <v>1162</v>
      </c>
      <c r="B686" s="6" t="str">
        <f t="array" ref="B686">IF(D686="","",
 INDEX(Product_Master!A:A,
       MATCH( INDEX(Pack_Master!B:B, MATCH(D686, Pack_Master!A:A, 0)),
              Product_Master!B:B, 0 )
))
</f>
        <v>Kitchen_Containers</v>
      </c>
      <c r="C686" s="7" t="s">
        <v>347</v>
      </c>
      <c r="D686" s="8" t="s">
        <v>348</v>
      </c>
      <c r="E686" s="9" t="s">
        <v>12</v>
      </c>
      <c r="F686" s="8" t="s">
        <v>1303</v>
      </c>
      <c r="G686" s="5"/>
      <c r="H686" s="5"/>
      <c r="I686" s="5"/>
    </row>
    <row r="687">
      <c r="A687" s="5" t="s">
        <v>1162</v>
      </c>
      <c r="B687" s="6" t="str">
        <f t="array" ref="B687">IF(D687="","",
 INDEX(Product_Master!A:A,
       MATCH( INDEX(Pack_Master!B:B, MATCH(D687, Pack_Master!A:A, 0)),
              Product_Master!B:B, 0 )
))
</f>
        <v>Apparel_Caps_Beanies</v>
      </c>
      <c r="C687" s="7" t="s">
        <v>1304</v>
      </c>
      <c r="D687" s="8" t="s">
        <v>1304</v>
      </c>
      <c r="E687" s="9" t="s">
        <v>12</v>
      </c>
      <c r="F687" s="8" t="s">
        <v>1305</v>
      </c>
      <c r="G687" s="5"/>
      <c r="H687" s="5"/>
      <c r="I687" s="5"/>
    </row>
    <row r="688">
      <c r="A688" s="5" t="s">
        <v>1162</v>
      </c>
      <c r="B688" s="6" t="str">
        <f t="array" ref="B688">IF(D688="","",
 INDEX(Product_Master!A:A,
       MATCH( INDEX(Pack_Master!B:B, MATCH(D688, Pack_Master!A:A, 0)),
              Product_Master!B:B, 0 )
))
</f>
        <v>Apparel_Caps_Beanies</v>
      </c>
      <c r="C688" s="7" t="s">
        <v>1306</v>
      </c>
      <c r="D688" s="8" t="s">
        <v>361</v>
      </c>
      <c r="E688" s="9" t="s">
        <v>12</v>
      </c>
      <c r="F688" s="8" t="s">
        <v>1307</v>
      </c>
      <c r="G688" s="5"/>
      <c r="H688" s="5"/>
      <c r="I688" s="5"/>
    </row>
    <row r="689">
      <c r="A689" s="5" t="s">
        <v>1162</v>
      </c>
      <c r="B689" s="6" t="str">
        <f t="array" ref="B689">IF(D689="","",
 INDEX(Product_Master!A:A,
       MATCH( INDEX(Pack_Master!B:B, MATCH(D689, Pack_Master!A:A, 0)),
              Product_Master!B:B, 0 )
))
</f>
        <v>Apparel_Caps_Beanies</v>
      </c>
      <c r="C689" s="7" t="s">
        <v>359</v>
      </c>
      <c r="D689" s="8" t="s">
        <v>359</v>
      </c>
      <c r="E689" s="9" t="s">
        <v>12</v>
      </c>
      <c r="F689" s="8" t="s">
        <v>1308</v>
      </c>
      <c r="G689" s="5"/>
      <c r="H689" s="5"/>
      <c r="I689" s="5"/>
    </row>
    <row r="690">
      <c r="A690" s="5" t="s">
        <v>1162</v>
      </c>
      <c r="B690" s="6" t="str">
        <f t="array" ref="B690">IF(D690="","",
 INDEX(Product_Master!A:A,
       MATCH( INDEX(Pack_Master!B:B, MATCH(D690, Pack_Master!A:A, 0)),
              Product_Master!B:B, 0 )
))
</f>
        <v>Apparel_Caps_Beanies</v>
      </c>
      <c r="C690" s="7" t="s">
        <v>365</v>
      </c>
      <c r="D690" s="8" t="s">
        <v>365</v>
      </c>
      <c r="E690" s="9" t="s">
        <v>12</v>
      </c>
      <c r="F690" s="8" t="s">
        <v>1309</v>
      </c>
      <c r="G690" s="5"/>
      <c r="H690" s="5"/>
      <c r="I690" s="5"/>
    </row>
    <row r="691">
      <c r="A691" s="5" t="s">
        <v>1162</v>
      </c>
      <c r="B691" s="6" t="str">
        <f t="array" ref="B691">IF(D691="","",
 INDEX(Product_Master!A:A,
       MATCH( INDEX(Pack_Master!B:B, MATCH(D691, Pack_Master!A:A, 0)),
              Product_Master!B:B, 0 )
))
</f>
        <v>Apparel_Caps_Beanies</v>
      </c>
      <c r="C691" s="7" t="s">
        <v>1310</v>
      </c>
      <c r="D691" s="8" t="s">
        <v>1310</v>
      </c>
      <c r="E691" s="9" t="s">
        <v>12</v>
      </c>
      <c r="F691" s="8" t="s">
        <v>1311</v>
      </c>
      <c r="G691" s="5"/>
      <c r="H691" s="5"/>
      <c r="I691" s="5"/>
    </row>
    <row r="692">
      <c r="A692" s="5" t="s">
        <v>1162</v>
      </c>
      <c r="B692" s="6" t="str">
        <f t="array" ref="B692">IF(D692="","",
 INDEX(Product_Master!A:A,
       MATCH( INDEX(Pack_Master!B:B, MATCH(D692, Pack_Master!A:A, 0)),
              Product_Master!B:B, 0 )
))
</f>
        <v>Apparel_Caps_Beanies</v>
      </c>
      <c r="C692" s="7" t="s">
        <v>369</v>
      </c>
      <c r="D692" s="8" t="s">
        <v>369</v>
      </c>
      <c r="E692" s="9" t="s">
        <v>12</v>
      </c>
      <c r="F692" s="8" t="s">
        <v>1312</v>
      </c>
      <c r="G692" s="5"/>
      <c r="H692" s="5"/>
      <c r="I692" s="5"/>
    </row>
    <row r="693">
      <c r="A693" s="5" t="s">
        <v>1162</v>
      </c>
      <c r="B693" s="6" t="str">
        <f t="array" ref="B693">IF(D693="","",
 INDEX(Product_Master!A:A,
       MATCH( INDEX(Pack_Master!B:B, MATCH(D693, Pack_Master!A:A, 0)),
              Product_Master!B:B, 0 )
))
</f>
        <v>Apparel_Caps_Beanies</v>
      </c>
      <c r="C693" s="7" t="s">
        <v>377</v>
      </c>
      <c r="D693" s="8" t="s">
        <v>377</v>
      </c>
      <c r="E693" s="9" t="s">
        <v>12</v>
      </c>
      <c r="F693" s="8" t="s">
        <v>1313</v>
      </c>
      <c r="G693" s="5"/>
      <c r="H693" s="5"/>
      <c r="I693" s="5"/>
    </row>
    <row r="694">
      <c r="A694" s="5" t="s">
        <v>1162</v>
      </c>
      <c r="B694" s="6" t="str">
        <f t="array" ref="B694">IF(D694="","",
 INDEX(Product_Master!A:A,
       MATCH( INDEX(Pack_Master!B:B, MATCH(D694, Pack_Master!A:A, 0)),
              Product_Master!B:B, 0 )
))
</f>
        <v>Apparel_Caps_Beanies</v>
      </c>
      <c r="C694" s="7" t="s">
        <v>16</v>
      </c>
      <c r="D694" s="8" t="s">
        <v>16</v>
      </c>
      <c r="E694" s="9" t="s">
        <v>12</v>
      </c>
      <c r="F694" s="8" t="s">
        <v>1314</v>
      </c>
      <c r="G694" s="5"/>
      <c r="H694" s="5"/>
      <c r="I694" s="5"/>
    </row>
    <row r="695">
      <c r="A695" s="5" t="s">
        <v>1162</v>
      </c>
      <c r="B695" s="6" t="str">
        <f t="array" ref="B695">IF(D695="","",
 INDEX(Product_Master!A:A,
       MATCH( INDEX(Pack_Master!B:B, MATCH(D695, Pack_Master!A:A, 0)),
              Product_Master!B:B, 0 )
))
</f>
        <v>Apparel_Caps_Beanies</v>
      </c>
      <c r="C695" s="7" t="s">
        <v>1315</v>
      </c>
      <c r="D695" s="8" t="s">
        <v>359</v>
      </c>
      <c r="E695" s="9" t="s">
        <v>12</v>
      </c>
      <c r="F695" s="8" t="s">
        <v>1316</v>
      </c>
      <c r="G695" s="5"/>
      <c r="H695" s="5"/>
      <c r="I695" s="5"/>
    </row>
    <row r="696">
      <c r="A696" s="5" t="s">
        <v>1162</v>
      </c>
      <c r="B696" s="6" t="str">
        <f t="array" ref="B696">IF(D696="","",
 INDEX(Product_Master!A:A,
       MATCH( INDEX(Pack_Master!B:B, MATCH(D696, Pack_Master!A:A, 0)),
              Product_Master!B:B, 0 )
))
</f>
        <v>Apparel_Caps_Beanies</v>
      </c>
      <c r="C696" s="7" t="s">
        <v>1317</v>
      </c>
      <c r="D696" s="8" t="s">
        <v>361</v>
      </c>
      <c r="E696" s="9" t="s">
        <v>12</v>
      </c>
      <c r="F696" s="8" t="s">
        <v>1318</v>
      </c>
      <c r="G696" s="5"/>
      <c r="H696" s="5"/>
      <c r="I696" s="5"/>
    </row>
    <row r="697">
      <c r="A697" s="5" t="s">
        <v>1162</v>
      </c>
      <c r="B697" s="6" t="str">
        <f t="array" ref="B697">IF(D697="","",
 INDEX(Product_Master!A:A,
       MATCH( INDEX(Pack_Master!B:B, MATCH(D697, Pack_Master!A:A, 0)),
              Product_Master!B:B, 0 )
))
</f>
        <v>Apparel_Caps_Beanies</v>
      </c>
      <c r="C697" s="7" t="s">
        <v>1319</v>
      </c>
      <c r="D697" s="8" t="s">
        <v>372</v>
      </c>
      <c r="E697" s="9" t="s">
        <v>12</v>
      </c>
      <c r="F697" s="8" t="s">
        <v>1320</v>
      </c>
      <c r="G697" s="5"/>
      <c r="H697" s="5"/>
      <c r="I697" s="5"/>
    </row>
    <row r="698">
      <c r="A698" s="5" t="s">
        <v>1162</v>
      </c>
      <c r="B698" s="6" t="str">
        <f t="array" ref="B698">IF(D698="","",
 INDEX(Product_Master!A:A,
       MATCH( INDEX(Pack_Master!B:B, MATCH(D698, Pack_Master!A:A, 0)),
              Product_Master!B:B, 0 )
))
</f>
        <v>Apparel_Caps_Beanies</v>
      </c>
      <c r="C698" s="7" t="s">
        <v>396</v>
      </c>
      <c r="D698" s="8" t="s">
        <v>396</v>
      </c>
      <c r="E698" s="9" t="s">
        <v>12</v>
      </c>
      <c r="F698" s="8"/>
      <c r="G698" s="5"/>
      <c r="H698" s="5">
        <v>46024.0</v>
      </c>
      <c r="I698" s="5" t="s">
        <v>1321</v>
      </c>
    </row>
    <row r="699">
      <c r="A699" s="5" t="s">
        <v>1162</v>
      </c>
      <c r="B699" s="6" t="str">
        <f t="array" ref="B699">IF(D699="","",
 INDEX(Product_Master!A:A,
       MATCH( INDEX(Pack_Master!B:B, MATCH(D699, Pack_Master!A:A, 0)),
              Product_Master!B:B, 0 )
))
</f>
        <v>Apparel_Caps_Beanies</v>
      </c>
      <c r="C699" s="7" t="s">
        <v>1322</v>
      </c>
      <c r="D699" s="8" t="s">
        <v>353</v>
      </c>
      <c r="E699" s="9" t="s">
        <v>12</v>
      </c>
      <c r="F699" s="8" t="s">
        <v>1323</v>
      </c>
      <c r="G699" s="5"/>
      <c r="H699" s="5"/>
      <c r="I699" s="5"/>
    </row>
    <row r="700">
      <c r="A700" s="5" t="s">
        <v>1162</v>
      </c>
      <c r="B700" s="6" t="str">
        <f t="array" ref="B700">IF(D700="","",
 INDEX(Product_Master!A:A,
       MATCH( INDEX(Pack_Master!B:B, MATCH(D700, Pack_Master!A:A, 0)),
              Product_Master!B:B, 0 )
))
</f>
        <v>Apparel_Caps_Beanies</v>
      </c>
      <c r="C700" s="7" t="s">
        <v>1324</v>
      </c>
      <c r="D700" s="8" t="s">
        <v>534</v>
      </c>
      <c r="E700" s="9" t="s">
        <v>12</v>
      </c>
      <c r="F700" s="8" t="s">
        <v>1325</v>
      </c>
      <c r="G700" s="5"/>
      <c r="H700" s="5"/>
      <c r="I700" s="5"/>
    </row>
    <row r="701">
      <c r="A701" s="5" t="s">
        <v>1162</v>
      </c>
      <c r="B701" s="6" t="str">
        <f t="array" ref="B701">IF(D701="","",
 INDEX(Product_Master!A:A,
       MATCH( INDEX(Pack_Master!B:B, MATCH(D701, Pack_Master!A:A, 0)),
              Product_Master!B:B, 0 )
))
</f>
        <v>Apparel_Caps_Beanies</v>
      </c>
      <c r="C701" s="7" t="s">
        <v>1326</v>
      </c>
      <c r="D701" s="8" t="s">
        <v>354</v>
      </c>
      <c r="E701" s="9" t="s">
        <v>12</v>
      </c>
      <c r="F701" s="8" t="s">
        <v>1327</v>
      </c>
      <c r="G701" s="5"/>
      <c r="H701" s="5"/>
      <c r="I701" s="5"/>
    </row>
    <row r="702">
      <c r="A702" s="5" t="s">
        <v>1162</v>
      </c>
      <c r="B702" s="6" t="str">
        <f t="array" ref="B702">IF(D702="","",
 INDEX(Product_Master!A:A,
       MATCH( INDEX(Pack_Master!B:B, MATCH(D702, Pack_Master!A:A, 0)),
              Product_Master!B:B, 0 )
))
</f>
        <v>Apparel_Caps_Beanies</v>
      </c>
      <c r="C702" s="7" t="s">
        <v>1328</v>
      </c>
      <c r="D702" s="8" t="s">
        <v>358</v>
      </c>
      <c r="E702" s="9" t="s">
        <v>12</v>
      </c>
      <c r="F702" s="8" t="s">
        <v>1329</v>
      </c>
      <c r="G702" s="5"/>
      <c r="H702" s="5"/>
      <c r="I702" s="5"/>
    </row>
    <row r="703">
      <c r="A703" s="5" t="s">
        <v>1162</v>
      </c>
      <c r="B703" s="6" t="str">
        <f t="array" ref="B703">IF(D703="","",
 INDEX(Product_Master!A:A,
       MATCH( INDEX(Pack_Master!B:B, MATCH(D703, Pack_Master!A:A, 0)),
              Product_Master!B:B, 0 )
))
</f>
        <v>Apparel_Caps_Beanies</v>
      </c>
      <c r="C703" s="7" t="s">
        <v>1330</v>
      </c>
      <c r="D703" s="8" t="s">
        <v>355</v>
      </c>
      <c r="E703" s="9" t="s">
        <v>12</v>
      </c>
      <c r="F703" s="8" t="s">
        <v>1331</v>
      </c>
      <c r="G703" s="5"/>
      <c r="H703" s="5"/>
      <c r="I703" s="5"/>
    </row>
    <row r="704">
      <c r="A704" s="5" t="s">
        <v>1162</v>
      </c>
      <c r="B704" s="6" t="str">
        <f t="array" ref="B704">IF(D704="","",
 INDEX(Product_Master!A:A,
       MATCH( INDEX(Pack_Master!B:B, MATCH(D704, Pack_Master!A:A, 0)),
              Product_Master!B:B, 0 )
))
</f>
        <v>Apparel_Caps_Beanies</v>
      </c>
      <c r="C704" s="7" t="s">
        <v>1332</v>
      </c>
      <c r="D704" s="8" t="s">
        <v>541</v>
      </c>
      <c r="E704" s="9" t="s">
        <v>12</v>
      </c>
      <c r="F704" s="8" t="s">
        <v>1333</v>
      </c>
      <c r="G704" s="5"/>
      <c r="H704" s="5"/>
      <c r="I704" s="5"/>
    </row>
    <row r="705">
      <c r="A705" s="5" t="s">
        <v>1162</v>
      </c>
      <c r="B705" s="6" t="str">
        <f t="array" ref="B705">IF(D705="","",
 INDEX(Product_Master!A:A,
       MATCH( INDEX(Pack_Master!B:B, MATCH(D705, Pack_Master!A:A, 0)),
              Product_Master!B:B, 0 )
))
</f>
        <v>Apparel_Caps_Beanies</v>
      </c>
      <c r="C705" s="7" t="s">
        <v>1334</v>
      </c>
      <c r="D705" s="8" t="s">
        <v>536</v>
      </c>
      <c r="E705" s="9" t="s">
        <v>12</v>
      </c>
      <c r="F705" s="8" t="s">
        <v>1335</v>
      </c>
      <c r="G705" s="5"/>
      <c r="H705" s="5"/>
      <c r="I705" s="5"/>
    </row>
    <row r="706">
      <c r="A706" s="5" t="s">
        <v>1162</v>
      </c>
      <c r="B706" s="6" t="str">
        <f t="array" ref="B706">IF(D706="","",
 INDEX(Product_Master!A:A,
       MATCH( INDEX(Pack_Master!B:B, MATCH(D706, Pack_Master!A:A, 0)),
              Product_Master!B:B, 0 )
))
</f>
        <v>Apparel_Caps_Beanies</v>
      </c>
      <c r="C706" s="7" t="s">
        <v>1336</v>
      </c>
      <c r="D706" s="8" t="s">
        <v>356</v>
      </c>
      <c r="E706" s="9" t="s">
        <v>12</v>
      </c>
      <c r="F706" s="8" t="s">
        <v>1337</v>
      </c>
      <c r="G706" s="5"/>
      <c r="H706" s="5"/>
      <c r="I706" s="5"/>
    </row>
    <row r="707">
      <c r="A707" s="5" t="s">
        <v>1162</v>
      </c>
      <c r="B707" s="6" t="str">
        <f t="array" ref="B707">IF(D707="","",
 INDEX(Product_Master!A:A,
       MATCH( INDEX(Pack_Master!B:B, MATCH(D707, Pack_Master!A:A, 0)),
              Product_Master!B:B, 0 )
))
</f>
        <v>Apparel_Caps_Beanies</v>
      </c>
      <c r="C707" s="7" t="s">
        <v>1338</v>
      </c>
      <c r="D707" s="8" t="s">
        <v>16</v>
      </c>
      <c r="E707" s="9" t="s">
        <v>12</v>
      </c>
      <c r="F707" s="8" t="s">
        <v>1339</v>
      </c>
      <c r="G707" s="5"/>
      <c r="H707" s="5"/>
      <c r="I707" s="5"/>
    </row>
    <row r="708">
      <c r="A708" s="5" t="s">
        <v>1162</v>
      </c>
      <c r="B708" s="6" t="str">
        <f t="array" ref="B708">IF(D708="","",
 INDEX(Product_Master!A:A,
       MATCH( INDEX(Pack_Master!B:B, MATCH(D708, Pack_Master!A:A, 0)),
              Product_Master!B:B, 0 )
))
</f>
        <v>Apparel_Caps_Beanies</v>
      </c>
      <c r="C708" s="7" t="s">
        <v>1340</v>
      </c>
      <c r="D708" s="8" t="s">
        <v>387</v>
      </c>
      <c r="E708" s="9" t="s">
        <v>12</v>
      </c>
      <c r="F708" s="8" t="s">
        <v>1341</v>
      </c>
      <c r="G708" s="5"/>
      <c r="H708" s="5"/>
      <c r="I708" s="5"/>
    </row>
    <row r="709">
      <c r="A709" s="5" t="s">
        <v>1162</v>
      </c>
      <c r="B709" s="6" t="str">
        <f t="array" ref="B709">IF(D709="","",
 INDEX(Product_Master!A:A,
       MATCH( INDEX(Pack_Master!B:B, MATCH(D709, Pack_Master!A:A, 0)),
              Product_Master!B:B, 0 )
))
</f>
        <v>Apparel_Caps_Beanies</v>
      </c>
      <c r="C709" s="7" t="s">
        <v>1342</v>
      </c>
      <c r="D709" s="8" t="s">
        <v>389</v>
      </c>
      <c r="E709" s="9" t="s">
        <v>12</v>
      </c>
      <c r="F709" s="8"/>
      <c r="G709" s="5"/>
      <c r="H709" s="5"/>
      <c r="I709" s="5"/>
    </row>
    <row r="710">
      <c r="A710" s="5" t="s">
        <v>1162</v>
      </c>
      <c r="B710" s="6" t="str">
        <f t="array" ref="B710">IF(D710="","",
 INDEX(Product_Master!A:A,
       MATCH( INDEX(Pack_Master!B:B, MATCH(D710, Pack_Master!A:A, 0)),
              Product_Master!B:B, 0 )
))
</f>
        <v>Apparel_Caps_Beanies</v>
      </c>
      <c r="C710" s="7" t="s">
        <v>1343</v>
      </c>
      <c r="D710" s="8" t="s">
        <v>400</v>
      </c>
      <c r="E710" s="9" t="s">
        <v>12</v>
      </c>
      <c r="F710" s="8" t="s">
        <v>1344</v>
      </c>
      <c r="G710" s="5"/>
      <c r="H710" s="5"/>
      <c r="I710" s="5"/>
    </row>
    <row r="711">
      <c r="A711" s="5" t="s">
        <v>1162</v>
      </c>
      <c r="B711" s="6" t="str">
        <f t="array" ref="B711">IF(D711="","",
 INDEX(Product_Master!A:A,
       MATCH( INDEX(Pack_Master!B:B, MATCH(D711, Pack_Master!A:A, 0)),
              Product_Master!B:B, 0 )
))
</f>
        <v>Apparel_Caps_Beanies</v>
      </c>
      <c r="C711" s="7" t="s">
        <v>402</v>
      </c>
      <c r="D711" s="8" t="s">
        <v>403</v>
      </c>
      <c r="E711" s="9" t="s">
        <v>12</v>
      </c>
      <c r="F711" s="8" t="s">
        <v>1345</v>
      </c>
      <c r="G711" s="5"/>
      <c r="H711" s="5"/>
      <c r="I711" s="5"/>
    </row>
    <row r="712">
      <c r="A712" s="5" t="s">
        <v>1162</v>
      </c>
      <c r="B712" s="6" t="str">
        <f t="array" ref="B712">IF(D712="","",
 INDEX(Product_Master!A:A,
       MATCH( INDEX(Pack_Master!B:B, MATCH(D712, Pack_Master!A:A, 0)),
              Product_Master!B:B, 0 )
))
</f>
        <v>Apparel_Tshirts</v>
      </c>
      <c r="C712" s="7" t="s">
        <v>405</v>
      </c>
      <c r="D712" s="8" t="str">
        <f t="shared" ref="D712:D715" si="6">IF(ISNUMBER(SEARCH("TSHIRT", C712)), IF(ISNUMBER(SEARCH("WHITE", C712)), "TSHIRT-WHITE-", "TSHIRT-BLACK-") &amp; IF(ISNUMBER(SEARCH("-XXL", C712)), "XXL", IF(ISNUMBER(SEARCH("-XL", C712)), "XL", IF(ISNUMBER(SEARCH("-L", C712)), "L", IF(ISNUMBER(SEARCH("-M", C712)), "M", "")))), C712)</f>
        <v>TSHIRT-BLACK-L</v>
      </c>
      <c r="E712" s="9" t="s">
        <v>12</v>
      </c>
      <c r="F712" s="8" t="s">
        <v>1346</v>
      </c>
      <c r="G712" s="5"/>
      <c r="H712" s="5"/>
      <c r="I712" s="5"/>
    </row>
    <row r="713">
      <c r="A713" s="5" t="s">
        <v>1162</v>
      </c>
      <c r="B713" s="6" t="str">
        <f t="array" ref="B713">IF(D713="","",
 INDEX(Product_Master!A:A,
       MATCH( INDEX(Pack_Master!B:B, MATCH(D713, Pack_Master!A:A, 0)),
              Product_Master!B:B, 0 )
))
</f>
        <v>Apparel_Tshirts</v>
      </c>
      <c r="C713" s="7" t="s">
        <v>406</v>
      </c>
      <c r="D713" s="8" t="str">
        <f t="shared" si="6"/>
        <v>TSHIRT-BLACK-M</v>
      </c>
      <c r="E713" s="9" t="s">
        <v>12</v>
      </c>
      <c r="F713" s="8" t="s">
        <v>1347</v>
      </c>
      <c r="G713" s="5"/>
      <c r="H713" s="5"/>
      <c r="I713" s="5"/>
    </row>
    <row r="714">
      <c r="A714" s="5" t="s">
        <v>1162</v>
      </c>
      <c r="B714" s="6" t="str">
        <f t="array" ref="B714">IF(D714="","",
 INDEX(Product_Master!A:A,
       MATCH( INDEX(Pack_Master!B:B, MATCH(D714, Pack_Master!A:A, 0)),
              Product_Master!B:B, 0 )
))
</f>
        <v>Apparel_Tshirts</v>
      </c>
      <c r="C714" s="7" t="s">
        <v>407</v>
      </c>
      <c r="D714" s="8" t="str">
        <f t="shared" si="6"/>
        <v>TSHIRT-BLACK-XL</v>
      </c>
      <c r="E714" s="9" t="s">
        <v>12</v>
      </c>
      <c r="F714" s="8" t="s">
        <v>1348</v>
      </c>
      <c r="G714" s="5"/>
      <c r="H714" s="5"/>
      <c r="I714" s="5"/>
    </row>
    <row r="715">
      <c r="A715" s="5" t="s">
        <v>1162</v>
      </c>
      <c r="B715" s="6" t="str">
        <f t="array" ref="B715">IF(D715="","",
 INDEX(Product_Master!A:A,
       MATCH( INDEX(Pack_Master!B:B, MATCH(D715, Pack_Master!A:A, 0)),
              Product_Master!B:B, 0 )
))
</f>
        <v>Apparel_Tshirts</v>
      </c>
      <c r="C715" s="7" t="s">
        <v>408</v>
      </c>
      <c r="D715" s="8" t="str">
        <f t="shared" si="6"/>
        <v>TSHIRT-BLACK-XXL</v>
      </c>
      <c r="E715" s="9" t="s">
        <v>12</v>
      </c>
      <c r="F715" s="8" t="s">
        <v>1349</v>
      </c>
      <c r="G715" s="5"/>
      <c r="H715" s="5"/>
      <c r="I715" s="5"/>
    </row>
    <row r="716">
      <c r="A716" s="5" t="s">
        <v>1162</v>
      </c>
      <c r="B716" s="6" t="str">
        <f t="array" ref="B716">IF(D716="","",
 INDEX(Product_Master!A:A,
       MATCH( INDEX(Pack_Master!B:B, MATCH(D716, Pack_Master!A:A, 0)),
              Product_Master!B:B, 0 )
))
</f>
        <v>Kitchen_Containers</v>
      </c>
      <c r="C716" s="7" t="s">
        <v>412</v>
      </c>
      <c r="D716" s="8" t="s">
        <v>413</v>
      </c>
      <c r="E716" s="9" t="s">
        <v>12</v>
      </c>
      <c r="F716" s="8" t="s">
        <v>1350</v>
      </c>
      <c r="G716" s="5"/>
      <c r="H716" s="5"/>
      <c r="I716" s="5"/>
    </row>
    <row r="717">
      <c r="A717" s="5" t="s">
        <v>1162</v>
      </c>
      <c r="B717" s="6" t="str">
        <f t="array" ref="B717">IF(D717="","",
 INDEX(Product_Master!A:A,
       MATCH( INDEX(Pack_Master!B:B, MATCH(D717, Pack_Master!A:A, 0)),
              Product_Master!B:B, 0 )
))
</f>
        <v>Kitchen_Containers</v>
      </c>
      <c r="C717" s="7" t="s">
        <v>415</v>
      </c>
      <c r="D717" s="8" t="s">
        <v>416</v>
      </c>
      <c r="E717" s="9" t="s">
        <v>12</v>
      </c>
      <c r="F717" s="8"/>
      <c r="G717" s="5"/>
      <c r="H717" s="5"/>
      <c r="I717" s="5"/>
    </row>
    <row r="718">
      <c r="A718" s="5" t="s">
        <v>1162</v>
      </c>
      <c r="B718" s="6" t="str">
        <f t="array" ref="B718">IF(D718="","",
 INDEX(Product_Master!A:A,
       MATCH( INDEX(Pack_Master!B:B, MATCH(D718, Pack_Master!A:A, 0)),
              Product_Master!B:B, 0 )
))
</f>
        <v>Kitchen_Containers</v>
      </c>
      <c r="C718" s="7" t="s">
        <v>417</v>
      </c>
      <c r="D718" s="8" t="s">
        <v>418</v>
      </c>
      <c r="E718" s="9" t="s">
        <v>12</v>
      </c>
      <c r="F718" s="8"/>
      <c r="G718" s="5"/>
      <c r="H718" s="5"/>
      <c r="I718" s="5"/>
    </row>
    <row r="719">
      <c r="A719" s="5" t="s">
        <v>1162</v>
      </c>
      <c r="B719" s="6" t="str">
        <f t="array" ref="B719">IF(D719="","",
 INDEX(Product_Master!A:A,
       MATCH( INDEX(Pack_Master!B:B, MATCH(D719, Pack_Master!A:A, 0)),
              Product_Master!B:B, 0 )
))
</f>
        <v>Kitchen_Containers</v>
      </c>
      <c r="C719" s="7" t="s">
        <v>419</v>
      </c>
      <c r="D719" s="8" t="s">
        <v>420</v>
      </c>
      <c r="E719" s="9" t="s">
        <v>12</v>
      </c>
      <c r="F719" s="8"/>
      <c r="G719" s="5"/>
      <c r="H719" s="5"/>
      <c r="I719" s="5"/>
    </row>
    <row r="720">
      <c r="A720" s="5" t="s">
        <v>1162</v>
      </c>
      <c r="B720" s="6" t="str">
        <f t="array" ref="B720">IF(D720="","",
 INDEX(Product_Master!A:A,
       MATCH( INDEX(Pack_Master!B:B, MATCH(D720, Pack_Master!A:A, 0)),
              Product_Master!B:B, 0 )
))
</f>
        <v>Kitchen_Containers</v>
      </c>
      <c r="C720" s="7" t="s">
        <v>421</v>
      </c>
      <c r="D720" s="8" t="s">
        <v>422</v>
      </c>
      <c r="E720" s="9" t="s">
        <v>12</v>
      </c>
      <c r="F720" s="8"/>
      <c r="G720" s="5"/>
      <c r="H720" s="5"/>
      <c r="I720" s="5"/>
    </row>
    <row r="721">
      <c r="A721" s="5" t="s">
        <v>1162</v>
      </c>
      <c r="B721" s="6" t="str">
        <f t="array" ref="B721">IF(D721="","",
 INDEX(Product_Master!A:A,
       MATCH( INDEX(Pack_Master!B:B, MATCH(D721, Pack_Master!A:A, 0)),
              Product_Master!B:B, 0 )
))
</f>
        <v>Kitchen_Containers</v>
      </c>
      <c r="C721" s="7" t="s">
        <v>423</v>
      </c>
      <c r="D721" s="8" t="s">
        <v>424</v>
      </c>
      <c r="E721" s="9" t="s">
        <v>12</v>
      </c>
      <c r="F721" s="8"/>
      <c r="G721" s="5"/>
      <c r="H721" s="5"/>
      <c r="I721" s="5"/>
    </row>
    <row r="722">
      <c r="A722" s="5" t="s">
        <v>1162</v>
      </c>
      <c r="B722" s="6" t="str">
        <f t="array" ref="B722">IF(D722="","",
 INDEX(Product_Master!A:A,
       MATCH( INDEX(Pack_Master!B:B, MATCH(D722, Pack_Master!A:A, 0)),
              Product_Master!B:B, 0 )
))
</f>
        <v>Kitchen_Containers</v>
      </c>
      <c r="C722" s="7" t="s">
        <v>425</v>
      </c>
      <c r="D722" s="8" t="s">
        <v>426</v>
      </c>
      <c r="E722" s="9" t="s">
        <v>12</v>
      </c>
      <c r="F722" s="8"/>
      <c r="G722" s="5"/>
      <c r="H722" s="5"/>
      <c r="I722" s="5"/>
    </row>
    <row r="723">
      <c r="A723" s="5" t="s">
        <v>1162</v>
      </c>
      <c r="B723" s="6" t="str">
        <f t="array" ref="B723">IF(D723="","",
 INDEX(Product_Master!A:A,
       MATCH( INDEX(Pack_Master!B:B, MATCH(D723, Pack_Master!A:A, 0)),
              Product_Master!B:B, 0 )
))
</f>
        <v>Kitchen_Containers</v>
      </c>
      <c r="C723" s="7" t="s">
        <v>427</v>
      </c>
      <c r="D723" s="8" t="s">
        <v>428</v>
      </c>
      <c r="E723" s="9" t="s">
        <v>12</v>
      </c>
      <c r="F723" s="8"/>
      <c r="G723" s="5"/>
      <c r="H723" s="5"/>
      <c r="I723" s="5"/>
    </row>
    <row r="724">
      <c r="A724" s="5" t="s">
        <v>1162</v>
      </c>
      <c r="B724" s="6" t="str">
        <f t="array" ref="B724">IF(D724="","",
 INDEX(Product_Master!A:A,
       MATCH( INDEX(Pack_Master!B:B, MATCH(D724, Pack_Master!A:A, 0)),
              Product_Master!B:B, 0 )
))
</f>
        <v>Kitchen_Containers</v>
      </c>
      <c r="C724" s="7" t="s">
        <v>429</v>
      </c>
      <c r="D724" s="8" t="s">
        <v>430</v>
      </c>
      <c r="E724" s="9" t="s">
        <v>12</v>
      </c>
      <c r="F724" s="8"/>
      <c r="G724" s="5"/>
      <c r="H724" s="5"/>
      <c r="I724" s="5"/>
    </row>
    <row r="725">
      <c r="A725" s="5" t="s">
        <v>1162</v>
      </c>
      <c r="B725" s="6" t="str">
        <f t="array" ref="B725">IF(D725="","",
 INDEX(Product_Master!A:A,
       MATCH( INDEX(Pack_Master!B:B, MATCH(D725, Pack_Master!A:A, 0)),
              Product_Master!B:B, 0 )
))
</f>
        <v>Kitchen_Containers</v>
      </c>
      <c r="C725" s="7" t="s">
        <v>431</v>
      </c>
      <c r="D725" s="8" t="s">
        <v>432</v>
      </c>
      <c r="E725" s="9" t="s">
        <v>12</v>
      </c>
      <c r="F725" s="8"/>
      <c r="G725" s="5"/>
      <c r="H725" s="5"/>
      <c r="I725" s="5"/>
    </row>
    <row r="726">
      <c r="A726" s="5" t="s">
        <v>1162</v>
      </c>
      <c r="B726" s="6" t="str">
        <f t="array" ref="B726">IF(D726="","",
 INDEX(Product_Master!A:A,
       MATCH( INDEX(Pack_Master!B:B, MATCH(D726, Pack_Master!A:A, 0)),
              Product_Master!B:B, 0 )
))
</f>
        <v>Kitchen_Containers</v>
      </c>
      <c r="C726" s="7" t="s">
        <v>433</v>
      </c>
      <c r="D726" s="8" t="s">
        <v>434</v>
      </c>
      <c r="E726" s="9" t="s">
        <v>12</v>
      </c>
      <c r="F726" s="8"/>
      <c r="G726" s="5"/>
      <c r="H726" s="5"/>
      <c r="I726" s="5"/>
    </row>
    <row r="727">
      <c r="A727" s="5" t="s">
        <v>1162</v>
      </c>
      <c r="B727" s="6" t="str">
        <f t="array" ref="B727">IF(D727="","",
 INDEX(Product_Master!A:A,
       MATCH( INDEX(Pack_Master!B:B, MATCH(D727, Pack_Master!A:A, 0)),
              Product_Master!B:B, 0 )
))
</f>
        <v>Kitchen_Containers</v>
      </c>
      <c r="C727" s="7" t="s">
        <v>435</v>
      </c>
      <c r="D727" s="8" t="s">
        <v>436</v>
      </c>
      <c r="E727" s="9" t="s">
        <v>12</v>
      </c>
      <c r="F727" s="8"/>
      <c r="G727" s="5"/>
      <c r="H727" s="5"/>
      <c r="I727" s="5"/>
    </row>
    <row r="728">
      <c r="A728" s="5" t="s">
        <v>1162</v>
      </c>
      <c r="B728" s="6" t="str">
        <f t="array" ref="B728">IF(D728="","",
 INDEX(Product_Master!A:A,
       MATCH( INDEX(Pack_Master!B:B, MATCH(D728, Pack_Master!A:A, 0)),
              Product_Master!B:B, 0 )
))
</f>
        <v>Kitchen_Containers</v>
      </c>
      <c r="C728" s="7" t="s">
        <v>437</v>
      </c>
      <c r="D728" s="8" t="s">
        <v>438</v>
      </c>
      <c r="E728" s="9" t="s">
        <v>12</v>
      </c>
      <c r="F728" s="8"/>
      <c r="G728" s="5"/>
      <c r="H728" s="5"/>
      <c r="I728" s="5"/>
    </row>
    <row r="729">
      <c r="A729" s="5" t="s">
        <v>1162</v>
      </c>
      <c r="B729" s="6" t="str">
        <f t="array" ref="B729">IF(D729="","",
 INDEX(Product_Master!A:A,
       MATCH( INDEX(Pack_Master!B:B, MATCH(D729, Pack_Master!A:A, 0)),
              Product_Master!B:B, 0 )
))
</f>
        <v>Kitchen_Containers</v>
      </c>
      <c r="C729" s="7" t="s">
        <v>439</v>
      </c>
      <c r="D729" s="8" t="s">
        <v>440</v>
      </c>
      <c r="E729" s="9" t="s">
        <v>12</v>
      </c>
      <c r="F729" s="8"/>
      <c r="G729" s="5"/>
      <c r="H729" s="5"/>
      <c r="I729" s="5"/>
    </row>
    <row r="730">
      <c r="A730" s="5" t="s">
        <v>1162</v>
      </c>
      <c r="B730" s="6" t="str">
        <f t="array" ref="B730">IF(D730="","",
 INDEX(Product_Master!A:A,
       MATCH( INDEX(Pack_Master!B:B, MATCH(D730, Pack_Master!A:A, 0)),
              Product_Master!B:B, 0 )
))
</f>
        <v>Kitchen_Containers</v>
      </c>
      <c r="C730" s="7" t="s">
        <v>441</v>
      </c>
      <c r="D730" s="8" t="s">
        <v>442</v>
      </c>
      <c r="E730" s="9" t="s">
        <v>12</v>
      </c>
      <c r="F730" s="8"/>
      <c r="G730" s="5"/>
      <c r="H730" s="5"/>
      <c r="I730" s="5"/>
    </row>
    <row r="731">
      <c r="A731" s="5" t="s">
        <v>1162</v>
      </c>
      <c r="B731" s="6" t="str">
        <f t="array" ref="B731">IF(D731="","",
 INDEX(Product_Master!A:A,
       MATCH( INDEX(Pack_Master!B:B, MATCH(D731, Pack_Master!A:A, 0)),
              Product_Master!B:B, 0 )
))
</f>
        <v>Kitchen_Containers</v>
      </c>
      <c r="C731" s="7" t="s">
        <v>443</v>
      </c>
      <c r="D731" s="8" t="s">
        <v>444</v>
      </c>
      <c r="E731" s="9" t="s">
        <v>12</v>
      </c>
      <c r="F731" s="8"/>
      <c r="G731" s="5"/>
      <c r="H731" s="5"/>
      <c r="I731" s="5"/>
    </row>
    <row r="732">
      <c r="A732" s="5" t="s">
        <v>1162</v>
      </c>
      <c r="B732" s="6" t="str">
        <f t="array" ref="B732">IF(D732="","",
 INDEX(Product_Master!A:A,
       MATCH( INDEX(Pack_Master!B:B, MATCH(D732, Pack_Master!A:A, 0)),
              Product_Master!B:B, 0 )
))
</f>
        <v>Kitchen_Containers</v>
      </c>
      <c r="C732" s="7" t="s">
        <v>445</v>
      </c>
      <c r="D732" s="8" t="s">
        <v>446</v>
      </c>
      <c r="E732" s="9" t="s">
        <v>12</v>
      </c>
      <c r="F732" s="8"/>
      <c r="G732" s="5"/>
      <c r="H732" s="5"/>
      <c r="I732" s="5"/>
    </row>
    <row r="733">
      <c r="A733" s="5" t="s">
        <v>1162</v>
      </c>
      <c r="B733" s="6" t="str">
        <f t="array" ref="B733">IF(D733="","",
 INDEX(Product_Master!A:A,
       MATCH( INDEX(Pack_Master!B:B, MATCH(D733, Pack_Master!A:A, 0)),
              Product_Master!B:B, 0 )
))
</f>
        <v>Kitchen_Containers</v>
      </c>
      <c r="C733" s="7" t="s">
        <v>447</v>
      </c>
      <c r="D733" s="8" t="s">
        <v>448</v>
      </c>
      <c r="E733" s="9" t="s">
        <v>12</v>
      </c>
      <c r="F733" s="8"/>
      <c r="G733" s="5"/>
      <c r="H733" s="5"/>
      <c r="I733" s="5"/>
    </row>
    <row r="734">
      <c r="A734" s="5" t="s">
        <v>1162</v>
      </c>
      <c r="B734" s="6" t="str">
        <f t="array" ref="B734">IF(D734="","",
 INDEX(Product_Master!A:A,
       MATCH( INDEX(Pack_Master!B:B, MATCH(D734, Pack_Master!A:A, 0)),
              Product_Master!B:B, 0 )
))
</f>
        <v>Kitchen_Containers</v>
      </c>
      <c r="C734" s="7" t="s">
        <v>449</v>
      </c>
      <c r="D734" s="8" t="s">
        <v>450</v>
      </c>
      <c r="E734" s="9" t="s">
        <v>12</v>
      </c>
      <c r="F734" s="8"/>
      <c r="G734" s="5"/>
      <c r="H734" s="5"/>
      <c r="I734" s="5"/>
    </row>
    <row r="735">
      <c r="A735" s="5" t="s">
        <v>1162</v>
      </c>
      <c r="B735" s="6" t="str">
        <f t="array" ref="B735">IF(D735="","",
 INDEX(Product_Master!A:A,
       MATCH( INDEX(Pack_Master!B:B, MATCH(D735, Pack_Master!A:A, 0)),
              Product_Master!B:B, 0 )
))
</f>
        <v>Kitchen_Containers</v>
      </c>
      <c r="C735" s="7" t="s">
        <v>454</v>
      </c>
      <c r="D735" s="8" t="s">
        <v>455</v>
      </c>
      <c r="E735" s="9" t="s">
        <v>12</v>
      </c>
      <c r="F735" s="8" t="s">
        <v>1351</v>
      </c>
      <c r="G735" s="5"/>
      <c r="H735" s="5"/>
      <c r="I735" s="5"/>
    </row>
    <row r="736">
      <c r="A736" s="5" t="s">
        <v>1162</v>
      </c>
      <c r="B736" s="6" t="str">
        <f t="array" ref="B736">IF(D736="","",
 INDEX(Product_Master!A:A,
       MATCH( INDEX(Pack_Master!B:B, MATCH(D736, Pack_Master!A:A, 0)),
              Product_Master!B:B, 0 )
))
</f>
        <v>Apparel_Accessories_Winter</v>
      </c>
      <c r="C736" s="7" t="s">
        <v>461</v>
      </c>
      <c r="D736" s="8" t="s">
        <v>462</v>
      </c>
      <c r="E736" s="9" t="s">
        <v>12</v>
      </c>
      <c r="F736" s="8" t="s">
        <v>1352</v>
      </c>
      <c r="G736" s="5"/>
      <c r="H736" s="5"/>
      <c r="I736" s="5"/>
    </row>
    <row r="737">
      <c r="A737" s="5" t="s">
        <v>1162</v>
      </c>
      <c r="B737" s="6" t="str">
        <f t="array" ref="B737">IF(D737="","",
 INDEX(Product_Master!A:A,
       MATCH( INDEX(Pack_Master!B:B, MATCH(D737, Pack_Master!A:A, 0)),
              Product_Master!B:B, 0 )
))
</f>
        <v>Apparel_Accessories_Winter</v>
      </c>
      <c r="C737" s="7" t="s">
        <v>465</v>
      </c>
      <c r="D737" s="8" t="s">
        <v>462</v>
      </c>
      <c r="E737" s="9" t="s">
        <v>12</v>
      </c>
      <c r="F737" s="8" t="s">
        <v>1353</v>
      </c>
      <c r="G737" s="5"/>
      <c r="H737" s="5"/>
      <c r="I737" s="5"/>
    </row>
    <row r="738">
      <c r="A738" s="5" t="s">
        <v>1162</v>
      </c>
      <c r="B738" s="6" t="str">
        <f t="array" ref="B738">IF(D738="","",
 INDEX(Product_Master!A:A,
       MATCH( INDEX(Pack_Master!B:B, MATCH(D738, Pack_Master!A:A, 0)),
              Product_Master!B:B, 0 )
))
</f>
        <v>Apparel_Caps_Beanies</v>
      </c>
      <c r="C738" s="7" t="s">
        <v>1354</v>
      </c>
      <c r="D738" s="8" t="s">
        <v>1354</v>
      </c>
      <c r="E738" s="9" t="s">
        <v>12</v>
      </c>
      <c r="F738" s="8" t="s">
        <v>1355</v>
      </c>
      <c r="G738" s="5"/>
      <c r="H738" s="5"/>
      <c r="I738" s="5"/>
    </row>
    <row r="739">
      <c r="A739" s="5" t="s">
        <v>1162</v>
      </c>
      <c r="B739" s="6" t="str">
        <f t="array" ref="B739">IF(D739="","",
 INDEX(Product_Master!A:A,
       MATCH( INDEX(Pack_Master!B:B, MATCH(D739, Pack_Master!A:A, 0)),
              Product_Master!B:B, 0 )
))
</f>
        <v>Apparel_Hoodies_Sweatshirts</v>
      </c>
      <c r="C739" s="7" t="s">
        <v>472</v>
      </c>
      <c r="D739" s="8" t="s">
        <v>472</v>
      </c>
      <c r="E739" s="9" t="s">
        <v>12</v>
      </c>
      <c r="F739" s="8" t="s">
        <v>1356</v>
      </c>
      <c r="G739" s="5"/>
      <c r="H739" s="5"/>
      <c r="I739" s="5"/>
    </row>
    <row r="740">
      <c r="A740" s="5" t="s">
        <v>1162</v>
      </c>
      <c r="B740" s="6" t="str">
        <f t="array" ref="B740">IF(D740="","",
 INDEX(Product_Master!A:A,
       MATCH( INDEX(Pack_Master!B:B, MATCH(D740, Pack_Master!A:A, 0)),
              Product_Master!B:B, 0 )
))
</f>
        <v>Apparel_Hoodies_Sweatshirts</v>
      </c>
      <c r="C740" s="7" t="s">
        <v>474</v>
      </c>
      <c r="D740" s="8" t="s">
        <v>474</v>
      </c>
      <c r="E740" s="9" t="s">
        <v>12</v>
      </c>
      <c r="F740" s="8" t="s">
        <v>1357</v>
      </c>
      <c r="G740" s="5"/>
      <c r="H740" s="5"/>
      <c r="I740" s="5"/>
    </row>
    <row r="741">
      <c r="A741" s="5" t="s">
        <v>1162</v>
      </c>
      <c r="B741" s="6" t="str">
        <f t="array" ref="B741">IF(D741="","",
 INDEX(Product_Master!A:A,
       MATCH( INDEX(Pack_Master!B:B, MATCH(D741, Pack_Master!A:A, 0)),
              Product_Master!B:B, 0 )
))
</f>
        <v>Apparel_Hoodies_Sweatshirts</v>
      </c>
      <c r="C741" s="7" t="s">
        <v>476</v>
      </c>
      <c r="D741" s="8" t="s">
        <v>476</v>
      </c>
      <c r="E741" s="9" t="s">
        <v>12</v>
      </c>
      <c r="F741" s="8" t="s">
        <v>1358</v>
      </c>
      <c r="G741" s="5"/>
      <c r="H741" s="5"/>
      <c r="I741" s="5"/>
    </row>
    <row r="742">
      <c r="A742" s="5" t="s">
        <v>1162</v>
      </c>
      <c r="B742" s="6" t="str">
        <f t="array" ref="B742">IF(D742="","",
 INDEX(Product_Master!A:A,
       MATCH( INDEX(Pack_Master!B:B, MATCH(D742, Pack_Master!A:A, 0)),
              Product_Master!B:B, 0 )
))
</f>
        <v>Apparel_Hoodies_Sweatshirts</v>
      </c>
      <c r="C742" s="7" t="s">
        <v>478</v>
      </c>
      <c r="D742" s="8" t="s">
        <v>478</v>
      </c>
      <c r="E742" s="9" t="s">
        <v>12</v>
      </c>
      <c r="F742" s="8" t="s">
        <v>1359</v>
      </c>
      <c r="G742" s="5"/>
      <c r="H742" s="5"/>
      <c r="I742" s="5"/>
    </row>
    <row r="743">
      <c r="A743" s="5" t="s">
        <v>1162</v>
      </c>
      <c r="B743" s="6" t="str">
        <f t="array" ref="B743">IF(D743="","",
 INDEX(Product_Master!A:A,
       MATCH( INDEX(Pack_Master!B:B, MATCH(D743, Pack_Master!A:A, 0)),
              Product_Master!B:B, 0 )
))
</f>
        <v>Apparel_Hoodies_Sweatshirts</v>
      </c>
      <c r="C743" s="7" t="s">
        <v>480</v>
      </c>
      <c r="D743" s="8" t="s">
        <v>480</v>
      </c>
      <c r="E743" s="9" t="s">
        <v>12</v>
      </c>
      <c r="F743" s="8" t="s">
        <v>1360</v>
      </c>
      <c r="G743" s="5"/>
      <c r="H743" s="5"/>
      <c r="I743" s="5"/>
    </row>
    <row r="744">
      <c r="A744" s="5" t="s">
        <v>1162</v>
      </c>
      <c r="B744" s="6" t="str">
        <f t="array" ref="B744">IF(D744="","",
 INDEX(Product_Master!A:A,
       MATCH( INDEX(Pack_Master!B:B, MATCH(D744, Pack_Master!A:A, 0)),
              Product_Master!B:B, 0 )
))
</f>
        <v>Kitchen_Containers</v>
      </c>
      <c r="C744" s="7" t="s">
        <v>482</v>
      </c>
      <c r="D744" s="8" t="s">
        <v>483</v>
      </c>
      <c r="E744" s="9" t="s">
        <v>12</v>
      </c>
      <c r="F744" s="8" t="s">
        <v>1361</v>
      </c>
      <c r="G744" s="5"/>
      <c r="H744" s="5"/>
      <c r="I744" s="5"/>
    </row>
    <row r="745">
      <c r="A745" s="5" t="s">
        <v>1162</v>
      </c>
      <c r="B745" s="6" t="str">
        <f t="array" ref="B745">IF(D745="","",
 INDEX(Product_Master!A:A,
       MATCH( INDEX(Pack_Master!B:B, MATCH(D745, Pack_Master!A:A, 0)),
              Product_Master!B:B, 0 )
))
</f>
        <v>Kitchen_Containers</v>
      </c>
      <c r="C745" s="7" t="s">
        <v>488</v>
      </c>
      <c r="D745" s="8" t="s">
        <v>489</v>
      </c>
      <c r="E745" s="9" t="s">
        <v>12</v>
      </c>
      <c r="F745" s="8" t="s">
        <v>1362</v>
      </c>
      <c r="G745" s="5"/>
      <c r="H745" s="5"/>
      <c r="I745" s="5"/>
    </row>
    <row r="746">
      <c r="A746" s="5" t="s">
        <v>1162</v>
      </c>
      <c r="B746" s="6" t="str">
        <f t="array" ref="B746">IF(D746="","",
 INDEX(Product_Master!A:A,
       MATCH( INDEX(Pack_Master!B:B, MATCH(D746, Pack_Master!A:A, 0)),
              Product_Master!B:B, 0 )
))
</f>
        <v>Kitchen_Containers</v>
      </c>
      <c r="C746" s="7" t="s">
        <v>491</v>
      </c>
      <c r="D746" s="8" t="s">
        <v>492</v>
      </c>
      <c r="E746" s="9" t="s">
        <v>12</v>
      </c>
      <c r="F746" s="8" t="s">
        <v>1363</v>
      </c>
      <c r="G746" s="5"/>
      <c r="H746" s="5"/>
      <c r="I746" s="5"/>
    </row>
    <row r="747">
      <c r="A747" s="5" t="s">
        <v>1162</v>
      </c>
      <c r="B747" s="6" t="str">
        <f t="array" ref="B747">IF(D747="","",
 INDEX(Product_Master!A:A,
       MATCH( INDEX(Pack_Master!B:B, MATCH(D747, Pack_Master!A:A, 0)),
              Product_Master!B:B, 0 )
))
</f>
        <v>Apparel_ArmSleeves</v>
      </c>
      <c r="C747" s="7" t="s">
        <v>510</v>
      </c>
      <c r="D747" s="8" t="s">
        <v>511</v>
      </c>
      <c r="E747" s="9" t="s">
        <v>12</v>
      </c>
      <c r="F747" s="8" t="s">
        <v>1364</v>
      </c>
      <c r="G747" s="5"/>
      <c r="H747" s="5"/>
      <c r="I747" s="5"/>
    </row>
    <row r="748">
      <c r="A748" s="5" t="s">
        <v>1162</v>
      </c>
      <c r="B748" s="6" t="str">
        <f t="array" ref="B748">IF(D748="","",
 INDEX(Product_Master!A:A,
       MATCH( INDEX(Pack_Master!B:B, MATCH(D748, Pack_Master!A:A, 0)),
              Product_Master!B:B, 0 )
))
</f>
        <v>Apparel_ArmSleeves</v>
      </c>
      <c r="C748" s="7" t="s">
        <v>512</v>
      </c>
      <c r="D748" s="8" t="s">
        <v>11</v>
      </c>
      <c r="E748" s="9" t="s">
        <v>12</v>
      </c>
      <c r="F748" s="8" t="s">
        <v>1365</v>
      </c>
      <c r="G748" s="5"/>
      <c r="H748" s="5"/>
      <c r="I748" s="5"/>
    </row>
    <row r="749">
      <c r="A749" s="5" t="s">
        <v>1162</v>
      </c>
      <c r="B749" s="6" t="str">
        <f t="array" ref="B749">IF(D749="","",
 INDEX(Product_Master!A:A,
       MATCH( INDEX(Pack_Master!B:B, MATCH(D749, Pack_Master!A:A, 0)),
              Product_Master!B:B, 0 )
))
</f>
        <v>Apparel_ArmSleeves</v>
      </c>
      <c r="C749" s="7" t="s">
        <v>515</v>
      </c>
      <c r="D749" s="8" t="s">
        <v>133</v>
      </c>
      <c r="E749" s="9" t="s">
        <v>12</v>
      </c>
      <c r="F749" s="8" t="s">
        <v>1366</v>
      </c>
      <c r="G749" s="5"/>
      <c r="H749" s="5"/>
      <c r="I749" s="5"/>
    </row>
    <row r="750">
      <c r="A750" s="5" t="s">
        <v>1162</v>
      </c>
      <c r="B750" s="6" t="str">
        <f t="array" ref="B750">IF(D750="","",
 INDEX(Product_Master!A:A,
       MATCH( INDEX(Pack_Master!B:B, MATCH(D750, Pack_Master!A:A, 0)),
              Product_Master!B:B, 0 )
))
</f>
        <v>Automotive_FaceMasks</v>
      </c>
      <c r="C750" s="7" t="s">
        <v>1367</v>
      </c>
      <c r="D750" s="8" t="s">
        <v>22</v>
      </c>
      <c r="E750" s="9" t="s">
        <v>12</v>
      </c>
      <c r="F750" s="8" t="s">
        <v>1368</v>
      </c>
      <c r="G750" s="5"/>
      <c r="H750" s="5"/>
      <c r="I750" s="5"/>
    </row>
    <row r="751">
      <c r="A751" s="5" t="s">
        <v>1162</v>
      </c>
      <c r="B751" s="6" t="str">
        <f t="array" ref="B751">IF(D751="","",
 INDEX(Product_Master!A:A,
       MATCH( INDEX(Pack_Master!B:B, MATCH(D751, Pack_Master!A:A, 0)),
              Product_Master!B:B, 0 )
))
</f>
        <v>Apparel_Caps_Beanies</v>
      </c>
      <c r="C751" s="7" t="s">
        <v>1369</v>
      </c>
      <c r="D751" s="8" t="s">
        <v>257</v>
      </c>
      <c r="E751" s="9" t="s">
        <v>12</v>
      </c>
      <c r="F751" s="8" t="s">
        <v>1370</v>
      </c>
      <c r="G751" s="5"/>
      <c r="H751" s="5"/>
      <c r="I751" s="5"/>
    </row>
    <row r="752">
      <c r="A752" s="5" t="s">
        <v>1162</v>
      </c>
      <c r="B752" s="6" t="str">
        <f t="array" ref="B752">IF(D752="","",
 INDEX(Product_Master!A:A,
       MATCH( INDEX(Pack_Master!B:B, MATCH(D752, Pack_Master!A:A, 0)),
              Product_Master!B:B, 0 )
))
</f>
        <v>Apparel_Caps_Beanies</v>
      </c>
      <c r="C752" s="7" t="s">
        <v>1371</v>
      </c>
      <c r="D752" s="8" t="s">
        <v>259</v>
      </c>
      <c r="E752" s="9" t="s">
        <v>12</v>
      </c>
      <c r="F752" s="8" t="s">
        <v>1372</v>
      </c>
      <c r="G752" s="5"/>
      <c r="H752" s="5"/>
      <c r="I752" s="5"/>
    </row>
    <row r="753">
      <c r="A753" s="5" t="s">
        <v>1162</v>
      </c>
      <c r="B753" s="6" t="str">
        <f t="array" ref="B753">IF(D753="","",
 INDEX(Product_Master!A:A,
       MATCH( INDEX(Pack_Master!B:B, MATCH(D753, Pack_Master!A:A, 0)),
              Product_Master!B:B, 0 )
))
</f>
        <v>Apparel_Caps_Beanies</v>
      </c>
      <c r="C753" s="7" t="s">
        <v>517</v>
      </c>
      <c r="D753" s="8" t="s">
        <v>377</v>
      </c>
      <c r="E753" s="9" t="s">
        <v>12</v>
      </c>
      <c r="F753" s="8" t="s">
        <v>1373</v>
      </c>
      <c r="G753" s="5"/>
      <c r="H753" s="5"/>
      <c r="I753" s="5"/>
    </row>
    <row r="754">
      <c r="A754" s="5" t="s">
        <v>1162</v>
      </c>
      <c r="B754" s="6" t="str">
        <f t="array" ref="B754">IF(D754="","",
 INDEX(Product_Master!A:A,
       MATCH( INDEX(Pack_Master!B:B, MATCH(D754, Pack_Master!A:A, 0)),
              Product_Master!B:B, 0 )
))
</f>
        <v>Apparel_Caps_Beanies</v>
      </c>
      <c r="C754" s="7" t="s">
        <v>518</v>
      </c>
      <c r="D754" s="8" t="s">
        <v>460</v>
      </c>
      <c r="E754" s="9" t="s">
        <v>12</v>
      </c>
      <c r="F754" s="8" t="s">
        <v>1374</v>
      </c>
      <c r="G754" s="5"/>
      <c r="H754" s="5"/>
      <c r="I754" s="5"/>
    </row>
    <row r="755">
      <c r="A755" s="5" t="s">
        <v>1162</v>
      </c>
      <c r="B755" s="6" t="str">
        <f t="array" ref="B755">IF(D755="","",
 INDEX(Product_Master!A:A,
       MATCH( INDEX(Pack_Master!B:B, MATCH(D755, Pack_Master!A:A, 0)),
              Product_Master!B:B, 0 )
))
</f>
        <v>Apparel_Caps_Beanies</v>
      </c>
      <c r="C755" s="7" t="s">
        <v>522</v>
      </c>
      <c r="D755" s="8" t="s">
        <v>378</v>
      </c>
      <c r="E755" s="9" t="s">
        <v>12</v>
      </c>
      <c r="F755" s="8" t="s">
        <v>1375</v>
      </c>
      <c r="G755" s="5"/>
      <c r="H755" s="5"/>
      <c r="I755" s="5"/>
    </row>
    <row r="756">
      <c r="A756" s="5" t="s">
        <v>1162</v>
      </c>
      <c r="B756" s="6" t="str">
        <f t="array" ref="B756">IF(D756="","",
 INDEX(Product_Master!A:A,
       MATCH( INDEX(Pack_Master!B:B, MATCH(D756, Pack_Master!A:A, 0)),
              Product_Master!B:B, 0 )
))
</f>
        <v>Apparel_Caps_Beanies</v>
      </c>
      <c r="C756" s="7" t="s">
        <v>523</v>
      </c>
      <c r="D756" s="8" t="s">
        <v>524</v>
      </c>
      <c r="E756" s="9" t="s">
        <v>12</v>
      </c>
      <c r="F756" s="8" t="s">
        <v>1376</v>
      </c>
      <c r="G756" s="5"/>
      <c r="H756" s="5"/>
      <c r="I756" s="5"/>
    </row>
    <row r="757">
      <c r="A757" s="5" t="s">
        <v>1162</v>
      </c>
      <c r="B757" s="6" t="str">
        <f t="array" ref="B757">IF(D757="","",
 INDEX(Product_Master!A:A,
       MATCH( INDEX(Pack_Master!B:B, MATCH(D757, Pack_Master!A:A, 0)),
              Product_Master!B:B, 0 )
))
</f>
        <v>Apparel_Caps_Beanies</v>
      </c>
      <c r="C757" s="7" t="s">
        <v>526</v>
      </c>
      <c r="D757" s="8" t="s">
        <v>391</v>
      </c>
      <c r="E757" s="9" t="s">
        <v>12</v>
      </c>
      <c r="F757" s="8" t="s">
        <v>1377</v>
      </c>
      <c r="G757" s="5"/>
      <c r="H757" s="5"/>
      <c r="I757" s="5"/>
    </row>
    <row r="758">
      <c r="A758" s="5" t="s">
        <v>1162</v>
      </c>
      <c r="B758" s="6" t="str">
        <f t="array" ref="B758">IF(D758="","",
 INDEX(Product_Master!A:A,
       MATCH( INDEX(Pack_Master!B:B, MATCH(D758, Pack_Master!A:A, 0)),
              Product_Master!B:B, 0 )
))
</f>
        <v>Apparel_Caps_Beanies</v>
      </c>
      <c r="C758" s="7" t="s">
        <v>527</v>
      </c>
      <c r="D758" s="8" t="s">
        <v>379</v>
      </c>
      <c r="E758" s="9" t="s">
        <v>12</v>
      </c>
      <c r="F758" s="8" t="s">
        <v>1378</v>
      </c>
      <c r="G758" s="5"/>
      <c r="H758" s="5"/>
      <c r="I758" s="5"/>
    </row>
    <row r="759">
      <c r="A759" s="5" t="s">
        <v>1162</v>
      </c>
      <c r="B759" s="6" t="str">
        <f t="array" ref="B759">IF(D759="","",
 INDEX(Product_Master!A:A,
       MATCH( INDEX(Pack_Master!B:B, MATCH(D759, Pack_Master!A:A, 0)),
              Product_Master!B:B, 0 )
))
</f>
        <v>Apparel_Caps_Beanies</v>
      </c>
      <c r="C759" s="7" t="s">
        <v>1379</v>
      </c>
      <c r="D759" s="8" t="s">
        <v>380</v>
      </c>
      <c r="E759" s="9" t="s">
        <v>12</v>
      </c>
      <c r="F759" s="8" t="s">
        <v>1380</v>
      </c>
      <c r="G759" s="5"/>
      <c r="H759" s="5"/>
      <c r="I759" s="5"/>
    </row>
    <row r="760">
      <c r="A760" s="5" t="s">
        <v>1162</v>
      </c>
      <c r="B760" s="6" t="str">
        <f t="array" ref="B760">IF(D760="","",
 INDEX(Product_Master!A:A,
       MATCH( INDEX(Pack_Master!B:B, MATCH(D760, Pack_Master!A:A, 0)),
              Product_Master!B:B, 0 )
))
</f>
        <v>Apparel_Caps_Beanies</v>
      </c>
      <c r="C760" s="7" t="s">
        <v>530</v>
      </c>
      <c r="D760" s="8" t="s">
        <v>381</v>
      </c>
      <c r="E760" s="9" t="s">
        <v>12</v>
      </c>
      <c r="F760" s="8" t="s">
        <v>1381</v>
      </c>
      <c r="G760" s="5"/>
      <c r="H760" s="5"/>
      <c r="I760" s="5"/>
    </row>
    <row r="761">
      <c r="A761" s="5" t="s">
        <v>1162</v>
      </c>
      <c r="B761" s="6" t="str">
        <f t="array" ref="B761">IF(D761="","",
 INDEX(Product_Master!A:A,
       MATCH( INDEX(Pack_Master!B:B, MATCH(D761, Pack_Master!A:A, 0)),
              Product_Master!B:B, 0 )
))
</f>
        <v>Apparel_Caps_Beanies</v>
      </c>
      <c r="C761" s="7" t="s">
        <v>531</v>
      </c>
      <c r="D761" s="8" t="s">
        <v>382</v>
      </c>
      <c r="E761" s="9" t="s">
        <v>12</v>
      </c>
      <c r="F761" s="8" t="s">
        <v>1382</v>
      </c>
      <c r="G761" s="5"/>
      <c r="H761" s="5"/>
      <c r="I761" s="5"/>
    </row>
    <row r="762">
      <c r="A762" s="5" t="s">
        <v>1162</v>
      </c>
      <c r="B762" s="6" t="str">
        <f t="array" ref="B762">IF(D762="","",
 INDEX(Product_Master!A:A,
       MATCH( INDEX(Pack_Master!B:B, MATCH(D762, Pack_Master!A:A, 0)),
              Product_Master!B:B, 0 )
))
</f>
        <v>Apparel_Caps_Beanies</v>
      </c>
      <c r="C762" s="7" t="s">
        <v>543</v>
      </c>
      <c r="D762" s="8" t="s">
        <v>383</v>
      </c>
      <c r="E762" s="9" t="s">
        <v>12</v>
      </c>
      <c r="F762" s="8" t="s">
        <v>1383</v>
      </c>
      <c r="G762" s="5"/>
      <c r="H762" s="5"/>
      <c r="I762" s="5"/>
    </row>
    <row r="763">
      <c r="A763" s="5" t="s">
        <v>1162</v>
      </c>
      <c r="B763" s="6" t="str">
        <f t="array" ref="B763">IF(D763="","",
 INDEX(Product_Master!A:A,
       MATCH( INDEX(Pack_Master!B:B, MATCH(D763, Pack_Master!A:A, 0)),
              Product_Master!B:B, 0 )
))
</f>
        <v>Apparel_Caps_Beanies</v>
      </c>
      <c r="C763" s="7" t="s">
        <v>544</v>
      </c>
      <c r="D763" s="8" t="s">
        <v>384</v>
      </c>
      <c r="E763" s="9" t="s">
        <v>12</v>
      </c>
      <c r="F763" s="8" t="s">
        <v>1384</v>
      </c>
      <c r="G763" s="5"/>
      <c r="H763" s="5"/>
      <c r="I763" s="5"/>
    </row>
    <row r="764">
      <c r="A764" s="5" t="s">
        <v>1162</v>
      </c>
      <c r="B764" s="6" t="str">
        <f t="array" ref="B764">IF(D764="","",
 INDEX(Product_Master!A:A,
       MATCH( INDEX(Pack_Master!B:B, MATCH(D764, Pack_Master!A:A, 0)),
              Product_Master!B:B, 0 )
))
</f>
        <v>Apparel_Caps_Beanies</v>
      </c>
      <c r="C764" s="7" t="s">
        <v>545</v>
      </c>
      <c r="D764" s="8" t="s">
        <v>546</v>
      </c>
      <c r="E764" s="9" t="s">
        <v>12</v>
      </c>
      <c r="F764" s="8" t="s">
        <v>1385</v>
      </c>
      <c r="G764" s="5"/>
      <c r="H764" s="5"/>
      <c r="I764" s="5"/>
    </row>
    <row r="765">
      <c r="A765" s="5" t="s">
        <v>1162</v>
      </c>
      <c r="B765" s="6" t="str">
        <f t="array" ref="B765">IF(D765="","",
 INDEX(Product_Master!A:A,
       MATCH( INDEX(Pack_Master!B:B, MATCH(D765, Pack_Master!A:A, 0)),
              Product_Master!B:B, 0 )
))
</f>
        <v>Apparel_Caps_Beanies</v>
      </c>
      <c r="C765" s="7" t="s">
        <v>547</v>
      </c>
      <c r="D765" s="8" t="s">
        <v>548</v>
      </c>
      <c r="E765" s="9" t="s">
        <v>12</v>
      </c>
      <c r="F765" s="8" t="s">
        <v>1386</v>
      </c>
      <c r="G765" s="5"/>
      <c r="H765" s="5"/>
      <c r="I765" s="5"/>
    </row>
    <row r="766">
      <c r="A766" s="5" t="s">
        <v>1162</v>
      </c>
      <c r="B766" s="6" t="str">
        <f t="array" ref="B766">IF(D766="","",
 INDEX(Product_Master!A:A,
       MATCH( INDEX(Pack_Master!B:B, MATCH(D766, Pack_Master!A:A, 0)),
              Product_Master!B:B, 0 )
))
</f>
        <v>Apparel_Caps_Beanies</v>
      </c>
      <c r="C766" s="7" t="s">
        <v>550</v>
      </c>
      <c r="D766" s="8" t="s">
        <v>551</v>
      </c>
      <c r="E766" s="9" t="s">
        <v>12</v>
      </c>
      <c r="F766" s="8" t="s">
        <v>1387</v>
      </c>
      <c r="G766" s="5"/>
      <c r="H766" s="5"/>
      <c r="I766" s="5"/>
    </row>
    <row r="767">
      <c r="A767" s="5" t="s">
        <v>1162</v>
      </c>
      <c r="B767" s="6" t="str">
        <f t="array" ref="B767">IF(D767="","",
 INDEX(Product_Master!A:A,
       MATCH( INDEX(Pack_Master!B:B, MATCH(D767, Pack_Master!A:A, 0)),
              Product_Master!B:B, 0 )
))
</f>
        <v>Apparel_Caps_Beanies</v>
      </c>
      <c r="C767" s="7" t="s">
        <v>552</v>
      </c>
      <c r="D767" s="8" t="s">
        <v>553</v>
      </c>
      <c r="E767" s="9" t="s">
        <v>12</v>
      </c>
      <c r="F767" s="8" t="s">
        <v>1388</v>
      </c>
      <c r="G767" s="5"/>
      <c r="H767" s="5"/>
      <c r="I767" s="5"/>
    </row>
    <row r="768">
      <c r="A768" s="5" t="s">
        <v>1162</v>
      </c>
      <c r="B768" s="6" t="str">
        <f t="array" ref="B768">IF(D768="","",
 INDEX(Product_Master!A:A,
       MATCH( INDEX(Pack_Master!B:B, MATCH(D768, Pack_Master!A:A, 0)),
              Product_Master!B:B, 0 )
))
</f>
        <v>Apparel_Caps_Beanies</v>
      </c>
      <c r="C768" s="7" t="s">
        <v>554</v>
      </c>
      <c r="D768" s="8" t="s">
        <v>555</v>
      </c>
      <c r="E768" s="9" t="s">
        <v>12</v>
      </c>
      <c r="F768" s="8" t="s">
        <v>1389</v>
      </c>
      <c r="G768" s="5"/>
      <c r="H768" s="5"/>
      <c r="I768" s="5"/>
    </row>
    <row r="769">
      <c r="A769" s="5" t="s">
        <v>1162</v>
      </c>
      <c r="B769" s="6" t="str">
        <f t="array" ref="B769">IF(D769="","",
 INDEX(Product_Master!A:A,
       MATCH( INDEX(Pack_Master!B:B, MATCH(D769, Pack_Master!A:A, 0)),
              Product_Master!B:B, 0 )
))
</f>
        <v>Apparel_Caps_Beanies</v>
      </c>
      <c r="C769" s="7" t="s">
        <v>556</v>
      </c>
      <c r="D769" s="8" t="s">
        <v>557</v>
      </c>
      <c r="E769" s="9" t="s">
        <v>12</v>
      </c>
      <c r="F769" s="8" t="s">
        <v>1390</v>
      </c>
      <c r="G769" s="5"/>
      <c r="H769" s="5"/>
      <c r="I769" s="5"/>
    </row>
    <row r="770">
      <c r="A770" s="5" t="s">
        <v>1162</v>
      </c>
      <c r="B770" s="6" t="str">
        <f t="array" ref="B770">IF(D770="","",
 INDEX(Product_Master!A:A,
       MATCH( INDEX(Pack_Master!B:B, MATCH(D770, Pack_Master!A:A, 0)),
              Product_Master!B:B, 0 )
))
</f>
        <v>Apparel_Caps_Beanies</v>
      </c>
      <c r="C770" s="7" t="s">
        <v>558</v>
      </c>
      <c r="D770" s="8" t="s">
        <v>559</v>
      </c>
      <c r="E770" s="9" t="s">
        <v>12</v>
      </c>
      <c r="F770" s="8" t="s">
        <v>1391</v>
      </c>
      <c r="G770" s="5"/>
      <c r="H770" s="5"/>
      <c r="I770" s="5"/>
    </row>
    <row r="771">
      <c r="A771" s="5" t="s">
        <v>1162</v>
      </c>
      <c r="B771" s="6" t="str">
        <f t="array" ref="B771">IF(D771="","",
 INDEX(Product_Master!A:A,
       MATCH( INDEX(Pack_Master!B:B, MATCH(D771, Pack_Master!A:A, 0)),
              Product_Master!B:B, 0 )
))
</f>
        <v>Apparel_Caps_Beanies</v>
      </c>
      <c r="C771" s="7" t="s">
        <v>560</v>
      </c>
      <c r="D771" s="8" t="s">
        <v>561</v>
      </c>
      <c r="E771" s="9" t="s">
        <v>12</v>
      </c>
      <c r="F771" s="8" t="s">
        <v>1392</v>
      </c>
      <c r="G771" s="5"/>
      <c r="H771" s="5"/>
      <c r="I771" s="5"/>
    </row>
    <row r="772">
      <c r="A772" s="5" t="s">
        <v>1162</v>
      </c>
      <c r="B772" s="6" t="str">
        <f t="array" ref="B772">IF(D772="","",
 INDEX(Product_Master!A:A,
       MATCH( INDEX(Pack_Master!B:B, MATCH(D772, Pack_Master!A:A, 0)),
              Product_Master!B:B, 0 )
))
</f>
        <v>Apparel_Caps_Beanies</v>
      </c>
      <c r="C772" s="7" t="s">
        <v>562</v>
      </c>
      <c r="D772" s="8" t="s">
        <v>563</v>
      </c>
      <c r="E772" s="9" t="s">
        <v>12</v>
      </c>
      <c r="F772" s="8" t="s">
        <v>1393</v>
      </c>
      <c r="G772" s="5"/>
      <c r="H772" s="5"/>
      <c r="I772" s="5"/>
    </row>
    <row r="773">
      <c r="A773" s="5" t="s">
        <v>1162</v>
      </c>
      <c r="B773" s="6" t="str">
        <f t="array" ref="B773">IF(D773="","",
 INDEX(Product_Master!A:A,
       MATCH( INDEX(Pack_Master!B:B, MATCH(D773, Pack_Master!A:A, 0)),
              Product_Master!B:B, 0 )
))
</f>
        <v>Apparel_Caps_Beanies</v>
      </c>
      <c r="C773" s="7" t="s">
        <v>564</v>
      </c>
      <c r="D773" s="8" t="s">
        <v>565</v>
      </c>
      <c r="E773" s="9" t="s">
        <v>12</v>
      </c>
      <c r="F773" s="8" t="s">
        <v>1394</v>
      </c>
      <c r="G773" s="5"/>
      <c r="H773" s="5"/>
      <c r="I773" s="5"/>
    </row>
    <row r="774">
      <c r="A774" s="5" t="s">
        <v>1162</v>
      </c>
      <c r="B774" s="6" t="str">
        <f t="array" ref="B774">IF(D774="","",
 INDEX(Product_Master!A:A,
       MATCH( INDEX(Pack_Master!B:B, MATCH(D774, Pack_Master!A:A, 0)),
              Product_Master!B:B, 0 )
))
</f>
        <v>Apparel_Caps_Beanies</v>
      </c>
      <c r="C774" s="7" t="s">
        <v>1395</v>
      </c>
      <c r="D774" s="8" t="s">
        <v>1396</v>
      </c>
      <c r="E774" s="9" t="s">
        <v>12</v>
      </c>
      <c r="F774" s="8" t="s">
        <v>1397</v>
      </c>
      <c r="G774" s="5"/>
      <c r="H774" s="5"/>
      <c r="I774" s="5"/>
    </row>
    <row r="775">
      <c r="A775" s="5" t="s">
        <v>1162</v>
      </c>
      <c r="B775" s="6" t="str">
        <f t="array" ref="B775">IF(D775="","",
 INDEX(Product_Master!A:A,
       MATCH( INDEX(Pack_Master!B:B, MATCH(D775, Pack_Master!A:A, 0)),
              Product_Master!B:B, 0 )
))
</f>
        <v>Apparel_Caps_Beanies</v>
      </c>
      <c r="C775" s="7" t="s">
        <v>566</v>
      </c>
      <c r="D775" s="8" t="s">
        <v>567</v>
      </c>
      <c r="E775" s="9" t="s">
        <v>12</v>
      </c>
      <c r="F775" s="8" t="s">
        <v>1398</v>
      </c>
      <c r="G775" s="5"/>
      <c r="H775" s="5"/>
      <c r="I775" s="5"/>
    </row>
    <row r="776">
      <c r="A776" s="5" t="s">
        <v>1162</v>
      </c>
      <c r="B776" s="6" t="str">
        <f t="array" ref="B776">IF(D776="","",
 INDEX(Product_Master!A:A,
       MATCH( INDEX(Pack_Master!B:B, MATCH(D776, Pack_Master!A:A, 0)),
              Product_Master!B:B, 0 )
))
</f>
        <v>Apparel_Caps_Beanies</v>
      </c>
      <c r="C776" s="7" t="s">
        <v>568</v>
      </c>
      <c r="D776" s="8" t="s">
        <v>569</v>
      </c>
      <c r="E776" s="9" t="s">
        <v>12</v>
      </c>
      <c r="F776" s="8" t="s">
        <v>1399</v>
      </c>
      <c r="G776" s="5"/>
      <c r="H776" s="5"/>
      <c r="I776" s="5"/>
    </row>
    <row r="777">
      <c r="A777" s="5" t="s">
        <v>1162</v>
      </c>
      <c r="B777" s="6" t="str">
        <f t="array" ref="B777">IF(D777="","",
 INDEX(Product_Master!A:A,
       MATCH( INDEX(Pack_Master!B:B, MATCH(D777, Pack_Master!A:A, 0)),
              Product_Master!B:B, 0 )
))
</f>
        <v>Apparel_Caps_Beanies</v>
      </c>
      <c r="C777" s="7" t="s">
        <v>570</v>
      </c>
      <c r="D777" s="8" t="s">
        <v>571</v>
      </c>
      <c r="E777" s="9" t="s">
        <v>12</v>
      </c>
      <c r="F777" s="8" t="s">
        <v>1400</v>
      </c>
      <c r="G777" s="5"/>
      <c r="H777" s="5"/>
      <c r="I777" s="5"/>
    </row>
    <row r="778">
      <c r="A778" s="5" t="s">
        <v>1162</v>
      </c>
      <c r="B778" s="6" t="str">
        <f t="array" ref="B778">IF(D778="","",
 INDEX(Product_Master!A:A,
       MATCH( INDEX(Pack_Master!B:B, MATCH(D778, Pack_Master!A:A, 0)),
              Product_Master!B:B, 0 )
))
</f>
        <v>Apparel_Caps_Beanies</v>
      </c>
      <c r="C778" s="7" t="s">
        <v>572</v>
      </c>
      <c r="D778" s="8" t="s">
        <v>573</v>
      </c>
      <c r="E778" s="9" t="s">
        <v>12</v>
      </c>
      <c r="F778" s="8" t="s">
        <v>1401</v>
      </c>
      <c r="G778" s="5"/>
      <c r="H778" s="5"/>
      <c r="I778" s="5"/>
    </row>
    <row r="779">
      <c r="A779" s="5" t="s">
        <v>1162</v>
      </c>
      <c r="B779" s="6" t="str">
        <f t="array" ref="B779">IF(D779="","",
 INDEX(Product_Master!A:A,
       MATCH( INDEX(Pack_Master!B:B, MATCH(D779, Pack_Master!A:A, 0)),
              Product_Master!B:B, 0 )
))
</f>
        <v>Apparel_Caps_Beanies</v>
      </c>
      <c r="C779" s="7" t="s">
        <v>574</v>
      </c>
      <c r="D779" s="8" t="s">
        <v>575</v>
      </c>
      <c r="E779" s="9" t="s">
        <v>12</v>
      </c>
      <c r="F779" s="8" t="s">
        <v>1402</v>
      </c>
      <c r="G779" s="5"/>
      <c r="H779" s="5"/>
      <c r="I779" s="5"/>
    </row>
    <row r="780">
      <c r="A780" s="5" t="s">
        <v>1162</v>
      </c>
      <c r="B780" s="6" t="str">
        <f t="array" ref="B780">IF(D780="","",
 INDEX(Product_Master!A:A,
       MATCH( INDEX(Pack_Master!B:B, MATCH(D780, Pack_Master!A:A, 0)),
              Product_Master!B:B, 0 )
))
</f>
        <v>Apparel_Caps_Beanies</v>
      </c>
      <c r="C780" s="7" t="s">
        <v>576</v>
      </c>
      <c r="D780" s="8" t="s">
        <v>577</v>
      </c>
      <c r="E780" s="9" t="s">
        <v>12</v>
      </c>
      <c r="F780" s="8" t="s">
        <v>1403</v>
      </c>
      <c r="G780" s="5"/>
      <c r="H780" s="5"/>
      <c r="I780" s="5"/>
    </row>
    <row r="781">
      <c r="A781" s="5" t="s">
        <v>1162</v>
      </c>
      <c r="B781" s="6" t="str">
        <f t="array" ref="B781">IF(D781="","",
 INDEX(Product_Master!A:A,
       MATCH( INDEX(Pack_Master!B:B, MATCH(D781, Pack_Master!A:A, 0)),
              Product_Master!B:B, 0 )
))
</f>
        <v>Apparel_Caps_Beanies</v>
      </c>
      <c r="C781" s="7" t="s">
        <v>579</v>
      </c>
      <c r="D781" s="8" t="s">
        <v>580</v>
      </c>
      <c r="E781" s="9" t="s">
        <v>12</v>
      </c>
      <c r="F781" s="8" t="s">
        <v>1404</v>
      </c>
      <c r="G781" s="5"/>
      <c r="H781" s="5"/>
      <c r="I781" s="5"/>
    </row>
    <row r="782">
      <c r="A782" s="5" t="s">
        <v>1162</v>
      </c>
      <c r="B782" s="6" t="str">
        <f t="array" ref="B782">IF(D782="","",
 INDEX(Product_Master!A:A,
       MATCH( INDEX(Pack_Master!B:B, MATCH(D782, Pack_Master!A:A, 0)),
              Product_Master!B:B, 0 )
))
</f>
        <v>Apparel_Caps_Beanies</v>
      </c>
      <c r="C782" s="7" t="s">
        <v>581</v>
      </c>
      <c r="D782" s="8" t="s">
        <v>582</v>
      </c>
      <c r="E782" s="9" t="s">
        <v>12</v>
      </c>
      <c r="F782" s="8" t="s">
        <v>1405</v>
      </c>
      <c r="G782" s="5"/>
      <c r="H782" s="5"/>
      <c r="I782" s="5"/>
    </row>
    <row r="783">
      <c r="A783" s="5" t="s">
        <v>1162</v>
      </c>
      <c r="B783" s="6" t="str">
        <f t="array" ref="B783">IF(D783="","",
 INDEX(Product_Master!A:A,
       MATCH( INDEX(Pack_Master!B:B, MATCH(D783, Pack_Master!A:A, 0)),
              Product_Master!B:B, 0 )
))
</f>
        <v>Apparel_Caps_Beanies</v>
      </c>
      <c r="C783" s="7" t="s">
        <v>583</v>
      </c>
      <c r="D783" s="8" t="s">
        <v>584</v>
      </c>
      <c r="E783" s="9" t="s">
        <v>12</v>
      </c>
      <c r="F783" s="8" t="s">
        <v>1406</v>
      </c>
      <c r="G783" s="5"/>
      <c r="H783" s="5"/>
      <c r="I783" s="5"/>
    </row>
    <row r="784">
      <c r="A784" s="5" t="s">
        <v>1162</v>
      </c>
      <c r="B784" s="6" t="str">
        <f t="array" ref="B784">IF(D784="","",
 INDEX(Product_Master!A:A,
       MATCH( INDEX(Pack_Master!B:B, MATCH(D784, Pack_Master!A:A, 0)),
              Product_Master!B:B, 0 )
))
</f>
        <v>Apparel_Caps_Beanies</v>
      </c>
      <c r="C784" s="7" t="s">
        <v>585</v>
      </c>
      <c r="D784" s="8" t="s">
        <v>586</v>
      </c>
      <c r="E784" s="9" t="s">
        <v>12</v>
      </c>
      <c r="F784" s="8" t="s">
        <v>1407</v>
      </c>
      <c r="G784" s="5"/>
      <c r="H784" s="5"/>
      <c r="I784" s="5"/>
    </row>
    <row r="785">
      <c r="A785" s="5" t="s">
        <v>1162</v>
      </c>
      <c r="B785" s="6" t="str">
        <f t="array" ref="B785">IF(D785="","",
 INDEX(Product_Master!A:A,
       MATCH( INDEX(Pack_Master!B:B, MATCH(D785, Pack_Master!A:A, 0)),
              Product_Master!B:B, 0 )
))
</f>
        <v>Apparel_Caps_Beanies</v>
      </c>
      <c r="C785" s="7" t="s">
        <v>587</v>
      </c>
      <c r="D785" s="8" t="s">
        <v>588</v>
      </c>
      <c r="E785" s="9" t="s">
        <v>12</v>
      </c>
      <c r="F785" s="8" t="s">
        <v>1408</v>
      </c>
      <c r="G785" s="5"/>
      <c r="H785" s="5"/>
      <c r="I785" s="5"/>
    </row>
    <row r="786">
      <c r="A786" s="5" t="s">
        <v>1162</v>
      </c>
      <c r="B786" s="6" t="str">
        <f t="array" ref="B786">IF(D786="","",
 INDEX(Product_Master!A:A,
       MATCH( INDEX(Pack_Master!B:B, MATCH(D786, Pack_Master!A:A, 0)),
              Product_Master!B:B, 0 )
))
</f>
        <v>Apparel_Caps_Beanies</v>
      </c>
      <c r="C786" s="7" t="s">
        <v>590</v>
      </c>
      <c r="D786" s="8" t="s">
        <v>591</v>
      </c>
      <c r="E786" s="9" t="s">
        <v>12</v>
      </c>
      <c r="F786" s="8" t="s">
        <v>1409</v>
      </c>
      <c r="G786" s="5"/>
      <c r="H786" s="5"/>
      <c r="I786" s="5"/>
    </row>
    <row r="787">
      <c r="A787" s="5" t="s">
        <v>1162</v>
      </c>
      <c r="B787" s="6" t="str">
        <f t="array" ref="B787">IF(D787="","",
 INDEX(Product_Master!A:A,
       MATCH( INDEX(Pack_Master!B:B, MATCH(D787, Pack_Master!A:A, 0)),
              Product_Master!B:B, 0 )
))
</f>
        <v>Apparel_Caps_Beanies</v>
      </c>
      <c r="C787" s="7" t="s">
        <v>593</v>
      </c>
      <c r="D787" s="8" t="s">
        <v>594</v>
      </c>
      <c r="E787" s="9" t="s">
        <v>12</v>
      </c>
      <c r="F787" s="8" t="s">
        <v>1410</v>
      </c>
      <c r="G787" s="5"/>
      <c r="H787" s="5"/>
      <c r="I787" s="5"/>
    </row>
    <row r="788">
      <c r="A788" s="5" t="s">
        <v>1162</v>
      </c>
      <c r="B788" s="6" t="str">
        <f t="array" ref="B788">IF(D788="","",
 INDEX(Product_Master!A:A,
       MATCH( INDEX(Pack_Master!B:B, MATCH(D788, Pack_Master!A:A, 0)),
              Product_Master!B:B, 0 )
))
</f>
        <v>Apparel_Caps_Beanies</v>
      </c>
      <c r="C788" s="7" t="s">
        <v>596</v>
      </c>
      <c r="D788" s="8" t="s">
        <v>137</v>
      </c>
      <c r="E788" s="9" t="s">
        <v>12</v>
      </c>
      <c r="F788" s="8" t="s">
        <v>1411</v>
      </c>
      <c r="G788" s="5"/>
      <c r="H788" s="5"/>
      <c r="I788" s="5"/>
    </row>
    <row r="789">
      <c r="A789" s="5" t="s">
        <v>1162</v>
      </c>
      <c r="B789" s="6" t="str">
        <f t="array" ref="B789">IF(D789="","",
 INDEX(Product_Master!A:A,
       MATCH( INDEX(Pack_Master!B:B, MATCH(D789, Pack_Master!A:A, 0)),
              Product_Master!B:B, 0 )
))
</f>
        <v>Apparel_Caps_Beanies</v>
      </c>
      <c r="C789" s="7" t="s">
        <v>598</v>
      </c>
      <c r="D789" s="8" t="s">
        <v>16</v>
      </c>
      <c r="E789" s="9" t="s">
        <v>12</v>
      </c>
      <c r="F789" s="8" t="s">
        <v>1412</v>
      </c>
      <c r="G789" s="5"/>
      <c r="H789" s="5"/>
      <c r="I789" s="5"/>
    </row>
    <row r="790">
      <c r="A790" s="5" t="s">
        <v>1162</v>
      </c>
      <c r="B790" s="6" t="str">
        <f t="array" ref="B790">IF(D790="","",
 INDEX(Product_Master!A:A,
       MATCH( INDEX(Pack_Master!B:B, MATCH(D790, Pack_Master!A:A, 0)),
              Product_Master!B:B, 0 )
))
</f>
        <v>Apparel_Caps_Beanies</v>
      </c>
      <c r="C790" s="7" t="s">
        <v>599</v>
      </c>
      <c r="D790" s="8" t="s">
        <v>600</v>
      </c>
      <c r="E790" s="9" t="s">
        <v>12</v>
      </c>
      <c r="F790" s="8" t="s">
        <v>1413</v>
      </c>
      <c r="G790" s="5"/>
      <c r="H790" s="5"/>
      <c r="I790" s="5"/>
    </row>
    <row r="791">
      <c r="A791" s="5" t="s">
        <v>1162</v>
      </c>
      <c r="B791" s="6" t="str">
        <f t="array" ref="B791">IF(D791="","",
 INDEX(Product_Master!A:A,
       MATCH( INDEX(Pack_Master!B:B, MATCH(D791, Pack_Master!A:A, 0)),
              Product_Master!B:B, 0 )
))
</f>
        <v>Apparel_Caps_Beanies</v>
      </c>
      <c r="C791" s="7" t="s">
        <v>1414</v>
      </c>
      <c r="D791" s="8" t="s">
        <v>600</v>
      </c>
      <c r="E791" s="9" t="s">
        <v>12</v>
      </c>
      <c r="F791" s="8" t="s">
        <v>1415</v>
      </c>
      <c r="G791" s="5"/>
      <c r="H791" s="5"/>
      <c r="I791" s="5"/>
    </row>
    <row r="792">
      <c r="A792" s="5" t="s">
        <v>1162</v>
      </c>
      <c r="B792" s="6" t="str">
        <f t="array" ref="B792">IF(D792="","",
 INDEX(Product_Master!A:A,
       MATCH( INDEX(Pack_Master!B:B, MATCH(D792, Pack_Master!A:A, 0)),
              Product_Master!B:B, 0 )
))
</f>
        <v>Apparel_Caps_Beanies</v>
      </c>
      <c r="C792" s="7" t="s">
        <v>601</v>
      </c>
      <c r="D792" s="8" t="s">
        <v>602</v>
      </c>
      <c r="E792" s="9" t="s">
        <v>12</v>
      </c>
      <c r="F792" s="8" t="s">
        <v>1416</v>
      </c>
      <c r="G792" s="5"/>
      <c r="H792" s="5"/>
      <c r="I792" s="5"/>
    </row>
    <row r="793">
      <c r="A793" s="5" t="s">
        <v>1162</v>
      </c>
      <c r="B793" s="6" t="str">
        <f t="array" ref="B793">IF(D793="","",
 INDEX(Product_Master!A:A,
       MATCH( INDEX(Pack_Master!B:B, MATCH(D793, Pack_Master!A:A, 0)),
              Product_Master!B:B, 0 )
))
</f>
        <v>Apparel_Caps_Beanies</v>
      </c>
      <c r="C793" s="7" t="s">
        <v>604</v>
      </c>
      <c r="D793" s="8" t="s">
        <v>605</v>
      </c>
      <c r="E793" s="9" t="s">
        <v>12</v>
      </c>
      <c r="F793" s="8" t="s">
        <v>1417</v>
      </c>
      <c r="G793" s="5"/>
      <c r="H793" s="5"/>
      <c r="I793" s="5"/>
    </row>
    <row r="794">
      <c r="A794" s="5" t="s">
        <v>1162</v>
      </c>
      <c r="B794" s="6" t="str">
        <f t="array" ref="B794">IF(D794="","",
 INDEX(Product_Master!A:A,
       MATCH( INDEX(Pack_Master!B:B, MATCH(D794, Pack_Master!A:A, 0)),
              Product_Master!B:B, 0 )
))
</f>
        <v>Apparel_Caps_Beanies</v>
      </c>
      <c r="C794" s="7" t="s">
        <v>1418</v>
      </c>
      <c r="D794" s="8" t="s">
        <v>605</v>
      </c>
      <c r="E794" s="9" t="s">
        <v>12</v>
      </c>
      <c r="F794" s="8" t="s">
        <v>1419</v>
      </c>
      <c r="G794" s="5"/>
      <c r="H794" s="5"/>
      <c r="I794" s="5"/>
    </row>
    <row r="795">
      <c r="A795" s="5" t="s">
        <v>1162</v>
      </c>
      <c r="B795" s="6" t="str">
        <f t="array" ref="B795">IF(D795="","",
 INDEX(Product_Master!A:A,
       MATCH( INDEX(Pack_Master!B:B, MATCH(D795, Pack_Master!A:A, 0)),
              Product_Master!B:B, 0 )
))
</f>
        <v>Apparel_Caps_Beanies</v>
      </c>
      <c r="C795" s="7" t="s">
        <v>606</v>
      </c>
      <c r="D795" s="8" t="s">
        <v>607</v>
      </c>
      <c r="E795" s="9" t="s">
        <v>12</v>
      </c>
      <c r="F795" s="8" t="s">
        <v>1420</v>
      </c>
      <c r="G795" s="5"/>
      <c r="H795" s="5"/>
      <c r="I795" s="5"/>
    </row>
    <row r="796">
      <c r="A796" s="5" t="s">
        <v>1162</v>
      </c>
      <c r="B796" s="6" t="str">
        <f t="array" ref="B796">IF(D796="","",
 INDEX(Product_Master!A:A,
       MATCH( INDEX(Pack_Master!B:B, MATCH(D796, Pack_Master!A:A, 0)),
              Product_Master!B:B, 0 )
))
</f>
        <v>Apparel_Caps_Beanies</v>
      </c>
      <c r="C796" s="7" t="s">
        <v>612</v>
      </c>
      <c r="D796" s="8" t="s">
        <v>613</v>
      </c>
      <c r="E796" s="9" t="s">
        <v>12</v>
      </c>
      <c r="F796" s="8" t="s">
        <v>1421</v>
      </c>
      <c r="G796" s="5"/>
      <c r="H796" s="5"/>
      <c r="I796" s="5"/>
    </row>
    <row r="797">
      <c r="A797" s="5" t="s">
        <v>1162</v>
      </c>
      <c r="B797" s="6" t="str">
        <f t="array" ref="B797">IF(D797="","",
 INDEX(Product_Master!A:A,
       MATCH( INDEX(Pack_Master!B:B, MATCH(D797, Pack_Master!A:A, 0)),
              Product_Master!B:B, 0 )
))
</f>
        <v>Automotive_FaceMasks</v>
      </c>
      <c r="C797" s="7" t="s">
        <v>624</v>
      </c>
      <c r="D797" s="8" t="s">
        <v>18</v>
      </c>
      <c r="E797" s="9" t="s">
        <v>12</v>
      </c>
      <c r="F797" s="8" t="s">
        <v>1422</v>
      </c>
      <c r="G797" s="5"/>
      <c r="H797" s="5"/>
      <c r="I797" s="5"/>
    </row>
    <row r="798">
      <c r="A798" s="5" t="s">
        <v>1162</v>
      </c>
      <c r="B798" s="6" t="str">
        <f t="array" ref="B798">IF(D798="","",
 INDEX(Product_Master!A:A,
       MATCH( INDEX(Pack_Master!B:B, MATCH(D798, Pack_Master!A:A, 0)),
              Product_Master!B:B, 0 )
))
</f>
        <v>Automotive_FaceMasks</v>
      </c>
      <c r="C798" s="7" t="s">
        <v>1423</v>
      </c>
      <c r="D798" s="8" t="s">
        <v>1424</v>
      </c>
      <c r="E798" s="9" t="s">
        <v>12</v>
      </c>
      <c r="F798" s="8" t="s">
        <v>1425</v>
      </c>
      <c r="G798" s="5"/>
      <c r="H798" s="5"/>
      <c r="I798" s="5"/>
    </row>
    <row r="799">
      <c r="A799" s="5" t="s">
        <v>1162</v>
      </c>
      <c r="B799" s="6" t="str">
        <f t="array" ref="B799">IF(D799="","",
 INDEX(Product_Master!A:A,
       MATCH( INDEX(Pack_Master!B:B, MATCH(D799, Pack_Master!A:A, 0)),
              Product_Master!B:B, 0 )
))
</f>
        <v>Automotive_FaceMasks</v>
      </c>
      <c r="C799" s="7" t="s">
        <v>633</v>
      </c>
      <c r="D799" s="8" t="s">
        <v>634</v>
      </c>
      <c r="E799" s="9" t="s">
        <v>12</v>
      </c>
      <c r="F799" s="8" t="s">
        <v>1426</v>
      </c>
      <c r="G799" s="5"/>
      <c r="H799" s="5"/>
      <c r="I799" s="5"/>
    </row>
    <row r="800">
      <c r="A800" s="5" t="s">
        <v>1162</v>
      </c>
      <c r="B800" s="6" t="str">
        <f t="array" ref="B800">IF(D800="","",
 INDEX(Product_Master!A:A,
       MATCH( INDEX(Pack_Master!B:B, MATCH(D800, Pack_Master!A:A, 0)),
              Product_Master!B:B, 0 )
))
</f>
        <v>Apparel_Accessories_Winter</v>
      </c>
      <c r="C800" s="7" t="s">
        <v>649</v>
      </c>
      <c r="D800" s="8" t="s">
        <v>650</v>
      </c>
      <c r="E800" s="9" t="s">
        <v>12</v>
      </c>
      <c r="F800" s="8" t="s">
        <v>1427</v>
      </c>
      <c r="G800" s="5"/>
      <c r="H800" s="5"/>
      <c r="I800" s="5"/>
    </row>
    <row r="801">
      <c r="A801" s="5" t="s">
        <v>1162</v>
      </c>
      <c r="B801" s="6" t="str">
        <f t="array" ref="B801">IF(D801="","",
 INDEX(Product_Master!A:A,
       MATCH( INDEX(Pack_Master!B:B, MATCH(D801, Pack_Master!A:A, 0)),
              Product_Master!B:B, 0 )
))
</f>
        <v>Apparel_Tshirts</v>
      </c>
      <c r="C801" s="7" t="s">
        <v>651</v>
      </c>
      <c r="D801" s="8" t="s">
        <v>652</v>
      </c>
      <c r="E801" s="9" t="s">
        <v>12</v>
      </c>
      <c r="F801" s="8" t="s">
        <v>1428</v>
      </c>
      <c r="G801" s="5"/>
      <c r="H801" s="5"/>
      <c r="I801" s="5"/>
    </row>
    <row r="802">
      <c r="A802" s="5" t="s">
        <v>1162</v>
      </c>
      <c r="B802" s="6" t="str">
        <f t="array" ref="B802">IF(D802="","",
 INDEX(Product_Master!A:A,
       MATCH( INDEX(Pack_Master!B:B, MATCH(D802, Pack_Master!A:A, 0)),
              Product_Master!B:B, 0 )
))
</f>
        <v>Apparel_Tshirts</v>
      </c>
      <c r="C802" s="7" t="s">
        <v>653</v>
      </c>
      <c r="D802" s="8" t="s">
        <v>654</v>
      </c>
      <c r="E802" s="9" t="s">
        <v>12</v>
      </c>
      <c r="F802" s="8" t="s">
        <v>1429</v>
      </c>
      <c r="G802" s="5"/>
      <c r="H802" s="5"/>
      <c r="I802" s="5"/>
    </row>
    <row r="803">
      <c r="A803" s="5" t="s">
        <v>1162</v>
      </c>
      <c r="B803" s="6" t="str">
        <f t="array" ref="B803">IF(D803="","",
 INDEX(Product_Master!A:A,
       MATCH( INDEX(Pack_Master!B:B, MATCH(D803, Pack_Master!A:A, 0)),
              Product_Master!B:B, 0 )
))
</f>
        <v>Apparel_Tshirts</v>
      </c>
      <c r="C803" s="7" t="s">
        <v>659</v>
      </c>
      <c r="D803" s="8" t="s">
        <v>660</v>
      </c>
      <c r="E803" s="9" t="s">
        <v>12</v>
      </c>
      <c r="F803" s="8" t="s">
        <v>1430</v>
      </c>
      <c r="G803" s="5"/>
      <c r="H803" s="5"/>
      <c r="I803" s="5"/>
    </row>
    <row r="804">
      <c r="A804" s="5" t="s">
        <v>1162</v>
      </c>
      <c r="B804" s="6" t="str">
        <f t="array" ref="B804">IF(D804="","",
 INDEX(Product_Master!A:A,
       MATCH( INDEX(Pack_Master!B:B, MATCH(D804, Pack_Master!A:A, 0)),
              Product_Master!B:B, 0 )
))
</f>
        <v>Apparel_Tshirts</v>
      </c>
      <c r="C804" s="7" t="s">
        <v>661</v>
      </c>
      <c r="D804" s="8" t="s">
        <v>662</v>
      </c>
      <c r="E804" s="9" t="s">
        <v>12</v>
      </c>
      <c r="F804" s="8" t="s">
        <v>1431</v>
      </c>
      <c r="G804" s="5"/>
      <c r="H804" s="5"/>
      <c r="I804" s="5"/>
    </row>
    <row r="805">
      <c r="A805" s="5" t="s">
        <v>1162</v>
      </c>
      <c r="B805" s="6" t="str">
        <f t="array" ref="B805">IF(D805="","",
 INDEX(Product_Master!A:A,
       MATCH( INDEX(Pack_Master!B:B, MATCH(D805, Pack_Master!A:A, 0)),
              Product_Master!B:B, 0 )
))
</f>
        <v>Apparel_Tshirts</v>
      </c>
      <c r="C805" s="7" t="s">
        <v>663</v>
      </c>
      <c r="D805" s="8" t="s">
        <v>664</v>
      </c>
      <c r="E805" s="9" t="s">
        <v>12</v>
      </c>
      <c r="F805" s="8" t="s">
        <v>1432</v>
      </c>
      <c r="G805" s="5"/>
      <c r="H805" s="5"/>
      <c r="I805" s="5"/>
    </row>
    <row r="806">
      <c r="A806" s="5" t="s">
        <v>1162</v>
      </c>
      <c r="B806" s="6" t="str">
        <f t="array" ref="B806">IF(D806="","",
 INDEX(Product_Master!A:A,
       MATCH( INDEX(Pack_Master!B:B, MATCH(D806, Pack_Master!A:A, 0)),
              Product_Master!B:B, 0 )
))
</f>
        <v>Apparel_Tshirts</v>
      </c>
      <c r="C806" s="7" t="s">
        <v>665</v>
      </c>
      <c r="D806" s="8" t="s">
        <v>666</v>
      </c>
      <c r="E806" s="9" t="s">
        <v>12</v>
      </c>
      <c r="F806" s="8" t="s">
        <v>1433</v>
      </c>
      <c r="G806" s="5"/>
      <c r="H806" s="5"/>
      <c r="I806" s="5"/>
    </row>
    <row r="807">
      <c r="A807" s="5" t="s">
        <v>1162</v>
      </c>
      <c r="B807" s="6" t="str">
        <f t="array" ref="B807">IF(D807="","",
 INDEX(Product_Master!A:A,
       MATCH( INDEX(Pack_Master!B:B, MATCH(D807, Pack_Master!A:A, 0)),
              Product_Master!B:B, 0 )
))
</f>
        <v>Apparel_Tshirts</v>
      </c>
      <c r="C807" s="7" t="s">
        <v>667</v>
      </c>
      <c r="D807" s="8" t="s">
        <v>668</v>
      </c>
      <c r="E807" s="9" t="s">
        <v>12</v>
      </c>
      <c r="F807" s="8" t="s">
        <v>1434</v>
      </c>
      <c r="G807" s="5"/>
      <c r="H807" s="5"/>
      <c r="I807" s="5"/>
    </row>
    <row r="808">
      <c r="A808" s="5" t="s">
        <v>1162</v>
      </c>
      <c r="B808" s="6" t="str">
        <f t="array" ref="B808">IF(D808="","",
 INDEX(Product_Master!A:A,
       MATCH( INDEX(Pack_Master!B:B, MATCH(D808, Pack_Master!A:A, 0)),
              Product_Master!B:B, 0 )
))
</f>
        <v>Apparel_Tshirts</v>
      </c>
      <c r="C808" s="7" t="s">
        <v>669</v>
      </c>
      <c r="D808" s="8" t="s">
        <v>670</v>
      </c>
      <c r="E808" s="9" t="s">
        <v>12</v>
      </c>
      <c r="F808" s="8" t="s">
        <v>1435</v>
      </c>
      <c r="G808" s="5"/>
      <c r="H808" s="5"/>
      <c r="I808" s="5"/>
    </row>
    <row r="809">
      <c r="A809" s="5" t="s">
        <v>1162</v>
      </c>
      <c r="B809" s="6" t="str">
        <f t="array" ref="B809">IF(D809="","",
 INDEX(Product_Master!A:A,
       MATCH( INDEX(Pack_Master!B:B, MATCH(D809, Pack_Master!A:A, 0)),
              Product_Master!B:B, 0 )
))
</f>
        <v>Apparel_Tshirts</v>
      </c>
      <c r="C809" s="7" t="s">
        <v>676</v>
      </c>
      <c r="D809" s="8" t="s">
        <v>677</v>
      </c>
      <c r="E809" s="9" t="s">
        <v>12</v>
      </c>
      <c r="F809" s="8" t="s">
        <v>1436</v>
      </c>
      <c r="G809" s="5"/>
      <c r="H809" s="5"/>
      <c r="I809" s="5"/>
    </row>
    <row r="810">
      <c r="A810" s="5" t="s">
        <v>1162</v>
      </c>
      <c r="B810" s="6" t="str">
        <f t="array" ref="B810">IF(D810="","",
 INDEX(Product_Master!A:A,
       MATCH( INDEX(Pack_Master!B:B, MATCH(D810, Pack_Master!A:A, 0)),
              Product_Master!B:B, 0 )
))
</f>
        <v>Apparel_Tshirts</v>
      </c>
      <c r="C810" s="7" t="s">
        <v>678</v>
      </c>
      <c r="D810" s="8" t="s">
        <v>679</v>
      </c>
      <c r="E810" s="9" t="s">
        <v>12</v>
      </c>
      <c r="F810" s="8" t="s">
        <v>1437</v>
      </c>
      <c r="G810" s="5"/>
      <c r="H810" s="5"/>
      <c r="I810" s="5"/>
    </row>
    <row r="811">
      <c r="A811" s="5" t="s">
        <v>1162</v>
      </c>
      <c r="B811" s="6" t="str">
        <f t="array" ref="B811">IF(D811="","",
 INDEX(Product_Master!A:A,
       MATCH( INDEX(Pack_Master!B:B, MATCH(D811, Pack_Master!A:A, 0)),
              Product_Master!B:B, 0 )
))
</f>
        <v>Apparel_Tshirts</v>
      </c>
      <c r="C811" s="7" t="s">
        <v>680</v>
      </c>
      <c r="D811" s="8" t="s">
        <v>681</v>
      </c>
      <c r="E811" s="9" t="s">
        <v>12</v>
      </c>
      <c r="F811" s="8" t="s">
        <v>1438</v>
      </c>
      <c r="G811" s="5"/>
      <c r="H811" s="5"/>
      <c r="I811" s="5"/>
    </row>
    <row r="812">
      <c r="A812" s="5" t="s">
        <v>1162</v>
      </c>
      <c r="B812" s="6" t="str">
        <f t="array" ref="B812">IF(D812="","",
 INDEX(Product_Master!A:A,
       MATCH( INDEX(Pack_Master!B:B, MATCH(D812, Pack_Master!A:A, 0)),
              Product_Master!B:B, 0 )
))
</f>
        <v>Apparel_Tshirts</v>
      </c>
      <c r="C812" s="7" t="s">
        <v>682</v>
      </c>
      <c r="D812" s="8" t="s">
        <v>683</v>
      </c>
      <c r="E812" s="9" t="s">
        <v>12</v>
      </c>
      <c r="F812" s="8" t="s">
        <v>1439</v>
      </c>
      <c r="G812" s="5"/>
      <c r="H812" s="5"/>
      <c r="I812" s="5"/>
    </row>
    <row r="813">
      <c r="A813" s="5" t="s">
        <v>1162</v>
      </c>
      <c r="B813" s="6" t="str">
        <f t="array" ref="B813">IF(D813="","",
 INDEX(Product_Master!A:A,
       MATCH( INDEX(Pack_Master!B:B, MATCH(D813, Pack_Master!A:A, 0)),
              Product_Master!B:B, 0 )
))
</f>
        <v>Apparel_Tshirts</v>
      </c>
      <c r="C813" s="7" t="s">
        <v>686</v>
      </c>
      <c r="D813" s="8" t="s">
        <v>687</v>
      </c>
      <c r="E813" s="9" t="s">
        <v>12</v>
      </c>
      <c r="F813" s="8" t="s">
        <v>1440</v>
      </c>
      <c r="G813" s="5"/>
      <c r="H813" s="5"/>
      <c r="I813" s="5"/>
    </row>
    <row r="814">
      <c r="A814" s="5" t="s">
        <v>1162</v>
      </c>
      <c r="B814" s="6" t="str">
        <f t="array" ref="B814">IF(D814="","",
 INDEX(Product_Master!A:A,
       MATCH( INDEX(Pack_Master!B:B, MATCH(D814, Pack_Master!A:A, 0)),
              Product_Master!B:B, 0 )
))
</f>
        <v>Apparel_Tshirts</v>
      </c>
      <c r="C814" s="7" t="s">
        <v>688</v>
      </c>
      <c r="D814" s="8" t="s">
        <v>689</v>
      </c>
      <c r="E814" s="9" t="s">
        <v>12</v>
      </c>
      <c r="F814" s="8" t="s">
        <v>1441</v>
      </c>
      <c r="G814" s="5"/>
      <c r="H814" s="5"/>
      <c r="I814" s="5"/>
    </row>
    <row r="815">
      <c r="A815" s="5" t="s">
        <v>1162</v>
      </c>
      <c r="B815" s="6" t="str">
        <f t="array" ref="B815">IF(D815="","",
 INDEX(Product_Master!A:A,
       MATCH( INDEX(Pack_Master!B:B, MATCH(D815, Pack_Master!A:A, 0)),
              Product_Master!B:B, 0 )
))
</f>
        <v>Apparel_Tshirts</v>
      </c>
      <c r="C815" s="7" t="s">
        <v>690</v>
      </c>
      <c r="D815" s="8" t="s">
        <v>691</v>
      </c>
      <c r="E815" s="9" t="s">
        <v>12</v>
      </c>
      <c r="F815" s="8" t="s">
        <v>1442</v>
      </c>
      <c r="G815" s="5"/>
      <c r="H815" s="5"/>
      <c r="I815" s="5"/>
    </row>
    <row r="816">
      <c r="A816" s="5" t="s">
        <v>1162</v>
      </c>
      <c r="B816" s="6" t="str">
        <f t="array" ref="B816">IF(D816="","",
 INDEX(Product_Master!A:A,
       MATCH( INDEX(Pack_Master!B:B, MATCH(D816, Pack_Master!A:A, 0)),
              Product_Master!B:B, 0 )
))
</f>
        <v>Apparel_Tshirts</v>
      </c>
      <c r="C816" s="7" t="s">
        <v>702</v>
      </c>
      <c r="D816" s="8" t="s">
        <v>703</v>
      </c>
      <c r="E816" s="9" t="s">
        <v>12</v>
      </c>
      <c r="F816" s="8" t="s">
        <v>1443</v>
      </c>
      <c r="G816" s="5"/>
      <c r="H816" s="5"/>
      <c r="I816" s="5"/>
    </row>
    <row r="817">
      <c r="A817" s="5" t="s">
        <v>1162</v>
      </c>
      <c r="B817" s="6" t="str">
        <f t="array" ref="B817">IF(D817="","",
 INDEX(Product_Master!A:A,
       MATCH( INDEX(Pack_Master!B:B, MATCH(D817, Pack_Master!A:A, 0)),
              Product_Master!B:B, 0 )
))
</f>
        <v>Apparel_Tshirts</v>
      </c>
      <c r="C817" s="7" t="s">
        <v>704</v>
      </c>
      <c r="D817" s="8" t="s">
        <v>705</v>
      </c>
      <c r="E817" s="9" t="s">
        <v>12</v>
      </c>
      <c r="F817" s="8" t="s">
        <v>1444</v>
      </c>
      <c r="G817" s="5"/>
      <c r="H817" s="5"/>
      <c r="I817" s="5"/>
    </row>
    <row r="818">
      <c r="A818" s="5" t="s">
        <v>1162</v>
      </c>
      <c r="B818" s="6" t="str">
        <f t="array" ref="B818">IF(D818="","",
 INDEX(Product_Master!A:A,
       MATCH( INDEX(Pack_Master!B:B, MATCH(D818, Pack_Master!A:A, 0)),
              Product_Master!B:B, 0 )
))
</f>
        <v>Apparel_Tshirts</v>
      </c>
      <c r="C818" s="7" t="s">
        <v>708</v>
      </c>
      <c r="D818" s="8" t="s">
        <v>709</v>
      </c>
      <c r="E818" s="9" t="s">
        <v>12</v>
      </c>
      <c r="F818" s="8" t="s">
        <v>1445</v>
      </c>
      <c r="G818" s="5"/>
      <c r="H818" s="5"/>
      <c r="I818" s="5"/>
    </row>
    <row r="819">
      <c r="A819" s="5" t="s">
        <v>1162</v>
      </c>
      <c r="B819" s="6" t="str">
        <f t="array" ref="B819">IF(D819="","",
 INDEX(Product_Master!A:A,
       MATCH( INDEX(Pack_Master!B:B, MATCH(D819, Pack_Master!A:A, 0)),
              Product_Master!B:B, 0 )
))
</f>
        <v>Apparel_Tshirts</v>
      </c>
      <c r="C819" s="7" t="s">
        <v>710</v>
      </c>
      <c r="D819" s="8" t="s">
        <v>711</v>
      </c>
      <c r="E819" s="9" t="s">
        <v>12</v>
      </c>
      <c r="F819" s="8" t="s">
        <v>1446</v>
      </c>
      <c r="G819" s="5"/>
      <c r="H819" s="5"/>
      <c r="I819" s="5"/>
    </row>
    <row r="820">
      <c r="A820" s="5" t="s">
        <v>1162</v>
      </c>
      <c r="B820" s="6" t="str">
        <f t="array" ref="B820">IF(D820="","",
 INDEX(Product_Master!A:A,
       MATCH( INDEX(Pack_Master!B:B, MATCH(D820, Pack_Master!A:A, 0)),
              Product_Master!B:B, 0 )
))
</f>
        <v>Apparel_Tshirts</v>
      </c>
      <c r="C820" s="7" t="s">
        <v>716</v>
      </c>
      <c r="D820" s="8" t="s">
        <v>717</v>
      </c>
      <c r="E820" s="9" t="s">
        <v>12</v>
      </c>
      <c r="F820" s="8" t="s">
        <v>1447</v>
      </c>
      <c r="G820" s="5"/>
      <c r="H820" s="5"/>
      <c r="I820" s="5"/>
    </row>
    <row r="821">
      <c r="A821" s="5" t="s">
        <v>1162</v>
      </c>
      <c r="B821" s="6" t="str">
        <f t="array" ref="B821">IF(D821="","",
 INDEX(Product_Master!A:A,
       MATCH( INDEX(Pack_Master!B:B, MATCH(D821, Pack_Master!A:A, 0)),
              Product_Master!B:B, 0 )
))
</f>
        <v>Apparel_Tshirts</v>
      </c>
      <c r="C821" s="7" t="s">
        <v>719</v>
      </c>
      <c r="D821" s="8" t="s">
        <v>720</v>
      </c>
      <c r="E821" s="9" t="s">
        <v>12</v>
      </c>
      <c r="F821" s="8" t="s">
        <v>1448</v>
      </c>
      <c r="G821" s="5"/>
      <c r="H821" s="5"/>
      <c r="I821" s="5"/>
    </row>
    <row r="822">
      <c r="A822" s="5" t="s">
        <v>1162</v>
      </c>
      <c r="B822" s="6" t="str">
        <f t="array" ref="B822">IF(D822="","",
 INDEX(Product_Master!A:A,
       MATCH( INDEX(Pack_Master!B:B, MATCH(D822, Pack_Master!A:A, 0)),
              Product_Master!B:B, 0 )
))
</f>
        <v>Apparel_Tshirts</v>
      </c>
      <c r="C822" s="7" t="s">
        <v>722</v>
      </c>
      <c r="D822" s="8" t="s">
        <v>723</v>
      </c>
      <c r="E822" s="9" t="s">
        <v>12</v>
      </c>
      <c r="F822" s="8" t="s">
        <v>1449</v>
      </c>
      <c r="G822" s="5"/>
      <c r="H822" s="5"/>
      <c r="I822" s="5"/>
    </row>
    <row r="823">
      <c r="A823" s="5" t="s">
        <v>1162</v>
      </c>
      <c r="B823" s="6" t="str">
        <f t="array" ref="B823">IF(D823="","",
 INDEX(Product_Master!A:A,
       MATCH( INDEX(Pack_Master!B:B, MATCH(D823, Pack_Master!A:A, 0)),
              Product_Master!B:B, 0 )
))
</f>
        <v>Apparel_Tshirts</v>
      </c>
      <c r="C823" s="7" t="s">
        <v>725</v>
      </c>
      <c r="D823" s="8" t="s">
        <v>726</v>
      </c>
      <c r="E823" s="9" t="s">
        <v>12</v>
      </c>
      <c r="F823" s="8" t="s">
        <v>1450</v>
      </c>
      <c r="G823" s="5"/>
      <c r="H823" s="5"/>
      <c r="I823" s="5"/>
    </row>
    <row r="824">
      <c r="A824" s="5" t="s">
        <v>1162</v>
      </c>
      <c r="B824" s="6" t="str">
        <f t="array" ref="B824">IF(D824="","",
 INDEX(Product_Master!A:A,
       MATCH( INDEX(Pack_Master!B:B, MATCH(D824, Pack_Master!A:A, 0)),
              Product_Master!B:B, 0 )
))
</f>
        <v>Apparel_Tshirts</v>
      </c>
      <c r="C824" s="7" t="s">
        <v>728</v>
      </c>
      <c r="D824" s="8" t="s">
        <v>729</v>
      </c>
      <c r="E824" s="9" t="s">
        <v>12</v>
      </c>
      <c r="F824" s="8" t="s">
        <v>1451</v>
      </c>
      <c r="G824" s="5"/>
      <c r="H824" s="5"/>
      <c r="I824" s="5"/>
    </row>
    <row r="825">
      <c r="A825" s="5" t="s">
        <v>1162</v>
      </c>
      <c r="B825" s="6" t="str">
        <f t="array" ref="B825">IF(D825="","",
 INDEX(Product_Master!A:A,
       MATCH( INDEX(Pack_Master!B:B, MATCH(D825, Pack_Master!A:A, 0)),
              Product_Master!B:B, 0 )
))
</f>
        <v>Apparel_Tshirts</v>
      </c>
      <c r="C825" s="7" t="s">
        <v>731</v>
      </c>
      <c r="D825" s="8" t="s">
        <v>732</v>
      </c>
      <c r="E825" s="9" t="s">
        <v>12</v>
      </c>
      <c r="F825" s="8" t="s">
        <v>1452</v>
      </c>
      <c r="G825" s="5"/>
      <c r="H825" s="5"/>
      <c r="I825" s="5"/>
    </row>
    <row r="826">
      <c r="A826" s="5" t="s">
        <v>1162</v>
      </c>
      <c r="B826" s="6" t="str">
        <f t="array" ref="B826">IF(D826="","",
 INDEX(Product_Master!A:A,
       MATCH( INDEX(Pack_Master!B:B, MATCH(D826, Pack_Master!A:A, 0)),
              Product_Master!B:B, 0 )
))
</f>
        <v>Apparel_Tshirts</v>
      </c>
      <c r="C826" s="7" t="s">
        <v>734</v>
      </c>
      <c r="D826" s="8" t="s">
        <v>735</v>
      </c>
      <c r="E826" s="9" t="s">
        <v>12</v>
      </c>
      <c r="F826" s="8" t="s">
        <v>1453</v>
      </c>
      <c r="G826" s="5"/>
      <c r="H826" s="5"/>
      <c r="I826" s="5"/>
    </row>
    <row r="827">
      <c r="A827" s="5" t="s">
        <v>1162</v>
      </c>
      <c r="B827" s="6" t="str">
        <f t="array" ref="B827">IF(D827="","",
 INDEX(Product_Master!A:A,
       MATCH( INDEX(Pack_Master!B:B, MATCH(D827, Pack_Master!A:A, 0)),
              Product_Master!B:B, 0 )
))
</f>
        <v>Apparel_Tshirts</v>
      </c>
      <c r="C827" s="7" t="s">
        <v>737</v>
      </c>
      <c r="D827" s="8" t="s">
        <v>738</v>
      </c>
      <c r="E827" s="9" t="s">
        <v>12</v>
      </c>
      <c r="F827" s="8" t="s">
        <v>1454</v>
      </c>
      <c r="G827" s="5"/>
      <c r="H827" s="5"/>
      <c r="I827" s="5"/>
    </row>
    <row r="828">
      <c r="A828" s="5" t="s">
        <v>1162</v>
      </c>
      <c r="B828" s="6" t="str">
        <f t="array" ref="B828">IF(D828="","",
 INDEX(Product_Master!A:A,
       MATCH( INDEX(Pack_Master!B:B, MATCH(D828, Pack_Master!A:A, 0)),
              Product_Master!B:B, 0 )
))
</f>
        <v>Apparel_Tshirts</v>
      </c>
      <c r="C828" s="7" t="s">
        <v>744</v>
      </c>
      <c r="D828" s="8" t="s">
        <v>745</v>
      </c>
      <c r="E828" s="9" t="s">
        <v>12</v>
      </c>
      <c r="F828" s="8" t="s">
        <v>1455</v>
      </c>
      <c r="G828" s="5"/>
      <c r="H828" s="5"/>
      <c r="I828" s="5"/>
    </row>
    <row r="829">
      <c r="A829" s="5" t="s">
        <v>1162</v>
      </c>
      <c r="B829" s="6" t="str">
        <f t="array" ref="B829">IF(D829="","",
 INDEX(Product_Master!A:A,
       MATCH( INDEX(Pack_Master!B:B, MATCH(D829, Pack_Master!A:A, 0)),
              Product_Master!B:B, 0 )
))
</f>
        <v>Apparel_Tshirts</v>
      </c>
      <c r="C829" s="7" t="s">
        <v>746</v>
      </c>
      <c r="D829" s="8" t="s">
        <v>747</v>
      </c>
      <c r="E829" s="9" t="s">
        <v>12</v>
      </c>
      <c r="F829" s="8" t="s">
        <v>1456</v>
      </c>
      <c r="G829" s="5"/>
      <c r="H829" s="5"/>
      <c r="I829" s="5"/>
    </row>
    <row r="830">
      <c r="A830" s="5" t="s">
        <v>1162</v>
      </c>
      <c r="B830" s="6" t="str">
        <f t="array" ref="B830">IF(D830="","",
 INDEX(Product_Master!A:A,
       MATCH( INDEX(Pack_Master!B:B, MATCH(D830, Pack_Master!A:A, 0)),
              Product_Master!B:B, 0 )
))
</f>
        <v>Apparel_Tshirts</v>
      </c>
      <c r="C830" s="7" t="s">
        <v>1457</v>
      </c>
      <c r="D830" s="8" t="s">
        <v>741</v>
      </c>
      <c r="E830" s="9" t="s">
        <v>12</v>
      </c>
      <c r="F830" s="8" t="s">
        <v>1458</v>
      </c>
      <c r="G830" s="5"/>
      <c r="H830" s="5"/>
      <c r="I830" s="5"/>
    </row>
    <row r="831">
      <c r="A831" s="5" t="s">
        <v>1162</v>
      </c>
      <c r="B831" s="6" t="str">
        <f t="array" ref="B831">IF(D831="","",
 INDEX(Product_Master!A:A,
       MATCH( INDEX(Pack_Master!B:B, MATCH(D831, Pack_Master!A:A, 0)),
              Product_Master!B:B, 0 )
))
</f>
        <v>Apparel_Tshirts</v>
      </c>
      <c r="C831" s="7" t="s">
        <v>748</v>
      </c>
      <c r="D831" s="8" t="s">
        <v>749</v>
      </c>
      <c r="E831" s="9" t="s">
        <v>12</v>
      </c>
      <c r="F831" s="8" t="s">
        <v>1459</v>
      </c>
      <c r="G831" s="5"/>
      <c r="H831" s="5"/>
      <c r="I831" s="5"/>
    </row>
    <row r="832">
      <c r="A832" s="5" t="s">
        <v>1162</v>
      </c>
      <c r="B832" s="6" t="str">
        <f t="array" ref="B832">IF(D832="","",
 INDEX(Product_Master!A:A,
       MATCH( INDEX(Pack_Master!B:B, MATCH(D832, Pack_Master!A:A, 0)),
              Product_Master!B:B, 0 )
))
</f>
        <v>Apparel_Tshirts</v>
      </c>
      <c r="C832" s="7" t="s">
        <v>750</v>
      </c>
      <c r="D832" s="8" t="s">
        <v>751</v>
      </c>
      <c r="E832" s="9" t="s">
        <v>12</v>
      </c>
      <c r="F832" s="8" t="s">
        <v>1460</v>
      </c>
      <c r="G832" s="5"/>
      <c r="H832" s="5"/>
      <c r="I832" s="5"/>
    </row>
    <row r="833">
      <c r="A833" s="5" t="s">
        <v>1162</v>
      </c>
      <c r="B833" s="6" t="str">
        <f t="array" ref="B833">IF(D833="","",
 INDEX(Product_Master!A:A,
       MATCH( INDEX(Pack_Master!B:B, MATCH(D833, Pack_Master!A:A, 0)),
              Product_Master!B:B, 0 )
))
</f>
        <v>Apparel_Tshirts</v>
      </c>
      <c r="C833" s="7" t="s">
        <v>754</v>
      </c>
      <c r="D833" s="8" t="s">
        <v>755</v>
      </c>
      <c r="E833" s="9" t="s">
        <v>12</v>
      </c>
      <c r="F833" s="8" t="s">
        <v>1461</v>
      </c>
      <c r="G833" s="5"/>
      <c r="H833" s="5"/>
      <c r="I833" s="5"/>
    </row>
    <row r="834">
      <c r="A834" s="5" t="s">
        <v>1162</v>
      </c>
      <c r="B834" s="6" t="str">
        <f t="array" ref="B834">IF(D834="","",
 INDEX(Product_Master!A:A,
       MATCH( INDEX(Pack_Master!B:B, MATCH(D834, Pack_Master!A:A, 0)),
              Product_Master!B:B, 0 )
))
</f>
        <v>Apparel_Tshirts</v>
      </c>
      <c r="C834" s="7" t="s">
        <v>756</v>
      </c>
      <c r="D834" s="8" t="s">
        <v>757</v>
      </c>
      <c r="E834" s="9" t="s">
        <v>12</v>
      </c>
      <c r="F834" s="8" t="s">
        <v>1462</v>
      </c>
      <c r="G834" s="5"/>
      <c r="H834" s="5"/>
      <c r="I834" s="5"/>
    </row>
    <row r="835">
      <c r="A835" s="5" t="s">
        <v>1162</v>
      </c>
      <c r="B835" s="6" t="str">
        <f t="array" ref="B835">IF(D835="","",
 INDEX(Product_Master!A:A,
       MATCH( INDEX(Pack_Master!B:B, MATCH(D835, Pack_Master!A:A, 0)),
              Product_Master!B:B, 0 )
))
</f>
        <v>Apparel_Tshirts</v>
      </c>
      <c r="C835" s="7" t="s">
        <v>759</v>
      </c>
      <c r="D835" s="8" t="s">
        <v>760</v>
      </c>
      <c r="E835" s="9" t="s">
        <v>12</v>
      </c>
      <c r="F835" s="8" t="s">
        <v>1463</v>
      </c>
      <c r="G835" s="5"/>
      <c r="H835" s="5"/>
      <c r="I835" s="5"/>
    </row>
    <row r="836">
      <c r="A836" s="5" t="s">
        <v>1162</v>
      </c>
      <c r="B836" s="6" t="str">
        <f t="array" ref="B836">IF(D836="","",
 INDEX(Product_Master!A:A,
       MATCH( INDEX(Pack_Master!B:B, MATCH(D836, Pack_Master!A:A, 0)),
              Product_Master!B:B, 0 )
))
</f>
        <v>Apparel_Tshirts</v>
      </c>
      <c r="C836" s="7" t="s">
        <v>762</v>
      </c>
      <c r="D836" s="8" t="s">
        <v>763</v>
      </c>
      <c r="E836" s="9" t="s">
        <v>12</v>
      </c>
      <c r="F836" s="8" t="s">
        <v>1464</v>
      </c>
      <c r="G836" s="5"/>
      <c r="H836" s="5"/>
      <c r="I836" s="5"/>
    </row>
    <row r="837">
      <c r="A837" s="5" t="s">
        <v>1162</v>
      </c>
      <c r="B837" s="6" t="str">
        <f t="array" ref="B837">IF(D837="","",
 INDEX(Product_Master!A:A,
       MATCH( INDEX(Pack_Master!B:B, MATCH(D837, Pack_Master!A:A, 0)),
              Product_Master!B:B, 0 )
))
</f>
        <v>Apparel_Tshirts</v>
      </c>
      <c r="C837" s="7" t="s">
        <v>765</v>
      </c>
      <c r="D837" s="8" t="s">
        <v>766</v>
      </c>
      <c r="E837" s="9" t="s">
        <v>12</v>
      </c>
      <c r="F837" s="8" t="s">
        <v>1465</v>
      </c>
      <c r="G837" s="5"/>
      <c r="H837" s="5"/>
      <c r="I837" s="5"/>
    </row>
    <row r="838">
      <c r="A838" s="5" t="s">
        <v>1162</v>
      </c>
      <c r="B838" s="6" t="str">
        <f t="array" ref="B838">IF(D838="","",
 INDEX(Product_Master!A:A,
       MATCH( INDEX(Pack_Master!B:B, MATCH(D838, Pack_Master!A:A, 0)),
              Product_Master!B:B, 0 )
))
</f>
        <v>Apparel_Tshirts</v>
      </c>
      <c r="C838" s="7" t="s">
        <v>768</v>
      </c>
      <c r="D838" s="8" t="s">
        <v>769</v>
      </c>
      <c r="E838" s="9" t="s">
        <v>12</v>
      </c>
      <c r="F838" s="8" t="s">
        <v>1466</v>
      </c>
      <c r="G838" s="5"/>
      <c r="H838" s="5"/>
      <c r="I838" s="5"/>
    </row>
    <row r="839">
      <c r="A839" s="5" t="s">
        <v>1162</v>
      </c>
      <c r="B839" s="6" t="str">
        <f t="array" ref="B839">IF(D839="","",
 INDEX(Product_Master!A:A,
       MATCH( INDEX(Pack_Master!B:B, MATCH(D839, Pack_Master!A:A, 0)),
              Product_Master!B:B, 0 )
))
</f>
        <v>Apparel_Tshirts</v>
      </c>
      <c r="C839" s="7" t="s">
        <v>771</v>
      </c>
      <c r="D839" s="8" t="s">
        <v>772</v>
      </c>
      <c r="E839" s="9" t="s">
        <v>12</v>
      </c>
      <c r="F839" s="8" t="s">
        <v>1467</v>
      </c>
      <c r="G839" s="5"/>
      <c r="H839" s="5"/>
      <c r="I839" s="5"/>
    </row>
    <row r="840">
      <c r="A840" s="5" t="s">
        <v>1162</v>
      </c>
      <c r="B840" s="6" t="str">
        <f t="array" ref="B840">IF(D840="","",
 INDEX(Product_Master!A:A,
       MATCH( INDEX(Pack_Master!B:B, MATCH(D840, Pack_Master!A:A, 0)),
              Product_Master!B:B, 0 )
))
</f>
        <v>Apparel_Tshirts</v>
      </c>
      <c r="C840" s="7" t="s">
        <v>774</v>
      </c>
      <c r="D840" s="8" t="s">
        <v>775</v>
      </c>
      <c r="E840" s="9" t="s">
        <v>12</v>
      </c>
      <c r="F840" s="8" t="s">
        <v>1468</v>
      </c>
      <c r="G840" s="5"/>
      <c r="H840" s="5"/>
      <c r="I840" s="5"/>
    </row>
    <row r="841">
      <c r="A841" s="5" t="s">
        <v>1162</v>
      </c>
      <c r="B841" s="6" t="str">
        <f t="array" ref="B841">IF(D841="","",
 INDEX(Product_Master!A:A,
       MATCH( INDEX(Pack_Master!B:B, MATCH(D841, Pack_Master!A:A, 0)),
              Product_Master!B:B, 0 )
))
</f>
        <v>Apparel_Tshirts</v>
      </c>
      <c r="C841" s="7" t="s">
        <v>777</v>
      </c>
      <c r="D841" s="8" t="s">
        <v>778</v>
      </c>
      <c r="E841" s="9" t="s">
        <v>12</v>
      </c>
      <c r="F841" s="8" t="s">
        <v>1469</v>
      </c>
      <c r="G841" s="5"/>
      <c r="H841" s="5"/>
      <c r="I841" s="5"/>
    </row>
    <row r="842">
      <c r="A842" s="5" t="s">
        <v>1162</v>
      </c>
      <c r="B842" s="6" t="str">
        <f t="array" ref="B842">IF(D842="","",
 INDEX(Product_Master!A:A,
       MATCH( INDEX(Pack_Master!B:B, MATCH(D842, Pack_Master!A:A, 0)),
              Product_Master!B:B, 0 )
))
</f>
        <v>Apparel_Tshirts</v>
      </c>
      <c r="C842" s="7" t="s">
        <v>1470</v>
      </c>
      <c r="D842" s="8" t="s">
        <v>638</v>
      </c>
      <c r="E842" s="9" t="s">
        <v>12</v>
      </c>
      <c r="F842" s="8" t="s">
        <v>1471</v>
      </c>
      <c r="G842" s="5"/>
      <c r="H842" s="5"/>
      <c r="I842" s="5"/>
    </row>
    <row r="843">
      <c r="A843" s="5" t="s">
        <v>1162</v>
      </c>
      <c r="B843" s="6" t="str">
        <f t="array" ref="B843">IF(D843="","",
 INDEX(Product_Master!A:A,
       MATCH( INDEX(Pack_Master!B:B, MATCH(D843, Pack_Master!A:A, 0)),
              Product_Master!B:B, 0 )
))
</f>
        <v>Apparel_Tshirts</v>
      </c>
      <c r="C843" s="7" t="s">
        <v>1472</v>
      </c>
      <c r="D843" s="8" t="s">
        <v>641</v>
      </c>
      <c r="E843" s="9" t="s">
        <v>12</v>
      </c>
      <c r="F843" s="8" t="s">
        <v>1473</v>
      </c>
      <c r="G843" s="5"/>
      <c r="H843" s="5"/>
      <c r="I843" s="5"/>
    </row>
    <row r="844">
      <c r="A844" s="5" t="s">
        <v>1162</v>
      </c>
      <c r="B844" s="6" t="str">
        <f t="array" ref="B844">IF(D844="","",
 INDEX(Product_Master!A:A,
       MATCH( INDEX(Pack_Master!B:B, MATCH(D844, Pack_Master!A:A, 0)),
              Product_Master!B:B, 0 )
))
</f>
        <v>Apparel_Tshirts</v>
      </c>
      <c r="C844" s="7" t="s">
        <v>1474</v>
      </c>
      <c r="D844" s="8" t="s">
        <v>644</v>
      </c>
      <c r="E844" s="9" t="s">
        <v>12</v>
      </c>
      <c r="F844" s="8" t="s">
        <v>1475</v>
      </c>
      <c r="G844" s="5"/>
      <c r="H844" s="5"/>
      <c r="I844" s="5"/>
    </row>
    <row r="845">
      <c r="A845" s="5" t="s">
        <v>1162</v>
      </c>
      <c r="B845" s="6" t="str">
        <f t="array" ref="B845">IF(D845="","",
 INDEX(Product_Master!A:A,
       MATCH( INDEX(Pack_Master!B:B, MATCH(D845, Pack_Master!A:A, 0)),
              Product_Master!B:B, 0 )
))
</f>
        <v>Apparel_Tshirts</v>
      </c>
      <c r="C845" s="7" t="s">
        <v>1476</v>
      </c>
      <c r="D845" s="8" t="s">
        <v>647</v>
      </c>
      <c r="E845" s="9" t="s">
        <v>12</v>
      </c>
      <c r="F845" s="8" t="s">
        <v>1477</v>
      </c>
      <c r="G845" s="5"/>
      <c r="H845" s="5"/>
      <c r="I845" s="5"/>
    </row>
    <row r="846">
      <c r="A846" s="5" t="s">
        <v>1162</v>
      </c>
      <c r="B846" s="6" t="str">
        <f t="array" ref="B846">IF(D846="","",
 INDEX(Product_Master!A:A,
       MATCH( INDEX(Pack_Master!B:B, MATCH(D846, Pack_Master!A:A, 0)),
              Product_Master!B:B, 0 )
))
</f>
        <v>Apparel_Tshirts</v>
      </c>
      <c r="C846" s="7" t="s">
        <v>780</v>
      </c>
      <c r="D846" s="8" t="s">
        <v>789</v>
      </c>
      <c r="E846" s="9" t="s">
        <v>12</v>
      </c>
      <c r="F846" s="8" t="s">
        <v>1478</v>
      </c>
      <c r="G846" s="5"/>
      <c r="H846" s="5"/>
      <c r="I846" s="5"/>
    </row>
    <row r="847">
      <c r="A847" s="5" t="s">
        <v>1162</v>
      </c>
      <c r="B847" s="6" t="str">
        <f t="array" ref="B847">IF(D847="","",
 INDEX(Product_Master!A:A,
       MATCH( INDEX(Pack_Master!B:B, MATCH(D847, Pack_Master!A:A, 0)),
              Product_Master!B:B, 0 )
))
</f>
        <v>Apparel_Tshirts</v>
      </c>
      <c r="C847" s="7" t="s">
        <v>782</v>
      </c>
      <c r="D847" s="8" t="s">
        <v>783</v>
      </c>
      <c r="E847" s="9" t="s">
        <v>12</v>
      </c>
      <c r="F847" s="8" t="s">
        <v>1479</v>
      </c>
      <c r="G847" s="5"/>
      <c r="H847" s="5"/>
      <c r="I847" s="5"/>
    </row>
    <row r="848">
      <c r="A848" s="5" t="s">
        <v>1162</v>
      </c>
      <c r="B848" s="6" t="str">
        <f t="array" ref="B848">IF(D848="","",
 INDEX(Product_Master!A:A,
       MATCH( INDEX(Pack_Master!B:B, MATCH(D848, Pack_Master!A:A, 0)),
              Product_Master!B:B, 0 )
))
</f>
        <v>Apparel_Tshirts</v>
      </c>
      <c r="C848" s="7" t="s">
        <v>786</v>
      </c>
      <c r="D848" s="8" t="s">
        <v>787</v>
      </c>
      <c r="E848" s="9" t="s">
        <v>12</v>
      </c>
      <c r="F848" s="8" t="s">
        <v>1480</v>
      </c>
      <c r="G848" s="5"/>
      <c r="H848" s="5"/>
      <c r="I848" s="5"/>
    </row>
    <row r="849">
      <c r="A849" s="5" t="s">
        <v>1162</v>
      </c>
      <c r="B849" s="6" t="str">
        <f t="array" ref="B849">IF(D849="","",
 INDEX(Product_Master!A:A,
       MATCH( INDEX(Pack_Master!B:B, MATCH(D849, Pack_Master!A:A, 0)),
              Product_Master!B:B, 0 )
))
</f>
        <v>Apparel_Tshirts</v>
      </c>
      <c r="C849" s="7" t="s">
        <v>790</v>
      </c>
      <c r="D849" s="8" t="s">
        <v>791</v>
      </c>
      <c r="E849" s="9" t="s">
        <v>12</v>
      </c>
      <c r="F849" s="8" t="s">
        <v>1481</v>
      </c>
      <c r="G849" s="5"/>
      <c r="H849" s="5"/>
      <c r="I849" s="5"/>
    </row>
    <row r="850">
      <c r="A850" s="5" t="s">
        <v>1162</v>
      </c>
      <c r="B850" s="6" t="str">
        <f t="array" ref="B850">IF(D850="","",
 INDEX(Product_Master!A:A,
       MATCH( INDEX(Pack_Master!B:B, MATCH(D850, Pack_Master!A:A, 0)),
              Product_Master!B:B, 0 )
))
</f>
        <v>Apparel_Tshirts</v>
      </c>
      <c r="C850" s="7" t="s">
        <v>794</v>
      </c>
      <c r="D850" s="8" t="s">
        <v>793</v>
      </c>
      <c r="E850" s="9" t="s">
        <v>12</v>
      </c>
      <c r="F850" s="8" t="s">
        <v>1482</v>
      </c>
      <c r="G850" s="5"/>
      <c r="H850" s="5"/>
      <c r="I850" s="5"/>
    </row>
    <row r="851">
      <c r="A851" s="5" t="s">
        <v>1162</v>
      </c>
      <c r="B851" s="6" t="str">
        <f t="array" ref="B851">IF(D851="","",
 INDEX(Product_Master!A:A,
       MATCH( INDEX(Pack_Master!B:B, MATCH(D851, Pack_Master!A:A, 0)),
              Product_Master!B:B, 0 )
))
</f>
        <v>Apparel_Tshirts</v>
      </c>
      <c r="C851" s="7" t="s">
        <v>1483</v>
      </c>
      <c r="D851" s="8" t="s">
        <v>795</v>
      </c>
      <c r="E851" s="9" t="s">
        <v>12</v>
      </c>
      <c r="F851" s="8" t="s">
        <v>1484</v>
      </c>
      <c r="G851" s="5"/>
      <c r="H851" s="5"/>
      <c r="I851" s="5"/>
    </row>
    <row r="852">
      <c r="A852" s="5" t="s">
        <v>1162</v>
      </c>
      <c r="B852" s="6" t="str">
        <f t="array" ref="B852">IF(D852="","",
 INDEX(Product_Master!A:A,
       MATCH( INDEX(Pack_Master!B:B, MATCH(D852, Pack_Master!A:A, 0)),
              Product_Master!B:B, 0 )
))
</f>
        <v>Apparel_Tshirts</v>
      </c>
      <c r="C852" s="7" t="s">
        <v>796</v>
      </c>
      <c r="D852" s="8" t="s">
        <v>797</v>
      </c>
      <c r="E852" s="9" t="s">
        <v>12</v>
      </c>
      <c r="F852" s="8" t="s">
        <v>1485</v>
      </c>
      <c r="G852" s="5"/>
      <c r="H852" s="5"/>
      <c r="I852" s="5"/>
    </row>
    <row r="853">
      <c r="A853" s="5" t="s">
        <v>1162</v>
      </c>
      <c r="B853" s="6" t="str">
        <f t="array" ref="B853">IF(D853="","",
 INDEX(Product_Master!A:A,
       MATCH( INDEX(Pack_Master!B:B, MATCH(D853, Pack_Master!A:A, 0)),
              Product_Master!B:B, 0 )
))
</f>
        <v>Apparel_Tshirts</v>
      </c>
      <c r="C853" s="7" t="s">
        <v>1486</v>
      </c>
      <c r="D853" s="8" t="s">
        <v>743</v>
      </c>
      <c r="E853" s="9" t="s">
        <v>12</v>
      </c>
      <c r="F853" s="8" t="s">
        <v>1487</v>
      </c>
      <c r="G853" s="5"/>
      <c r="H853" s="5"/>
      <c r="I853" s="5"/>
    </row>
    <row r="854">
      <c r="A854" s="5" t="s">
        <v>1162</v>
      </c>
      <c r="B854" s="6" t="str">
        <f t="array" ref="B854">IF(D854="","",
 INDEX(Product_Master!A:A,
       MATCH( INDEX(Pack_Master!B:B, MATCH(D854, Pack_Master!A:A, 0)),
              Product_Master!B:B, 0 )
))
</f>
        <v>Apparel_Tshirts</v>
      </c>
      <c r="C854" s="7" t="s">
        <v>1488</v>
      </c>
      <c r="D854" s="8" t="s">
        <v>745</v>
      </c>
      <c r="E854" s="9" t="s">
        <v>12</v>
      </c>
      <c r="F854" s="8" t="s">
        <v>1489</v>
      </c>
      <c r="G854" s="5"/>
      <c r="H854" s="5"/>
      <c r="I854" s="5"/>
    </row>
    <row r="855">
      <c r="A855" s="5" t="s">
        <v>1162</v>
      </c>
      <c r="B855" s="6" t="str">
        <f t="array" ref="B855">IF(D855="","",
 INDEX(Product_Master!A:A,
       MATCH( INDEX(Pack_Master!B:B, MATCH(D855, Pack_Master!A:A, 0)),
              Product_Master!B:B, 0 )
))
</f>
        <v>Apparel_Tshirts</v>
      </c>
      <c r="C855" s="7" t="s">
        <v>1490</v>
      </c>
      <c r="D855" s="8" t="s">
        <v>747</v>
      </c>
      <c r="E855" s="9" t="s">
        <v>12</v>
      </c>
      <c r="F855" s="8" t="s">
        <v>1491</v>
      </c>
      <c r="G855" s="5"/>
      <c r="H855" s="5"/>
      <c r="I855" s="5"/>
    </row>
    <row r="856">
      <c r="A856" s="5" t="s">
        <v>1162</v>
      </c>
      <c r="B856" s="6" t="str">
        <f t="array" ref="B856">IF(D856="","",
 INDEX(Product_Master!A:A,
       MATCH( INDEX(Pack_Master!B:B, MATCH(D856, Pack_Master!A:A, 0)),
              Product_Master!B:B, 0 )
))
</f>
        <v>Automotive_FaceMasks</v>
      </c>
      <c r="C856" s="7" t="s">
        <v>1492</v>
      </c>
      <c r="D856" s="8" t="s">
        <v>22</v>
      </c>
      <c r="E856" s="9" t="s">
        <v>12</v>
      </c>
      <c r="F856" s="8" t="s">
        <v>1493</v>
      </c>
      <c r="G856" s="5"/>
      <c r="H856" s="5"/>
      <c r="I856" s="5"/>
    </row>
    <row r="857">
      <c r="A857" s="5" t="s">
        <v>1162</v>
      </c>
      <c r="B857" s="6" t="str">
        <f t="array" ref="B857">IF(D857="","",
 INDEX(Product_Master!A:A,
       MATCH( INDEX(Pack_Master!B:B, MATCH(D857, Pack_Master!A:A, 0)),
              Product_Master!B:B, 0 )
))
</f>
        <v>Apparel_Caps_Beanies</v>
      </c>
      <c r="C857" s="7" t="s">
        <v>1494</v>
      </c>
      <c r="D857" s="8" t="s">
        <v>376</v>
      </c>
      <c r="E857" s="9" t="s">
        <v>12</v>
      </c>
      <c r="F857" s="8" t="s">
        <v>1495</v>
      </c>
      <c r="G857" s="5"/>
      <c r="H857" s="5"/>
      <c r="I857" s="5"/>
    </row>
    <row r="858">
      <c r="A858" s="5" t="s">
        <v>1162</v>
      </c>
      <c r="B858" s="6" t="str">
        <f t="array" ref="B858">IF(D858="","",
 INDEX(Product_Master!A:A,
       MATCH( INDEX(Pack_Master!B:B, MATCH(D858, Pack_Master!A:A, 0)),
              Product_Master!B:B, 0 )
))
</f>
        <v>Apparel_Caps_Beanies</v>
      </c>
      <c r="C858" s="7" t="s">
        <v>1496</v>
      </c>
      <c r="D858" s="8" t="s">
        <v>460</v>
      </c>
      <c r="E858" s="9" t="s">
        <v>12</v>
      </c>
      <c r="F858" s="8" t="s">
        <v>1497</v>
      </c>
      <c r="G858" s="5"/>
      <c r="H858" s="5"/>
      <c r="I858" s="5"/>
    </row>
    <row r="859">
      <c r="A859" s="5" t="s">
        <v>1162</v>
      </c>
      <c r="B859" s="6" t="str">
        <f t="array" ref="B859">IF(D859="","",
 INDEX(Product_Master!A:A,
       MATCH( INDEX(Pack_Master!B:B, MATCH(D859, Pack_Master!A:A, 0)),
              Product_Master!B:B, 0 )
))
</f>
        <v>Apparel_Caps_Beanies</v>
      </c>
      <c r="C859" s="7" t="s">
        <v>1498</v>
      </c>
      <c r="D859" s="8" t="s">
        <v>353</v>
      </c>
      <c r="E859" s="9" t="s">
        <v>12</v>
      </c>
      <c r="F859" s="8" t="s">
        <v>1499</v>
      </c>
      <c r="G859" s="5"/>
      <c r="H859" s="5"/>
      <c r="I859" s="5"/>
    </row>
    <row r="860">
      <c r="A860" s="5" t="s">
        <v>1162</v>
      </c>
      <c r="B860" s="6" t="str">
        <f t="array" ref="B860">IF(D860="","",
 INDEX(Product_Master!A:A,
       MATCH( INDEX(Pack_Master!B:B, MATCH(D860, Pack_Master!A:A, 0)),
              Product_Master!B:B, 0 )
))
</f>
        <v>Apparel_Caps_Beanies</v>
      </c>
      <c r="C860" s="7" t="s">
        <v>1500</v>
      </c>
      <c r="D860" s="8" t="s">
        <v>534</v>
      </c>
      <c r="E860" s="9" t="s">
        <v>12</v>
      </c>
      <c r="F860" s="8" t="s">
        <v>1501</v>
      </c>
      <c r="G860" s="5"/>
      <c r="H860" s="5"/>
      <c r="I860" s="5"/>
    </row>
    <row r="861">
      <c r="A861" s="5" t="s">
        <v>1162</v>
      </c>
      <c r="B861" s="6" t="str">
        <f t="array" ref="B861">IF(D861="","",
 INDEX(Product_Master!A:A,
       MATCH( INDEX(Pack_Master!B:B, MATCH(D861, Pack_Master!A:A, 0)),
              Product_Master!B:B, 0 )
))
</f>
        <v>Apparel_Caps_Beanies</v>
      </c>
      <c r="C861" s="7" t="s">
        <v>1502</v>
      </c>
      <c r="D861" s="8" t="s">
        <v>536</v>
      </c>
      <c r="E861" s="9" t="s">
        <v>12</v>
      </c>
      <c r="F861" s="8" t="s">
        <v>1503</v>
      </c>
      <c r="G861" s="5"/>
      <c r="H861" s="5"/>
      <c r="I861" s="5"/>
    </row>
    <row r="862">
      <c r="A862" s="5" t="s">
        <v>1162</v>
      </c>
      <c r="B862" s="6" t="str">
        <f t="array" ref="B862">IF(D862="","",
 INDEX(Product_Master!A:A,
       MATCH( INDEX(Pack_Master!B:B, MATCH(D862, Pack_Master!A:A, 0)),
              Product_Master!B:B, 0 )
))
</f>
        <v>Apparel_Caps_Beanies</v>
      </c>
      <c r="C862" s="7" t="s">
        <v>1504</v>
      </c>
      <c r="D862" s="8" t="s">
        <v>354</v>
      </c>
      <c r="E862" s="9" t="s">
        <v>12</v>
      </c>
      <c r="F862" s="8" t="s">
        <v>1505</v>
      </c>
      <c r="G862" s="5"/>
      <c r="H862" s="5"/>
      <c r="I862" s="5"/>
    </row>
    <row r="863">
      <c r="A863" s="5" t="s">
        <v>1162</v>
      </c>
      <c r="B863" s="6" t="str">
        <f t="array" ref="B863">IF(D863="","",
 INDEX(Product_Master!A:A,
       MATCH( INDEX(Pack_Master!B:B, MATCH(D863, Pack_Master!A:A, 0)),
              Product_Master!B:B, 0 )
))
</f>
        <v>Apparel_Caps_Beanies</v>
      </c>
      <c r="C863" s="7" t="s">
        <v>1506</v>
      </c>
      <c r="D863" s="8" t="s">
        <v>355</v>
      </c>
      <c r="E863" s="9" t="s">
        <v>12</v>
      </c>
      <c r="F863" s="8" t="s">
        <v>1507</v>
      </c>
      <c r="G863" s="5"/>
      <c r="H863" s="5"/>
      <c r="I863" s="5"/>
    </row>
    <row r="864">
      <c r="A864" s="5" t="s">
        <v>1162</v>
      </c>
      <c r="B864" s="6" t="str">
        <f t="array" ref="B864">IF(D864="","",
 INDEX(Product_Master!A:A,
       MATCH( INDEX(Pack_Master!B:B, MATCH(D864, Pack_Master!A:A, 0)),
              Product_Master!B:B, 0 )
))
</f>
        <v>Apparel_Caps_Beanies</v>
      </c>
      <c r="C864" s="7" t="s">
        <v>1508</v>
      </c>
      <c r="D864" s="8" t="s">
        <v>16</v>
      </c>
      <c r="E864" s="9" t="s">
        <v>12</v>
      </c>
      <c r="F864" s="8" t="s">
        <v>1509</v>
      </c>
      <c r="G864" s="5"/>
      <c r="H864" s="5"/>
      <c r="I864" s="5"/>
    </row>
    <row r="865">
      <c r="A865" s="5" t="s">
        <v>1162</v>
      </c>
      <c r="B865" s="6" t="str">
        <f t="array" ref="B865">IF(D865="","",
 INDEX(Product_Master!A:A,
       MATCH( INDEX(Pack_Master!B:B, MATCH(D865, Pack_Master!A:A, 0)),
              Product_Master!B:B, 0 )
))
</f>
        <v>Apparel_Accessories_Winter</v>
      </c>
      <c r="C865" s="7" t="s">
        <v>1510</v>
      </c>
      <c r="D865" s="8" t="s">
        <v>469</v>
      </c>
      <c r="E865" s="9" t="s">
        <v>12</v>
      </c>
      <c r="F865" s="8" t="s">
        <v>1511</v>
      </c>
      <c r="G865" s="5"/>
      <c r="H865" s="5"/>
      <c r="I865" s="5"/>
    </row>
    <row r="866">
      <c r="A866" s="5" t="s">
        <v>1162</v>
      </c>
      <c r="B866" s="6" t="str">
        <f t="array" ref="B866">IF(D866="","",
 INDEX(Product_Master!A:A,
       MATCH( INDEX(Pack_Master!B:B, MATCH(D866, Pack_Master!A:A, 0)),
              Product_Master!B:B, 0 )
))
</f>
        <v>Garden_Planters</v>
      </c>
      <c r="C866" s="7" t="s">
        <v>1512</v>
      </c>
      <c r="D866" s="8" t="s">
        <v>879</v>
      </c>
      <c r="E866" s="9" t="s">
        <v>12</v>
      </c>
      <c r="F866" s="8" t="s">
        <v>1513</v>
      </c>
      <c r="G866" s="5"/>
      <c r="H866" s="5"/>
      <c r="I866" s="5"/>
    </row>
    <row r="867">
      <c r="A867" s="5" t="s">
        <v>1162</v>
      </c>
      <c r="B867" s="6" t="str">
        <f t="array" ref="B867">IF(D867="","",
 INDEX(Product_Master!A:A,
       MATCH( INDEX(Pack_Master!B:B, MATCH(D867, Pack_Master!A:A, 0)),
              Product_Master!B:B, 0 )
))
</f>
        <v>Garden_Planters</v>
      </c>
      <c r="C867" s="7" t="s">
        <v>1514</v>
      </c>
      <c r="D867" s="8" t="s">
        <v>881</v>
      </c>
      <c r="E867" s="9" t="s">
        <v>12</v>
      </c>
      <c r="F867" s="8" t="s">
        <v>1515</v>
      </c>
      <c r="G867" s="5"/>
      <c r="H867" s="5"/>
      <c r="I867" s="5"/>
    </row>
    <row r="868">
      <c r="A868" s="5" t="s">
        <v>1162</v>
      </c>
      <c r="B868" s="6" t="str">
        <f t="array" ref="B868">IF(D868="","",
 INDEX(Product_Master!A:A,
       MATCH( INDEX(Pack_Master!B:B, MATCH(D868, Pack_Master!A:A, 0)),
              Product_Master!B:B, 0 )
))
</f>
        <v>Garden_Planters</v>
      </c>
      <c r="C868" s="7" t="s">
        <v>1516</v>
      </c>
      <c r="D868" s="8" t="s">
        <v>883</v>
      </c>
      <c r="E868" s="9" t="s">
        <v>12</v>
      </c>
      <c r="F868" s="8" t="s">
        <v>1517</v>
      </c>
      <c r="G868" s="5"/>
      <c r="H868" s="5"/>
      <c r="I868" s="5"/>
    </row>
    <row r="869">
      <c r="A869" s="5" t="s">
        <v>1162</v>
      </c>
      <c r="B869" s="6" t="str">
        <f t="array" ref="B869">IF(D869="","",
 INDEX(Product_Master!A:A,
       MATCH( INDEX(Pack_Master!B:B, MATCH(D869, Pack_Master!A:A, 0)),
              Product_Master!B:B, 0 )
))
</f>
        <v>Garden_Planters</v>
      </c>
      <c r="C869" s="7" t="s">
        <v>1518</v>
      </c>
      <c r="D869" s="8" t="s">
        <v>887</v>
      </c>
      <c r="E869" s="9" t="s">
        <v>12</v>
      </c>
      <c r="F869" s="8" t="s">
        <v>1519</v>
      </c>
      <c r="G869" s="5"/>
      <c r="H869" s="5"/>
      <c r="I869" s="5"/>
    </row>
    <row r="870">
      <c r="A870" s="5" t="s">
        <v>1162</v>
      </c>
      <c r="B870" s="6" t="str">
        <f t="array" ref="B870">IF(D870="","",
 INDEX(Product_Master!A:A,
       MATCH( INDEX(Pack_Master!B:B, MATCH(D870, Pack_Master!A:A, 0)),
              Product_Master!B:B, 0 )
))
</f>
        <v>Garden_Planters</v>
      </c>
      <c r="C870" s="7" t="s">
        <v>1520</v>
      </c>
      <c r="D870" s="8" t="s">
        <v>889</v>
      </c>
      <c r="E870" s="9" t="s">
        <v>12</v>
      </c>
      <c r="F870" s="8" t="s">
        <v>1521</v>
      </c>
      <c r="G870" s="5"/>
      <c r="H870" s="5"/>
      <c r="I870" s="5"/>
    </row>
    <row r="871">
      <c r="A871" s="5" t="s">
        <v>1162</v>
      </c>
      <c r="B871" s="6" t="str">
        <f t="array" ref="B871">IF(D871="","",
 INDEX(Product_Master!A:A,
       MATCH( INDEX(Pack_Master!B:B, MATCH(D871, Pack_Master!A:A, 0)),
              Product_Master!B:B, 0 )
))
</f>
        <v>Garden_Planters</v>
      </c>
      <c r="C871" s="7" t="s">
        <v>1522</v>
      </c>
      <c r="D871" s="8" t="s">
        <v>891</v>
      </c>
      <c r="E871" s="9" t="s">
        <v>12</v>
      </c>
      <c r="F871" s="8" t="s">
        <v>1523</v>
      </c>
      <c r="G871" s="5"/>
      <c r="H871" s="5"/>
      <c r="I871" s="5"/>
    </row>
    <row r="872">
      <c r="A872" s="5" t="s">
        <v>1162</v>
      </c>
      <c r="B872" s="6" t="str">
        <f t="array" ref="B872">IF(D872="","",
 INDEX(Product_Master!A:A,
       MATCH( INDEX(Pack_Master!B:B, MATCH(D872, Pack_Master!A:A, 0)),
              Product_Master!B:B, 0 )
))
</f>
        <v>Garden_Planters</v>
      </c>
      <c r="C872" s="7" t="s">
        <v>1524</v>
      </c>
      <c r="D872" s="8" t="s">
        <v>895</v>
      </c>
      <c r="E872" s="9" t="s">
        <v>12</v>
      </c>
      <c r="F872" s="8" t="s">
        <v>1525</v>
      </c>
      <c r="G872" s="5"/>
      <c r="H872" s="5"/>
      <c r="I872" s="5"/>
    </row>
    <row r="873">
      <c r="A873" s="5" t="s">
        <v>1162</v>
      </c>
      <c r="B873" s="6" t="str">
        <f t="array" ref="B873">IF(D873="","",
 INDEX(Product_Master!A:A,
       MATCH( INDEX(Pack_Master!B:B, MATCH(D873, Pack_Master!A:A, 0)),
              Product_Master!B:B, 0 )
))
</f>
        <v>Garden_Planters</v>
      </c>
      <c r="C873" s="7" t="s">
        <v>1526</v>
      </c>
      <c r="D873" s="8" t="s">
        <v>897</v>
      </c>
      <c r="E873" s="9" t="s">
        <v>12</v>
      </c>
      <c r="F873" s="8" t="s">
        <v>1527</v>
      </c>
      <c r="G873" s="5"/>
      <c r="H873" s="5"/>
      <c r="I873" s="5"/>
    </row>
    <row r="874">
      <c r="A874" s="5" t="s">
        <v>1162</v>
      </c>
      <c r="B874" s="6" t="str">
        <f t="array" ref="B874">IF(D874="","",
 INDEX(Product_Master!A:A,
       MATCH( INDEX(Pack_Master!B:B, MATCH(D874, Pack_Master!A:A, 0)),
              Product_Master!B:B, 0 )
))
</f>
        <v>Garden_Planters</v>
      </c>
      <c r="C874" s="7" t="s">
        <v>1528</v>
      </c>
      <c r="D874" s="8" t="s">
        <v>899</v>
      </c>
      <c r="E874" s="9" t="s">
        <v>12</v>
      </c>
      <c r="F874" s="8" t="s">
        <v>1529</v>
      </c>
      <c r="G874" s="5"/>
      <c r="H874" s="5"/>
      <c r="I874" s="5"/>
    </row>
    <row r="875">
      <c r="A875" s="5" t="s">
        <v>1162</v>
      </c>
      <c r="B875" s="6" t="str">
        <f t="array" ref="B875">IF(D875="","",
 INDEX(Product_Master!A:A,
       MATCH( INDEX(Pack_Master!B:B, MATCH(D875, Pack_Master!A:A, 0)),
              Product_Master!B:B, 0 )
))
</f>
        <v>Garden_Planters</v>
      </c>
      <c r="C875" s="7" t="s">
        <v>1530</v>
      </c>
      <c r="D875" s="8" t="s">
        <v>1041</v>
      </c>
      <c r="E875" s="9" t="s">
        <v>12</v>
      </c>
      <c r="F875" s="8" t="s">
        <v>1531</v>
      </c>
      <c r="G875" s="5"/>
      <c r="H875" s="5"/>
      <c r="I875" s="5"/>
    </row>
    <row r="876">
      <c r="A876" s="5" t="s">
        <v>1162</v>
      </c>
      <c r="B876" s="6" t="str">
        <f t="array" ref="B876">IF(D876="","",
 INDEX(Product_Master!A:A,
       MATCH( INDEX(Pack_Master!B:B, MATCH(D876, Pack_Master!A:A, 0)),
              Product_Master!B:B, 0 )
))
</f>
        <v>Garden_Planters</v>
      </c>
      <c r="C876" s="7" t="s">
        <v>810</v>
      </c>
      <c r="D876" s="8" t="s">
        <v>811</v>
      </c>
      <c r="E876" s="9" t="s">
        <v>12</v>
      </c>
      <c r="F876" s="8" t="s">
        <v>1532</v>
      </c>
      <c r="G876" s="5"/>
      <c r="H876" s="5"/>
      <c r="I876" s="5"/>
    </row>
    <row r="877">
      <c r="A877" s="5" t="s">
        <v>1162</v>
      </c>
      <c r="B877" s="6" t="str">
        <f t="array" ref="B877">IF(D877="","",
 INDEX(Product_Master!A:A,
       MATCH( INDEX(Pack_Master!B:B, MATCH(D877, Pack_Master!A:A, 0)),
              Product_Master!B:B, 0 )
))
</f>
        <v>Garden_Planters</v>
      </c>
      <c r="C877" s="7" t="s">
        <v>1533</v>
      </c>
      <c r="D877" s="8" t="s">
        <v>828</v>
      </c>
      <c r="E877" s="9" t="s">
        <v>12</v>
      </c>
      <c r="F877" s="8" t="s">
        <v>1534</v>
      </c>
      <c r="G877" s="5"/>
      <c r="H877" s="5"/>
      <c r="I877" s="5"/>
    </row>
    <row r="878">
      <c r="A878" s="5" t="s">
        <v>1162</v>
      </c>
      <c r="B878" s="6" t="str">
        <f t="array" ref="B878">IF(D878="","",
 INDEX(Product_Master!A:A,
       MATCH( INDEX(Pack_Master!B:B, MATCH(D878, Pack_Master!A:A, 0)),
              Product_Master!B:B, 0 )
))
</f>
        <v>Garden_Planters</v>
      </c>
      <c r="C878" s="7" t="s">
        <v>1535</v>
      </c>
      <c r="D878" s="8" t="s">
        <v>839</v>
      </c>
      <c r="E878" s="9" t="s">
        <v>12</v>
      </c>
      <c r="F878" s="8" t="s">
        <v>1536</v>
      </c>
      <c r="G878" s="5"/>
      <c r="H878" s="5"/>
      <c r="I878" s="5"/>
    </row>
    <row r="879">
      <c r="A879" s="5" t="s">
        <v>1162</v>
      </c>
      <c r="B879" s="6" t="str">
        <f t="array" ref="B879">IF(D879="","",
 INDEX(Product_Master!A:A,
       MATCH( INDEX(Pack_Master!B:B, MATCH(D879, Pack_Master!A:A, 0)),
              Product_Master!B:B, 0 )
))
</f>
        <v>Garden_Planters</v>
      </c>
      <c r="C879" s="7" t="s">
        <v>1537</v>
      </c>
      <c r="D879" s="8" t="s">
        <v>843</v>
      </c>
      <c r="E879" s="9" t="s">
        <v>12</v>
      </c>
      <c r="F879" s="8" t="s">
        <v>1538</v>
      </c>
      <c r="G879" s="5"/>
      <c r="H879" s="5"/>
      <c r="I879" s="5"/>
    </row>
    <row r="880">
      <c r="A880" s="5" t="s">
        <v>1162</v>
      </c>
      <c r="B880" s="6" t="str">
        <f t="array" ref="B880">IF(D880="","",
 INDEX(Product_Master!A:A,
       MATCH( INDEX(Pack_Master!B:B, MATCH(D880, Pack_Master!A:A, 0)),
              Product_Master!B:B, 0 )
))
</f>
        <v>Garden_Planters</v>
      </c>
      <c r="C880" s="7" t="s">
        <v>846</v>
      </c>
      <c r="D880" s="8" t="s">
        <v>847</v>
      </c>
      <c r="E880" s="9" t="s">
        <v>12</v>
      </c>
      <c r="F880" s="8" t="s">
        <v>1539</v>
      </c>
      <c r="G880" s="5"/>
      <c r="H880" s="5"/>
      <c r="I880" s="5"/>
    </row>
    <row r="881">
      <c r="A881" s="5" t="s">
        <v>1162</v>
      </c>
      <c r="B881" s="6" t="str">
        <f t="array" ref="B881">IF(D881="","",
 INDEX(Product_Master!A:A,
       MATCH( INDEX(Pack_Master!B:B, MATCH(D881, Pack_Master!A:A, 0)),
              Product_Master!B:B, 0 )
))
</f>
        <v>Garden_Planters</v>
      </c>
      <c r="C881" s="7" t="s">
        <v>849</v>
      </c>
      <c r="D881" s="8" t="s">
        <v>850</v>
      </c>
      <c r="E881" s="9" t="s">
        <v>12</v>
      </c>
      <c r="F881" s="8" t="s">
        <v>1540</v>
      </c>
      <c r="G881" s="5"/>
      <c r="H881" s="5"/>
      <c r="I881" s="5"/>
    </row>
    <row r="882">
      <c r="A882" s="5" t="s">
        <v>1162</v>
      </c>
      <c r="B882" s="6" t="str">
        <f t="array" ref="B882">IF(D882="","",
 INDEX(Product_Master!A:A,
       MATCH( INDEX(Pack_Master!B:B, MATCH(D882, Pack_Master!A:A, 0)),
              Product_Master!B:B, 0 )
))
</f>
        <v>Garden_Planters</v>
      </c>
      <c r="C882" s="7" t="s">
        <v>851</v>
      </c>
      <c r="D882" s="8" t="s">
        <v>852</v>
      </c>
      <c r="E882" s="9" t="s">
        <v>12</v>
      </c>
      <c r="F882" s="8" t="s">
        <v>1541</v>
      </c>
      <c r="G882" s="5"/>
      <c r="H882" s="5"/>
      <c r="I882" s="5"/>
    </row>
    <row r="883">
      <c r="A883" s="5" t="s">
        <v>1162</v>
      </c>
      <c r="B883" s="6" t="str">
        <f t="array" ref="B883">IF(D883="","",
 INDEX(Product_Master!A:A,
       MATCH( INDEX(Pack_Master!B:B, MATCH(D883, Pack_Master!A:A, 0)),
              Product_Master!B:B, 0 )
))
</f>
        <v>Garden_Planters</v>
      </c>
      <c r="C883" s="7" t="s">
        <v>857</v>
      </c>
      <c r="D883" s="8" t="s">
        <v>858</v>
      </c>
      <c r="E883" s="9" t="s">
        <v>12</v>
      </c>
      <c r="F883" s="8" t="s">
        <v>1542</v>
      </c>
      <c r="G883" s="5"/>
      <c r="H883" s="5"/>
      <c r="I883" s="5"/>
    </row>
    <row r="884">
      <c r="A884" s="5" t="s">
        <v>1162</v>
      </c>
      <c r="B884" s="6" t="str">
        <f t="array" ref="B884">IF(D884="","",
 INDEX(Product_Master!A:A,
       MATCH( INDEX(Pack_Master!B:B, MATCH(D884, Pack_Master!A:A, 0)),
              Product_Master!B:B, 0 )
))
</f>
        <v>Garden_Planters</v>
      </c>
      <c r="C884" s="7" t="s">
        <v>902</v>
      </c>
      <c r="D884" s="8" t="s">
        <v>903</v>
      </c>
      <c r="E884" s="9" t="s">
        <v>12</v>
      </c>
      <c r="F884" s="8" t="s">
        <v>1543</v>
      </c>
      <c r="G884" s="5"/>
      <c r="H884" s="5"/>
      <c r="I884" s="5"/>
    </row>
    <row r="885">
      <c r="A885" s="5" t="s">
        <v>1162</v>
      </c>
      <c r="B885" s="6" t="str">
        <f t="array" ref="B885">IF(D885="","",
 INDEX(Product_Master!A:A,
       MATCH( INDEX(Pack_Master!B:B, MATCH(D885, Pack_Master!A:A, 0)),
              Product_Master!B:B, 0 )
))
</f>
        <v>Garden_Planters</v>
      </c>
      <c r="C885" s="7" t="s">
        <v>905</v>
      </c>
      <c r="D885" s="8" t="s">
        <v>906</v>
      </c>
      <c r="E885" s="9" t="s">
        <v>12</v>
      </c>
      <c r="F885" s="8" t="s">
        <v>1544</v>
      </c>
      <c r="G885" s="5"/>
      <c r="H885" s="5"/>
      <c r="I885" s="5"/>
    </row>
    <row r="886">
      <c r="A886" s="5" t="s">
        <v>1162</v>
      </c>
      <c r="B886" s="6" t="str">
        <f t="array" ref="B886">IF(D886="","",
 INDEX(Product_Master!A:A,
       MATCH( INDEX(Pack_Master!B:B, MATCH(D886, Pack_Master!A:A, 0)),
              Product_Master!B:B, 0 )
))
</f>
        <v>Garden_Planters</v>
      </c>
      <c r="C886" s="7" t="s">
        <v>908</v>
      </c>
      <c r="D886" s="8" t="s">
        <v>909</v>
      </c>
      <c r="E886" s="9" t="s">
        <v>12</v>
      </c>
      <c r="F886" s="8" t="s">
        <v>1545</v>
      </c>
      <c r="G886" s="5"/>
      <c r="H886" s="5"/>
      <c r="I886" s="5"/>
    </row>
    <row r="887">
      <c r="A887" s="5" t="s">
        <v>1162</v>
      </c>
      <c r="B887" s="6" t="str">
        <f t="array" ref="B887">IF(D887="","",
 INDEX(Product_Master!A:A,
       MATCH( INDEX(Pack_Master!B:B, MATCH(D887, Pack_Master!A:A, 0)),
              Product_Master!B:B, 0 )
))
</f>
        <v>Garden_Planters</v>
      </c>
      <c r="C887" s="7" t="s">
        <v>913</v>
      </c>
      <c r="D887" s="8" t="s">
        <v>914</v>
      </c>
      <c r="E887" s="9" t="s">
        <v>12</v>
      </c>
      <c r="F887" s="8" t="s">
        <v>1546</v>
      </c>
      <c r="G887" s="5"/>
      <c r="H887" s="5"/>
      <c r="I887" s="5"/>
    </row>
    <row r="888">
      <c r="A888" s="5" t="s">
        <v>1162</v>
      </c>
      <c r="B888" s="6" t="str">
        <f t="array" ref="B888">IF(D888="","",
 INDEX(Product_Master!A:A,
       MATCH( INDEX(Pack_Master!B:B, MATCH(D888, Pack_Master!A:A, 0)),
              Product_Master!B:B, 0 )
))
</f>
        <v>Garden_Planters</v>
      </c>
      <c r="C888" s="7" t="s">
        <v>916</v>
      </c>
      <c r="D888" s="8" t="s">
        <v>917</v>
      </c>
      <c r="E888" s="9" t="s">
        <v>12</v>
      </c>
      <c r="F888" s="8" t="s">
        <v>1547</v>
      </c>
      <c r="G888" s="5"/>
      <c r="H888" s="5"/>
      <c r="I888" s="5"/>
    </row>
    <row r="889">
      <c r="A889" s="5" t="s">
        <v>1162</v>
      </c>
      <c r="B889" s="6" t="str">
        <f t="array" ref="B889">IF(D889="","",
 INDEX(Product_Master!A:A,
       MATCH( INDEX(Pack_Master!B:B, MATCH(D889, Pack_Master!A:A, 0)),
              Product_Master!B:B, 0 )
))
</f>
        <v>Garden_Planters</v>
      </c>
      <c r="C889" s="7" t="s">
        <v>919</v>
      </c>
      <c r="D889" s="8" t="s">
        <v>920</v>
      </c>
      <c r="E889" s="9" t="s">
        <v>12</v>
      </c>
      <c r="F889" s="8" t="s">
        <v>1548</v>
      </c>
      <c r="G889" s="5"/>
      <c r="H889" s="5"/>
      <c r="I889" s="5"/>
    </row>
    <row r="890">
      <c r="A890" s="5" t="s">
        <v>1162</v>
      </c>
      <c r="B890" s="6" t="str">
        <f t="array" ref="B890">IF(D890="","",
 INDEX(Product_Master!A:A,
       MATCH( INDEX(Pack_Master!B:B, MATCH(D890, Pack_Master!A:A, 0)),
              Product_Master!B:B, 0 )
))
</f>
        <v>Garden_Planters</v>
      </c>
      <c r="C890" s="7" t="s">
        <v>924</v>
      </c>
      <c r="D890" s="8" t="s">
        <v>925</v>
      </c>
      <c r="E890" s="9" t="s">
        <v>12</v>
      </c>
      <c r="F890" s="8" t="s">
        <v>1549</v>
      </c>
      <c r="G890" s="5"/>
      <c r="H890" s="5"/>
      <c r="I890" s="5"/>
    </row>
    <row r="891">
      <c r="A891" s="5" t="s">
        <v>1162</v>
      </c>
      <c r="B891" s="6" t="str">
        <f t="array" ref="B891">IF(D891="","",
 INDEX(Product_Master!A:A,
       MATCH( INDEX(Pack_Master!B:B, MATCH(D891, Pack_Master!A:A, 0)),
              Product_Master!B:B, 0 )
))
</f>
        <v>Garden_Planters</v>
      </c>
      <c r="C891" s="7" t="s">
        <v>927</v>
      </c>
      <c r="D891" s="8" t="s">
        <v>928</v>
      </c>
      <c r="E891" s="9" t="s">
        <v>12</v>
      </c>
      <c r="F891" s="8" t="s">
        <v>1550</v>
      </c>
      <c r="G891" s="5"/>
      <c r="H891" s="5"/>
      <c r="I891" s="5"/>
    </row>
    <row r="892">
      <c r="A892" s="5" t="s">
        <v>1162</v>
      </c>
      <c r="B892" s="6" t="str">
        <f t="array" ref="B892">IF(D892="","",
 INDEX(Product_Master!A:A,
       MATCH( INDEX(Pack_Master!B:B, MATCH(D892, Pack_Master!A:A, 0)),
              Product_Master!B:B, 0 )
))
</f>
        <v>Garden_Planters</v>
      </c>
      <c r="C892" s="7" t="s">
        <v>930</v>
      </c>
      <c r="D892" s="8" t="s">
        <v>931</v>
      </c>
      <c r="E892" s="9" t="s">
        <v>12</v>
      </c>
      <c r="F892" s="8" t="s">
        <v>1551</v>
      </c>
      <c r="G892" s="5"/>
      <c r="H892" s="5"/>
      <c r="I892" s="5"/>
    </row>
    <row r="893">
      <c r="A893" s="5" t="s">
        <v>1162</v>
      </c>
      <c r="B893" s="6" t="str">
        <f t="array" ref="B893">IF(D893="","",
 INDEX(Product_Master!A:A,
       MATCH( INDEX(Pack_Master!B:B, MATCH(D893, Pack_Master!A:A, 0)),
              Product_Master!B:B, 0 )
))
</f>
        <v>Garden_Planters</v>
      </c>
      <c r="C893" s="7" t="s">
        <v>1552</v>
      </c>
      <c r="D893" s="8" t="s">
        <v>1553</v>
      </c>
      <c r="E893" s="9" t="s">
        <v>12</v>
      </c>
      <c r="F893" s="8" t="s">
        <v>1554</v>
      </c>
      <c r="G893" s="5"/>
      <c r="H893" s="5"/>
      <c r="I893" s="5"/>
    </row>
    <row r="894">
      <c r="A894" s="5" t="s">
        <v>1162</v>
      </c>
      <c r="B894" s="6" t="str">
        <f t="array" ref="B894">IF(D894="","",
 INDEX(Product_Master!A:A,
       MATCH( INDEX(Pack_Master!B:B, MATCH(D894, Pack_Master!A:A, 0)),
              Product_Master!B:B, 0 )
))
</f>
        <v>Garden_Planters</v>
      </c>
      <c r="C894" s="7" t="s">
        <v>1555</v>
      </c>
      <c r="D894" s="8" t="s">
        <v>1556</v>
      </c>
      <c r="E894" s="9" t="s">
        <v>12</v>
      </c>
      <c r="F894" s="8" t="s">
        <v>1557</v>
      </c>
      <c r="G894" s="5"/>
      <c r="H894" s="5"/>
      <c r="I894" s="5"/>
    </row>
    <row r="895">
      <c r="A895" s="5" t="s">
        <v>1162</v>
      </c>
      <c r="B895" s="6" t="str">
        <f t="array" ref="B895">IF(D895="","",
 INDEX(Product_Master!A:A,
       MATCH( INDEX(Pack_Master!B:B, MATCH(D895, Pack_Master!A:A, 0)),
              Product_Master!B:B, 0 )
))
</f>
        <v>Garden_Planters</v>
      </c>
      <c r="C895" s="7" t="s">
        <v>1558</v>
      </c>
      <c r="D895" s="8" t="s">
        <v>1559</v>
      </c>
      <c r="E895" s="9" t="s">
        <v>12</v>
      </c>
      <c r="F895" s="8" t="s">
        <v>1560</v>
      </c>
      <c r="G895" s="5"/>
      <c r="H895" s="5"/>
      <c r="I895" s="5"/>
    </row>
    <row r="896">
      <c r="A896" s="5" t="s">
        <v>1162</v>
      </c>
      <c r="B896" s="6" t="str">
        <f t="array" ref="B896">IF(D896="","",
 INDEX(Product_Master!A:A,
       MATCH( INDEX(Pack_Master!B:B, MATCH(D896, Pack_Master!A:A, 0)),
              Product_Master!B:B, 0 )
))
</f>
        <v>Garden_Planters</v>
      </c>
      <c r="C896" s="7" t="s">
        <v>962</v>
      </c>
      <c r="D896" s="8" t="s">
        <v>936</v>
      </c>
      <c r="E896" s="9" t="s">
        <v>12</v>
      </c>
      <c r="F896" s="8" t="s">
        <v>1561</v>
      </c>
      <c r="G896" s="5"/>
      <c r="H896" s="5"/>
      <c r="I896" s="5"/>
    </row>
    <row r="897">
      <c r="A897" s="5" t="s">
        <v>1162</v>
      </c>
      <c r="B897" s="6" t="str">
        <f t="array" ref="B897">IF(D897="","",
 INDEX(Product_Master!A:A,
       MATCH( INDEX(Pack_Master!B:B, MATCH(D897, Pack_Master!A:A, 0)),
              Product_Master!B:B, 0 )
))
</f>
        <v>Garden_Planters</v>
      </c>
      <c r="C897" s="7" t="s">
        <v>967</v>
      </c>
      <c r="D897" s="8" t="s">
        <v>948</v>
      </c>
      <c r="E897" s="9" t="s">
        <v>12</v>
      </c>
      <c r="F897" s="8" t="s">
        <v>1562</v>
      </c>
      <c r="G897" s="5"/>
      <c r="H897" s="5"/>
      <c r="I897" s="5"/>
    </row>
    <row r="898">
      <c r="A898" s="5" t="s">
        <v>1162</v>
      </c>
      <c r="B898" s="6" t="str">
        <f t="array" ref="B898">IF(D898="","",
 INDEX(Product_Master!A:A,
       MATCH( INDEX(Pack_Master!B:B, MATCH(D898, Pack_Master!A:A, 0)),
              Product_Master!B:B, 0 )
))
</f>
        <v>Garden_Planters</v>
      </c>
      <c r="C898" s="7" t="s">
        <v>1563</v>
      </c>
      <c r="D898" s="8" t="s">
        <v>951</v>
      </c>
      <c r="E898" s="9" t="s">
        <v>12</v>
      </c>
      <c r="F898" s="8" t="s">
        <v>1564</v>
      </c>
      <c r="G898" s="5"/>
      <c r="H898" s="5"/>
      <c r="I898" s="5"/>
    </row>
    <row r="899">
      <c r="A899" s="5" t="s">
        <v>1162</v>
      </c>
      <c r="B899" s="6" t="str">
        <f t="array" ref="B899">IF(D899="","",
 INDEX(Product_Master!A:A,
       MATCH( INDEX(Pack_Master!B:B, MATCH(D899, Pack_Master!A:A, 0)),
              Product_Master!B:B, 0 )
))
</f>
        <v>Garden_Planters</v>
      </c>
      <c r="C899" s="7" t="s">
        <v>971</v>
      </c>
      <c r="D899" s="8" t="s">
        <v>957</v>
      </c>
      <c r="E899" s="9" t="s">
        <v>12</v>
      </c>
      <c r="F899" s="8" t="s">
        <v>1565</v>
      </c>
      <c r="G899" s="5"/>
      <c r="H899" s="5"/>
      <c r="I899" s="5"/>
    </row>
    <row r="900">
      <c r="A900" s="5" t="s">
        <v>1162</v>
      </c>
      <c r="B900" s="6" t="str">
        <f t="array" ref="B900">IF(D900="","",
 INDEX(Product_Master!A:A,
       MATCH( INDEX(Pack_Master!B:B, MATCH(D900, Pack_Master!A:A, 0)),
              Product_Master!B:B, 0 )
))
</f>
        <v>Garden_Planters</v>
      </c>
      <c r="C900" s="7" t="s">
        <v>972</v>
      </c>
      <c r="D900" s="8" t="s">
        <v>960</v>
      </c>
      <c r="E900" s="9" t="s">
        <v>12</v>
      </c>
      <c r="F900" s="8" t="s">
        <v>1566</v>
      </c>
      <c r="G900" s="5"/>
      <c r="H900" s="5"/>
      <c r="I900" s="5"/>
    </row>
    <row r="901">
      <c r="A901" s="5" t="s">
        <v>1162</v>
      </c>
      <c r="B901" s="6" t="str">
        <f t="array" ref="B901">IF(D901="","",
 INDEX(Product_Master!A:A,
       MATCH( INDEX(Pack_Master!B:B, MATCH(D901, Pack_Master!A:A, 0)),
              Product_Master!B:B, 0 )
))
</f>
        <v>Garden_Planters</v>
      </c>
      <c r="C901" s="7" t="s">
        <v>976</v>
      </c>
      <c r="D901" s="8" t="s">
        <v>977</v>
      </c>
      <c r="E901" s="9" t="s">
        <v>12</v>
      </c>
      <c r="F901" s="8" t="s">
        <v>1567</v>
      </c>
      <c r="G901" s="5"/>
      <c r="H901" s="5"/>
      <c r="I901" s="5"/>
    </row>
    <row r="902">
      <c r="A902" s="5" t="s">
        <v>1162</v>
      </c>
      <c r="B902" s="6" t="str">
        <f t="array" ref="B902">IF(D902="","",
 INDEX(Product_Master!A:A,
       MATCH( INDEX(Pack_Master!B:B, MATCH(D902, Pack_Master!A:A, 0)),
              Product_Master!B:B, 0 )
))
</f>
        <v>Garden_Planters</v>
      </c>
      <c r="C902" s="7" t="s">
        <v>984</v>
      </c>
      <c r="D902" s="8" t="s">
        <v>985</v>
      </c>
      <c r="E902" s="9" t="s">
        <v>12</v>
      </c>
      <c r="F902" s="8" t="s">
        <v>1568</v>
      </c>
      <c r="G902" s="5"/>
      <c r="H902" s="5"/>
      <c r="I902" s="5"/>
    </row>
    <row r="903">
      <c r="A903" s="5" t="s">
        <v>1162</v>
      </c>
      <c r="B903" s="6" t="str">
        <f t="array" ref="B903">IF(D903="","",
 INDEX(Product_Master!A:A,
       MATCH( INDEX(Pack_Master!B:B, MATCH(D903, Pack_Master!A:A, 0)),
              Product_Master!B:B, 0 )
))
</f>
        <v>Garden_Planters</v>
      </c>
      <c r="C903" s="7" t="s">
        <v>994</v>
      </c>
      <c r="D903" s="8" t="s">
        <v>995</v>
      </c>
      <c r="E903" s="9" t="s">
        <v>12</v>
      </c>
      <c r="F903" s="8" t="s">
        <v>1569</v>
      </c>
      <c r="G903" s="5"/>
      <c r="H903" s="5"/>
      <c r="I903" s="5"/>
    </row>
    <row r="904">
      <c r="A904" s="5" t="s">
        <v>1162</v>
      </c>
      <c r="B904" s="6" t="str">
        <f t="array" ref="B904">IF(D904="","",
 INDEX(Product_Master!A:A,
       MATCH( INDEX(Pack_Master!B:B, MATCH(D904, Pack_Master!A:A, 0)),
              Product_Master!B:B, 0 )
))
</f>
        <v>Garden_Planters</v>
      </c>
      <c r="C904" s="7" t="s">
        <v>996</v>
      </c>
      <c r="D904" s="8" t="s">
        <v>871</v>
      </c>
      <c r="E904" s="9" t="s">
        <v>12</v>
      </c>
      <c r="F904" s="8"/>
      <c r="G904" s="5"/>
      <c r="H904" s="5"/>
      <c r="I904" s="5"/>
    </row>
    <row r="905">
      <c r="A905" s="5" t="s">
        <v>1162</v>
      </c>
      <c r="B905" s="6" t="str">
        <f t="array" ref="B905">IF(D905="","",
 INDEX(Product_Master!A:A,
       MATCH( INDEX(Pack_Master!B:B, MATCH(D905, Pack_Master!A:A, 0)),
              Product_Master!B:B, 0 )
))
</f>
        <v>Garden_Planters</v>
      </c>
      <c r="C905" s="7" t="s">
        <v>997</v>
      </c>
      <c r="D905" s="8" t="s">
        <v>998</v>
      </c>
      <c r="E905" s="9" t="s">
        <v>12</v>
      </c>
      <c r="F905" s="8"/>
      <c r="G905" s="5"/>
      <c r="H905" s="5"/>
      <c r="I905" s="5"/>
    </row>
    <row r="906">
      <c r="A906" s="5" t="s">
        <v>1162</v>
      </c>
      <c r="B906" s="6" t="str">
        <f t="array" ref="B906">IF(D906="","",
 INDEX(Product_Master!A:A,
       MATCH( INDEX(Pack_Master!B:B, MATCH(D906, Pack_Master!A:A, 0)),
              Product_Master!B:B, 0 )
))
</f>
        <v>Garden_Planters</v>
      </c>
      <c r="C906" s="7" t="s">
        <v>999</v>
      </c>
      <c r="D906" s="8" t="s">
        <v>1000</v>
      </c>
      <c r="E906" s="9" t="s">
        <v>12</v>
      </c>
      <c r="F906" s="8"/>
      <c r="G906" s="5"/>
      <c r="H906" s="5"/>
      <c r="I906" s="5"/>
    </row>
    <row r="907">
      <c r="A907" s="5" t="s">
        <v>1162</v>
      </c>
      <c r="B907" s="6" t="str">
        <f t="array" ref="B907">IF(D907="","",
 INDEX(Product_Master!A:A,
       MATCH( INDEX(Pack_Master!B:B, MATCH(D907, Pack_Master!A:A, 0)),
              Product_Master!B:B, 0 )
))
</f>
        <v>Garden_Planters</v>
      </c>
      <c r="C907" s="7" t="s">
        <v>1001</v>
      </c>
      <c r="D907" s="8" t="s">
        <v>1002</v>
      </c>
      <c r="E907" s="9" t="s">
        <v>12</v>
      </c>
      <c r="F907" s="8"/>
      <c r="G907" s="5"/>
      <c r="H907" s="5"/>
      <c r="I907" s="5"/>
    </row>
    <row r="908">
      <c r="A908" s="5" t="s">
        <v>1162</v>
      </c>
      <c r="B908" s="6" t="str">
        <f t="array" ref="B908">IF(D908="","",
 INDEX(Product_Master!A:A,
       MATCH( INDEX(Pack_Master!B:B, MATCH(D908, Pack_Master!A:A, 0)),
              Product_Master!B:B, 0 )
))
</f>
        <v>Garden_Planters</v>
      </c>
      <c r="C908" s="7" t="s">
        <v>1003</v>
      </c>
      <c r="D908" s="8" t="s">
        <v>873</v>
      </c>
      <c r="E908" s="9" t="s">
        <v>12</v>
      </c>
      <c r="F908" s="8"/>
      <c r="G908" s="5"/>
      <c r="H908" s="5"/>
      <c r="I908" s="5"/>
    </row>
    <row r="909">
      <c r="A909" s="5" t="s">
        <v>1162</v>
      </c>
      <c r="B909" s="6" t="str">
        <f t="array" ref="B909">IF(D909="","",
 INDEX(Product_Master!A:A,
       MATCH( INDEX(Pack_Master!B:B, MATCH(D909, Pack_Master!A:A, 0)),
              Product_Master!B:B, 0 )
))
</f>
        <v>Garden_Planters</v>
      </c>
      <c r="C909" s="7" t="s">
        <v>1004</v>
      </c>
      <c r="D909" s="8" t="s">
        <v>1005</v>
      </c>
      <c r="E909" s="9" t="s">
        <v>12</v>
      </c>
      <c r="F909" s="8"/>
      <c r="G909" s="5"/>
      <c r="H909" s="5"/>
      <c r="I909" s="5"/>
    </row>
    <row r="910">
      <c r="A910" s="5" t="s">
        <v>1162</v>
      </c>
      <c r="B910" s="6" t="str">
        <f t="array" ref="B910">IF(D910="","",
 INDEX(Product_Master!A:A,
       MATCH( INDEX(Pack_Master!B:B, MATCH(D910, Pack_Master!A:A, 0)),
              Product_Master!B:B, 0 )
))
</f>
        <v>Garden_Planters</v>
      </c>
      <c r="C910" s="7" t="s">
        <v>1006</v>
      </c>
      <c r="D910" s="8" t="s">
        <v>1007</v>
      </c>
      <c r="E910" s="9" t="s">
        <v>12</v>
      </c>
      <c r="F910" s="8"/>
      <c r="G910" s="5"/>
      <c r="H910" s="5"/>
      <c r="I910" s="5"/>
    </row>
    <row r="911">
      <c r="A911" s="5" t="s">
        <v>1162</v>
      </c>
      <c r="B911" s="6" t="str">
        <f t="array" ref="B911">IF(D911="","",
 INDEX(Product_Master!A:A,
       MATCH( INDEX(Pack_Master!B:B, MATCH(D911, Pack_Master!A:A, 0)),
              Product_Master!B:B, 0 )
))
</f>
        <v>Garden_Planters</v>
      </c>
      <c r="C911" s="7" t="s">
        <v>1008</v>
      </c>
      <c r="D911" s="8" t="s">
        <v>1009</v>
      </c>
      <c r="E911" s="9" t="s">
        <v>12</v>
      </c>
      <c r="F911" s="8"/>
      <c r="G911" s="5"/>
      <c r="H911" s="5"/>
      <c r="I911" s="5"/>
    </row>
    <row r="912">
      <c r="A912" s="5" t="s">
        <v>1162</v>
      </c>
      <c r="B912" s="6" t="str">
        <f t="array" ref="B912">IF(D912="","",
 INDEX(Product_Master!A:A,
       MATCH( INDEX(Pack_Master!B:B, MATCH(D912, Pack_Master!A:A, 0)),
              Product_Master!B:B, 0 )
))
</f>
        <v>Garden_Planters</v>
      </c>
      <c r="C912" s="7" t="s">
        <v>1010</v>
      </c>
      <c r="D912" s="8" t="s">
        <v>1011</v>
      </c>
      <c r="E912" s="9" t="s">
        <v>12</v>
      </c>
      <c r="F912" s="8"/>
      <c r="G912" s="5"/>
      <c r="H912" s="5"/>
      <c r="I912" s="5"/>
    </row>
    <row r="913">
      <c r="A913" s="5" t="s">
        <v>1162</v>
      </c>
      <c r="B913" s="6" t="str">
        <f t="array" ref="B913">IF(D913="","",
 INDEX(Product_Master!A:A,
       MATCH( INDEX(Pack_Master!B:B, MATCH(D913, Pack_Master!A:A, 0)),
              Product_Master!B:B, 0 )
))
</f>
        <v>Garden_Planters</v>
      </c>
      <c r="C913" s="7" t="s">
        <v>1012</v>
      </c>
      <c r="D913" s="8" t="s">
        <v>1013</v>
      </c>
      <c r="E913" s="9" t="s">
        <v>12</v>
      </c>
      <c r="F913" s="8"/>
      <c r="G913" s="5"/>
      <c r="H913" s="5"/>
      <c r="I913" s="5"/>
    </row>
    <row r="914">
      <c r="A914" s="5" t="s">
        <v>1162</v>
      </c>
      <c r="B914" s="6" t="str">
        <f t="array" ref="B914">IF(D914="","",
 INDEX(Product_Master!A:A,
       MATCH( INDEX(Pack_Master!B:B, MATCH(D914, Pack_Master!A:A, 0)),
              Product_Master!B:B, 0 )
))
</f>
        <v>Garden_Planters</v>
      </c>
      <c r="C914" s="7" t="s">
        <v>1014</v>
      </c>
      <c r="D914" s="8" t="s">
        <v>1015</v>
      </c>
      <c r="E914" s="9" t="s">
        <v>12</v>
      </c>
      <c r="F914" s="8"/>
      <c r="G914" s="5"/>
      <c r="H914" s="5"/>
      <c r="I914" s="5"/>
    </row>
    <row r="915">
      <c r="A915" s="5" t="s">
        <v>1162</v>
      </c>
      <c r="B915" s="6" t="str">
        <f t="array" ref="B915">IF(D915="","",
 INDEX(Product_Master!A:A,
       MATCH( INDEX(Pack_Master!B:B, MATCH(D915, Pack_Master!A:A, 0)),
              Product_Master!B:B, 0 )
))
</f>
        <v>Garden_Planters</v>
      </c>
      <c r="C915" s="7" t="s">
        <v>1016</v>
      </c>
      <c r="D915" s="8" t="s">
        <v>1017</v>
      </c>
      <c r="E915" s="9" t="s">
        <v>12</v>
      </c>
      <c r="F915" s="8"/>
      <c r="G915" s="5"/>
      <c r="H915" s="5"/>
      <c r="I915" s="5"/>
    </row>
    <row r="916">
      <c r="A916" s="5" t="s">
        <v>1162</v>
      </c>
      <c r="B916" s="6" t="str">
        <f t="array" ref="B916">IF(D916="","",
 INDEX(Product_Master!A:A,
       MATCH( INDEX(Pack_Master!B:B, MATCH(D916, Pack_Master!A:A, 0)),
              Product_Master!B:B, 0 )
))
</f>
        <v>Garden_Planters</v>
      </c>
      <c r="C916" s="7" t="s">
        <v>1018</v>
      </c>
      <c r="D916" s="8" t="s">
        <v>875</v>
      </c>
      <c r="E916" s="9" t="s">
        <v>12</v>
      </c>
      <c r="F916" s="8"/>
      <c r="G916" s="5"/>
      <c r="H916" s="5"/>
      <c r="I916" s="5"/>
    </row>
    <row r="917">
      <c r="A917" s="5" t="s">
        <v>1162</v>
      </c>
      <c r="B917" s="6" t="str">
        <f t="array" ref="B917">IF(D917="","",
 INDEX(Product_Master!A:A,
       MATCH( INDEX(Pack_Master!B:B, MATCH(D917, Pack_Master!A:A, 0)),
              Product_Master!B:B, 0 )
))
</f>
        <v>Garden_Planters</v>
      </c>
      <c r="C917" s="7" t="s">
        <v>1019</v>
      </c>
      <c r="D917" s="8" t="s">
        <v>1020</v>
      </c>
      <c r="E917" s="9" t="s">
        <v>12</v>
      </c>
      <c r="F917" s="8"/>
      <c r="G917" s="5"/>
      <c r="H917" s="5"/>
      <c r="I917" s="5"/>
    </row>
    <row r="918">
      <c r="A918" s="5" t="s">
        <v>1162</v>
      </c>
      <c r="B918" s="6" t="str">
        <f t="array" ref="B918">IF(D918="","",
 INDEX(Product_Master!A:A,
       MATCH( INDEX(Pack_Master!B:B, MATCH(D918, Pack_Master!A:A, 0)),
              Product_Master!B:B, 0 )
))
</f>
        <v>Garden_Planters</v>
      </c>
      <c r="C918" s="7" t="s">
        <v>1021</v>
      </c>
      <c r="D918" s="8" t="s">
        <v>1022</v>
      </c>
      <c r="E918" s="9" t="s">
        <v>12</v>
      </c>
      <c r="F918" s="8"/>
      <c r="G918" s="5"/>
      <c r="H918" s="5"/>
      <c r="I918" s="5"/>
    </row>
    <row r="919">
      <c r="A919" s="5" t="s">
        <v>1162</v>
      </c>
      <c r="B919" s="6" t="str">
        <f t="array" ref="B919">IF(D919="","",
 INDEX(Product_Master!A:A,
       MATCH( INDEX(Pack_Master!B:B, MATCH(D919, Pack_Master!A:A, 0)),
              Product_Master!B:B, 0 )
))
</f>
        <v>Garden_Planters</v>
      </c>
      <c r="C919" s="7" t="s">
        <v>1023</v>
      </c>
      <c r="D919" s="8" t="s">
        <v>1024</v>
      </c>
      <c r="E919" s="9" t="s">
        <v>12</v>
      </c>
      <c r="F919" s="8"/>
      <c r="G919" s="5"/>
      <c r="H919" s="5"/>
      <c r="I919" s="5"/>
    </row>
    <row r="920">
      <c r="A920" s="5" t="s">
        <v>1162</v>
      </c>
      <c r="B920" s="6" t="str">
        <f t="array" ref="B920">IF(D920="","",
 INDEX(Product_Master!A:A,
       MATCH( INDEX(Pack_Master!B:B, MATCH(D920, Pack_Master!A:A, 0)),
              Product_Master!B:B, 0 )
))
</f>
        <v>Garden_Planters</v>
      </c>
      <c r="C920" s="7" t="s">
        <v>1570</v>
      </c>
      <c r="D920" s="8" t="s">
        <v>1022</v>
      </c>
      <c r="E920" s="9" t="s">
        <v>12</v>
      </c>
      <c r="F920" s="8" t="s">
        <v>1571</v>
      </c>
      <c r="G920" s="5"/>
      <c r="H920" s="5"/>
      <c r="I920" s="5"/>
    </row>
    <row r="921">
      <c r="A921" s="5" t="s">
        <v>1162</v>
      </c>
      <c r="B921" s="6" t="str">
        <f t="array" ref="B921">IF(D921="","",
 INDEX(Product_Master!A:A,
       MATCH( INDEX(Pack_Master!B:B, MATCH(D921, Pack_Master!A:A, 0)),
              Product_Master!B:B, 0 )
))
</f>
        <v>Garden_Planters</v>
      </c>
      <c r="C921" s="7" t="s">
        <v>1025</v>
      </c>
      <c r="D921" s="8" t="s">
        <v>1026</v>
      </c>
      <c r="E921" s="9" t="s">
        <v>12</v>
      </c>
      <c r="F921" s="8" t="s">
        <v>1572</v>
      </c>
      <c r="G921" s="5"/>
      <c r="H921" s="5"/>
      <c r="I921" s="5"/>
    </row>
    <row r="922">
      <c r="A922" s="5" t="s">
        <v>1162</v>
      </c>
      <c r="B922" s="6" t="str">
        <f t="array" ref="B922">IF(D922="","",
 INDEX(Product_Master!A:A,
       MATCH( INDEX(Pack_Master!B:B, MATCH(D922, Pack_Master!A:A, 0)),
              Product_Master!B:B, 0 )
))
</f>
        <v>Garden_Planters</v>
      </c>
      <c r="C922" s="7" t="s">
        <v>1029</v>
      </c>
      <c r="D922" s="8" t="s">
        <v>1030</v>
      </c>
      <c r="E922" s="9" t="s">
        <v>12</v>
      </c>
      <c r="F922" s="8" t="s">
        <v>1573</v>
      </c>
      <c r="G922" s="5"/>
      <c r="H922" s="5"/>
      <c r="I922" s="5"/>
    </row>
    <row r="923">
      <c r="A923" s="5" t="s">
        <v>1162</v>
      </c>
      <c r="B923" s="6" t="str">
        <f t="array" ref="B923">IF(D923="","",
 INDEX(Product_Master!A:A,
       MATCH( INDEX(Pack_Master!B:B, MATCH(D923, Pack_Master!A:A, 0)),
              Product_Master!B:B, 0 )
))
</f>
        <v>Garden_Planters</v>
      </c>
      <c r="C923" s="7" t="s">
        <v>1031</v>
      </c>
      <c r="D923" s="8" t="s">
        <v>1032</v>
      </c>
      <c r="E923" s="9" t="s">
        <v>12</v>
      </c>
      <c r="F923" s="8" t="s">
        <v>1574</v>
      </c>
      <c r="G923" s="5"/>
      <c r="H923" s="5"/>
      <c r="I923" s="5"/>
    </row>
    <row r="924">
      <c r="A924" s="5" t="s">
        <v>1162</v>
      </c>
      <c r="B924" s="6" t="str">
        <f t="array" ref="B924">IF(D924="","",
 INDEX(Product_Master!A:A,
       MATCH( INDEX(Pack_Master!B:B, MATCH(D924, Pack_Master!A:A, 0)),
              Product_Master!B:B, 0 )
))
</f>
        <v>Garden_Planters</v>
      </c>
      <c r="C924" s="7" t="s">
        <v>1033</v>
      </c>
      <c r="D924" s="8" t="s">
        <v>1034</v>
      </c>
      <c r="E924" s="9" t="s">
        <v>12</v>
      </c>
      <c r="F924" s="8" t="s">
        <v>1575</v>
      </c>
      <c r="G924" s="5"/>
      <c r="H924" s="5"/>
      <c r="I924" s="5"/>
    </row>
    <row r="925">
      <c r="A925" s="5" t="s">
        <v>1162</v>
      </c>
      <c r="B925" s="6" t="str">
        <f t="array" ref="B925">IF(D925="","",
 INDEX(Product_Master!A:A,
       MATCH( INDEX(Pack_Master!B:B, MATCH(D925, Pack_Master!A:A, 0)),
              Product_Master!B:B, 0 )
))
</f>
        <v>Garden_Planters</v>
      </c>
      <c r="C925" s="7" t="s">
        <v>1035</v>
      </c>
      <c r="D925" s="8" t="s">
        <v>1036</v>
      </c>
      <c r="E925" s="9" t="s">
        <v>12</v>
      </c>
      <c r="F925" s="8" t="s">
        <v>1576</v>
      </c>
      <c r="G925" s="5"/>
      <c r="H925" s="5"/>
      <c r="I925" s="5"/>
    </row>
    <row r="926">
      <c r="A926" s="5" t="s">
        <v>1162</v>
      </c>
      <c r="B926" s="6" t="str">
        <f t="array" ref="B926">IF(D926="","",
 INDEX(Product_Master!A:A,
       MATCH( INDEX(Pack_Master!B:B, MATCH(D926, Pack_Master!A:A, 0)),
              Product_Master!B:B, 0 )
))
</f>
        <v>Garden_Planters</v>
      </c>
      <c r="C926" s="7" t="s">
        <v>1037</v>
      </c>
      <c r="D926" s="8" t="s">
        <v>1038</v>
      </c>
      <c r="E926" s="9" t="s">
        <v>12</v>
      </c>
      <c r="F926" s="8" t="s">
        <v>1577</v>
      </c>
      <c r="G926" s="5"/>
      <c r="H926" s="5"/>
      <c r="I926" s="5"/>
    </row>
    <row r="927">
      <c r="A927" s="5" t="s">
        <v>1162</v>
      </c>
      <c r="B927" s="6" t="str">
        <f t="array" ref="B927">IF(D927="","",
 INDEX(Product_Master!A:A,
       MATCH( INDEX(Pack_Master!B:B, MATCH(D927, Pack_Master!A:A, 0)),
              Product_Master!B:B, 0 )
))
</f>
        <v>Garden_Planters</v>
      </c>
      <c r="C927" s="7" t="s">
        <v>1043</v>
      </c>
      <c r="D927" s="8" t="s">
        <v>1044</v>
      </c>
      <c r="E927" s="9" t="s">
        <v>12</v>
      </c>
      <c r="F927" s="8" t="s">
        <v>1578</v>
      </c>
      <c r="G927" s="5"/>
      <c r="H927" s="5"/>
      <c r="I927" s="5"/>
    </row>
    <row r="928">
      <c r="A928" s="5" t="s">
        <v>1162</v>
      </c>
      <c r="B928" s="6" t="str">
        <f t="array" ref="B928">IF(D928="","",
 INDEX(Product_Master!A:A,
       MATCH( INDEX(Pack_Master!B:B, MATCH(D928, Pack_Master!A:A, 0)),
              Product_Master!B:B, 0 )
))
</f>
        <v>Garden_Planters</v>
      </c>
      <c r="C928" s="7" t="s">
        <v>1579</v>
      </c>
      <c r="D928" s="8" t="s">
        <v>1553</v>
      </c>
      <c r="E928" s="9" t="s">
        <v>12</v>
      </c>
      <c r="F928" s="8" t="s">
        <v>1580</v>
      </c>
      <c r="G928" s="5"/>
      <c r="H928" s="5"/>
      <c r="I928" s="5"/>
    </row>
    <row r="929">
      <c r="A929" s="5" t="s">
        <v>1162</v>
      </c>
      <c r="B929" s="6" t="str">
        <f t="array" ref="B929">IF(D929="","",
 INDEX(Product_Master!A:A,
       MATCH( INDEX(Pack_Master!B:B, MATCH(D929, Pack_Master!A:A, 0)),
              Product_Master!B:B, 0 )
))
</f>
        <v>Garden_Planters</v>
      </c>
      <c r="C929" s="7" t="s">
        <v>1049</v>
      </c>
      <c r="D929" s="8" t="s">
        <v>1050</v>
      </c>
      <c r="E929" s="9" t="s">
        <v>12</v>
      </c>
      <c r="F929" s="8" t="s">
        <v>1581</v>
      </c>
      <c r="G929" s="5"/>
      <c r="H929" s="5"/>
      <c r="I929" s="5"/>
    </row>
    <row r="930">
      <c r="A930" s="5" t="s">
        <v>1162</v>
      </c>
      <c r="B930" s="6" t="str">
        <f t="array" ref="B930">IF(D930="","",
 INDEX(Product_Master!A:A,
       MATCH( INDEX(Pack_Master!B:B, MATCH(D930, Pack_Master!A:A, 0)),
              Product_Master!B:B, 0 )
))
</f>
        <v>Garden_Planters</v>
      </c>
      <c r="C930" s="7" t="s">
        <v>1052</v>
      </c>
      <c r="D930" s="8" t="s">
        <v>1053</v>
      </c>
      <c r="E930" s="9" t="s">
        <v>12</v>
      </c>
      <c r="F930" s="8" t="s">
        <v>1582</v>
      </c>
      <c r="G930" s="5"/>
      <c r="H930" s="5"/>
      <c r="I930" s="5"/>
    </row>
    <row r="931">
      <c r="A931" s="5" t="s">
        <v>1162</v>
      </c>
      <c r="B931" s="6" t="str">
        <f t="array" ref="B931">IF(D931="","",
 INDEX(Product_Master!A:A,
       MATCH( INDEX(Pack_Master!B:B, MATCH(D931, Pack_Master!A:A, 0)),
              Product_Master!B:B, 0 )
))
</f>
        <v>Garden_Planters</v>
      </c>
      <c r="C931" s="7" t="s">
        <v>1055</v>
      </c>
      <c r="D931" s="8" t="s">
        <v>1056</v>
      </c>
      <c r="E931" s="9" t="s">
        <v>12</v>
      </c>
      <c r="F931" s="8" t="s">
        <v>1583</v>
      </c>
      <c r="G931" s="5"/>
      <c r="H931" s="5"/>
      <c r="I931" s="5"/>
    </row>
    <row r="932">
      <c r="A932" s="5" t="s">
        <v>1162</v>
      </c>
      <c r="B932" s="6" t="str">
        <f t="array" ref="B932">IF(D932="","",
 INDEX(Product_Master!A:A,
       MATCH( INDEX(Pack_Master!B:B, MATCH(D932, Pack_Master!A:A, 0)),
              Product_Master!B:B, 0 )
))
</f>
        <v>Garden_Planters</v>
      </c>
      <c r="C932" s="7" t="s">
        <v>1058</v>
      </c>
      <c r="D932" s="8" t="s">
        <v>1059</v>
      </c>
      <c r="E932" s="9" t="s">
        <v>12</v>
      </c>
      <c r="F932" s="8" t="s">
        <v>1584</v>
      </c>
      <c r="G932" s="5"/>
      <c r="H932" s="5"/>
      <c r="I932" s="5"/>
    </row>
    <row r="933">
      <c r="A933" s="5" t="s">
        <v>1162</v>
      </c>
      <c r="B933" s="6" t="str">
        <f t="array" ref="B933">IF(D933="","",
 INDEX(Product_Master!A:A,
       MATCH( INDEX(Pack_Master!B:B, MATCH(D933, Pack_Master!A:A, 0)),
              Product_Master!B:B, 0 )
))
</f>
        <v/>
      </c>
      <c r="C933" s="7" t="s">
        <v>1585</v>
      </c>
      <c r="D933" s="8"/>
      <c r="E933" s="9" t="s">
        <v>12</v>
      </c>
      <c r="F933" s="8" t="s">
        <v>1586</v>
      </c>
      <c r="G933" s="5"/>
      <c r="H933" s="5"/>
      <c r="I933" s="5"/>
    </row>
    <row r="934">
      <c r="A934" s="5" t="s">
        <v>1162</v>
      </c>
      <c r="B934" s="6" t="str">
        <f t="array" ref="B934">IF(D934="","",
 INDEX(Product_Master!A:A,
       MATCH( INDEX(Pack_Master!B:B, MATCH(D934, Pack_Master!A:A, 0)),
              Product_Master!B:B, 0 )
))
</f>
        <v/>
      </c>
      <c r="C934" s="7" t="s">
        <v>1587</v>
      </c>
      <c r="D934" s="8"/>
      <c r="E934" s="9" t="s">
        <v>12</v>
      </c>
      <c r="F934" s="8" t="s">
        <v>1588</v>
      </c>
      <c r="G934" s="5"/>
      <c r="H934" s="5"/>
      <c r="I934" s="5"/>
    </row>
    <row r="935">
      <c r="A935" s="5" t="s">
        <v>1162</v>
      </c>
      <c r="B935" s="6" t="str">
        <f t="array" ref="B935">IF(D935="","",
 INDEX(Product_Master!A:A,
       MATCH( INDEX(Pack_Master!B:B, MATCH(D935, Pack_Master!A:A, 0)),
              Product_Master!B:B, 0 )
))
</f>
        <v>Garden_Planters</v>
      </c>
      <c r="C935" s="7" t="s">
        <v>1589</v>
      </c>
      <c r="D935" s="8" t="s">
        <v>995</v>
      </c>
      <c r="E935" s="9" t="s">
        <v>12</v>
      </c>
      <c r="F935" s="8" t="s">
        <v>1590</v>
      </c>
      <c r="G935" s="5"/>
      <c r="H935" s="5"/>
      <c r="I935" s="5"/>
    </row>
    <row r="936">
      <c r="A936" s="5" t="s">
        <v>1162</v>
      </c>
      <c r="B936" s="6" t="str">
        <f t="array" ref="B936">IF(D936="","",
 INDEX(Product_Master!A:A,
       MATCH( INDEX(Pack_Master!B:B, MATCH(D936, Pack_Master!A:A, 0)),
              Product_Master!B:B, 0 )
))
</f>
        <v>Apparel_Caps_Beanies</v>
      </c>
      <c r="C936" s="7" t="s">
        <v>1591</v>
      </c>
      <c r="D936" s="8" t="s">
        <v>389</v>
      </c>
      <c r="E936" s="9" t="s">
        <v>12</v>
      </c>
      <c r="F936" s="8" t="s">
        <v>1592</v>
      </c>
      <c r="G936" s="5"/>
      <c r="H936" s="5"/>
      <c r="I936" s="5"/>
    </row>
    <row r="937">
      <c r="A937" s="5" t="s">
        <v>1162</v>
      </c>
      <c r="B937" s="6" t="str">
        <f t="array" ref="B937">IF(D937="","",
 INDEX(Product_Master!A:A,
       MATCH( INDEX(Pack_Master!B:B, MATCH(D937, Pack_Master!A:A, 0)),
              Product_Master!B:B, 0 )
))
</f>
        <v>Other</v>
      </c>
      <c r="C937" s="7" t="s">
        <v>1593</v>
      </c>
      <c r="D937" s="8" t="s">
        <v>1593</v>
      </c>
      <c r="E937" s="9" t="s">
        <v>12</v>
      </c>
      <c r="F937" s="8" t="s">
        <v>1594</v>
      </c>
      <c r="G937" s="5"/>
      <c r="H937" s="5"/>
      <c r="I937" s="5"/>
    </row>
    <row r="938">
      <c r="A938" s="5" t="s">
        <v>1162</v>
      </c>
      <c r="B938" s="6" t="str">
        <f t="array" ref="B938">IF(D938="","",
 INDEX(Product_Master!A:A,
       MATCH( INDEX(Pack_Master!B:B, MATCH(D938, Pack_Master!A:A, 0)),
              Product_Master!B:B, 0 )
))
</f>
        <v>Other</v>
      </c>
      <c r="C938" s="7" t="s">
        <v>1595</v>
      </c>
      <c r="D938" s="8" t="s">
        <v>1595</v>
      </c>
      <c r="E938" s="9" t="s">
        <v>12</v>
      </c>
      <c r="F938" s="8" t="s">
        <v>1596</v>
      </c>
      <c r="G938" s="5"/>
      <c r="H938" s="5"/>
      <c r="I938" s="5"/>
    </row>
    <row r="939">
      <c r="A939" s="5" t="s">
        <v>1162</v>
      </c>
      <c r="B939" s="6" t="str">
        <f t="array" ref="B939">IF(D939="","",
 INDEX(Product_Master!A:A,
       MATCH( INDEX(Pack_Master!B:B, MATCH(D939, Pack_Master!A:A, 0)),
              Product_Master!B:B, 0 )
))
</f>
        <v>Apparel_Caps_Beanies</v>
      </c>
      <c r="C939" s="7" t="s">
        <v>1597</v>
      </c>
      <c r="D939" s="8" t="s">
        <v>365</v>
      </c>
      <c r="E939" s="9" t="s">
        <v>12</v>
      </c>
      <c r="F939" s="8" t="s">
        <v>1598</v>
      </c>
      <c r="G939" s="5"/>
      <c r="H939" s="5"/>
      <c r="I939" s="5"/>
    </row>
    <row r="940">
      <c r="A940" s="5" t="s">
        <v>1162</v>
      </c>
      <c r="B940" s="6" t="str">
        <f t="array" ref="B940">IF(D940="","",
 INDEX(Product_Master!A:A,
       MATCH( INDEX(Pack_Master!B:B, MATCH(D940, Pack_Master!A:A, 0)),
              Product_Master!B:B, 0 )
))
</f>
        <v>Apparel_Caps_Beanies</v>
      </c>
      <c r="C940" s="7" t="s">
        <v>1599</v>
      </c>
      <c r="D940" s="8" t="s">
        <v>1600</v>
      </c>
      <c r="E940" s="9" t="s">
        <v>12</v>
      </c>
      <c r="F940" s="8" t="s">
        <v>1601</v>
      </c>
      <c r="G940" s="5"/>
      <c r="H940" s="5"/>
      <c r="I940" s="5"/>
    </row>
    <row r="941">
      <c r="A941" s="5" t="s">
        <v>1162</v>
      </c>
      <c r="B941" s="6" t="str">
        <f t="array" ref="B941">IF(D941="","",
 INDEX(Product_Master!A:A,
       MATCH( INDEX(Pack_Master!B:B, MATCH(D941, Pack_Master!A:A, 0)),
              Product_Master!B:B, 0 )
))
</f>
        <v>Apparel_Caps_Beanies</v>
      </c>
      <c r="C941" s="7" t="s">
        <v>1602</v>
      </c>
      <c r="D941" s="8" t="s">
        <v>372</v>
      </c>
      <c r="E941" s="9" t="s">
        <v>12</v>
      </c>
      <c r="F941" s="8" t="s">
        <v>1603</v>
      </c>
      <c r="G941" s="5"/>
      <c r="H941" s="5"/>
      <c r="I941" s="5"/>
    </row>
    <row r="942">
      <c r="A942" s="5" t="s">
        <v>1162</v>
      </c>
      <c r="B942" s="6" t="str">
        <f t="array" ref="B942">IF(D942="","",
 INDEX(Product_Master!A:A,
       MATCH( INDEX(Pack_Master!B:B, MATCH(D942, Pack_Master!A:A, 0)),
              Product_Master!B:B, 0 )
))
</f>
        <v>Apparel_ArmSleeves</v>
      </c>
      <c r="C942" s="7" t="s">
        <v>1604</v>
      </c>
      <c r="D942" s="8" t="s">
        <v>140</v>
      </c>
      <c r="E942" s="9" t="s">
        <v>12</v>
      </c>
      <c r="F942" s="8" t="s">
        <v>1605</v>
      </c>
      <c r="G942" s="5"/>
      <c r="H942" s="5"/>
      <c r="I942" s="5"/>
    </row>
    <row r="943">
      <c r="A943" s="5" t="s">
        <v>1162</v>
      </c>
      <c r="B943" s="6" t="str">
        <f t="array" ref="B943">IF(D943="","",
 INDEX(Product_Master!A:A,
       MATCH( INDEX(Pack_Master!B:B, MATCH(D943, Pack_Master!A:A, 0)),
              Product_Master!B:B, 0 )
))
</f>
        <v>Apparel_ArmSleeves</v>
      </c>
      <c r="C943" s="7" t="s">
        <v>1606</v>
      </c>
      <c r="D943" s="8" t="s">
        <v>133</v>
      </c>
      <c r="E943" s="9" t="s">
        <v>12</v>
      </c>
      <c r="F943" s="8" t="s">
        <v>1607</v>
      </c>
      <c r="G943" s="5"/>
      <c r="H943" s="5"/>
      <c r="I943" s="5"/>
    </row>
    <row r="944">
      <c r="A944" s="5" t="s">
        <v>1162</v>
      </c>
      <c r="B944" s="6" t="str">
        <f t="array" ref="B944">IF(D944="","",
 INDEX(Product_Master!A:A,
       MATCH( INDEX(Pack_Master!B:B, MATCH(D944, Pack_Master!A:A, 0)),
              Product_Master!B:B, 0 )
))
</f>
        <v>Apparel_Hoodies_Sweatshirts</v>
      </c>
      <c r="C944" s="7" t="s">
        <v>1067</v>
      </c>
      <c r="D944" s="8" t="s">
        <v>1067</v>
      </c>
      <c r="E944" s="9" t="s">
        <v>12</v>
      </c>
      <c r="F944" s="8" t="s">
        <v>1608</v>
      </c>
      <c r="G944" s="5"/>
      <c r="H944" s="5"/>
      <c r="I944" s="5"/>
    </row>
    <row r="945">
      <c r="A945" s="5" t="s">
        <v>1162</v>
      </c>
      <c r="B945" s="6" t="str">
        <f t="array" ref="B945">IF(D945="","",
 INDEX(Product_Master!A:A,
       MATCH( INDEX(Pack_Master!B:B, MATCH(D945, Pack_Master!A:A, 0)),
              Product_Master!B:B, 0 )
))
</f>
        <v>Apparel_Hoodies_Sweatshirts</v>
      </c>
      <c r="C945" s="7" t="s">
        <v>1068</v>
      </c>
      <c r="D945" s="8" t="s">
        <v>1068</v>
      </c>
      <c r="E945" s="9" t="s">
        <v>12</v>
      </c>
      <c r="F945" s="8" t="s">
        <v>1609</v>
      </c>
      <c r="G945" s="5"/>
      <c r="H945" s="5"/>
      <c r="I945" s="5"/>
    </row>
    <row r="946">
      <c r="A946" s="5" t="s">
        <v>1162</v>
      </c>
      <c r="B946" s="6" t="str">
        <f t="array" ref="B946">IF(D946="","",
 INDEX(Product_Master!A:A,
       MATCH( INDEX(Pack_Master!B:B, MATCH(D946, Pack_Master!A:A, 0)),
              Product_Master!B:B, 0 )
))
</f>
        <v>Apparel_Hoodies_Sweatshirts</v>
      </c>
      <c r="C946" s="7" t="s">
        <v>1069</v>
      </c>
      <c r="D946" s="8" t="s">
        <v>1069</v>
      </c>
      <c r="E946" s="9" t="s">
        <v>12</v>
      </c>
      <c r="F946" s="8" t="s">
        <v>1610</v>
      </c>
      <c r="G946" s="5"/>
      <c r="H946" s="5"/>
      <c r="I946" s="5"/>
    </row>
    <row r="947">
      <c r="A947" s="5" t="s">
        <v>1162</v>
      </c>
      <c r="B947" s="6" t="str">
        <f t="array" ref="B947">IF(D947="","",
 INDEX(Product_Master!A:A,
       MATCH( INDEX(Pack_Master!B:B, MATCH(D947, Pack_Master!A:A, 0)),
              Product_Master!B:B, 0 )
))
</f>
        <v>Apparel_Hoodies_Sweatshirts</v>
      </c>
      <c r="C947" s="7" t="s">
        <v>1072</v>
      </c>
      <c r="D947" s="8" t="s">
        <v>1070</v>
      </c>
      <c r="E947" s="9" t="s">
        <v>12</v>
      </c>
      <c r="F947" s="8" t="s">
        <v>1611</v>
      </c>
      <c r="G947" s="5"/>
      <c r="H947" s="5"/>
      <c r="I947" s="5"/>
    </row>
    <row r="948">
      <c r="A948" s="5" t="s">
        <v>1162</v>
      </c>
      <c r="B948" s="6" t="str">
        <f t="array" ref="B948">IF(D948="","",
 INDEX(Product_Master!A:A,
       MATCH( INDEX(Pack_Master!B:B, MATCH(D948, Pack_Master!A:A, 0)),
              Product_Master!B:B, 0 )
))
</f>
        <v>Apparel_Hoodies_Sweatshirts</v>
      </c>
      <c r="C948" s="7" t="s">
        <v>1073</v>
      </c>
      <c r="D948" s="8" t="s">
        <v>1072</v>
      </c>
      <c r="E948" s="9" t="s">
        <v>12</v>
      </c>
      <c r="F948" s="8" t="s">
        <v>1612</v>
      </c>
      <c r="G948" s="5"/>
      <c r="H948" s="5"/>
      <c r="I948" s="5"/>
    </row>
    <row r="949">
      <c r="A949" s="5" t="s">
        <v>1162</v>
      </c>
      <c r="B949" s="6" t="str">
        <f t="array" ref="B949">IF(D949="","",
 INDEX(Product_Master!A:A,
       MATCH( INDEX(Pack_Master!B:B, MATCH(D949, Pack_Master!A:A, 0)),
              Product_Master!B:B, 0 )
))
</f>
        <v>Apparel_Hoodies_Sweatshirts</v>
      </c>
      <c r="C949" s="7" t="s">
        <v>1106</v>
      </c>
      <c r="D949" s="8" t="s">
        <v>1073</v>
      </c>
      <c r="E949" s="9" t="s">
        <v>12</v>
      </c>
      <c r="F949" s="8" t="s">
        <v>1613</v>
      </c>
      <c r="G949" s="5"/>
      <c r="H949" s="5"/>
      <c r="I949" s="5"/>
    </row>
    <row r="950">
      <c r="A950" s="5" t="s">
        <v>1162</v>
      </c>
      <c r="B950" s="6" t="str">
        <f t="array" ref="B950">IF(D950="","",
 INDEX(Product_Master!A:A,
       MATCH( INDEX(Pack_Master!B:B, MATCH(D950, Pack_Master!A:A, 0)),
              Product_Master!B:B, 0 )
))
</f>
        <v>Apparel_Tshirts</v>
      </c>
      <c r="C950" s="7" t="s">
        <v>1108</v>
      </c>
      <c r="D950" s="8" t="str">
        <f t="shared" ref="D950:D1004" si="7">IF(ISNUMBER(SEARCH("TSHIRT", C950)), IF(ISNUMBER(SEARCH("WHITE", C950)), "TSHIRT-WHITE-", "TSHIRT-BLACK-") &amp; IF(ISNUMBER(SEARCH("-XXL", C950)), "XXL", IF(ISNUMBER(SEARCH("-XL", C950)), "XL", IF(ISNUMBER(SEARCH("-L", C950)), "L", IF(ISNUMBER(SEARCH("-M", C950)), "M", "")))), C950)</f>
        <v>TSHIRT-BLACK-M</v>
      </c>
      <c r="E950" s="9" t="s">
        <v>12</v>
      </c>
      <c r="F950" s="8" t="s">
        <v>1614</v>
      </c>
      <c r="G950" s="5"/>
      <c r="H950" s="5"/>
      <c r="I950" s="5"/>
    </row>
    <row r="951">
      <c r="A951" s="5" t="s">
        <v>1162</v>
      </c>
      <c r="B951" s="6" t="str">
        <f t="array" ref="B951">IF(D951="","",
 INDEX(Product_Master!A:A,
       MATCH( INDEX(Pack_Master!B:B, MATCH(D951, Pack_Master!A:A, 0)),
              Product_Master!B:B, 0 )
))
</f>
        <v>Apparel_Tshirts</v>
      </c>
      <c r="C951" s="7" t="s">
        <v>1110</v>
      </c>
      <c r="D951" s="8" t="str">
        <f t="shared" si="7"/>
        <v>TSHIRT-BLACK-XL</v>
      </c>
      <c r="E951" s="9" t="s">
        <v>12</v>
      </c>
      <c r="F951" s="8" t="s">
        <v>1615</v>
      </c>
      <c r="G951" s="5"/>
      <c r="H951" s="5"/>
      <c r="I951" s="5"/>
    </row>
    <row r="952">
      <c r="A952" s="5" t="s">
        <v>1162</v>
      </c>
      <c r="B952" s="6" t="str">
        <f t="array" ref="B952">IF(D952="","",
 INDEX(Product_Master!A:A,
       MATCH( INDEX(Pack_Master!B:B, MATCH(D952, Pack_Master!A:A, 0)),
              Product_Master!B:B, 0 )
))
</f>
        <v>Apparel_Tshirts</v>
      </c>
      <c r="C952" s="7" t="s">
        <v>1112</v>
      </c>
      <c r="D952" s="8" t="str">
        <f t="shared" si="7"/>
        <v>TSHIRT-BLACK-XXL</v>
      </c>
      <c r="E952" s="9" t="s">
        <v>12</v>
      </c>
      <c r="F952" s="8" t="s">
        <v>1616</v>
      </c>
      <c r="G952" s="5"/>
      <c r="H952" s="5"/>
      <c r="I952" s="5"/>
    </row>
    <row r="953">
      <c r="A953" s="5" t="s">
        <v>1162</v>
      </c>
      <c r="B953" s="6" t="str">
        <f t="array" ref="B953">IF(D953="","",
 INDEX(Product_Master!A:A,
       MATCH( INDEX(Pack_Master!B:B, MATCH(D953, Pack_Master!A:A, 0)),
              Product_Master!B:B, 0 )
))
</f>
        <v>Apparel_Tshirts</v>
      </c>
      <c r="C953" s="7" t="s">
        <v>1118</v>
      </c>
      <c r="D953" s="8" t="str">
        <f t="shared" si="7"/>
        <v>TSHIRT-BLACK-L</v>
      </c>
      <c r="E953" s="9" t="s">
        <v>12</v>
      </c>
      <c r="F953" s="8" t="s">
        <v>1617</v>
      </c>
      <c r="G953" s="5"/>
      <c r="H953" s="5"/>
      <c r="I953" s="5"/>
    </row>
    <row r="954">
      <c r="A954" s="5" t="s">
        <v>1162</v>
      </c>
      <c r="B954" s="6" t="str">
        <f t="array" ref="B954">IF(D954="","",
 INDEX(Product_Master!A:A,
       MATCH( INDEX(Pack_Master!B:B, MATCH(D954, Pack_Master!A:A, 0)),
              Product_Master!B:B, 0 )
))
</f>
        <v>Apparel_Tshirts</v>
      </c>
      <c r="C954" s="7" t="s">
        <v>1119</v>
      </c>
      <c r="D954" s="8" t="str">
        <f t="shared" si="7"/>
        <v>TSHIRT-BLACK-M</v>
      </c>
      <c r="E954" s="9" t="s">
        <v>12</v>
      </c>
      <c r="F954" s="8" t="s">
        <v>1618</v>
      </c>
      <c r="G954" s="5"/>
      <c r="H954" s="5"/>
      <c r="I954" s="5"/>
    </row>
    <row r="955">
      <c r="A955" s="5" t="s">
        <v>1162</v>
      </c>
      <c r="B955" s="6" t="str">
        <f t="array" ref="B955">IF(D955="","",
 INDEX(Product_Master!A:A,
       MATCH( INDEX(Pack_Master!B:B, MATCH(D955, Pack_Master!A:A, 0)),
              Product_Master!B:B, 0 )
))
</f>
        <v>Apparel_Tshirts</v>
      </c>
      <c r="C955" s="7" t="s">
        <v>1120</v>
      </c>
      <c r="D955" s="8" t="str">
        <f t="shared" si="7"/>
        <v>TSHIRT-BLACK-XL</v>
      </c>
      <c r="E955" s="9" t="s">
        <v>12</v>
      </c>
      <c r="F955" s="8" t="s">
        <v>1619</v>
      </c>
      <c r="G955" s="5"/>
      <c r="H955" s="5"/>
      <c r="I955" s="5"/>
    </row>
    <row r="956">
      <c r="A956" s="5" t="s">
        <v>1162</v>
      </c>
      <c r="B956" s="6" t="str">
        <f t="array" ref="B956">IF(D956="","",
 INDEX(Product_Master!A:A,
       MATCH( INDEX(Pack_Master!B:B, MATCH(D956, Pack_Master!A:A, 0)),
              Product_Master!B:B, 0 )
))
</f>
        <v>Apparel_Tshirts</v>
      </c>
      <c r="C956" s="7" t="s">
        <v>1121</v>
      </c>
      <c r="D956" s="8" t="str">
        <f t="shared" si="7"/>
        <v>TSHIRT-BLACK-XXL</v>
      </c>
      <c r="E956" s="9" t="s">
        <v>12</v>
      </c>
      <c r="F956" s="8" t="s">
        <v>1620</v>
      </c>
      <c r="G956" s="5"/>
      <c r="H956" s="5"/>
      <c r="I956" s="5"/>
    </row>
    <row r="957">
      <c r="A957" s="5" t="s">
        <v>1162</v>
      </c>
      <c r="B957" s="6" t="str">
        <f t="array" ref="B957">IF(D957="","",
 INDEX(Product_Master!A:A,
       MATCH( INDEX(Pack_Master!B:B, MATCH(D957, Pack_Master!A:A, 0)),
              Product_Master!B:B, 0 )
))
</f>
        <v>Apparel_Tshirts</v>
      </c>
      <c r="C957" s="7" t="s">
        <v>1621</v>
      </c>
      <c r="D957" s="8" t="str">
        <f t="shared" si="7"/>
        <v>TSHIRT-BLACK-L</v>
      </c>
      <c r="E957" s="9" t="s">
        <v>12</v>
      </c>
      <c r="F957" s="8" t="s">
        <v>1622</v>
      </c>
      <c r="G957" s="5"/>
      <c r="H957" s="5"/>
      <c r="I957" s="5"/>
    </row>
    <row r="958">
      <c r="A958" s="5" t="s">
        <v>1162</v>
      </c>
      <c r="B958" s="6" t="str">
        <f t="array" ref="B958">IF(D958="","",
 INDEX(Product_Master!A:A,
       MATCH( INDEX(Pack_Master!B:B, MATCH(D958, Pack_Master!A:A, 0)),
              Product_Master!B:B, 0 )
))
</f>
        <v>Apparel_Tshirts</v>
      </c>
      <c r="C958" s="7" t="s">
        <v>1623</v>
      </c>
      <c r="D958" s="8" t="str">
        <f t="shared" si="7"/>
        <v>TSHIRT-BLACK-M</v>
      </c>
      <c r="E958" s="9" t="s">
        <v>12</v>
      </c>
      <c r="F958" s="8" t="s">
        <v>1624</v>
      </c>
      <c r="G958" s="5"/>
      <c r="H958" s="5"/>
      <c r="I958" s="5"/>
    </row>
    <row r="959">
      <c r="A959" s="5" t="s">
        <v>1162</v>
      </c>
      <c r="B959" s="6" t="str">
        <f t="array" ref="B959">IF(D959="","",
 INDEX(Product_Master!A:A,
       MATCH( INDEX(Pack_Master!B:B, MATCH(D959, Pack_Master!A:A, 0)),
              Product_Master!B:B, 0 )
))
</f>
        <v>Apparel_Tshirts</v>
      </c>
      <c r="C959" s="7" t="s">
        <v>1625</v>
      </c>
      <c r="D959" s="8" t="str">
        <f t="shared" si="7"/>
        <v>TSHIRT-BLACK-XL</v>
      </c>
      <c r="E959" s="9" t="s">
        <v>12</v>
      </c>
      <c r="F959" s="8" t="s">
        <v>1626</v>
      </c>
      <c r="G959" s="5"/>
      <c r="H959" s="5"/>
      <c r="I959" s="5"/>
    </row>
    <row r="960">
      <c r="A960" s="5" t="s">
        <v>1162</v>
      </c>
      <c r="B960" s="6" t="str">
        <f t="array" ref="B960">IF(D960="","",
 INDEX(Product_Master!A:A,
       MATCH( INDEX(Pack_Master!B:B, MATCH(D960, Pack_Master!A:A, 0)),
              Product_Master!B:B, 0 )
))
</f>
        <v>Apparel_Tshirts</v>
      </c>
      <c r="C960" s="7" t="s">
        <v>1627</v>
      </c>
      <c r="D960" s="8" t="str">
        <f t="shared" si="7"/>
        <v>TSHIRT-BLACK-XXL</v>
      </c>
      <c r="E960" s="9" t="s">
        <v>12</v>
      </c>
      <c r="F960" s="8" t="s">
        <v>1628</v>
      </c>
      <c r="G960" s="5"/>
      <c r="H960" s="5"/>
      <c r="I960" s="5"/>
    </row>
    <row r="961">
      <c r="A961" s="5" t="s">
        <v>1162</v>
      </c>
      <c r="B961" s="6" t="str">
        <f t="array" ref="B961">IF(D961="","",
 INDEX(Product_Master!A:A,
       MATCH( INDEX(Pack_Master!B:B, MATCH(D961, Pack_Master!A:A, 0)),
              Product_Master!B:B, 0 )
))
</f>
        <v>Apparel_Tshirts</v>
      </c>
      <c r="C961" s="7" t="s">
        <v>1629</v>
      </c>
      <c r="D961" s="8" t="str">
        <f t="shared" si="7"/>
        <v>TSHIRT-BLACK-L</v>
      </c>
      <c r="E961" s="9" t="s">
        <v>12</v>
      </c>
      <c r="F961" s="8" t="s">
        <v>1630</v>
      </c>
      <c r="G961" s="5"/>
      <c r="H961" s="5"/>
      <c r="I961" s="5"/>
    </row>
    <row r="962">
      <c r="A962" s="5" t="s">
        <v>1162</v>
      </c>
      <c r="B962" s="6" t="str">
        <f t="array" ref="B962">IF(D962="","",
 INDEX(Product_Master!A:A,
       MATCH( INDEX(Pack_Master!B:B, MATCH(D962, Pack_Master!A:A, 0)),
              Product_Master!B:B, 0 )
))
</f>
        <v>Apparel_Tshirts</v>
      </c>
      <c r="C962" s="7" t="s">
        <v>1631</v>
      </c>
      <c r="D962" s="8" t="str">
        <f t="shared" si="7"/>
        <v>TSHIRT-BLACK-M</v>
      </c>
      <c r="E962" s="9" t="s">
        <v>12</v>
      </c>
      <c r="F962" s="8" t="s">
        <v>1632</v>
      </c>
      <c r="G962" s="5"/>
      <c r="H962" s="5"/>
      <c r="I962" s="5"/>
    </row>
    <row r="963">
      <c r="A963" s="5" t="s">
        <v>1162</v>
      </c>
      <c r="B963" s="6" t="str">
        <f t="array" ref="B963">IF(D963="","",
 INDEX(Product_Master!A:A,
       MATCH( INDEX(Pack_Master!B:B, MATCH(D963, Pack_Master!A:A, 0)),
              Product_Master!B:B, 0 )
))
</f>
        <v>Apparel_Tshirts</v>
      </c>
      <c r="C963" s="7" t="s">
        <v>1633</v>
      </c>
      <c r="D963" s="8" t="str">
        <f t="shared" si="7"/>
        <v>TSHIRT-BLACK-XL</v>
      </c>
      <c r="E963" s="9" t="s">
        <v>12</v>
      </c>
      <c r="F963" s="8" t="s">
        <v>1634</v>
      </c>
      <c r="G963" s="5"/>
      <c r="H963" s="5"/>
      <c r="I963" s="5"/>
    </row>
    <row r="964">
      <c r="A964" s="5" t="s">
        <v>1162</v>
      </c>
      <c r="B964" s="6" t="str">
        <f t="array" ref="B964">IF(D964="","",
 INDEX(Product_Master!A:A,
       MATCH( INDEX(Pack_Master!B:B, MATCH(D964, Pack_Master!A:A, 0)),
              Product_Master!B:B, 0 )
))
</f>
        <v>Apparel_Tshirts</v>
      </c>
      <c r="C964" s="7" t="s">
        <v>1635</v>
      </c>
      <c r="D964" s="8" t="str">
        <f t="shared" si="7"/>
        <v>TSHIRT-BLACK-XXL</v>
      </c>
      <c r="E964" s="9" t="s">
        <v>12</v>
      </c>
      <c r="F964" s="8" t="s">
        <v>1636</v>
      </c>
      <c r="G964" s="5"/>
      <c r="H964" s="5"/>
      <c r="I964" s="5"/>
    </row>
    <row r="965">
      <c r="A965" s="5" t="s">
        <v>1162</v>
      </c>
      <c r="B965" s="6" t="str">
        <f t="array" ref="B965">IF(D965="","",
 INDEX(Product_Master!A:A,
       MATCH( INDEX(Pack_Master!B:B, MATCH(D965, Pack_Master!A:A, 0)),
              Product_Master!B:B, 0 )
))
</f>
        <v>Apparel_Tshirts</v>
      </c>
      <c r="C965" s="7" t="s">
        <v>1637</v>
      </c>
      <c r="D965" s="8" t="str">
        <f t="shared" si="7"/>
        <v>TSHIRT-BLACK-L</v>
      </c>
      <c r="E965" s="9" t="s">
        <v>12</v>
      </c>
      <c r="F965" s="8" t="s">
        <v>1638</v>
      </c>
      <c r="G965" s="5"/>
      <c r="H965" s="5"/>
      <c r="I965" s="5"/>
    </row>
    <row r="966">
      <c r="A966" s="5" t="s">
        <v>1162</v>
      </c>
      <c r="B966" s="6" t="str">
        <f t="array" ref="B966">IF(D966="","",
 INDEX(Product_Master!A:A,
       MATCH( INDEX(Pack_Master!B:B, MATCH(D966, Pack_Master!A:A, 0)),
              Product_Master!B:B, 0 )
))
</f>
        <v>Apparel_Tshirts</v>
      </c>
      <c r="C966" s="7" t="s">
        <v>1639</v>
      </c>
      <c r="D966" s="8" t="str">
        <f t="shared" si="7"/>
        <v>TSHIRT-BLACK-M</v>
      </c>
      <c r="E966" s="9" t="s">
        <v>12</v>
      </c>
      <c r="F966" s="8" t="s">
        <v>1640</v>
      </c>
      <c r="G966" s="5"/>
      <c r="H966" s="5"/>
      <c r="I966" s="5"/>
    </row>
    <row r="967">
      <c r="A967" s="5" t="s">
        <v>1162</v>
      </c>
      <c r="B967" s="6" t="str">
        <f t="array" ref="B967">IF(D967="","",
 INDEX(Product_Master!A:A,
       MATCH( INDEX(Pack_Master!B:B, MATCH(D967, Pack_Master!A:A, 0)),
              Product_Master!B:B, 0 )
))
</f>
        <v>Apparel_Tshirts</v>
      </c>
      <c r="C967" s="7" t="s">
        <v>1641</v>
      </c>
      <c r="D967" s="8" t="str">
        <f t="shared" si="7"/>
        <v>TSHIRT-BLACK-XL</v>
      </c>
      <c r="E967" s="9" t="s">
        <v>12</v>
      </c>
      <c r="F967" s="8" t="s">
        <v>1642</v>
      </c>
      <c r="G967" s="5"/>
      <c r="H967" s="5"/>
      <c r="I967" s="5"/>
    </row>
    <row r="968">
      <c r="A968" s="5" t="s">
        <v>1162</v>
      </c>
      <c r="B968" s="6" t="str">
        <f t="array" ref="B968">IF(D968="","",
 INDEX(Product_Master!A:A,
       MATCH( INDEX(Pack_Master!B:B, MATCH(D968, Pack_Master!A:A, 0)),
              Product_Master!B:B, 0 )
))
</f>
        <v>Apparel_Tshirts</v>
      </c>
      <c r="C968" s="7" t="s">
        <v>1643</v>
      </c>
      <c r="D968" s="8" t="str">
        <f t="shared" si="7"/>
        <v>TSHIRT-BLACK-XXL</v>
      </c>
      <c r="E968" s="9" t="s">
        <v>12</v>
      </c>
      <c r="F968" s="8" t="s">
        <v>1644</v>
      </c>
      <c r="G968" s="5"/>
      <c r="H968" s="5"/>
      <c r="I968" s="5"/>
    </row>
    <row r="969">
      <c r="A969" s="5" t="s">
        <v>1162</v>
      </c>
      <c r="B969" s="6" t="str">
        <f t="array" ref="B969">IF(D969="","",
 INDEX(Product_Master!A:A,
       MATCH( INDEX(Pack_Master!B:B, MATCH(D969, Pack_Master!A:A, 0)),
              Product_Master!B:B, 0 )
))
</f>
        <v>Apparel_Tshirts</v>
      </c>
      <c r="C969" s="7" t="s">
        <v>1645</v>
      </c>
      <c r="D969" s="8" t="str">
        <f t="shared" si="7"/>
        <v>TSHIRT-BLACK-M</v>
      </c>
      <c r="E969" s="9" t="s">
        <v>12</v>
      </c>
      <c r="F969" s="8" t="s">
        <v>1646</v>
      </c>
      <c r="G969" s="5"/>
      <c r="H969" s="5"/>
      <c r="I969" s="5"/>
    </row>
    <row r="970">
      <c r="A970" s="5" t="s">
        <v>1162</v>
      </c>
      <c r="B970" s="6" t="str">
        <f t="array" ref="B970">IF(D970="","",
 INDEX(Product_Master!A:A,
       MATCH( INDEX(Pack_Master!B:B, MATCH(D970, Pack_Master!A:A, 0)),
              Product_Master!B:B, 0 )
))
</f>
        <v>Apparel_Tshirts</v>
      </c>
      <c r="C970" s="7" t="s">
        <v>1647</v>
      </c>
      <c r="D970" s="8" t="str">
        <f t="shared" si="7"/>
        <v>TSHIRT-BLACK-XL</v>
      </c>
      <c r="E970" s="9" t="s">
        <v>12</v>
      </c>
      <c r="F970" s="8" t="s">
        <v>1648</v>
      </c>
      <c r="G970" s="5"/>
      <c r="H970" s="5"/>
      <c r="I970" s="5"/>
    </row>
    <row r="971">
      <c r="A971" s="5" t="s">
        <v>1162</v>
      </c>
      <c r="B971" s="6" t="str">
        <f t="array" ref="B971">IF(D971="","",
 INDEX(Product_Master!A:A,
       MATCH( INDEX(Pack_Master!B:B, MATCH(D971, Pack_Master!A:A, 0)),
              Product_Master!B:B, 0 )
))
</f>
        <v>Apparel_Tshirts</v>
      </c>
      <c r="C971" s="7" t="s">
        <v>1649</v>
      </c>
      <c r="D971" s="8" t="str">
        <f t="shared" si="7"/>
        <v>TSHIRT-BLACK-XXL</v>
      </c>
      <c r="E971" s="9" t="s">
        <v>12</v>
      </c>
      <c r="F971" s="8" t="s">
        <v>1650</v>
      </c>
      <c r="G971" s="5"/>
      <c r="H971" s="5"/>
      <c r="I971" s="5"/>
    </row>
    <row r="972">
      <c r="A972" s="5" t="s">
        <v>1162</v>
      </c>
      <c r="B972" s="6" t="str">
        <f t="array" ref="B972">IF(D972="","",
 INDEX(Product_Master!A:A,
       MATCH( INDEX(Pack_Master!B:B, MATCH(D972, Pack_Master!A:A, 0)),
              Product_Master!B:B, 0 )
))
</f>
        <v>Apparel_Tshirts</v>
      </c>
      <c r="C972" s="7" t="s">
        <v>1651</v>
      </c>
      <c r="D972" s="8" t="str">
        <f t="shared" si="7"/>
        <v>TSHIRT-BLACK-L</v>
      </c>
      <c r="E972" s="9" t="s">
        <v>12</v>
      </c>
      <c r="F972" s="8" t="s">
        <v>1652</v>
      </c>
      <c r="G972" s="5"/>
      <c r="H972" s="5"/>
      <c r="I972" s="5"/>
    </row>
    <row r="973">
      <c r="A973" s="5" t="s">
        <v>1162</v>
      </c>
      <c r="B973" s="6" t="str">
        <f t="array" ref="B973">IF(D973="","",
 INDEX(Product_Master!A:A,
       MATCH( INDEX(Pack_Master!B:B, MATCH(D973, Pack_Master!A:A, 0)),
              Product_Master!B:B, 0 )
))
</f>
        <v>Apparel_Tshirts</v>
      </c>
      <c r="C973" s="7" t="s">
        <v>1653</v>
      </c>
      <c r="D973" s="8" t="str">
        <f t="shared" si="7"/>
        <v>TSHIRT-BLACK-M</v>
      </c>
      <c r="E973" s="9" t="s">
        <v>12</v>
      </c>
      <c r="F973" s="8" t="s">
        <v>1654</v>
      </c>
      <c r="G973" s="5"/>
      <c r="H973" s="5"/>
      <c r="I973" s="5"/>
    </row>
    <row r="974">
      <c r="A974" s="5" t="s">
        <v>1162</v>
      </c>
      <c r="B974" s="6" t="str">
        <f t="array" ref="B974">IF(D974="","",
 INDEX(Product_Master!A:A,
       MATCH( INDEX(Pack_Master!B:B, MATCH(D974, Pack_Master!A:A, 0)),
              Product_Master!B:B, 0 )
))
</f>
        <v>Apparel_Tshirts</v>
      </c>
      <c r="C974" s="7" t="s">
        <v>1655</v>
      </c>
      <c r="D974" s="8" t="str">
        <f t="shared" si="7"/>
        <v>TSHIRT-BLACK-XL</v>
      </c>
      <c r="E974" s="9" t="s">
        <v>12</v>
      </c>
      <c r="F974" s="8" t="s">
        <v>1656</v>
      </c>
      <c r="G974" s="5"/>
      <c r="H974" s="5"/>
      <c r="I974" s="5"/>
    </row>
    <row r="975">
      <c r="A975" s="5" t="s">
        <v>1162</v>
      </c>
      <c r="B975" s="6" t="str">
        <f t="array" ref="B975">IF(D975="","",
 INDEX(Product_Master!A:A,
       MATCH( INDEX(Pack_Master!B:B, MATCH(D975, Pack_Master!A:A, 0)),
              Product_Master!B:B, 0 )
))
</f>
        <v>Apparel_Tshirts</v>
      </c>
      <c r="C975" s="7" t="s">
        <v>1657</v>
      </c>
      <c r="D975" s="8" t="str">
        <f t="shared" si="7"/>
        <v>TSHIRT-BLACK-XXL</v>
      </c>
      <c r="E975" s="9" t="s">
        <v>12</v>
      </c>
      <c r="F975" s="8" t="s">
        <v>1658</v>
      </c>
      <c r="G975" s="5"/>
      <c r="H975" s="5"/>
      <c r="I975" s="5"/>
    </row>
    <row r="976">
      <c r="A976" s="5" t="s">
        <v>1162</v>
      </c>
      <c r="B976" s="6" t="str">
        <f t="array" ref="B976">IF(D976="","",
 INDEX(Product_Master!A:A,
       MATCH( INDEX(Pack_Master!B:B, MATCH(D976, Pack_Master!A:A, 0)),
              Product_Master!B:B, 0 )
))
</f>
        <v>Apparel_Tshirts</v>
      </c>
      <c r="C976" s="7" t="s">
        <v>1659</v>
      </c>
      <c r="D976" s="8" t="str">
        <f t="shared" si="7"/>
        <v>TSHIRT-BLACK-L</v>
      </c>
      <c r="E976" s="9" t="s">
        <v>12</v>
      </c>
      <c r="F976" s="8" t="s">
        <v>1660</v>
      </c>
      <c r="G976" s="5"/>
      <c r="H976" s="5"/>
      <c r="I976" s="5"/>
    </row>
    <row r="977">
      <c r="A977" s="5" t="s">
        <v>1162</v>
      </c>
      <c r="B977" s="6" t="str">
        <f t="array" ref="B977">IF(D977="","",
 INDEX(Product_Master!A:A,
       MATCH( INDEX(Pack_Master!B:B, MATCH(D977, Pack_Master!A:A, 0)),
              Product_Master!B:B, 0 )
))
</f>
        <v>Apparel_Tshirts</v>
      </c>
      <c r="C977" s="7" t="s">
        <v>1661</v>
      </c>
      <c r="D977" s="8" t="str">
        <f t="shared" si="7"/>
        <v>TSHIRT-BLACK-M</v>
      </c>
      <c r="E977" s="9" t="s">
        <v>12</v>
      </c>
      <c r="F977" s="8" t="s">
        <v>1662</v>
      </c>
      <c r="G977" s="5"/>
      <c r="H977" s="5"/>
      <c r="I977" s="5"/>
    </row>
    <row r="978">
      <c r="A978" s="5" t="s">
        <v>1162</v>
      </c>
      <c r="B978" s="6" t="str">
        <f t="array" ref="B978">IF(D978="","",
 INDEX(Product_Master!A:A,
       MATCH( INDEX(Pack_Master!B:B, MATCH(D978, Pack_Master!A:A, 0)),
              Product_Master!B:B, 0 )
))
</f>
        <v>Apparel_Tshirts</v>
      </c>
      <c r="C978" s="7" t="s">
        <v>1663</v>
      </c>
      <c r="D978" s="8" t="str">
        <f t="shared" si="7"/>
        <v>TSHIRT-BLACK-XL</v>
      </c>
      <c r="E978" s="9" t="s">
        <v>12</v>
      </c>
      <c r="F978" s="8" t="s">
        <v>1664</v>
      </c>
      <c r="G978" s="5"/>
      <c r="H978" s="5"/>
      <c r="I978" s="5"/>
    </row>
    <row r="979">
      <c r="A979" s="5" t="s">
        <v>1162</v>
      </c>
      <c r="B979" s="6" t="str">
        <f t="array" ref="B979">IF(D979="","",
 INDEX(Product_Master!A:A,
       MATCH( INDEX(Pack_Master!B:B, MATCH(D979, Pack_Master!A:A, 0)),
              Product_Master!B:B, 0 )
))
</f>
        <v>Apparel_Tshirts</v>
      </c>
      <c r="C979" s="7" t="s">
        <v>1665</v>
      </c>
      <c r="D979" s="8" t="str">
        <f t="shared" si="7"/>
        <v>TSHIRT-BLACK-XXL</v>
      </c>
      <c r="E979" s="9" t="s">
        <v>12</v>
      </c>
      <c r="F979" s="8" t="s">
        <v>1666</v>
      </c>
      <c r="G979" s="5"/>
      <c r="H979" s="5"/>
      <c r="I979" s="5"/>
    </row>
    <row r="980">
      <c r="A980" s="5" t="s">
        <v>1162</v>
      </c>
      <c r="B980" s="6" t="str">
        <f t="array" ref="B980">IF(D980="","",
 INDEX(Product_Master!A:A,
       MATCH( INDEX(Pack_Master!B:B, MATCH(D980, Pack_Master!A:A, 0)),
              Product_Master!B:B, 0 )
))
</f>
        <v>Apparel_Tshirts</v>
      </c>
      <c r="C980" s="7" t="s">
        <v>1667</v>
      </c>
      <c r="D980" s="8" t="str">
        <f t="shared" si="7"/>
        <v>TSHIRT-BLACK-L</v>
      </c>
      <c r="E980" s="9" t="s">
        <v>12</v>
      </c>
      <c r="F980" s="8" t="s">
        <v>1668</v>
      </c>
      <c r="G980" s="5"/>
      <c r="H980" s="5"/>
      <c r="I980" s="5"/>
    </row>
    <row r="981">
      <c r="A981" s="5" t="s">
        <v>1162</v>
      </c>
      <c r="B981" s="6" t="str">
        <f t="array" ref="B981">IF(D981="","",
 INDEX(Product_Master!A:A,
       MATCH( INDEX(Pack_Master!B:B, MATCH(D981, Pack_Master!A:A, 0)),
              Product_Master!B:B, 0 )
))
</f>
        <v>Apparel_Tshirts</v>
      </c>
      <c r="C981" s="7" t="s">
        <v>1669</v>
      </c>
      <c r="D981" s="8" t="str">
        <f t="shared" si="7"/>
        <v>TSHIRT-BLACK-M</v>
      </c>
      <c r="E981" s="9" t="s">
        <v>12</v>
      </c>
      <c r="F981" s="8" t="s">
        <v>1670</v>
      </c>
      <c r="G981" s="5"/>
      <c r="H981" s="5"/>
      <c r="I981" s="5"/>
    </row>
    <row r="982">
      <c r="A982" s="5" t="s">
        <v>1162</v>
      </c>
      <c r="B982" s="6" t="str">
        <f t="array" ref="B982">IF(D982="","",
 INDEX(Product_Master!A:A,
       MATCH( INDEX(Pack_Master!B:B, MATCH(D982, Pack_Master!A:A, 0)),
              Product_Master!B:B, 0 )
))
</f>
        <v>Apparel_Tshirts</v>
      </c>
      <c r="C982" s="7" t="s">
        <v>1671</v>
      </c>
      <c r="D982" s="8" t="str">
        <f t="shared" si="7"/>
        <v>TSHIRT-BLACK-XL</v>
      </c>
      <c r="E982" s="9" t="s">
        <v>12</v>
      </c>
      <c r="F982" s="8" t="s">
        <v>1672</v>
      </c>
      <c r="G982" s="5"/>
      <c r="H982" s="5"/>
      <c r="I982" s="5"/>
    </row>
    <row r="983">
      <c r="A983" s="5" t="s">
        <v>1162</v>
      </c>
      <c r="B983" s="6" t="str">
        <f t="array" ref="B983">IF(D983="","",
 INDEX(Product_Master!A:A,
       MATCH( INDEX(Pack_Master!B:B, MATCH(D983, Pack_Master!A:A, 0)),
              Product_Master!B:B, 0 )
))
</f>
        <v>Apparel_Tshirts</v>
      </c>
      <c r="C983" s="7" t="s">
        <v>1673</v>
      </c>
      <c r="D983" s="8" t="str">
        <f t="shared" si="7"/>
        <v>TSHIRT-BLACK-XXL</v>
      </c>
      <c r="E983" s="9" t="s">
        <v>12</v>
      </c>
      <c r="F983" s="8" t="s">
        <v>1674</v>
      </c>
      <c r="G983" s="5"/>
      <c r="H983" s="5"/>
      <c r="I983" s="5"/>
    </row>
    <row r="984">
      <c r="A984" s="5" t="s">
        <v>1162</v>
      </c>
      <c r="B984" s="6" t="str">
        <f t="array" ref="B984">IF(D984="","",
 INDEX(Product_Master!A:A,
       MATCH( INDEX(Pack_Master!B:B, MATCH(D984, Pack_Master!A:A, 0)),
              Product_Master!B:B, 0 )
))
</f>
        <v>Apparel_Tshirts</v>
      </c>
      <c r="C984" s="7" t="s">
        <v>1675</v>
      </c>
      <c r="D984" s="8" t="str">
        <f t="shared" si="7"/>
        <v>TSHIRT-BLACK-L</v>
      </c>
      <c r="E984" s="9" t="s">
        <v>12</v>
      </c>
      <c r="F984" s="8" t="s">
        <v>1676</v>
      </c>
      <c r="G984" s="5"/>
      <c r="H984" s="5"/>
      <c r="I984" s="5"/>
    </row>
    <row r="985">
      <c r="A985" s="5" t="s">
        <v>1162</v>
      </c>
      <c r="B985" s="6" t="str">
        <f t="array" ref="B985">IF(D985="","",
 INDEX(Product_Master!A:A,
       MATCH( INDEX(Pack_Master!B:B, MATCH(D985, Pack_Master!A:A, 0)),
              Product_Master!B:B, 0 )
))
</f>
        <v>Apparel_Tshirts</v>
      </c>
      <c r="C985" s="7" t="s">
        <v>1677</v>
      </c>
      <c r="D985" s="8" t="str">
        <f t="shared" si="7"/>
        <v>TSHIRT-BLACK-M</v>
      </c>
      <c r="E985" s="9" t="s">
        <v>12</v>
      </c>
      <c r="F985" s="8" t="s">
        <v>1678</v>
      </c>
      <c r="G985" s="5"/>
      <c r="H985" s="5"/>
      <c r="I985" s="5"/>
    </row>
    <row r="986">
      <c r="A986" s="5" t="s">
        <v>1162</v>
      </c>
      <c r="B986" s="6" t="str">
        <f t="array" ref="B986">IF(D986="","",
 INDEX(Product_Master!A:A,
       MATCH( INDEX(Pack_Master!B:B, MATCH(D986, Pack_Master!A:A, 0)),
              Product_Master!B:B, 0 )
))
</f>
        <v>Apparel_Tshirts</v>
      </c>
      <c r="C986" s="7" t="s">
        <v>1679</v>
      </c>
      <c r="D986" s="8" t="str">
        <f t="shared" si="7"/>
        <v>TSHIRT-BLACK-XL</v>
      </c>
      <c r="E986" s="9" t="s">
        <v>12</v>
      </c>
      <c r="F986" s="8" t="s">
        <v>1680</v>
      </c>
      <c r="G986" s="5"/>
      <c r="H986" s="5"/>
      <c r="I986" s="5"/>
    </row>
    <row r="987">
      <c r="A987" s="5" t="s">
        <v>1162</v>
      </c>
      <c r="B987" s="6" t="str">
        <f t="array" ref="B987">IF(D987="","",
 INDEX(Product_Master!A:A,
       MATCH( INDEX(Pack_Master!B:B, MATCH(D987, Pack_Master!A:A, 0)),
              Product_Master!B:B, 0 )
))
</f>
        <v>Apparel_Tshirts</v>
      </c>
      <c r="C987" s="7" t="s">
        <v>1681</v>
      </c>
      <c r="D987" s="8" t="str">
        <f t="shared" si="7"/>
        <v>TSHIRT-BLACK-XXL</v>
      </c>
      <c r="E987" s="9" t="s">
        <v>12</v>
      </c>
      <c r="F987" s="8" t="s">
        <v>1682</v>
      </c>
      <c r="G987" s="5"/>
      <c r="H987" s="5"/>
      <c r="I987" s="5"/>
    </row>
    <row r="988">
      <c r="A988" s="5" t="s">
        <v>1162</v>
      </c>
      <c r="B988" s="6" t="str">
        <f t="array" ref="B988">IF(D988="","",
 INDEX(Product_Master!A:A,
       MATCH( INDEX(Pack_Master!B:B, MATCH(D988, Pack_Master!A:A, 0)),
              Product_Master!B:B, 0 )
))
</f>
        <v>Apparel_Tshirts</v>
      </c>
      <c r="C988" s="7" t="s">
        <v>1683</v>
      </c>
      <c r="D988" s="8" t="str">
        <f t="shared" si="7"/>
        <v>TSHIRT-BLACK-L</v>
      </c>
      <c r="E988" s="9" t="s">
        <v>12</v>
      </c>
      <c r="F988" s="8" t="s">
        <v>1684</v>
      </c>
      <c r="G988" s="5"/>
      <c r="H988" s="5"/>
      <c r="I988" s="5"/>
    </row>
    <row r="989">
      <c r="A989" s="5" t="s">
        <v>1162</v>
      </c>
      <c r="B989" s="6" t="str">
        <f t="array" ref="B989">IF(D989="","",
 INDEX(Product_Master!A:A,
       MATCH( INDEX(Pack_Master!B:B, MATCH(D989, Pack_Master!A:A, 0)),
              Product_Master!B:B, 0 )
))
</f>
        <v>Apparel_Tshirts</v>
      </c>
      <c r="C989" s="7" t="s">
        <v>1685</v>
      </c>
      <c r="D989" s="8" t="str">
        <f t="shared" si="7"/>
        <v>TSHIRT-BLACK-M</v>
      </c>
      <c r="E989" s="9" t="s">
        <v>12</v>
      </c>
      <c r="F989" s="8" t="s">
        <v>1686</v>
      </c>
      <c r="G989" s="5"/>
      <c r="H989" s="5"/>
      <c r="I989" s="5"/>
    </row>
    <row r="990">
      <c r="A990" s="5" t="s">
        <v>1162</v>
      </c>
      <c r="B990" s="6" t="str">
        <f t="array" ref="B990">IF(D990="","",
 INDEX(Product_Master!A:A,
       MATCH( INDEX(Pack_Master!B:B, MATCH(D990, Pack_Master!A:A, 0)),
              Product_Master!B:B, 0 )
))
</f>
        <v>Apparel_Tshirts</v>
      </c>
      <c r="C990" s="7" t="s">
        <v>1687</v>
      </c>
      <c r="D990" s="8" t="str">
        <f t="shared" si="7"/>
        <v>TSHIRT-WHITE-M</v>
      </c>
      <c r="E990" s="9" t="s">
        <v>12</v>
      </c>
      <c r="F990" s="8" t="s">
        <v>1688</v>
      </c>
      <c r="G990" s="5"/>
      <c r="H990" s="5"/>
      <c r="I990" s="5"/>
    </row>
    <row r="991">
      <c r="A991" s="5" t="s">
        <v>1162</v>
      </c>
      <c r="B991" s="6" t="str">
        <f t="array" ref="B991">IF(D991="","",
 INDEX(Product_Master!A:A,
       MATCH( INDEX(Pack_Master!B:B, MATCH(D991, Pack_Master!A:A, 0)),
              Product_Master!B:B, 0 )
))
</f>
        <v>Apparel_Tshirts</v>
      </c>
      <c r="C991" s="7" t="s">
        <v>1689</v>
      </c>
      <c r="D991" s="8" t="str">
        <f t="shared" si="7"/>
        <v>TSHIRT-WHITE-L</v>
      </c>
      <c r="E991" s="9" t="s">
        <v>12</v>
      </c>
      <c r="F991" s="8" t="s">
        <v>1690</v>
      </c>
      <c r="G991" s="5"/>
      <c r="H991" s="5"/>
      <c r="I991" s="5"/>
    </row>
    <row r="992">
      <c r="A992" s="5" t="s">
        <v>1162</v>
      </c>
      <c r="B992" s="6" t="str">
        <f t="array" ref="B992">IF(D992="","",
 INDEX(Product_Master!A:A,
       MATCH( INDEX(Pack_Master!B:B, MATCH(D992, Pack_Master!A:A, 0)),
              Product_Master!B:B, 0 )
))
</f>
        <v>Apparel_Tshirts</v>
      </c>
      <c r="C992" s="7" t="s">
        <v>1691</v>
      </c>
      <c r="D992" s="8" t="str">
        <f t="shared" si="7"/>
        <v>TSHIRT-WHITE-M</v>
      </c>
      <c r="E992" s="9" t="s">
        <v>12</v>
      </c>
      <c r="F992" s="8" t="s">
        <v>1692</v>
      </c>
      <c r="G992" s="5"/>
      <c r="H992" s="5"/>
      <c r="I992" s="5"/>
    </row>
    <row r="993">
      <c r="A993" s="5" t="s">
        <v>1162</v>
      </c>
      <c r="B993" s="6" t="str">
        <f t="array" ref="B993">IF(D993="","",
 INDEX(Product_Master!A:A,
       MATCH( INDEX(Pack_Master!B:B, MATCH(D993, Pack_Master!A:A, 0)),
              Product_Master!B:B, 0 )
))
</f>
        <v>Apparel_Tshirts</v>
      </c>
      <c r="C993" s="7" t="s">
        <v>1693</v>
      </c>
      <c r="D993" s="8" t="str">
        <f t="shared" si="7"/>
        <v>TSHIRT-WHITE-XL</v>
      </c>
      <c r="E993" s="9" t="s">
        <v>12</v>
      </c>
      <c r="F993" s="8" t="s">
        <v>1694</v>
      </c>
      <c r="G993" s="5"/>
      <c r="H993" s="5"/>
      <c r="I993" s="5"/>
    </row>
    <row r="994">
      <c r="A994" s="5" t="s">
        <v>1162</v>
      </c>
      <c r="B994" s="6" t="str">
        <f t="array" ref="B994">IF(D994="","",
 INDEX(Product_Master!A:A,
       MATCH( INDEX(Pack_Master!B:B, MATCH(D994, Pack_Master!A:A, 0)),
              Product_Master!B:B, 0 )
))
</f>
        <v>Apparel_Tshirts</v>
      </c>
      <c r="C994" s="7" t="s">
        <v>1695</v>
      </c>
      <c r="D994" s="8" t="str">
        <f t="shared" si="7"/>
        <v>TSHIRT-WHITE-XXL</v>
      </c>
      <c r="E994" s="9" t="s">
        <v>12</v>
      </c>
      <c r="F994" s="8" t="s">
        <v>1696</v>
      </c>
      <c r="G994" s="5"/>
      <c r="H994" s="5"/>
      <c r="I994" s="5"/>
    </row>
    <row r="995">
      <c r="A995" s="5" t="s">
        <v>1162</v>
      </c>
      <c r="B995" s="6" t="str">
        <f t="array" ref="B995">IF(D995="","",
 INDEX(Product_Master!A:A,
       MATCH( INDEX(Pack_Master!B:B, MATCH(D995, Pack_Master!A:A, 0)),
              Product_Master!B:B, 0 )
))
</f>
        <v>Apparel_Tshirts</v>
      </c>
      <c r="C995" s="7" t="s">
        <v>1697</v>
      </c>
      <c r="D995" s="8" t="str">
        <f t="shared" si="7"/>
        <v>TSHIRT-WHITE-L</v>
      </c>
      <c r="E995" s="9" t="s">
        <v>12</v>
      </c>
      <c r="F995" s="8" t="s">
        <v>1698</v>
      </c>
      <c r="G995" s="5"/>
      <c r="H995" s="5"/>
      <c r="I995" s="5"/>
    </row>
    <row r="996">
      <c r="A996" s="5" t="s">
        <v>1162</v>
      </c>
      <c r="B996" s="6" t="str">
        <f t="array" ref="B996">IF(D996="","",
 INDEX(Product_Master!A:A,
       MATCH( INDEX(Pack_Master!B:B, MATCH(D996, Pack_Master!A:A, 0)),
              Product_Master!B:B, 0 )
))
</f>
        <v>Apparel_Tshirts</v>
      </c>
      <c r="C996" s="7" t="s">
        <v>1699</v>
      </c>
      <c r="D996" s="8" t="str">
        <f t="shared" si="7"/>
        <v>TSHIRT-WHITE-XL</v>
      </c>
      <c r="E996" s="9" t="s">
        <v>12</v>
      </c>
      <c r="F996" s="8" t="s">
        <v>1700</v>
      </c>
      <c r="G996" s="5"/>
      <c r="H996" s="5"/>
      <c r="I996" s="5"/>
    </row>
    <row r="997">
      <c r="A997" s="5" t="s">
        <v>1162</v>
      </c>
      <c r="B997" s="6" t="str">
        <f t="array" ref="B997">IF(D997="","",
 INDEX(Product_Master!A:A,
       MATCH( INDEX(Pack_Master!B:B, MATCH(D997, Pack_Master!A:A, 0)),
              Product_Master!B:B, 0 )
))
</f>
        <v>Apparel_Tshirts</v>
      </c>
      <c r="C997" s="7" t="s">
        <v>1701</v>
      </c>
      <c r="D997" s="8" t="str">
        <f t="shared" si="7"/>
        <v>TSHIRT-WHITE-XXL</v>
      </c>
      <c r="E997" s="9" t="s">
        <v>12</v>
      </c>
      <c r="F997" s="8" t="s">
        <v>1702</v>
      </c>
      <c r="G997" s="5"/>
      <c r="H997" s="5"/>
      <c r="I997" s="5"/>
    </row>
    <row r="998">
      <c r="A998" s="5" t="s">
        <v>1162</v>
      </c>
      <c r="B998" s="6" t="str">
        <f t="array" ref="B998">IF(D998="","",
 INDEX(Product_Master!A:A,
       MATCH( INDEX(Pack_Master!B:B, MATCH(D998, Pack_Master!A:A, 0)),
              Product_Master!B:B, 0 )
))
</f>
        <v>Apparel_Tshirts</v>
      </c>
      <c r="C998" s="7" t="s">
        <v>1703</v>
      </c>
      <c r="D998" s="8" t="str">
        <f t="shared" si="7"/>
        <v>TSHIRT-BLACK-L</v>
      </c>
      <c r="E998" s="9" t="s">
        <v>12</v>
      </c>
      <c r="F998" s="8" t="s">
        <v>1704</v>
      </c>
      <c r="G998" s="5"/>
      <c r="H998" s="5"/>
      <c r="I998" s="5"/>
    </row>
    <row r="999">
      <c r="A999" s="5" t="s">
        <v>1162</v>
      </c>
      <c r="B999" s="6" t="str">
        <f t="array" ref="B999">IF(D999="","",
 INDEX(Product_Master!A:A,
       MATCH( INDEX(Pack_Master!B:B, MATCH(D999, Pack_Master!A:A, 0)),
              Product_Master!B:B, 0 )
))
</f>
        <v>Apparel_Tshirts</v>
      </c>
      <c r="C999" s="7" t="s">
        <v>1705</v>
      </c>
      <c r="D999" s="8" t="str">
        <f t="shared" si="7"/>
        <v>TSHIRT-BLACK-M</v>
      </c>
      <c r="E999" s="9" t="s">
        <v>12</v>
      </c>
      <c r="F999" s="8" t="s">
        <v>1706</v>
      </c>
      <c r="G999" s="5"/>
      <c r="H999" s="5"/>
      <c r="I999" s="5"/>
    </row>
    <row r="1000">
      <c r="A1000" s="5" t="s">
        <v>1162</v>
      </c>
      <c r="B1000" s="6" t="str">
        <f t="array" ref="B1000">IF(D1000="","",
 INDEX(Product_Master!A:A,
       MATCH( INDEX(Pack_Master!B:B, MATCH(D1000, Pack_Master!A:A, 0)),
              Product_Master!B:B, 0 )
))
</f>
        <v>Apparel_Tshirts</v>
      </c>
      <c r="C1000" s="7" t="s">
        <v>1707</v>
      </c>
      <c r="D1000" s="8" t="str">
        <f t="shared" si="7"/>
        <v>TSHIRT-BLACK-XXL</v>
      </c>
      <c r="E1000" s="9" t="s">
        <v>12</v>
      </c>
      <c r="F1000" s="8" t="s">
        <v>1708</v>
      </c>
      <c r="G1000" s="5"/>
      <c r="H1000" s="5"/>
      <c r="I1000" s="5"/>
    </row>
    <row r="1001">
      <c r="A1001" s="5" t="s">
        <v>1162</v>
      </c>
      <c r="B1001" s="6" t="str">
        <f t="array" ref="B1001">IF(D1001="","",
 INDEX(Product_Master!A:A,
       MATCH( INDEX(Pack_Master!B:B, MATCH(D1001, Pack_Master!A:A, 0)),
              Product_Master!B:B, 0 )
))
</f>
        <v>Apparel_Tshirts</v>
      </c>
      <c r="C1001" s="7" t="s">
        <v>1709</v>
      </c>
      <c r="D1001" s="8" t="str">
        <f t="shared" si="7"/>
        <v>TSHIRT-WHITE-L</v>
      </c>
      <c r="E1001" s="9" t="s">
        <v>12</v>
      </c>
      <c r="F1001" s="8" t="s">
        <v>1710</v>
      </c>
      <c r="G1001" s="5"/>
      <c r="H1001" s="5"/>
      <c r="I1001" s="5"/>
    </row>
    <row r="1002">
      <c r="A1002" s="5" t="s">
        <v>1162</v>
      </c>
      <c r="B1002" s="6" t="str">
        <f t="array" ref="B1002">IF(D1002="","",
 INDEX(Product_Master!A:A,
       MATCH( INDEX(Pack_Master!B:B, MATCH(D1002, Pack_Master!A:A, 0)),
              Product_Master!B:B, 0 )
))
</f>
        <v>Apparel_Tshirts</v>
      </c>
      <c r="C1002" s="7" t="s">
        <v>1711</v>
      </c>
      <c r="D1002" s="8" t="str">
        <f t="shared" si="7"/>
        <v>TSHIRT-WHITE-M</v>
      </c>
      <c r="E1002" s="9" t="s">
        <v>12</v>
      </c>
      <c r="F1002" s="8" t="s">
        <v>1712</v>
      </c>
      <c r="G1002" s="5"/>
      <c r="H1002" s="5"/>
      <c r="I1002" s="5"/>
    </row>
    <row r="1003">
      <c r="A1003" s="5" t="s">
        <v>1162</v>
      </c>
      <c r="B1003" s="6" t="str">
        <f t="array" ref="B1003">IF(D1003="","",
 INDEX(Product_Master!A:A,
       MATCH( INDEX(Pack_Master!B:B, MATCH(D1003, Pack_Master!A:A, 0)),
              Product_Master!B:B, 0 )
))
</f>
        <v>Apparel_Tshirts</v>
      </c>
      <c r="C1003" s="7" t="s">
        <v>1713</v>
      </c>
      <c r="D1003" s="8" t="str">
        <f t="shared" si="7"/>
        <v>TSHIRT-WHITE-XL</v>
      </c>
      <c r="E1003" s="9" t="s">
        <v>12</v>
      </c>
      <c r="F1003" s="8" t="s">
        <v>1714</v>
      </c>
      <c r="G1003" s="5"/>
      <c r="H1003" s="5"/>
      <c r="I1003" s="5"/>
    </row>
    <row r="1004">
      <c r="A1004" s="5" t="s">
        <v>1162</v>
      </c>
      <c r="B1004" s="6" t="str">
        <f t="array" ref="B1004">IF(D1004="","",
 INDEX(Product_Master!A:A,
       MATCH( INDEX(Pack_Master!B:B, MATCH(D1004, Pack_Master!A:A, 0)),
              Product_Master!B:B, 0 )
))
</f>
        <v>Apparel_Tshirts</v>
      </c>
      <c r="C1004" s="7" t="s">
        <v>1715</v>
      </c>
      <c r="D1004" s="8" t="str">
        <f t="shared" si="7"/>
        <v>TSHIRT-WHITE-XXL</v>
      </c>
      <c r="E1004" s="9" t="s">
        <v>12</v>
      </c>
      <c r="F1004" s="8" t="s">
        <v>1716</v>
      </c>
      <c r="G1004" s="5"/>
      <c r="H1004" s="5"/>
      <c r="I1004" s="5"/>
    </row>
    <row r="1005">
      <c r="A1005" s="5" t="s">
        <v>1717</v>
      </c>
      <c r="B1005" s="6" t="str">
        <f t="array" ref="B1005">IF(D1005="","",
 INDEX(Product_Master!A:A,
       MATCH( INDEX(Pack_Master!B:B, MATCH(D1005, Pack_Master!A:A, 0)),
              Product_Master!B:B, 0 )
))
</f>
        <v>Apparel_Caps_Beanies</v>
      </c>
      <c r="C1005" s="7" t="s">
        <v>359</v>
      </c>
      <c r="D1005" s="8" t="s">
        <v>359</v>
      </c>
      <c r="E1005" s="9" t="s">
        <v>12</v>
      </c>
      <c r="F1005" s="8" t="s">
        <v>359</v>
      </c>
      <c r="G1005" s="5"/>
      <c r="H1005" s="5">
        <v>46020.0</v>
      </c>
      <c r="I1005" s="5"/>
    </row>
    <row r="1006">
      <c r="A1006" s="5" t="s">
        <v>1717</v>
      </c>
      <c r="B1006" s="6" t="str">
        <f t="array" ref="B1006">IF(D1006="","",
 INDEX(Product_Master!A:A,
       MATCH( INDEX(Pack_Master!B:B, MATCH(D1006, Pack_Master!A:A, 0)),
              Product_Master!B:B, 0 )
))
</f>
        <v>Apparel_Caps_Beanies</v>
      </c>
      <c r="C1006" s="7" t="s">
        <v>361</v>
      </c>
      <c r="D1006" s="8" t="s">
        <v>361</v>
      </c>
      <c r="E1006" s="9" t="s">
        <v>12</v>
      </c>
      <c r="F1006" s="8" t="s">
        <v>361</v>
      </c>
      <c r="G1006" s="5"/>
      <c r="H1006" s="5">
        <v>46020.0</v>
      </c>
      <c r="I1006" s="5"/>
    </row>
    <row r="1007">
      <c r="A1007" s="5" t="s">
        <v>1717</v>
      </c>
      <c r="B1007" s="6" t="str">
        <f t="array" ref="B1007">IF(D1007="","",
 INDEX(Product_Master!A:A,
       MATCH( INDEX(Pack_Master!B:B, MATCH(D1007, Pack_Master!A:A, 0)),
              Product_Master!B:B, 0 )
))
</f>
        <v>Apparel_Caps_Beanies</v>
      </c>
      <c r="C1007" s="7" t="s">
        <v>363</v>
      </c>
      <c r="D1007" s="8" t="s">
        <v>363</v>
      </c>
      <c r="E1007" s="9" t="s">
        <v>12</v>
      </c>
      <c r="F1007" s="8" t="s">
        <v>363</v>
      </c>
      <c r="G1007" s="5"/>
      <c r="H1007" s="5">
        <v>46020.0</v>
      </c>
      <c r="I1007" s="5"/>
    </row>
    <row r="1008">
      <c r="A1008" s="5" t="s">
        <v>1717</v>
      </c>
      <c r="B1008" s="6" t="str">
        <f t="array" ref="B1008">IF(D1008="","",
 INDEX(Product_Master!A:A,
       MATCH( INDEX(Pack_Master!B:B, MATCH(D1008, Pack_Master!A:A, 0)),
              Product_Master!B:B, 0 )
))
</f>
        <v>Apparel_Caps_Beanies</v>
      </c>
      <c r="C1008" s="7" t="s">
        <v>367</v>
      </c>
      <c r="D1008" s="8" t="s">
        <v>367</v>
      </c>
      <c r="E1008" s="9" t="s">
        <v>12</v>
      </c>
      <c r="F1008" s="8" t="s">
        <v>367</v>
      </c>
      <c r="G1008" s="5"/>
      <c r="H1008" s="5">
        <v>46020.0</v>
      </c>
      <c r="I1008" s="5"/>
    </row>
    <row r="1009">
      <c r="A1009" s="5" t="s">
        <v>1717</v>
      </c>
      <c r="B1009" s="6" t="str">
        <f t="array" ref="B1009">IF(D1009="","",
 INDEX(Product_Master!A:A,
       MATCH( INDEX(Pack_Master!B:B, MATCH(D1009, Pack_Master!A:A, 0)),
              Product_Master!B:B, 0 )
))
</f>
        <v>Apparel_Caps_Beanies</v>
      </c>
      <c r="C1009" s="7" t="s">
        <v>372</v>
      </c>
      <c r="D1009" s="8" t="s">
        <v>372</v>
      </c>
      <c r="E1009" s="9" t="s">
        <v>12</v>
      </c>
      <c r="F1009" s="8" t="s">
        <v>372</v>
      </c>
      <c r="G1009" s="5"/>
      <c r="H1009" s="5">
        <v>46020.0</v>
      </c>
      <c r="I1009" s="5"/>
    </row>
    <row r="1010">
      <c r="A1010" s="5" t="s">
        <v>1717</v>
      </c>
      <c r="B1010" s="6" t="str">
        <f t="array" ref="B1010">IF(D1010="","",
 INDEX(Product_Master!A:A,
       MATCH( INDEX(Pack_Master!B:B, MATCH(D1010, Pack_Master!A:A, 0)),
              Product_Master!B:B, 0 )
))
</f>
        <v>Apparel_Caps_Beanies</v>
      </c>
      <c r="C1010" s="7" t="s">
        <v>377</v>
      </c>
      <c r="D1010" s="8" t="s">
        <v>377</v>
      </c>
      <c r="E1010" s="9" t="s">
        <v>12</v>
      </c>
      <c r="F1010" s="8" t="s">
        <v>377</v>
      </c>
      <c r="G1010" s="5"/>
      <c r="H1010" s="5">
        <v>46020.0</v>
      </c>
      <c r="I1010" s="5" t="s">
        <v>1718</v>
      </c>
    </row>
    <row r="1011">
      <c r="A1011" s="5" t="s">
        <v>1717</v>
      </c>
      <c r="B1011" s="6" t="str">
        <f t="array" ref="B1011">IF(D1011="","",
 INDEX(Product_Master!A:A,
       MATCH( INDEX(Pack_Master!B:B, MATCH(D1011, Pack_Master!A:A, 0)),
              Product_Master!B:B, 0 )
))
</f>
        <v>Apparel_Caps_Beanies</v>
      </c>
      <c r="C1011" s="7" t="s">
        <v>460</v>
      </c>
      <c r="D1011" s="8" t="s">
        <v>460</v>
      </c>
      <c r="E1011" s="9" t="s">
        <v>12</v>
      </c>
      <c r="F1011" s="8" t="s">
        <v>460</v>
      </c>
      <c r="G1011" s="5"/>
      <c r="H1011" s="5">
        <v>46020.0</v>
      </c>
      <c r="I1011" s="5"/>
    </row>
    <row r="1012">
      <c r="A1012" s="5" t="s">
        <v>1717</v>
      </c>
      <c r="B1012" s="6" t="str">
        <f t="array" ref="B1012">IF(D1012="","",
 INDEX(Product_Master!A:A,
       MATCH( INDEX(Pack_Master!B:B, MATCH(D1012, Pack_Master!A:A, 0)),
              Product_Master!B:B, 0 )
))
</f>
        <v>Apparel_Caps_Beanies</v>
      </c>
      <c r="C1012" s="7" t="s">
        <v>378</v>
      </c>
      <c r="D1012" s="8" t="s">
        <v>378</v>
      </c>
      <c r="E1012" s="9" t="s">
        <v>12</v>
      </c>
      <c r="F1012" s="8" t="s">
        <v>378</v>
      </c>
      <c r="G1012" s="5"/>
      <c r="H1012" s="5">
        <v>46020.0</v>
      </c>
      <c r="I1012" s="5"/>
    </row>
    <row r="1013">
      <c r="A1013" s="5" t="s">
        <v>1717</v>
      </c>
      <c r="B1013" s="6" t="str">
        <f t="array" ref="B1013">IF(D1013="","",
 INDEX(Product_Master!A:A,
       MATCH( INDEX(Pack_Master!B:B, MATCH(D1013, Pack_Master!A:A, 0)),
              Product_Master!B:B, 0 )
))
</f>
        <v>Apparel_Caps_Beanies</v>
      </c>
      <c r="C1013" s="7" t="s">
        <v>379</v>
      </c>
      <c r="D1013" s="8" t="s">
        <v>379</v>
      </c>
      <c r="E1013" s="9" t="s">
        <v>12</v>
      </c>
      <c r="F1013" s="8" t="s">
        <v>379</v>
      </c>
      <c r="G1013" s="5"/>
      <c r="H1013" s="5">
        <v>46020.0</v>
      </c>
      <c r="I1013" s="5"/>
    </row>
    <row r="1014">
      <c r="A1014" s="5" t="s">
        <v>1717</v>
      </c>
      <c r="B1014" s="6" t="str">
        <f t="array" ref="B1014">IF(D1014="","",
 INDEX(Product_Master!A:A,
       MATCH( INDEX(Pack_Master!B:B, MATCH(D1014, Pack_Master!A:A, 0)),
              Product_Master!B:B, 0 )
))
</f>
        <v>Apparel_Caps_Beanies</v>
      </c>
      <c r="C1014" s="7" t="s">
        <v>382</v>
      </c>
      <c r="D1014" s="8" t="s">
        <v>382</v>
      </c>
      <c r="E1014" s="9" t="s">
        <v>12</v>
      </c>
      <c r="F1014" s="8" t="s">
        <v>382</v>
      </c>
      <c r="G1014" s="5"/>
      <c r="H1014" s="5">
        <v>46020.0</v>
      </c>
      <c r="I1014" s="5" t="s">
        <v>1719</v>
      </c>
    </row>
    <row r="1015">
      <c r="A1015" s="5" t="s">
        <v>1717</v>
      </c>
      <c r="B1015" s="6" t="str">
        <f t="array" ref="B1015">IF(D1015="","",
 INDEX(Product_Master!A:A,
       MATCH( INDEX(Pack_Master!B:B, MATCH(D1015, Pack_Master!A:A, 0)),
              Product_Master!B:B, 0 )
))
</f>
        <v>Apparel_Caps_Beanies</v>
      </c>
      <c r="C1015" s="7" t="s">
        <v>383</v>
      </c>
      <c r="D1015" s="8" t="s">
        <v>383</v>
      </c>
      <c r="E1015" s="9" t="s">
        <v>12</v>
      </c>
      <c r="F1015" s="8" t="s">
        <v>383</v>
      </c>
      <c r="G1015" s="5"/>
      <c r="H1015" s="5">
        <v>46020.0</v>
      </c>
      <c r="I1015" s="5" t="s">
        <v>1718</v>
      </c>
    </row>
    <row r="1016">
      <c r="A1016" s="5" t="s">
        <v>1717</v>
      </c>
      <c r="B1016" s="6" t="str">
        <f t="array" ref="B1016">IF(D1016="","",
 INDEX(Product_Master!A:A,
       MATCH( INDEX(Pack_Master!B:B, MATCH(D1016, Pack_Master!A:A, 0)),
              Product_Master!B:B, 0 )
))
</f>
        <v>Apparel_Caps_Beanies</v>
      </c>
      <c r="C1016" s="7" t="s">
        <v>16</v>
      </c>
      <c r="D1016" s="8" t="s">
        <v>16</v>
      </c>
      <c r="E1016" s="9" t="s">
        <v>12</v>
      </c>
      <c r="F1016" s="8" t="s">
        <v>16</v>
      </c>
      <c r="G1016" s="5"/>
      <c r="H1016" s="5">
        <v>46020.0</v>
      </c>
      <c r="I1016" s="5"/>
    </row>
    <row r="1017">
      <c r="A1017" s="5" t="s">
        <v>1717</v>
      </c>
      <c r="B1017" s="6" t="str">
        <f t="array" ref="B1017">IF(D1017="","",
 INDEX(Product_Master!A:A,
       MATCH( INDEX(Pack_Master!B:B, MATCH(D1017, Pack_Master!A:A, 0)),
              Product_Master!B:B, 0 )
))
</f>
        <v>Apparel_Caps_Beanies</v>
      </c>
      <c r="C1017" s="7" t="s">
        <v>387</v>
      </c>
      <c r="D1017" s="8" t="s">
        <v>387</v>
      </c>
      <c r="E1017" s="9" t="s">
        <v>12</v>
      </c>
      <c r="F1017" s="8" t="s">
        <v>387</v>
      </c>
      <c r="G1017" s="5"/>
      <c r="H1017" s="5">
        <v>46021.0</v>
      </c>
      <c r="I1017" s="5"/>
    </row>
    <row r="1018">
      <c r="A1018" s="5" t="s">
        <v>1717</v>
      </c>
      <c r="B1018" s="6" t="str">
        <f t="array" ref="B1018">IF(D1018="","",
 INDEX(Product_Master!A:A,
       MATCH( INDEX(Pack_Master!B:B, MATCH(D1018, Pack_Master!A:A, 0)),
              Product_Master!B:B, 0 )
))
</f>
        <v>Apparel_Caps_Beanies</v>
      </c>
      <c r="C1018" s="7" t="s">
        <v>389</v>
      </c>
      <c r="D1018" s="8" t="s">
        <v>389</v>
      </c>
      <c r="E1018" s="9" t="s">
        <v>12</v>
      </c>
      <c r="F1018" s="8" t="s">
        <v>389</v>
      </c>
      <c r="G1018" s="5"/>
      <c r="H1018" s="5">
        <v>46021.0</v>
      </c>
      <c r="I1018" s="5"/>
    </row>
    <row r="1019">
      <c r="A1019" s="5" t="s">
        <v>1717</v>
      </c>
      <c r="B1019" s="6" t="str">
        <f t="array" ref="B1019">IF(D1019="","",
 INDEX(Product_Master!A:A,
       MATCH( INDEX(Pack_Master!B:B, MATCH(D1019, Pack_Master!A:A, 0)),
              Product_Master!B:B, 0 )
))
</f>
        <v>Apparel_Caps_Beanies</v>
      </c>
      <c r="C1019" s="7" t="s">
        <v>600</v>
      </c>
      <c r="D1019" s="8" t="s">
        <v>600</v>
      </c>
      <c r="E1019" s="9" t="s">
        <v>12</v>
      </c>
      <c r="F1019" s="8" t="s">
        <v>600</v>
      </c>
      <c r="G1019" s="5"/>
      <c r="H1019" s="5">
        <v>46021.0</v>
      </c>
      <c r="I1019" s="5"/>
    </row>
    <row r="1020">
      <c r="A1020" s="5" t="s">
        <v>1717</v>
      </c>
      <c r="B1020" s="6" t="str">
        <f t="array" ref="B1020">IF(D1020="","",
 INDEX(Product_Master!A:A,
       MATCH( INDEX(Pack_Master!B:B, MATCH(D1020, Pack_Master!A:A, 0)),
              Product_Master!B:B, 0 )
))
</f>
        <v>Apparel_Caps_Beanies</v>
      </c>
      <c r="C1020" s="7" t="s">
        <v>602</v>
      </c>
      <c r="D1020" s="8" t="s">
        <v>602</v>
      </c>
      <c r="E1020" s="9" t="s">
        <v>12</v>
      </c>
      <c r="F1020" s="8" t="s">
        <v>602</v>
      </c>
      <c r="G1020" s="5"/>
      <c r="H1020" s="5">
        <v>46021.0</v>
      </c>
      <c r="I1020" s="5"/>
    </row>
    <row r="1021">
      <c r="A1021" s="5" t="s">
        <v>1717</v>
      </c>
      <c r="B1021" s="6" t="str">
        <f t="array" ref="B1021">IF(D1021="","",
 INDEX(Product_Master!A:A,
       MATCH( INDEX(Pack_Master!B:B, MATCH(D1021, Pack_Master!A:A, 0)),
              Product_Master!B:B, 0 )
))
</f>
        <v>Apparel_Caps_Beanies</v>
      </c>
      <c r="C1021" s="7" t="s">
        <v>605</v>
      </c>
      <c r="D1021" s="8" t="s">
        <v>605</v>
      </c>
      <c r="E1021" s="9" t="s">
        <v>12</v>
      </c>
      <c r="F1021" s="8" t="s">
        <v>605</v>
      </c>
      <c r="G1021" s="5"/>
      <c r="H1021" s="5">
        <v>46021.0</v>
      </c>
      <c r="I1021" s="5"/>
    </row>
    <row r="1022">
      <c r="A1022" s="5" t="s">
        <v>1717</v>
      </c>
      <c r="B1022" s="6" t="str">
        <f t="array" ref="B1022">IF(D1022="","",
 INDEX(Product_Master!A:A,
       MATCH( INDEX(Pack_Master!B:B, MATCH(D1022, Pack_Master!A:A, 0)),
              Product_Master!B:B, 0 )
))
</f>
        <v>Apparel_Caps_Beanies</v>
      </c>
      <c r="C1022" s="7" t="s">
        <v>607</v>
      </c>
      <c r="D1022" s="8" t="s">
        <v>607</v>
      </c>
      <c r="E1022" s="9" t="s">
        <v>12</v>
      </c>
      <c r="F1022" s="8" t="s">
        <v>607</v>
      </c>
      <c r="G1022" s="5"/>
      <c r="H1022" s="5">
        <v>46021.0</v>
      </c>
      <c r="I1022" s="5"/>
    </row>
    <row r="1023">
      <c r="A1023" s="5" t="s">
        <v>1717</v>
      </c>
      <c r="B1023" s="6" t="str">
        <f t="array" ref="B1023">IF(D1023="","",
 INDEX(Product_Master!A:A,
       MATCH( INDEX(Pack_Master!B:B, MATCH(D1023, Pack_Master!A:A, 0)),
              Product_Master!B:B, 0 )
))
</f>
        <v>Apparel_Caps_Beanies</v>
      </c>
      <c r="C1023" s="7" t="s">
        <v>613</v>
      </c>
      <c r="D1023" s="8" t="s">
        <v>613</v>
      </c>
      <c r="E1023" s="9" t="s">
        <v>12</v>
      </c>
      <c r="F1023" s="8" t="s">
        <v>613</v>
      </c>
      <c r="G1023" s="5"/>
      <c r="H1023" s="5">
        <v>46021.0</v>
      </c>
      <c r="I1023" s="5"/>
    </row>
    <row r="1024">
      <c r="A1024" s="5" t="s">
        <v>1717</v>
      </c>
      <c r="B1024" s="6" t="str">
        <f t="array" ref="B1024">IF(D1024="","",
 INDEX(Product_Master!A:A,
       MATCH( INDEX(Pack_Master!B:B, MATCH(D1024, Pack_Master!A:A, 0)),
              Product_Master!B:B, 0 )
))
</f>
        <v>Apparel_Caps_Beanies</v>
      </c>
      <c r="C1024" s="7" t="s">
        <v>392</v>
      </c>
      <c r="D1024" s="8" t="s">
        <v>393</v>
      </c>
      <c r="E1024" s="9" t="s">
        <v>12</v>
      </c>
      <c r="F1024" s="8" t="s">
        <v>392</v>
      </c>
      <c r="G1024" s="5"/>
      <c r="H1024" s="5">
        <v>46021.0</v>
      </c>
      <c r="I1024" s="5"/>
    </row>
    <row r="1025">
      <c r="A1025" s="5" t="s">
        <v>1717</v>
      </c>
      <c r="B1025" s="6" t="str">
        <f t="array" ref="B1025">IF(D1025="","",
 INDEX(Product_Master!A:A,
       MATCH( INDEX(Pack_Master!B:B, MATCH(D1025, Pack_Master!A:A, 0)),
              Product_Master!B:B, 0 )
))
</f>
        <v>Apparel_Caps_Beanies</v>
      </c>
      <c r="C1025" s="7" t="s">
        <v>395</v>
      </c>
      <c r="D1025" s="8" t="s">
        <v>396</v>
      </c>
      <c r="E1025" s="9" t="s">
        <v>12</v>
      </c>
      <c r="F1025" s="8" t="s">
        <v>395</v>
      </c>
      <c r="G1025" s="5"/>
      <c r="H1025" s="5">
        <v>46021.0</v>
      </c>
      <c r="I1025" s="5"/>
    </row>
    <row r="1026">
      <c r="A1026" s="5" t="s">
        <v>1717</v>
      </c>
      <c r="B1026" s="6" t="str">
        <f t="array" ref="B1026">IF(D1026="","",
 INDEX(Product_Master!A:A,
       MATCH( INDEX(Pack_Master!B:B, MATCH(D1026, Pack_Master!A:A, 0)),
              Product_Master!B:B, 0 )
))
</f>
        <v>Apparel_Caps_Beanies</v>
      </c>
      <c r="C1026" s="7" t="s">
        <v>399</v>
      </c>
      <c r="D1026" s="8" t="s">
        <v>400</v>
      </c>
      <c r="E1026" s="9" t="s">
        <v>12</v>
      </c>
      <c r="F1026" s="8" t="s">
        <v>399</v>
      </c>
      <c r="G1026" s="5"/>
      <c r="H1026" s="5">
        <v>46021.0</v>
      </c>
      <c r="I1026" s="5"/>
    </row>
    <row r="1027">
      <c r="A1027" s="5" t="s">
        <v>1717</v>
      </c>
      <c r="B1027" s="6" t="str">
        <f t="array" ref="B1027">IF(D1027="","",
 INDEX(Product_Master!A:A,
       MATCH( INDEX(Pack_Master!B:B, MATCH(D1027, Pack_Master!A:A, 0)),
              Product_Master!B:B, 0 )
))
</f>
        <v>Apparel_Caps_Beanies</v>
      </c>
      <c r="C1027" s="7" t="s">
        <v>402</v>
      </c>
      <c r="D1027" s="8" t="s">
        <v>403</v>
      </c>
      <c r="E1027" s="9" t="s">
        <v>12</v>
      </c>
      <c r="F1027" s="8" t="s">
        <v>402</v>
      </c>
      <c r="G1027" s="5"/>
      <c r="H1027" s="5">
        <v>46021.0</v>
      </c>
      <c r="I1027" s="5"/>
    </row>
    <row r="1028">
      <c r="A1028" s="5" t="s">
        <v>1717</v>
      </c>
      <c r="B1028" s="6" t="str">
        <f t="array" ref="B1028">IF(D1028="","",
 INDEX(Product_Master!A:A,
       MATCH( INDEX(Pack_Master!B:B, MATCH(D1028, Pack_Master!A:A, 0)),
              Product_Master!B:B, 0 )
))
</f>
        <v>Kitchen_Containers</v>
      </c>
      <c r="C1028" s="7" t="s">
        <v>419</v>
      </c>
      <c r="D1028" s="8" t="s">
        <v>420</v>
      </c>
      <c r="E1028" s="9" t="s">
        <v>12</v>
      </c>
      <c r="F1028" s="8" t="s">
        <v>419</v>
      </c>
      <c r="G1028" s="5"/>
      <c r="H1028" s="5"/>
      <c r="I1028" s="5"/>
    </row>
    <row r="1029">
      <c r="A1029" s="5" t="s">
        <v>1717</v>
      </c>
      <c r="B1029" s="6" t="str">
        <f t="array" ref="B1029">IF(D1029="","",
 INDEX(Product_Master!A:A,
       MATCH( INDEX(Pack_Master!B:B, MATCH(D1029, Pack_Master!A:A, 0)),
              Product_Master!B:B, 0 )
))
</f>
        <v>Kitchen_Containers</v>
      </c>
      <c r="C1029" s="7" t="s">
        <v>425</v>
      </c>
      <c r="D1029" s="8" t="s">
        <v>426</v>
      </c>
      <c r="E1029" s="9" t="s">
        <v>12</v>
      </c>
      <c r="F1029" s="8" t="s">
        <v>425</v>
      </c>
      <c r="G1029" s="5"/>
      <c r="H1029" s="5"/>
      <c r="I1029" s="5"/>
    </row>
    <row r="1030">
      <c r="A1030" s="5" t="s">
        <v>1717</v>
      </c>
      <c r="B1030" s="6" t="str">
        <f t="array" ref="B1030">IF(D1030="","",
 INDEX(Product_Master!A:A,
       MATCH( INDEX(Pack_Master!B:B, MATCH(D1030, Pack_Master!A:A, 0)),
              Product_Master!B:B, 0 )
))
</f>
        <v>Kitchen_Containers</v>
      </c>
      <c r="C1030" s="7" t="s">
        <v>431</v>
      </c>
      <c r="D1030" s="8" t="s">
        <v>432</v>
      </c>
      <c r="E1030" s="9" t="s">
        <v>12</v>
      </c>
      <c r="F1030" s="8" t="s">
        <v>431</v>
      </c>
      <c r="G1030" s="5"/>
      <c r="H1030" s="5"/>
      <c r="I1030" s="5"/>
    </row>
    <row r="1031">
      <c r="A1031" s="5" t="s">
        <v>1717</v>
      </c>
      <c r="B1031" s="6" t="str">
        <f t="array" ref="B1031">IF(D1031="","",
 INDEX(Product_Master!A:A,
       MATCH( INDEX(Pack_Master!B:B, MATCH(D1031, Pack_Master!A:A, 0)),
              Product_Master!B:B, 0 )
))
</f>
        <v>Kitchen_Containers</v>
      </c>
      <c r="C1031" s="7" t="s">
        <v>437</v>
      </c>
      <c r="D1031" s="8" t="s">
        <v>438</v>
      </c>
      <c r="E1031" s="9" t="s">
        <v>12</v>
      </c>
      <c r="F1031" s="8" t="s">
        <v>437</v>
      </c>
      <c r="G1031" s="5"/>
      <c r="H1031" s="5"/>
      <c r="I1031" s="5"/>
    </row>
    <row r="1032">
      <c r="A1032" s="5" t="s">
        <v>1717</v>
      </c>
      <c r="B1032" s="6" t="str">
        <f t="array" ref="B1032">IF(D1032="","",
 INDEX(Product_Master!A:A,
       MATCH( INDEX(Pack_Master!B:B, MATCH(D1032, Pack_Master!A:A, 0)),
              Product_Master!B:B, 0 )
))
</f>
        <v>Kitchen_Containers</v>
      </c>
      <c r="C1032" s="7" t="s">
        <v>443</v>
      </c>
      <c r="D1032" s="8" t="s">
        <v>444</v>
      </c>
      <c r="E1032" s="9" t="s">
        <v>12</v>
      </c>
      <c r="F1032" s="8" t="s">
        <v>443</v>
      </c>
      <c r="G1032" s="5"/>
      <c r="H1032" s="5"/>
      <c r="I1032" s="5"/>
    </row>
    <row r="1033">
      <c r="A1033" s="5" t="s">
        <v>1717</v>
      </c>
      <c r="B1033" s="6" t="str">
        <f t="array" ref="B1033">IF(D1033="","",
 INDEX(Product_Master!A:A,
       MATCH( INDEX(Pack_Master!B:B, MATCH(D1033, Pack_Master!A:A, 0)),
              Product_Master!B:B, 0 )
))
</f>
        <v>Kitchen_Containers</v>
      </c>
      <c r="C1033" s="7" t="s">
        <v>449</v>
      </c>
      <c r="D1033" s="8" t="s">
        <v>450</v>
      </c>
      <c r="E1033" s="9" t="s">
        <v>12</v>
      </c>
      <c r="F1033" s="8" t="s">
        <v>449</v>
      </c>
      <c r="G1033" s="5"/>
      <c r="H1033" s="5"/>
      <c r="I1033" s="5"/>
    </row>
    <row r="1034">
      <c r="A1034" s="5" t="s">
        <v>1717</v>
      </c>
      <c r="B1034" s="6" t="str">
        <f t="array" ref="B1034">IF(D1034="","",
 INDEX(Product_Master!A:A,
       MATCH( INDEX(Pack_Master!B:B, MATCH(D1034, Pack_Master!A:A, 0)),
              Product_Master!B:B, 0 )
))
</f>
        <v>Garden_Planters</v>
      </c>
      <c r="C1034" s="7" t="s">
        <v>902</v>
      </c>
      <c r="D1034" s="8" t="s">
        <v>903</v>
      </c>
      <c r="E1034" s="9" t="s">
        <v>12</v>
      </c>
      <c r="F1034" s="8"/>
      <c r="G1034" s="5"/>
      <c r="H1034" s="5">
        <v>46023.0</v>
      </c>
      <c r="I1034" s="5" t="s">
        <v>1720</v>
      </c>
    </row>
    <row r="1035">
      <c r="A1035" s="5" t="s">
        <v>1717</v>
      </c>
      <c r="B1035" s="6" t="str">
        <f t="array" ref="B1035">IF(D1035="","",
 INDEX(Product_Master!A:A,
       MATCH( INDEX(Pack_Master!B:B, MATCH(D1035, Pack_Master!A:A, 0)),
              Product_Master!B:B, 0 )
))
</f>
        <v>Garden_Planters</v>
      </c>
      <c r="C1035" s="7" t="s">
        <v>905</v>
      </c>
      <c r="D1035" s="8" t="s">
        <v>906</v>
      </c>
      <c r="E1035" s="9" t="s">
        <v>12</v>
      </c>
      <c r="F1035" s="8"/>
      <c r="G1035" s="5"/>
      <c r="H1035" s="5">
        <v>46023.0</v>
      </c>
      <c r="I1035" s="5" t="s">
        <v>1721</v>
      </c>
    </row>
    <row r="1036">
      <c r="A1036" s="5" t="s">
        <v>1717</v>
      </c>
      <c r="B1036" s="6" t="str">
        <f t="array" ref="B1036">IF(D1036="","",
 INDEX(Product_Master!A:A,
       MATCH( INDEX(Pack_Master!B:B, MATCH(D1036, Pack_Master!A:A, 0)),
              Product_Master!B:B, 0 )
))
</f>
        <v>Garden_Planters</v>
      </c>
      <c r="C1036" s="7" t="s">
        <v>908</v>
      </c>
      <c r="D1036" s="8" t="s">
        <v>909</v>
      </c>
      <c r="E1036" s="9" t="s">
        <v>12</v>
      </c>
      <c r="F1036" s="8"/>
      <c r="G1036" s="5"/>
      <c r="H1036" s="5">
        <v>46023.0</v>
      </c>
      <c r="I1036" s="5" t="s">
        <v>1720</v>
      </c>
    </row>
    <row r="1037">
      <c r="A1037" s="5" t="s">
        <v>1717</v>
      </c>
      <c r="B1037" s="6" t="str">
        <f t="array" ref="B1037">IF(D1037="","",
 INDEX(Product_Master!A:A,
       MATCH( INDEX(Pack_Master!B:B, MATCH(D1037, Pack_Master!A:A, 0)),
              Product_Master!B:B, 0 )
))
</f>
        <v>Garden_Planters</v>
      </c>
      <c r="C1037" s="7" t="s">
        <v>913</v>
      </c>
      <c r="D1037" s="8" t="s">
        <v>914</v>
      </c>
      <c r="E1037" s="9" t="s">
        <v>12</v>
      </c>
      <c r="F1037" s="8"/>
      <c r="G1037" s="5"/>
      <c r="H1037" s="5">
        <v>46023.0</v>
      </c>
      <c r="I1037" s="5" t="s">
        <v>1722</v>
      </c>
    </row>
    <row r="1038">
      <c r="A1038" s="5" t="s">
        <v>1717</v>
      </c>
      <c r="B1038" s="6" t="str">
        <f t="array" ref="B1038">IF(D1038="","",
 INDEX(Product_Master!A:A,
       MATCH( INDEX(Pack_Master!B:B, MATCH(D1038, Pack_Master!A:A, 0)),
              Product_Master!B:B, 0 )
))
</f>
        <v>Garden_Planters</v>
      </c>
      <c r="C1038" s="7" t="s">
        <v>916</v>
      </c>
      <c r="D1038" s="8" t="s">
        <v>917</v>
      </c>
      <c r="E1038" s="9" t="s">
        <v>12</v>
      </c>
      <c r="F1038" s="8"/>
      <c r="G1038" s="5"/>
      <c r="H1038" s="5">
        <v>46023.0</v>
      </c>
      <c r="I1038" s="5" t="s">
        <v>1721</v>
      </c>
    </row>
    <row r="1039">
      <c r="A1039" s="5" t="s">
        <v>1717</v>
      </c>
      <c r="B1039" s="6" t="str">
        <f t="array" ref="B1039">IF(D1039="","",
 INDEX(Product_Master!A:A,
       MATCH( INDEX(Pack_Master!B:B, MATCH(D1039, Pack_Master!A:A, 0)),
              Product_Master!B:B, 0 )
))
</f>
        <v>Garden_Planters</v>
      </c>
      <c r="C1039" s="7" t="s">
        <v>919</v>
      </c>
      <c r="D1039" s="8" t="s">
        <v>920</v>
      </c>
      <c r="E1039" s="9" t="s">
        <v>12</v>
      </c>
      <c r="F1039" s="8"/>
      <c r="G1039" s="5"/>
      <c r="H1039" s="5">
        <v>46023.0</v>
      </c>
      <c r="I1039" s="5" t="s">
        <v>1722</v>
      </c>
    </row>
    <row r="1040">
      <c r="A1040" s="5" t="s">
        <v>1717</v>
      </c>
      <c r="B1040" s="6" t="str">
        <f t="array" ref="B1040">IF(D1040="","",
 INDEX(Product_Master!A:A,
       MATCH( INDEX(Pack_Master!B:B, MATCH(D1040, Pack_Master!A:A, 0)),
              Product_Master!B:B, 0 )
))
</f>
        <v>Garden_Planters</v>
      </c>
      <c r="C1040" s="7" t="s">
        <v>924</v>
      </c>
      <c r="D1040" s="8" t="s">
        <v>925</v>
      </c>
      <c r="E1040" s="9" t="s">
        <v>12</v>
      </c>
      <c r="F1040" s="8"/>
      <c r="G1040" s="5"/>
      <c r="H1040" s="5">
        <v>46023.0</v>
      </c>
      <c r="I1040" s="5" t="s">
        <v>1720</v>
      </c>
    </row>
    <row r="1041">
      <c r="A1041" s="5" t="s">
        <v>1717</v>
      </c>
      <c r="B1041" s="6" t="str">
        <f t="array" ref="B1041">IF(D1041="","",
 INDEX(Product_Master!A:A,
       MATCH( INDEX(Pack_Master!B:B, MATCH(D1041, Pack_Master!A:A, 0)),
              Product_Master!B:B, 0 )
))
</f>
        <v>Garden_Planters</v>
      </c>
      <c r="C1041" s="7" t="s">
        <v>927</v>
      </c>
      <c r="D1041" s="8" t="s">
        <v>928</v>
      </c>
      <c r="E1041" s="9" t="s">
        <v>12</v>
      </c>
      <c r="F1041" s="8"/>
      <c r="G1041" s="5"/>
      <c r="H1041" s="5">
        <v>46023.0</v>
      </c>
      <c r="I1041" s="5" t="s">
        <v>1721</v>
      </c>
    </row>
    <row r="1042">
      <c r="A1042" s="5" t="s">
        <v>1717</v>
      </c>
      <c r="B1042" s="6" t="str">
        <f t="array" ref="B1042">IF(D1042="","",
 INDEX(Product_Master!A:A,
       MATCH( INDEX(Pack_Master!B:B, MATCH(D1042, Pack_Master!A:A, 0)),
              Product_Master!B:B, 0 )
))
</f>
        <v>Garden_Planters</v>
      </c>
      <c r="C1042" s="7" t="s">
        <v>930</v>
      </c>
      <c r="D1042" s="8" t="s">
        <v>931</v>
      </c>
      <c r="E1042" s="9" t="s">
        <v>12</v>
      </c>
      <c r="F1042" s="8"/>
      <c r="G1042" s="5"/>
      <c r="H1042" s="5">
        <v>46023.0</v>
      </c>
      <c r="I1042" s="5" t="s">
        <v>1720</v>
      </c>
    </row>
    <row r="1043">
      <c r="A1043" s="5" t="s">
        <v>1717</v>
      </c>
      <c r="B1043" s="6" t="str">
        <f t="array" ref="B1043">IF(D1043="","",
 INDEX(Product_Master!A:A,
       MATCH( INDEX(Pack_Master!B:B, MATCH(D1043, Pack_Master!A:A, 0)),
              Product_Master!B:B, 0 )
))
</f>
        <v>Garden_Planters</v>
      </c>
      <c r="C1043" s="7" t="s">
        <v>962</v>
      </c>
      <c r="D1043" s="8" t="s">
        <v>936</v>
      </c>
      <c r="E1043" s="9" t="s">
        <v>12</v>
      </c>
      <c r="F1043" s="8" t="s">
        <v>962</v>
      </c>
      <c r="G1043" s="5"/>
      <c r="H1043" s="5"/>
      <c r="I1043" s="5"/>
    </row>
    <row r="1044">
      <c r="A1044" s="5" t="s">
        <v>1717</v>
      </c>
      <c r="B1044" s="6" t="str">
        <f t="array" ref="B1044">IF(D1044="","",
 INDEX(Product_Master!A:A,
       MATCH( INDEX(Pack_Master!B:B, MATCH(D1044, Pack_Master!A:A, 0)),
              Product_Master!B:B, 0 )
))
</f>
        <v>Garden_Planters</v>
      </c>
      <c r="C1044" s="7" t="s">
        <v>963</v>
      </c>
      <c r="D1044" s="8" t="s">
        <v>939</v>
      </c>
      <c r="E1044" s="9" t="s">
        <v>12</v>
      </c>
      <c r="F1044" s="8" t="s">
        <v>963</v>
      </c>
      <c r="G1044" s="5"/>
      <c r="H1044" s="5"/>
      <c r="I1044" s="5"/>
    </row>
    <row r="1045">
      <c r="A1045" s="5" t="s">
        <v>1717</v>
      </c>
      <c r="B1045" s="6" t="str">
        <f t="array" ref="B1045">IF(D1045="","",
 INDEX(Product_Master!A:A,
       MATCH( INDEX(Pack_Master!B:B, MATCH(D1045, Pack_Master!A:A, 0)),
              Product_Master!B:B, 0 )
))
</f>
        <v>Garden_Planters</v>
      </c>
      <c r="C1045" s="7" t="s">
        <v>1723</v>
      </c>
      <c r="D1045" s="8" t="s">
        <v>942</v>
      </c>
      <c r="E1045" s="9" t="s">
        <v>12</v>
      </c>
      <c r="F1045" s="8" t="s">
        <v>1723</v>
      </c>
      <c r="G1045" s="5"/>
      <c r="H1045" s="5"/>
      <c r="I1045" s="5"/>
    </row>
    <row r="1046">
      <c r="A1046" s="5" t="s">
        <v>1717</v>
      </c>
      <c r="B1046" s="6" t="str">
        <f t="array" ref="B1046">IF(D1046="","",
 INDEX(Product_Master!A:A,
       MATCH( INDEX(Pack_Master!B:B, MATCH(D1046, Pack_Master!A:A, 0)),
              Product_Master!B:B, 0 )
))
</f>
        <v>Garden_Planters</v>
      </c>
      <c r="C1046" s="7" t="s">
        <v>966</v>
      </c>
      <c r="D1046" s="8" t="s">
        <v>945</v>
      </c>
      <c r="E1046" s="9" t="s">
        <v>12</v>
      </c>
      <c r="F1046" s="8" t="s">
        <v>966</v>
      </c>
      <c r="G1046" s="5"/>
      <c r="H1046" s="5"/>
      <c r="I1046" s="5"/>
    </row>
    <row r="1047">
      <c r="A1047" s="5" t="s">
        <v>1717</v>
      </c>
      <c r="B1047" s="6" t="str">
        <f t="array" ref="B1047">IF(D1047="","",
 INDEX(Product_Master!A:A,
       MATCH( INDEX(Pack_Master!B:B, MATCH(D1047, Pack_Master!A:A, 0)),
              Product_Master!B:B, 0 )
))
</f>
        <v>Garden_Planters</v>
      </c>
      <c r="C1047" s="7" t="s">
        <v>967</v>
      </c>
      <c r="D1047" s="8" t="s">
        <v>948</v>
      </c>
      <c r="E1047" s="9" t="s">
        <v>12</v>
      </c>
      <c r="F1047" s="8" t="s">
        <v>967</v>
      </c>
      <c r="G1047" s="5"/>
      <c r="H1047" s="5"/>
      <c r="I1047" s="5"/>
    </row>
    <row r="1048">
      <c r="A1048" s="5" t="s">
        <v>1717</v>
      </c>
      <c r="B1048" s="6" t="str">
        <f t="array" ref="B1048">IF(D1048="","",
 INDEX(Product_Master!A:A,
       MATCH( INDEX(Pack_Master!B:B, MATCH(D1048, Pack_Master!A:A, 0)),
              Product_Master!B:B, 0 )
))
</f>
        <v>Garden_Planters</v>
      </c>
      <c r="C1048" s="7" t="s">
        <v>1563</v>
      </c>
      <c r="D1048" s="8" t="s">
        <v>951</v>
      </c>
      <c r="E1048" s="9" t="s">
        <v>12</v>
      </c>
      <c r="F1048" s="8" t="s">
        <v>1563</v>
      </c>
      <c r="G1048" s="5"/>
      <c r="H1048" s="5"/>
      <c r="I1048" s="5"/>
    </row>
    <row r="1049">
      <c r="A1049" s="5" t="s">
        <v>1717</v>
      </c>
      <c r="B1049" s="6" t="str">
        <f t="array" ref="B1049">IF(D1049="","",
 INDEX(Product_Master!A:A,
       MATCH( INDEX(Pack_Master!B:B, MATCH(D1049, Pack_Master!A:A, 0)),
              Product_Master!B:B, 0 )
))
</f>
        <v>Garden_Planters</v>
      </c>
      <c r="C1049" s="7" t="s">
        <v>970</v>
      </c>
      <c r="D1049" s="8" t="s">
        <v>954</v>
      </c>
      <c r="E1049" s="9" t="s">
        <v>12</v>
      </c>
      <c r="F1049" s="8" t="s">
        <v>970</v>
      </c>
      <c r="G1049" s="5"/>
      <c r="H1049" s="5"/>
      <c r="I1049" s="5"/>
    </row>
    <row r="1050">
      <c r="A1050" s="5" t="s">
        <v>1717</v>
      </c>
      <c r="B1050" s="6" t="str">
        <f t="array" ref="B1050">IF(D1050="","",
 INDEX(Product_Master!A:A,
       MATCH( INDEX(Pack_Master!B:B, MATCH(D1050, Pack_Master!A:A, 0)),
              Product_Master!B:B, 0 )
))
</f>
        <v>Garden_Planters</v>
      </c>
      <c r="C1050" s="7" t="s">
        <v>971</v>
      </c>
      <c r="D1050" s="8" t="s">
        <v>957</v>
      </c>
      <c r="E1050" s="9" t="s">
        <v>12</v>
      </c>
      <c r="F1050" s="8" t="s">
        <v>971</v>
      </c>
      <c r="G1050" s="5"/>
      <c r="H1050" s="5"/>
      <c r="I1050" s="5"/>
    </row>
    <row r="1051">
      <c r="A1051" s="5" t="s">
        <v>1717</v>
      </c>
      <c r="B1051" s="6" t="str">
        <f t="array" ref="B1051">IF(D1051="","",
 INDEX(Product_Master!A:A,
       MATCH( INDEX(Pack_Master!B:B, MATCH(D1051, Pack_Master!A:A, 0)),
              Product_Master!B:B, 0 )
))
</f>
        <v>Garden_Planters</v>
      </c>
      <c r="C1051" s="7" t="s">
        <v>1724</v>
      </c>
      <c r="D1051" s="8" t="s">
        <v>960</v>
      </c>
      <c r="E1051" s="9" t="s">
        <v>12</v>
      </c>
      <c r="F1051" s="8" t="s">
        <v>1724</v>
      </c>
      <c r="G1051" s="5"/>
      <c r="H1051" s="5"/>
      <c r="I1051" s="5"/>
    </row>
    <row r="1052">
      <c r="A1052" s="5" t="s">
        <v>1717</v>
      </c>
      <c r="B1052" s="6" t="str">
        <f t="array" ref="B1052">IF(D1052="","",
 INDEX(Product_Master!A:A,
       MATCH( INDEX(Pack_Master!B:B, MATCH(D1052, Pack_Master!A:A, 0)),
              Product_Master!B:B, 0 )
))
</f>
        <v>Garden_Planters</v>
      </c>
      <c r="C1052" s="7" t="s">
        <v>1002</v>
      </c>
      <c r="D1052" s="8" t="s">
        <v>1002</v>
      </c>
      <c r="E1052" s="9" t="s">
        <v>12</v>
      </c>
      <c r="F1052" s="8"/>
      <c r="G1052" s="5"/>
      <c r="H1052" s="5">
        <v>46022.0</v>
      </c>
      <c r="I1052" s="5"/>
    </row>
    <row r="1053">
      <c r="A1053" s="5" t="s">
        <v>1717</v>
      </c>
      <c r="B1053" s="6" t="str">
        <f t="array" ref="B1053">IF(D1053="","",
 INDEX(Product_Master!A:A,
       MATCH( INDEX(Pack_Master!B:B, MATCH(D1053, Pack_Master!A:A, 0)),
              Product_Master!B:B, 0 )
))
</f>
        <v>Garden_Planters</v>
      </c>
      <c r="C1053" s="7" t="s">
        <v>998</v>
      </c>
      <c r="D1053" s="8" t="s">
        <v>998</v>
      </c>
      <c r="E1053" s="9" t="s">
        <v>12</v>
      </c>
      <c r="F1053" s="8"/>
      <c r="G1053" s="5"/>
      <c r="H1053" s="5">
        <v>46022.0</v>
      </c>
      <c r="I1053" s="5"/>
    </row>
    <row r="1054">
      <c r="A1054" s="5" t="s">
        <v>1717</v>
      </c>
      <c r="B1054" s="6" t="str">
        <f t="array" ref="B1054">IF(D1054="","",
 INDEX(Product_Master!A:A,
       MATCH( INDEX(Pack_Master!B:B, MATCH(D1054, Pack_Master!A:A, 0)),
              Product_Master!B:B, 0 )
))
</f>
        <v>Garden_Planters</v>
      </c>
      <c r="C1054" s="7" t="s">
        <v>1000</v>
      </c>
      <c r="D1054" s="8" t="s">
        <v>1000</v>
      </c>
      <c r="E1054" s="9" t="s">
        <v>12</v>
      </c>
      <c r="F1054" s="8"/>
      <c r="G1054" s="5"/>
      <c r="H1054" s="5">
        <v>46022.0</v>
      </c>
      <c r="I1054" s="5"/>
    </row>
    <row r="1055">
      <c r="A1055" s="5" t="s">
        <v>1717</v>
      </c>
      <c r="B1055" s="6" t="str">
        <f t="array" ref="B1055">IF(D1055="","",
 INDEX(Product_Master!A:A,
       MATCH( INDEX(Pack_Master!B:B, MATCH(D1055, Pack_Master!A:A, 0)),
              Product_Master!B:B, 0 )
))
</f>
        <v>Garden_Planters</v>
      </c>
      <c r="C1055" s="7" t="s">
        <v>1004</v>
      </c>
      <c r="D1055" s="8" t="s">
        <v>1005</v>
      </c>
      <c r="E1055" s="9" t="s">
        <v>12</v>
      </c>
      <c r="F1055" s="8"/>
      <c r="G1055" s="5"/>
      <c r="H1055" s="5">
        <v>46022.0</v>
      </c>
      <c r="I1055" s="5" t="s">
        <v>1725</v>
      </c>
    </row>
    <row r="1056">
      <c r="A1056" s="5" t="s">
        <v>1717</v>
      </c>
      <c r="B1056" s="6" t="str">
        <f t="array" ref="B1056">IF(D1056="","",
 INDEX(Product_Master!A:A,
       MATCH( INDEX(Pack_Master!B:B, MATCH(D1056, Pack_Master!A:A, 0)),
              Product_Master!B:B, 0 )
))
</f>
        <v>Garden_Planters</v>
      </c>
      <c r="C1056" s="7" t="s">
        <v>1006</v>
      </c>
      <c r="D1056" s="8" t="s">
        <v>1007</v>
      </c>
      <c r="E1056" s="9" t="s">
        <v>12</v>
      </c>
      <c r="F1056" s="8"/>
      <c r="G1056" s="5"/>
      <c r="H1056" s="5">
        <v>46022.0</v>
      </c>
      <c r="I1056" s="5" t="s">
        <v>1725</v>
      </c>
    </row>
    <row r="1057">
      <c r="A1057" s="5" t="s">
        <v>1717</v>
      </c>
      <c r="B1057" s="6" t="str">
        <f t="array" ref="B1057">IF(D1057="","",
 INDEX(Product_Master!A:A,
       MATCH( INDEX(Pack_Master!B:B, MATCH(D1057, Pack_Master!A:A, 0)),
              Product_Master!B:B, 0 )
))
</f>
        <v>Garden_Planters</v>
      </c>
      <c r="C1057" s="7" t="s">
        <v>1008</v>
      </c>
      <c r="D1057" s="8" t="s">
        <v>1009</v>
      </c>
      <c r="E1057" s="9" t="s">
        <v>12</v>
      </c>
      <c r="F1057" s="8"/>
      <c r="G1057" s="5"/>
      <c r="H1057" s="5">
        <v>46022.0</v>
      </c>
      <c r="I1057" s="5" t="s">
        <v>1725</v>
      </c>
    </row>
    <row r="1058">
      <c r="A1058" s="5" t="s">
        <v>1717</v>
      </c>
      <c r="B1058" s="6" t="str">
        <f t="array" ref="B1058">IF(D1058="","",
 INDEX(Product_Master!A:A,
       MATCH( INDEX(Pack_Master!B:B, MATCH(D1058, Pack_Master!A:A, 0)),
              Product_Master!B:B, 0 )
))
</f>
        <v>Garden_Planters</v>
      </c>
      <c r="C1058" s="7" t="s">
        <v>1012</v>
      </c>
      <c r="D1058" s="8" t="s">
        <v>1013</v>
      </c>
      <c r="E1058" s="9" t="s">
        <v>12</v>
      </c>
      <c r="F1058" s="8"/>
      <c r="G1058" s="5"/>
      <c r="H1058" s="5">
        <v>46022.0</v>
      </c>
      <c r="I1058" s="5" t="s">
        <v>1725</v>
      </c>
    </row>
    <row r="1059">
      <c r="A1059" s="5" t="s">
        <v>1717</v>
      </c>
      <c r="B1059" s="6" t="str">
        <f t="array" ref="B1059">IF(D1059="","",
 INDEX(Product_Master!A:A,
       MATCH( INDEX(Pack_Master!B:B, MATCH(D1059, Pack_Master!A:A, 0)),
              Product_Master!B:B, 0 )
))
</f>
        <v>Garden_Planters</v>
      </c>
      <c r="C1059" s="7" t="s">
        <v>1014</v>
      </c>
      <c r="D1059" s="8" t="s">
        <v>1015</v>
      </c>
      <c r="E1059" s="9" t="s">
        <v>12</v>
      </c>
      <c r="F1059" s="8"/>
      <c r="G1059" s="5"/>
      <c r="H1059" s="5">
        <v>46022.0</v>
      </c>
      <c r="I1059" s="5" t="s">
        <v>1725</v>
      </c>
    </row>
    <row r="1060">
      <c r="A1060" s="5" t="s">
        <v>1717</v>
      </c>
      <c r="B1060" s="6" t="str">
        <f t="array" ref="B1060">IF(D1060="","",
 INDEX(Product_Master!A:A,
       MATCH( INDEX(Pack_Master!B:B, MATCH(D1060, Pack_Master!A:A, 0)),
              Product_Master!B:B, 0 )
))
</f>
        <v>Garden_Planters</v>
      </c>
      <c r="C1060" s="7" t="s">
        <v>1016</v>
      </c>
      <c r="D1060" s="8" t="s">
        <v>1017</v>
      </c>
      <c r="E1060" s="9" t="s">
        <v>12</v>
      </c>
      <c r="F1060" s="8"/>
      <c r="G1060" s="5"/>
      <c r="H1060" s="5">
        <v>46022.0</v>
      </c>
      <c r="I1060" s="5" t="s">
        <v>1725</v>
      </c>
    </row>
    <row r="1061">
      <c r="A1061" s="5" t="s">
        <v>1717</v>
      </c>
      <c r="B1061" s="6" t="str">
        <f t="array" ref="B1061">IF(D1061="","",
 INDEX(Product_Master!A:A,
       MATCH( INDEX(Pack_Master!B:B, MATCH(D1061, Pack_Master!A:A, 0)),
              Product_Master!B:B, 0 )
))
</f>
        <v>Garden_Planters</v>
      </c>
      <c r="C1061" s="7" t="s">
        <v>1019</v>
      </c>
      <c r="D1061" s="8" t="s">
        <v>1020</v>
      </c>
      <c r="E1061" s="9" t="s">
        <v>12</v>
      </c>
      <c r="F1061" s="8"/>
      <c r="G1061" s="5"/>
      <c r="H1061" s="5" t="s">
        <v>1726</v>
      </c>
      <c r="I1061" s="5"/>
    </row>
    <row r="1062">
      <c r="A1062" s="5" t="s">
        <v>1717</v>
      </c>
      <c r="B1062" s="6" t="str">
        <f t="array" ref="B1062">IF(D1062="","",
 INDEX(Product_Master!A:A,
       MATCH( INDEX(Pack_Master!B:B, MATCH(D1062, Pack_Master!A:A, 0)),
              Product_Master!B:B, 0 )
))
</f>
        <v>Garden_Planters</v>
      </c>
      <c r="C1062" s="7" t="s">
        <v>1021</v>
      </c>
      <c r="D1062" s="8" t="s">
        <v>1022</v>
      </c>
      <c r="E1062" s="9" t="s">
        <v>12</v>
      </c>
      <c r="F1062" s="8"/>
      <c r="G1062" s="5"/>
      <c r="H1062" s="5" t="s">
        <v>1726</v>
      </c>
      <c r="I1062" s="5"/>
    </row>
    <row r="1063">
      <c r="A1063" s="5" t="s">
        <v>9</v>
      </c>
      <c r="B1063" s="6" t="str">
        <f t="array" ref="B1063">IF(D1063="","",
 INDEX(Product_Master!A:A,
       MATCH( INDEX(Pack_Master!B:B, MATCH(D1063, Pack_Master!A:A, 0)),
              Product_Master!B:B, 0 )
))
</f>
        <v>Garden_Planters</v>
      </c>
      <c r="C1063" s="7" t="s">
        <v>1023</v>
      </c>
      <c r="D1063" s="8" t="s">
        <v>1024</v>
      </c>
      <c r="E1063" s="9" t="s">
        <v>12</v>
      </c>
      <c r="F1063" s="8"/>
      <c r="G1063" s="5"/>
      <c r="H1063" s="5" t="s">
        <v>1726</v>
      </c>
      <c r="I1063" s="5"/>
    </row>
    <row r="1064">
      <c r="A1064" s="5"/>
      <c r="B1064" s="6"/>
      <c r="C1064" s="7"/>
      <c r="D1064" s="8"/>
      <c r="E1064" s="9"/>
      <c r="F1064" s="8"/>
      <c r="G1064" s="5"/>
      <c r="H1064" s="5"/>
      <c r="I1064" s="5"/>
    </row>
    <row r="1065">
      <c r="A1065" s="5"/>
      <c r="B1065" s="6"/>
      <c r="C1065" s="7"/>
      <c r="D1065" s="8"/>
      <c r="E1065" s="9"/>
      <c r="F1065" s="8"/>
      <c r="G1065" s="5"/>
      <c r="H1065" s="5"/>
      <c r="I1065" s="5"/>
    </row>
    <row r="1066">
      <c r="A1066" s="5"/>
      <c r="B1066" s="6"/>
      <c r="C1066" s="7"/>
      <c r="D1066" s="8"/>
      <c r="E1066" s="9"/>
      <c r="F1066" s="8"/>
      <c r="G1066" s="5"/>
      <c r="H1066" s="5"/>
      <c r="I1066" s="5"/>
    </row>
    <row r="1067">
      <c r="A1067" s="5"/>
      <c r="B1067" s="6"/>
      <c r="C1067" s="7"/>
      <c r="D1067" s="8"/>
      <c r="E1067" s="9"/>
      <c r="F1067" s="8"/>
      <c r="G1067" s="5"/>
      <c r="H1067" s="5"/>
      <c r="I1067" s="5"/>
    </row>
    <row r="1068">
      <c r="A1068" s="5"/>
      <c r="B1068" s="6"/>
      <c r="C1068" s="7"/>
      <c r="D1068" s="8"/>
      <c r="E1068" s="9"/>
      <c r="F1068" s="8"/>
      <c r="G1068" s="5"/>
      <c r="H1068" s="5"/>
      <c r="I1068" s="5"/>
    </row>
    <row r="1069">
      <c r="A1069" s="5"/>
      <c r="B1069" s="6"/>
      <c r="C1069" s="7"/>
      <c r="D1069" s="8"/>
      <c r="E1069" s="9"/>
      <c r="F1069" s="8"/>
      <c r="G1069" s="5"/>
      <c r="H1069" s="5"/>
      <c r="I1069" s="5"/>
    </row>
    <row r="1070">
      <c r="A1070" s="5"/>
      <c r="B1070" s="6"/>
      <c r="C1070" s="7"/>
      <c r="D1070" s="8"/>
      <c r="E1070" s="9"/>
      <c r="F1070" s="8"/>
      <c r="G1070" s="5"/>
      <c r="H1070" s="5"/>
      <c r="I1070" s="5"/>
    </row>
    <row r="1071">
      <c r="A1071" s="5"/>
      <c r="B1071" s="6"/>
      <c r="C1071" s="7"/>
      <c r="D1071" s="8"/>
      <c r="E1071" s="9"/>
      <c r="F1071" s="8"/>
      <c r="G1071" s="5"/>
      <c r="H1071" s="5"/>
      <c r="I1071" s="5"/>
    </row>
    <row r="1072">
      <c r="A1072" s="5"/>
      <c r="B1072" s="6"/>
      <c r="C1072" s="7"/>
      <c r="D1072" s="8"/>
      <c r="E1072" s="9"/>
      <c r="F1072" s="8"/>
      <c r="G1072" s="5"/>
      <c r="H1072" s="5"/>
      <c r="I1072" s="5"/>
    </row>
    <row r="1073">
      <c r="A1073" s="5"/>
      <c r="B1073" s="6"/>
      <c r="C1073" s="7"/>
      <c r="D1073" s="8"/>
      <c r="E1073" s="9"/>
      <c r="F1073" s="8"/>
      <c r="G1073" s="5"/>
      <c r="H1073" s="5"/>
      <c r="I1073" s="5"/>
    </row>
    <row r="1074">
      <c r="A1074" s="5"/>
      <c r="B1074" s="6"/>
      <c r="C1074" s="7"/>
      <c r="D1074" s="8"/>
      <c r="E1074" s="9"/>
      <c r="F1074" s="8"/>
      <c r="G1074" s="5"/>
      <c r="H1074" s="5"/>
      <c r="I1074" s="5"/>
    </row>
    <row r="1075">
      <c r="A1075" s="5"/>
      <c r="B1075" s="6"/>
      <c r="C1075" s="7"/>
      <c r="D1075" s="8"/>
      <c r="E1075" s="9"/>
      <c r="F1075" s="8"/>
      <c r="G1075" s="5"/>
      <c r="H1075" s="5"/>
      <c r="I1075" s="5"/>
    </row>
    <row r="1076">
      <c r="A1076" s="5"/>
      <c r="B1076" s="6"/>
      <c r="C1076" s="7"/>
      <c r="D1076" s="8"/>
      <c r="E1076" s="9"/>
      <c r="F1076" s="8"/>
      <c r="G1076" s="5"/>
      <c r="H1076" s="5"/>
      <c r="I1076" s="5"/>
    </row>
    <row r="1077">
      <c r="A1077" s="5"/>
      <c r="B1077" s="6"/>
      <c r="C1077" s="7"/>
      <c r="D1077" s="8"/>
      <c r="E1077" s="9"/>
      <c r="F1077" s="8"/>
      <c r="G1077" s="5"/>
      <c r="H1077" s="5"/>
      <c r="I1077" s="5"/>
    </row>
    <row r="1078">
      <c r="A1078" s="5"/>
      <c r="B1078" s="6"/>
      <c r="C1078" s="7"/>
      <c r="D1078" s="8"/>
      <c r="E1078" s="9"/>
      <c r="F1078" s="8"/>
      <c r="G1078" s="5"/>
      <c r="H1078" s="5"/>
      <c r="I1078" s="5"/>
    </row>
    <row r="1079">
      <c r="A1079" s="5"/>
      <c r="B1079" s="6"/>
      <c r="C1079" s="7"/>
      <c r="D1079" s="8"/>
      <c r="E1079" s="9"/>
      <c r="F1079" s="8"/>
      <c r="G1079" s="5"/>
      <c r="H1079" s="5"/>
      <c r="I1079" s="5"/>
    </row>
    <row r="1080">
      <c r="A1080" s="5"/>
      <c r="B1080" s="6"/>
      <c r="C1080" s="7"/>
      <c r="D1080" s="8"/>
      <c r="E1080" s="9"/>
      <c r="F1080" s="8"/>
      <c r="G1080" s="5"/>
      <c r="H1080" s="5"/>
      <c r="I1080" s="5"/>
    </row>
    <row r="1081">
      <c r="A1081" s="5"/>
      <c r="B1081" s="6"/>
      <c r="C1081" s="7"/>
      <c r="D1081" s="8"/>
      <c r="E1081" s="9"/>
      <c r="F1081" s="8"/>
      <c r="G1081" s="5"/>
      <c r="H1081" s="5"/>
      <c r="I1081" s="5"/>
    </row>
    <row r="1082">
      <c r="A1082" s="5"/>
      <c r="B1082" s="6"/>
      <c r="C1082" s="7"/>
      <c r="D1082" s="8"/>
      <c r="E1082" s="9"/>
      <c r="F1082" s="8"/>
      <c r="G1082" s="5"/>
      <c r="H1082" s="5"/>
      <c r="I1082" s="5"/>
    </row>
    <row r="1083">
      <c r="A1083" s="5"/>
      <c r="B1083" s="6"/>
      <c r="C1083" s="7"/>
      <c r="D1083" s="8"/>
      <c r="E1083" s="9"/>
      <c r="F1083" s="8"/>
      <c r="G1083" s="5"/>
      <c r="H1083" s="5"/>
      <c r="I1083" s="5"/>
    </row>
    <row r="1084">
      <c r="A1084" s="5"/>
      <c r="B1084" s="6"/>
      <c r="C1084" s="7"/>
      <c r="D1084" s="8"/>
      <c r="E1084" s="9"/>
      <c r="F1084" s="8"/>
      <c r="G1084" s="5"/>
      <c r="H1084" s="5"/>
      <c r="I1084" s="5"/>
    </row>
    <row r="1085">
      <c r="A1085" s="5"/>
      <c r="B1085" s="6"/>
      <c r="C1085" s="7"/>
      <c r="D1085" s="8"/>
      <c r="E1085" s="9"/>
      <c r="F1085" s="8"/>
      <c r="G1085" s="5"/>
      <c r="H1085" s="5"/>
      <c r="I1085" s="5"/>
    </row>
    <row r="1086">
      <c r="A1086" s="5"/>
      <c r="B1086" s="6"/>
      <c r="C1086" s="7"/>
      <c r="D1086" s="8"/>
      <c r="E1086" s="9"/>
      <c r="F1086" s="8"/>
      <c r="G1086" s="5"/>
      <c r="H1086" s="5"/>
      <c r="I1086" s="5"/>
    </row>
    <row r="1087">
      <c r="A1087" s="5"/>
      <c r="B1087" s="6"/>
      <c r="C1087" s="7"/>
      <c r="D1087" s="8"/>
      <c r="E1087" s="9"/>
      <c r="F1087" s="8"/>
      <c r="G1087" s="5"/>
      <c r="H1087" s="5"/>
      <c r="I1087" s="5"/>
    </row>
    <row r="1088">
      <c r="A1088" s="5"/>
      <c r="B1088" s="6"/>
      <c r="C1088" s="7"/>
      <c r="D1088" s="8"/>
      <c r="E1088" s="9"/>
      <c r="F1088" s="8"/>
      <c r="G1088" s="5"/>
      <c r="H1088" s="5"/>
      <c r="I1088" s="5"/>
    </row>
    <row r="1089">
      <c r="A1089" s="5"/>
      <c r="B1089" s="6"/>
      <c r="C1089" s="7"/>
      <c r="D1089" s="8"/>
      <c r="E1089" s="9"/>
      <c r="F1089" s="8"/>
      <c r="G1089" s="5"/>
      <c r="H1089" s="5"/>
      <c r="I1089" s="5"/>
    </row>
    <row r="1090">
      <c r="A1090" s="5"/>
      <c r="B1090" s="6"/>
      <c r="C1090" s="7"/>
      <c r="D1090" s="8"/>
      <c r="E1090" s="9"/>
      <c r="F1090" s="8"/>
      <c r="G1090" s="5"/>
      <c r="H1090" s="5"/>
      <c r="I1090" s="5"/>
    </row>
    <row r="1091">
      <c r="A1091" s="5"/>
      <c r="B1091" s="6"/>
      <c r="C1091" s="7"/>
      <c r="D1091" s="8"/>
      <c r="E1091" s="9"/>
      <c r="F1091" s="8"/>
      <c r="G1091" s="5"/>
      <c r="H1091" s="5"/>
      <c r="I1091" s="5"/>
    </row>
    <row r="1092">
      <c r="A1092" s="5"/>
      <c r="B1092" s="6"/>
      <c r="C1092" s="7"/>
      <c r="D1092" s="8"/>
      <c r="E1092" s="9"/>
      <c r="F1092" s="8"/>
      <c r="G1092" s="5"/>
      <c r="H1092" s="5"/>
      <c r="I1092" s="5"/>
    </row>
    <row r="1093">
      <c r="A1093" s="5"/>
      <c r="B1093" s="6"/>
      <c r="C1093" s="7"/>
      <c r="D1093" s="8"/>
      <c r="E1093" s="9"/>
      <c r="F1093" s="8"/>
      <c r="G1093" s="5"/>
      <c r="H1093" s="5"/>
      <c r="I1093" s="5"/>
    </row>
    <row r="1094">
      <c r="A1094" s="5"/>
      <c r="B1094" s="6"/>
      <c r="C1094" s="7"/>
      <c r="D1094" s="8"/>
      <c r="E1094" s="9"/>
      <c r="F1094" s="8"/>
      <c r="G1094" s="5"/>
      <c r="H1094" s="5"/>
      <c r="I1094" s="5"/>
    </row>
    <row r="1095">
      <c r="A1095" s="5"/>
      <c r="B1095" s="6"/>
      <c r="C1095" s="7"/>
      <c r="D1095" s="8"/>
      <c r="E1095" s="9"/>
      <c r="F1095" s="8"/>
      <c r="G1095" s="5"/>
      <c r="H1095" s="5"/>
      <c r="I1095" s="5"/>
    </row>
    <row r="1096">
      <c r="A1096" s="5"/>
      <c r="B1096" s="6"/>
      <c r="C1096" s="7"/>
      <c r="D1096" s="8"/>
      <c r="E1096" s="9"/>
      <c r="F1096" s="8"/>
      <c r="G1096" s="5"/>
      <c r="H1096" s="5"/>
      <c r="I1096" s="5"/>
    </row>
    <row r="1097">
      <c r="A1097" s="5"/>
      <c r="B1097" s="6"/>
      <c r="C1097" s="7"/>
      <c r="D1097" s="8"/>
      <c r="E1097" s="9"/>
      <c r="F1097" s="8"/>
      <c r="G1097" s="5"/>
      <c r="H1097" s="5"/>
      <c r="I1097" s="5"/>
    </row>
    <row r="1098">
      <c r="A1098" s="5"/>
      <c r="B1098" s="6"/>
      <c r="C1098" s="7"/>
      <c r="D1098" s="8"/>
      <c r="E1098" s="9"/>
      <c r="F1098" s="8"/>
      <c r="G1098" s="5"/>
      <c r="H1098" s="5"/>
      <c r="I1098" s="5"/>
    </row>
    <row r="1099">
      <c r="A1099" s="5"/>
      <c r="B1099" s="6"/>
      <c r="C1099" s="7"/>
      <c r="D1099" s="8"/>
      <c r="E1099" s="9"/>
      <c r="F1099" s="8"/>
      <c r="G1099" s="5"/>
      <c r="H1099" s="5"/>
      <c r="I1099" s="5"/>
    </row>
    <row r="1100">
      <c r="A1100" s="5"/>
      <c r="B1100" s="6"/>
      <c r="C1100" s="7"/>
      <c r="D1100" s="8"/>
      <c r="E1100" s="9"/>
      <c r="F1100" s="8"/>
      <c r="G1100" s="5"/>
      <c r="H1100" s="5"/>
      <c r="I1100" s="5"/>
    </row>
    <row r="1101">
      <c r="A1101" s="5"/>
      <c r="B1101" s="6"/>
      <c r="C1101" s="7"/>
      <c r="D1101" s="8"/>
      <c r="E1101" s="9"/>
      <c r="F1101" s="8"/>
      <c r="G1101" s="5"/>
      <c r="H1101" s="5"/>
      <c r="I1101" s="5"/>
    </row>
    <row r="1102">
      <c r="A1102" s="5"/>
      <c r="B1102" s="6"/>
      <c r="C1102" s="7"/>
      <c r="D1102" s="8"/>
      <c r="E1102" s="9"/>
      <c r="F1102" s="8"/>
      <c r="G1102" s="5"/>
      <c r="H1102" s="5"/>
      <c r="I1102" s="5"/>
    </row>
    <row r="1103">
      <c r="A1103" s="5"/>
      <c r="B1103" s="6"/>
      <c r="C1103" s="7"/>
      <c r="D1103" s="8"/>
      <c r="E1103" s="9"/>
      <c r="F1103" s="8"/>
      <c r="G1103" s="5"/>
      <c r="H1103" s="5"/>
      <c r="I1103" s="5"/>
    </row>
    <row r="1104">
      <c r="A1104" s="5"/>
      <c r="B1104" s="6"/>
      <c r="C1104" s="7"/>
      <c r="D1104" s="8"/>
      <c r="E1104" s="9"/>
      <c r="F1104" s="8"/>
      <c r="G1104" s="5"/>
      <c r="H1104" s="5"/>
      <c r="I1104" s="5"/>
    </row>
    <row r="1105">
      <c r="A1105" s="5"/>
      <c r="B1105" s="6"/>
      <c r="C1105" s="7"/>
      <c r="D1105" s="8"/>
      <c r="E1105" s="9"/>
      <c r="F1105" s="8"/>
      <c r="G1105" s="5"/>
      <c r="H1105" s="5"/>
      <c r="I1105" s="5"/>
    </row>
    <row r="1106">
      <c r="A1106" s="5"/>
      <c r="B1106" s="6"/>
      <c r="C1106" s="7"/>
      <c r="D1106" s="8"/>
      <c r="E1106" s="9"/>
      <c r="F1106" s="8"/>
      <c r="G1106" s="5"/>
      <c r="H1106" s="5"/>
      <c r="I1106" s="5"/>
    </row>
    <row r="1107">
      <c r="A1107" s="5"/>
      <c r="B1107" s="6"/>
      <c r="C1107" s="7"/>
      <c r="D1107" s="8"/>
      <c r="E1107" s="9"/>
      <c r="F1107" s="8"/>
      <c r="G1107" s="5"/>
      <c r="H1107" s="5"/>
      <c r="I1107" s="5"/>
    </row>
    <row r="1108">
      <c r="A1108" s="5"/>
      <c r="B1108" s="6"/>
      <c r="C1108" s="7"/>
      <c r="D1108" s="8"/>
      <c r="E1108" s="9"/>
      <c r="F1108" s="8"/>
      <c r="G1108" s="5"/>
      <c r="H1108" s="5"/>
      <c r="I1108" s="5"/>
    </row>
    <row r="1109">
      <c r="A1109" s="5"/>
      <c r="B1109" s="6"/>
      <c r="C1109" s="7"/>
      <c r="D1109" s="8"/>
      <c r="E1109" s="9"/>
      <c r="F1109" s="8"/>
      <c r="G1109" s="5"/>
      <c r="H1109" s="5"/>
      <c r="I1109" s="5"/>
    </row>
    <row r="1110">
      <c r="A1110" s="5"/>
      <c r="B1110" s="6"/>
      <c r="C1110" s="7"/>
      <c r="D1110" s="8"/>
      <c r="E1110" s="9"/>
      <c r="F1110" s="8"/>
      <c r="G1110" s="5"/>
      <c r="H1110" s="5"/>
      <c r="I1110" s="5"/>
    </row>
    <row r="1111">
      <c r="A1111" s="5"/>
      <c r="B1111" s="6"/>
      <c r="C1111" s="7"/>
      <c r="D1111" s="8"/>
      <c r="E1111" s="9"/>
      <c r="F1111" s="8"/>
      <c r="G1111" s="5"/>
      <c r="H1111" s="5"/>
      <c r="I1111" s="5"/>
    </row>
    <row r="1112">
      <c r="A1112" s="5"/>
      <c r="B1112" s="6"/>
      <c r="C1112" s="7"/>
      <c r="D1112" s="8"/>
      <c r="E1112" s="9"/>
      <c r="F1112" s="8"/>
      <c r="G1112" s="5"/>
      <c r="H1112" s="5"/>
      <c r="I1112" s="5"/>
    </row>
    <row r="1113">
      <c r="A1113" s="5"/>
      <c r="B1113" s="6"/>
      <c r="C1113" s="7"/>
      <c r="D1113" s="8"/>
      <c r="E1113" s="9"/>
      <c r="F1113" s="8"/>
      <c r="G1113" s="5"/>
      <c r="H1113" s="5"/>
      <c r="I1113" s="5"/>
    </row>
    <row r="1114">
      <c r="A1114" s="5"/>
      <c r="B1114" s="6"/>
      <c r="C1114" s="7"/>
      <c r="D1114" s="8"/>
      <c r="E1114" s="9"/>
      <c r="F1114" s="8"/>
      <c r="G1114" s="5"/>
      <c r="H1114" s="5"/>
      <c r="I1114" s="5"/>
    </row>
    <row r="1115">
      <c r="A1115" s="5"/>
      <c r="B1115" s="6"/>
      <c r="C1115" s="7"/>
      <c r="D1115" s="8"/>
      <c r="E1115" s="9"/>
      <c r="F1115" s="8"/>
      <c r="G1115" s="5"/>
      <c r="H1115" s="5"/>
      <c r="I1115" s="5"/>
    </row>
    <row r="1116">
      <c r="A1116" s="5"/>
      <c r="B1116" s="6"/>
      <c r="C1116" s="7"/>
      <c r="D1116" s="8"/>
      <c r="E1116" s="9"/>
      <c r="F1116" s="8"/>
      <c r="G1116" s="5"/>
      <c r="H1116" s="5"/>
      <c r="I1116" s="5"/>
    </row>
    <row r="1117">
      <c r="A1117" s="5"/>
      <c r="B1117" s="6"/>
      <c r="C1117" s="7"/>
      <c r="D1117" s="8"/>
      <c r="E1117" s="9"/>
      <c r="F1117" s="8"/>
      <c r="G1117" s="5"/>
      <c r="H1117" s="5"/>
      <c r="I1117" s="5"/>
    </row>
    <row r="1118">
      <c r="A1118" s="5"/>
      <c r="B1118" s="6"/>
      <c r="C1118" s="7"/>
      <c r="D1118" s="8"/>
      <c r="E1118" s="9"/>
      <c r="F1118" s="8"/>
      <c r="G1118" s="5"/>
      <c r="H1118" s="5"/>
      <c r="I1118" s="5"/>
    </row>
    <row r="1119">
      <c r="A1119" s="5"/>
      <c r="B1119" s="6"/>
      <c r="C1119" s="7"/>
      <c r="D1119" s="8"/>
      <c r="E1119" s="9"/>
      <c r="F1119" s="8"/>
      <c r="G1119" s="5"/>
      <c r="H1119" s="5"/>
      <c r="I1119" s="5"/>
    </row>
    <row r="1120">
      <c r="A1120" s="5"/>
      <c r="B1120" s="6"/>
      <c r="C1120" s="7"/>
      <c r="D1120" s="8"/>
      <c r="E1120" s="9"/>
      <c r="F1120" s="8"/>
      <c r="G1120" s="5"/>
      <c r="H1120" s="5"/>
      <c r="I1120" s="5"/>
    </row>
    <row r="1121">
      <c r="A1121" s="5"/>
      <c r="B1121" s="6"/>
      <c r="C1121" s="7"/>
      <c r="D1121" s="8"/>
      <c r="E1121" s="9"/>
      <c r="F1121" s="8"/>
      <c r="G1121" s="5"/>
      <c r="H1121" s="5"/>
      <c r="I1121" s="5"/>
    </row>
    <row r="1122">
      <c r="A1122" s="5"/>
      <c r="B1122" s="6"/>
      <c r="C1122" s="7"/>
      <c r="D1122" s="8"/>
      <c r="E1122" s="9"/>
      <c r="F1122" s="8"/>
      <c r="G1122" s="5"/>
      <c r="H1122" s="5"/>
      <c r="I1122" s="5"/>
    </row>
    <row r="1123">
      <c r="A1123" s="5"/>
      <c r="B1123" s="6"/>
      <c r="C1123" s="7"/>
      <c r="D1123" s="8"/>
      <c r="E1123" s="9"/>
      <c r="F1123" s="8"/>
      <c r="G1123" s="5"/>
      <c r="H1123" s="5"/>
      <c r="I1123" s="5"/>
    </row>
    <row r="1124">
      <c r="A1124" s="5"/>
      <c r="B1124" s="6"/>
      <c r="C1124" s="7"/>
      <c r="D1124" s="8"/>
      <c r="E1124" s="9"/>
      <c r="F1124" s="8"/>
      <c r="G1124" s="5"/>
      <c r="H1124" s="5"/>
      <c r="I1124" s="5"/>
    </row>
    <row r="1125">
      <c r="A1125" s="5"/>
      <c r="B1125" s="6"/>
      <c r="C1125" s="7"/>
      <c r="D1125" s="8"/>
      <c r="E1125" s="9"/>
      <c r="F1125" s="8"/>
      <c r="G1125" s="5"/>
      <c r="H1125" s="5"/>
      <c r="I1125" s="5"/>
    </row>
    <row r="1126">
      <c r="A1126" s="5"/>
      <c r="B1126" s="6"/>
      <c r="C1126" s="7"/>
      <c r="D1126" s="8"/>
      <c r="E1126" s="9"/>
      <c r="F1126" s="8"/>
      <c r="G1126" s="5"/>
      <c r="H1126" s="5"/>
      <c r="I1126" s="5"/>
    </row>
    <row r="1127">
      <c r="A1127" s="5"/>
      <c r="B1127" s="6"/>
      <c r="C1127" s="7"/>
      <c r="D1127" s="8"/>
      <c r="E1127" s="9"/>
      <c r="F1127" s="8"/>
      <c r="G1127" s="5"/>
      <c r="H1127" s="5"/>
      <c r="I1127" s="5"/>
    </row>
    <row r="1128">
      <c r="A1128" s="5"/>
      <c r="B1128" s="6"/>
      <c r="C1128" s="7"/>
      <c r="D1128" s="8"/>
      <c r="E1128" s="9"/>
      <c r="F1128" s="8"/>
      <c r="G1128" s="5"/>
      <c r="H1128" s="5"/>
      <c r="I1128" s="5"/>
    </row>
    <row r="1129">
      <c r="A1129" s="5"/>
      <c r="B1129" s="6"/>
      <c r="C1129" s="7"/>
      <c r="D1129" s="8"/>
      <c r="E1129" s="9"/>
      <c r="F1129" s="8"/>
      <c r="G1129" s="5"/>
      <c r="H1129" s="5"/>
      <c r="I1129" s="5"/>
    </row>
    <row r="1130">
      <c r="A1130" s="5"/>
      <c r="B1130" s="6"/>
      <c r="C1130" s="7"/>
      <c r="D1130" s="8"/>
      <c r="E1130" s="9"/>
      <c r="F1130" s="8"/>
      <c r="G1130" s="5"/>
      <c r="H1130" s="5"/>
      <c r="I1130" s="5"/>
    </row>
    <row r="1131">
      <c r="A1131" s="5"/>
      <c r="B1131" s="6"/>
      <c r="C1131" s="7"/>
      <c r="D1131" s="8"/>
      <c r="E1131" s="9"/>
      <c r="F1131" s="8"/>
      <c r="G1131" s="5"/>
      <c r="H1131" s="5"/>
      <c r="I1131" s="5"/>
    </row>
    <row r="1132">
      <c r="A1132" s="5"/>
      <c r="B1132" s="6"/>
      <c r="C1132" s="7"/>
      <c r="D1132" s="8"/>
      <c r="E1132" s="9"/>
      <c r="F1132" s="8"/>
      <c r="G1132" s="5"/>
      <c r="H1132" s="5"/>
      <c r="I1132" s="5"/>
    </row>
    <row r="1133">
      <c r="A1133" s="5"/>
      <c r="B1133" s="6"/>
      <c r="C1133" s="7"/>
      <c r="D1133" s="8"/>
      <c r="E1133" s="9"/>
      <c r="F1133" s="8"/>
      <c r="G1133" s="5"/>
      <c r="H1133" s="5"/>
      <c r="I1133" s="5"/>
    </row>
    <row r="1134">
      <c r="A1134" s="5"/>
      <c r="B1134" s="6"/>
      <c r="C1134" s="7"/>
      <c r="D1134" s="8"/>
      <c r="E1134" s="9"/>
      <c r="F1134" s="8"/>
      <c r="G1134" s="5"/>
      <c r="H1134" s="5"/>
      <c r="I1134" s="5"/>
    </row>
    <row r="1135">
      <c r="A1135" s="5"/>
      <c r="B1135" s="6"/>
      <c r="C1135" s="7"/>
      <c r="D1135" s="8"/>
      <c r="E1135" s="9"/>
      <c r="F1135" s="8"/>
      <c r="G1135" s="5"/>
      <c r="H1135" s="5"/>
      <c r="I1135" s="5"/>
    </row>
    <row r="1136">
      <c r="A1136" s="5"/>
      <c r="B1136" s="6"/>
      <c r="C1136" s="7"/>
      <c r="D1136" s="8"/>
      <c r="E1136" s="9"/>
      <c r="F1136" s="8"/>
      <c r="G1136" s="5"/>
      <c r="H1136" s="5"/>
      <c r="I1136" s="5"/>
    </row>
    <row r="1137">
      <c r="A1137" s="5"/>
      <c r="B1137" s="6"/>
      <c r="C1137" s="7"/>
      <c r="D1137" s="8"/>
      <c r="E1137" s="9"/>
      <c r="F1137" s="8"/>
      <c r="G1137" s="5"/>
      <c r="H1137" s="5"/>
      <c r="I1137" s="5"/>
    </row>
    <row r="1138">
      <c r="A1138" s="5"/>
      <c r="B1138" s="6"/>
      <c r="C1138" s="7"/>
      <c r="D1138" s="8"/>
      <c r="E1138" s="9"/>
      <c r="F1138" s="8"/>
      <c r="G1138" s="5"/>
      <c r="H1138" s="5"/>
      <c r="I1138" s="5"/>
    </row>
    <row r="1139">
      <c r="A1139" s="5"/>
      <c r="B1139" s="6"/>
      <c r="C1139" s="7"/>
      <c r="D1139" s="8"/>
      <c r="E1139" s="9"/>
      <c r="F1139" s="8"/>
      <c r="G1139" s="5"/>
      <c r="H1139" s="5"/>
      <c r="I1139" s="5"/>
    </row>
    <row r="1140">
      <c r="A1140" s="5"/>
      <c r="B1140" s="6"/>
      <c r="C1140" s="7"/>
      <c r="D1140" s="8"/>
      <c r="E1140" s="9"/>
      <c r="F1140" s="8"/>
      <c r="G1140" s="5"/>
      <c r="H1140" s="5"/>
      <c r="I1140" s="5"/>
    </row>
    <row r="1141">
      <c r="A1141" s="5"/>
      <c r="B1141" s="6"/>
      <c r="C1141" s="7"/>
      <c r="D1141" s="8"/>
      <c r="E1141" s="9"/>
      <c r="F1141" s="8"/>
      <c r="G1141" s="5"/>
      <c r="H1141" s="5"/>
      <c r="I1141" s="5"/>
    </row>
    <row r="1142">
      <c r="A1142" s="5"/>
      <c r="B1142" s="6"/>
      <c r="C1142" s="7"/>
      <c r="D1142" s="8"/>
      <c r="E1142" s="9"/>
      <c r="F1142" s="8"/>
      <c r="G1142" s="5"/>
      <c r="H1142" s="5"/>
      <c r="I1142" s="5"/>
    </row>
    <row r="1143">
      <c r="A1143" s="5"/>
      <c r="B1143" s="6"/>
      <c r="C1143" s="7"/>
      <c r="D1143" s="8"/>
      <c r="E1143" s="9"/>
      <c r="F1143" s="8"/>
      <c r="G1143" s="5"/>
      <c r="H1143" s="5"/>
      <c r="I1143" s="5"/>
    </row>
    <row r="1144">
      <c r="A1144" s="5"/>
      <c r="B1144" s="6"/>
      <c r="C1144" s="7"/>
      <c r="D1144" s="8"/>
      <c r="E1144" s="9"/>
      <c r="F1144" s="8"/>
      <c r="G1144" s="5"/>
      <c r="H1144" s="5"/>
      <c r="I1144" s="5"/>
    </row>
    <row r="1145">
      <c r="A1145" s="5"/>
      <c r="B1145" s="6"/>
      <c r="C1145" s="7"/>
      <c r="D1145" s="8"/>
      <c r="E1145" s="9"/>
      <c r="F1145" s="8"/>
      <c r="G1145" s="5"/>
      <c r="H1145" s="5"/>
      <c r="I1145" s="5"/>
    </row>
    <row r="1146">
      <c r="A1146" s="5"/>
      <c r="B1146" s="6"/>
      <c r="C1146" s="7"/>
      <c r="D1146" s="8"/>
      <c r="E1146" s="9"/>
      <c r="F1146" s="8"/>
      <c r="G1146" s="5"/>
      <c r="H1146" s="5"/>
      <c r="I1146" s="5"/>
    </row>
    <row r="1147">
      <c r="A1147" s="5"/>
      <c r="B1147" s="6"/>
      <c r="C1147" s="7"/>
      <c r="D1147" s="8"/>
      <c r="E1147" s="9"/>
      <c r="F1147" s="8"/>
      <c r="G1147" s="5"/>
      <c r="H1147" s="5"/>
      <c r="I1147" s="5"/>
    </row>
    <row r="1148">
      <c r="A1148" s="5"/>
      <c r="B1148" s="6"/>
      <c r="C1148" s="7"/>
      <c r="D1148" s="8"/>
      <c r="E1148" s="9"/>
      <c r="F1148" s="8"/>
      <c r="G1148" s="5"/>
      <c r="H1148" s="5"/>
      <c r="I1148" s="5"/>
    </row>
    <row r="1149">
      <c r="A1149" s="5"/>
      <c r="B1149" s="6"/>
      <c r="C1149" s="7"/>
      <c r="D1149" s="8"/>
      <c r="E1149" s="9"/>
      <c r="F1149" s="8"/>
      <c r="G1149" s="5"/>
      <c r="H1149" s="5"/>
      <c r="I1149" s="5"/>
    </row>
    <row r="1150">
      <c r="A1150" s="5"/>
      <c r="B1150" s="6"/>
      <c r="C1150" s="7"/>
      <c r="D1150" s="8"/>
      <c r="E1150" s="9"/>
      <c r="F1150" s="8"/>
      <c r="G1150" s="5"/>
      <c r="H1150" s="5"/>
      <c r="I1150" s="5"/>
    </row>
    <row r="1151">
      <c r="A1151" s="5"/>
      <c r="B1151" s="6"/>
      <c r="C1151" s="7"/>
      <c r="D1151" s="8"/>
      <c r="E1151" s="9"/>
      <c r="F1151" s="8"/>
      <c r="G1151" s="5"/>
      <c r="H1151" s="5"/>
      <c r="I1151" s="5"/>
    </row>
    <row r="1152">
      <c r="A1152" s="5"/>
      <c r="B1152" s="6"/>
      <c r="C1152" s="7"/>
      <c r="D1152" s="8"/>
      <c r="E1152" s="9"/>
      <c r="F1152" s="8"/>
      <c r="G1152" s="5"/>
      <c r="H1152" s="5"/>
      <c r="I1152" s="5"/>
    </row>
    <row r="1153">
      <c r="A1153" s="5"/>
      <c r="B1153" s="6"/>
      <c r="C1153" s="7"/>
      <c r="D1153" s="8"/>
      <c r="E1153" s="9"/>
      <c r="F1153" s="8"/>
      <c r="G1153" s="5"/>
      <c r="H1153" s="5"/>
      <c r="I1153" s="5"/>
    </row>
    <row r="1154">
      <c r="A1154" s="5"/>
      <c r="B1154" s="6"/>
      <c r="C1154" s="7"/>
      <c r="D1154" s="8"/>
      <c r="E1154" s="9"/>
      <c r="F1154" s="8"/>
      <c r="G1154" s="5"/>
      <c r="H1154" s="5"/>
      <c r="I1154" s="5"/>
    </row>
    <row r="1155">
      <c r="A1155" s="5"/>
      <c r="B1155" s="6"/>
      <c r="C1155" s="7"/>
      <c r="D1155" s="8"/>
      <c r="E1155" s="9"/>
      <c r="F1155" s="8"/>
      <c r="G1155" s="5"/>
      <c r="H1155" s="5"/>
      <c r="I1155" s="5"/>
    </row>
    <row r="1156">
      <c r="A1156" s="5"/>
      <c r="B1156" s="6"/>
      <c r="C1156" s="7"/>
      <c r="D1156" s="8"/>
      <c r="E1156" s="9"/>
      <c r="F1156" s="8"/>
      <c r="G1156" s="5"/>
      <c r="H1156" s="5"/>
      <c r="I1156" s="5"/>
    </row>
    <row r="1157">
      <c r="A1157" s="5"/>
      <c r="B1157" s="6"/>
      <c r="C1157" s="7"/>
      <c r="D1157" s="8"/>
      <c r="E1157" s="9"/>
      <c r="F1157" s="8"/>
      <c r="G1157" s="5"/>
      <c r="H1157" s="5"/>
      <c r="I1157" s="5"/>
    </row>
    <row r="1158">
      <c r="A1158" s="5"/>
      <c r="B1158" s="6"/>
      <c r="C1158" s="7"/>
      <c r="D1158" s="8"/>
      <c r="E1158" s="9"/>
      <c r="F1158" s="8"/>
      <c r="G1158" s="5"/>
      <c r="H1158" s="5"/>
      <c r="I1158" s="5"/>
    </row>
    <row r="1159">
      <c r="A1159" s="5"/>
      <c r="B1159" s="6"/>
      <c r="C1159" s="7"/>
      <c r="D1159" s="8"/>
      <c r="E1159" s="9"/>
      <c r="F1159" s="8"/>
      <c r="G1159" s="5"/>
      <c r="H1159" s="5"/>
      <c r="I1159" s="5"/>
    </row>
    <row r="1160">
      <c r="A1160" s="5"/>
      <c r="B1160" s="6"/>
      <c r="C1160" s="7"/>
      <c r="D1160" s="8"/>
      <c r="E1160" s="9"/>
      <c r="F1160" s="8"/>
      <c r="G1160" s="5"/>
      <c r="H1160" s="5"/>
      <c r="I1160" s="5"/>
    </row>
    <row r="1161">
      <c r="A1161" s="5"/>
      <c r="B1161" s="6"/>
      <c r="C1161" s="7"/>
      <c r="D1161" s="8"/>
      <c r="E1161" s="9"/>
      <c r="F1161" s="8"/>
      <c r="G1161" s="5"/>
      <c r="H1161" s="5"/>
      <c r="I1161" s="5"/>
    </row>
    <row r="1162">
      <c r="A1162" s="5"/>
      <c r="B1162" s="6"/>
      <c r="C1162" s="7"/>
      <c r="D1162" s="8"/>
      <c r="E1162" s="9"/>
      <c r="F1162" s="8"/>
      <c r="G1162" s="5"/>
      <c r="H1162" s="5"/>
      <c r="I1162" s="5"/>
    </row>
    <row r="1163">
      <c r="A1163" s="5"/>
      <c r="B1163" s="6"/>
      <c r="C1163" s="7"/>
      <c r="D1163" s="8"/>
      <c r="E1163" s="9"/>
      <c r="F1163" s="8"/>
      <c r="G1163" s="5"/>
      <c r="H1163" s="5"/>
      <c r="I1163" s="5"/>
    </row>
    <row r="1164">
      <c r="A1164" s="5"/>
      <c r="B1164" s="6"/>
      <c r="C1164" s="7"/>
      <c r="D1164" s="8"/>
      <c r="E1164" s="9"/>
      <c r="F1164" s="8"/>
      <c r="G1164" s="5"/>
      <c r="H1164" s="5"/>
      <c r="I1164" s="5"/>
    </row>
    <row r="1165">
      <c r="A1165" s="5"/>
      <c r="B1165" s="6"/>
      <c r="C1165" s="7"/>
      <c r="D1165" s="8"/>
      <c r="E1165" s="9"/>
      <c r="F1165" s="8"/>
      <c r="G1165" s="5"/>
      <c r="H1165" s="5"/>
      <c r="I1165" s="5"/>
    </row>
    <row r="1166">
      <c r="A1166" s="5"/>
      <c r="B1166" s="6"/>
      <c r="C1166" s="7"/>
      <c r="D1166" s="8"/>
      <c r="E1166" s="9"/>
      <c r="F1166" s="8"/>
      <c r="G1166" s="5"/>
      <c r="H1166" s="5"/>
      <c r="I1166" s="5"/>
    </row>
    <row r="1167">
      <c r="A1167" s="5"/>
      <c r="B1167" s="6"/>
      <c r="C1167" s="7"/>
      <c r="D1167" s="8"/>
      <c r="E1167" s="9"/>
      <c r="F1167" s="8"/>
      <c r="G1167" s="5"/>
      <c r="H1167" s="5"/>
      <c r="I1167" s="5"/>
    </row>
    <row r="1168">
      <c r="A1168" s="5"/>
      <c r="B1168" s="6"/>
      <c r="C1168" s="7"/>
      <c r="D1168" s="8"/>
      <c r="E1168" s="9"/>
      <c r="F1168" s="8"/>
      <c r="G1168" s="5"/>
      <c r="H1168" s="5"/>
      <c r="I1168" s="5"/>
    </row>
    <row r="1169">
      <c r="A1169" s="5"/>
      <c r="B1169" s="6"/>
      <c r="C1169" s="7"/>
      <c r="D1169" s="8"/>
      <c r="E1169" s="9"/>
      <c r="F1169" s="8"/>
      <c r="G1169" s="5"/>
      <c r="H1169" s="5"/>
      <c r="I1169" s="5"/>
    </row>
    <row r="1170">
      <c r="A1170" s="5"/>
      <c r="B1170" s="6"/>
      <c r="C1170" s="7"/>
      <c r="D1170" s="8"/>
      <c r="E1170" s="9"/>
      <c r="F1170" s="8"/>
      <c r="G1170" s="5"/>
      <c r="H1170" s="5"/>
      <c r="I1170" s="5"/>
    </row>
    <row r="1171">
      <c r="A1171" s="5"/>
      <c r="B1171" s="6"/>
      <c r="C1171" s="7"/>
      <c r="D1171" s="8"/>
      <c r="E1171" s="9"/>
      <c r="F1171" s="8"/>
      <c r="G1171" s="5"/>
      <c r="H1171" s="5"/>
      <c r="I1171" s="5"/>
    </row>
    <row r="1172">
      <c r="A1172" s="5"/>
      <c r="B1172" s="6"/>
      <c r="C1172" s="7"/>
      <c r="D1172" s="8"/>
      <c r="E1172" s="9"/>
      <c r="F1172" s="8"/>
      <c r="G1172" s="5"/>
      <c r="H1172" s="5"/>
      <c r="I1172" s="5"/>
    </row>
    <row r="1173">
      <c r="A1173" s="5"/>
      <c r="B1173" s="6"/>
      <c r="C1173" s="7"/>
      <c r="D1173" s="8"/>
      <c r="E1173" s="9"/>
      <c r="F1173" s="8"/>
      <c r="G1173" s="5"/>
      <c r="H1173" s="5"/>
      <c r="I1173" s="5"/>
    </row>
    <row r="1174">
      <c r="A1174" s="5"/>
      <c r="B1174" s="6"/>
      <c r="C1174" s="7"/>
      <c r="D1174" s="8"/>
      <c r="E1174" s="9"/>
      <c r="F1174" s="8"/>
      <c r="G1174" s="5"/>
      <c r="H1174" s="5"/>
      <c r="I1174" s="5"/>
    </row>
    <row r="1175">
      <c r="A1175" s="5"/>
      <c r="B1175" s="6"/>
      <c r="C1175" s="7"/>
      <c r="D1175" s="8"/>
      <c r="E1175" s="9"/>
      <c r="F1175" s="8"/>
      <c r="G1175" s="5"/>
      <c r="H1175" s="5"/>
      <c r="I1175" s="5"/>
    </row>
    <row r="1176">
      <c r="A1176" s="5"/>
      <c r="B1176" s="6"/>
      <c r="C1176" s="7"/>
      <c r="D1176" s="8"/>
      <c r="E1176" s="9"/>
      <c r="F1176" s="8"/>
      <c r="G1176" s="5"/>
      <c r="H1176" s="5"/>
      <c r="I1176" s="5"/>
    </row>
    <row r="1177">
      <c r="A1177" s="5"/>
      <c r="B1177" s="6"/>
      <c r="C1177" s="7"/>
      <c r="D1177" s="8"/>
      <c r="E1177" s="9"/>
      <c r="F1177" s="8"/>
      <c r="G1177" s="5"/>
      <c r="H1177" s="5"/>
      <c r="I1177" s="5"/>
    </row>
    <row r="1178">
      <c r="A1178" s="5"/>
      <c r="B1178" s="6"/>
      <c r="C1178" s="7"/>
      <c r="D1178" s="8"/>
      <c r="E1178" s="9"/>
      <c r="F1178" s="8"/>
      <c r="G1178" s="5"/>
      <c r="H1178" s="5"/>
      <c r="I1178" s="5"/>
    </row>
    <row r="1179">
      <c r="A1179" s="5"/>
      <c r="B1179" s="6"/>
      <c r="C1179" s="7"/>
      <c r="D1179" s="8"/>
      <c r="E1179" s="9"/>
      <c r="F1179" s="8"/>
      <c r="G1179" s="5"/>
      <c r="H1179" s="5"/>
      <c r="I1179" s="5"/>
    </row>
    <row r="1180">
      <c r="A1180" s="5"/>
      <c r="B1180" s="6"/>
      <c r="C1180" s="7"/>
      <c r="D1180" s="8"/>
      <c r="E1180" s="9"/>
      <c r="F1180" s="8"/>
      <c r="G1180" s="5"/>
      <c r="H1180" s="5"/>
      <c r="I1180" s="5"/>
    </row>
    <row r="1181">
      <c r="A1181" s="5"/>
      <c r="B1181" s="6"/>
      <c r="C1181" s="7"/>
      <c r="D1181" s="8"/>
      <c r="E1181" s="9"/>
      <c r="F1181" s="8"/>
      <c r="G1181" s="5"/>
      <c r="H1181" s="5"/>
      <c r="I1181" s="5"/>
    </row>
    <row r="1182">
      <c r="A1182" s="5"/>
      <c r="B1182" s="6"/>
      <c r="C1182" s="7"/>
      <c r="D1182" s="8"/>
      <c r="E1182" s="9"/>
      <c r="F1182" s="8"/>
      <c r="G1182" s="5"/>
      <c r="H1182" s="5"/>
      <c r="I1182" s="5"/>
    </row>
    <row r="1183">
      <c r="A1183" s="5"/>
      <c r="B1183" s="6"/>
      <c r="C1183" s="7"/>
      <c r="D1183" s="8"/>
      <c r="E1183" s="9"/>
      <c r="F1183" s="8"/>
      <c r="G1183" s="5"/>
      <c r="H1183" s="5"/>
      <c r="I1183" s="5"/>
    </row>
    <row r="1184">
      <c r="A1184" s="5"/>
      <c r="B1184" s="6"/>
      <c r="C1184" s="7"/>
      <c r="D1184" s="8"/>
      <c r="E1184" s="9"/>
      <c r="F1184" s="8"/>
      <c r="G1184" s="5"/>
      <c r="H1184" s="5"/>
      <c r="I1184" s="5"/>
    </row>
    <row r="1185">
      <c r="A1185" s="5"/>
      <c r="B1185" s="6"/>
      <c r="C1185" s="7"/>
      <c r="D1185" s="8"/>
      <c r="E1185" s="9"/>
      <c r="F1185" s="8"/>
      <c r="G1185" s="5"/>
      <c r="H1185" s="5"/>
      <c r="I1185" s="5"/>
    </row>
    <row r="1186">
      <c r="A1186" s="5"/>
      <c r="B1186" s="6"/>
      <c r="C1186" s="7"/>
      <c r="D1186" s="8"/>
      <c r="E1186" s="9"/>
      <c r="F1186" s="8"/>
      <c r="G1186" s="5"/>
      <c r="H1186" s="5"/>
      <c r="I1186" s="5"/>
    </row>
    <row r="1187">
      <c r="A1187" s="5"/>
      <c r="B1187" s="6"/>
      <c r="C1187" s="7"/>
      <c r="D1187" s="8"/>
      <c r="E1187" s="9"/>
      <c r="F1187" s="8"/>
      <c r="G1187" s="5"/>
      <c r="H1187" s="5"/>
      <c r="I1187" s="5"/>
    </row>
    <row r="1188">
      <c r="A1188" s="5"/>
      <c r="B1188" s="6"/>
      <c r="C1188" s="7"/>
      <c r="D1188" s="8"/>
      <c r="E1188" s="9"/>
      <c r="F1188" s="8"/>
      <c r="G1188" s="5"/>
      <c r="H1188" s="5"/>
      <c r="I1188" s="5"/>
    </row>
    <row r="1189">
      <c r="A1189" s="5"/>
      <c r="B1189" s="6"/>
      <c r="C1189" s="7"/>
      <c r="D1189" s="8"/>
      <c r="E1189" s="9"/>
      <c r="F1189" s="8"/>
      <c r="G1189" s="5"/>
      <c r="H1189" s="5"/>
      <c r="I1189" s="5"/>
    </row>
    <row r="1190">
      <c r="A1190" s="5"/>
      <c r="B1190" s="6"/>
      <c r="C1190" s="7"/>
      <c r="D1190" s="8"/>
      <c r="E1190" s="9"/>
      <c r="F1190" s="8"/>
      <c r="G1190" s="5"/>
      <c r="H1190" s="5"/>
      <c r="I1190" s="5"/>
    </row>
    <row r="1191">
      <c r="A1191" s="5"/>
      <c r="B1191" s="6"/>
      <c r="C1191" s="7"/>
      <c r="D1191" s="8"/>
      <c r="E1191" s="9"/>
      <c r="F1191" s="8"/>
      <c r="G1191" s="5"/>
      <c r="H1191" s="5"/>
      <c r="I1191" s="5"/>
    </row>
    <row r="1192">
      <c r="A1192" s="5"/>
      <c r="B1192" s="6"/>
      <c r="C1192" s="7"/>
      <c r="D1192" s="8"/>
      <c r="E1192" s="9"/>
      <c r="F1192" s="8"/>
      <c r="G1192" s="5"/>
      <c r="H1192" s="5"/>
      <c r="I1192" s="5"/>
    </row>
    <row r="1193">
      <c r="A1193" s="5"/>
      <c r="B1193" s="6"/>
      <c r="C1193" s="7"/>
      <c r="D1193" s="8"/>
      <c r="E1193" s="9"/>
      <c r="F1193" s="8"/>
      <c r="G1193" s="5"/>
      <c r="H1193" s="5"/>
      <c r="I1193" s="5"/>
    </row>
    <row r="1194">
      <c r="A1194" s="5"/>
      <c r="B1194" s="6"/>
      <c r="C1194" s="7"/>
      <c r="D1194" s="8"/>
      <c r="E1194" s="9"/>
      <c r="F1194" s="8"/>
      <c r="G1194" s="5"/>
      <c r="H1194" s="5"/>
      <c r="I1194" s="5"/>
    </row>
    <row r="1195">
      <c r="A1195" s="5"/>
      <c r="B1195" s="6"/>
      <c r="C1195" s="7"/>
      <c r="D1195" s="8"/>
      <c r="E1195" s="9"/>
      <c r="F1195" s="8"/>
      <c r="G1195" s="5"/>
      <c r="H1195" s="5"/>
      <c r="I1195" s="5"/>
    </row>
    <row r="1196">
      <c r="A1196" s="5"/>
      <c r="B1196" s="6"/>
      <c r="C1196" s="7"/>
      <c r="D1196" s="8"/>
      <c r="E1196" s="9"/>
      <c r="F1196" s="8"/>
      <c r="G1196" s="5"/>
      <c r="H1196" s="5"/>
      <c r="I1196" s="5"/>
    </row>
    <row r="1197">
      <c r="A1197" s="5"/>
      <c r="B1197" s="6"/>
      <c r="C1197" s="7"/>
      <c r="D1197" s="8"/>
      <c r="E1197" s="9"/>
      <c r="F1197" s="8"/>
      <c r="G1197" s="5"/>
      <c r="H1197" s="5"/>
      <c r="I1197" s="5"/>
    </row>
    <row r="1198">
      <c r="A1198" s="5"/>
      <c r="B1198" s="6"/>
      <c r="C1198" s="7"/>
      <c r="D1198" s="8"/>
      <c r="E1198" s="9"/>
      <c r="F1198" s="8"/>
      <c r="G1198" s="5"/>
      <c r="H1198" s="5"/>
      <c r="I1198" s="5"/>
    </row>
    <row r="1199">
      <c r="A1199" s="5"/>
      <c r="B1199" s="6"/>
      <c r="C1199" s="7"/>
      <c r="D1199" s="8"/>
      <c r="E1199" s="9"/>
      <c r="F1199" s="8"/>
      <c r="G1199" s="5"/>
      <c r="H1199" s="5"/>
      <c r="I1199" s="5"/>
    </row>
    <row r="1200">
      <c r="A1200" s="5"/>
      <c r="B1200" s="6"/>
      <c r="C1200" s="7"/>
      <c r="D1200" s="8"/>
      <c r="E1200" s="9"/>
      <c r="F1200" s="8"/>
      <c r="G1200" s="5"/>
      <c r="H1200" s="5"/>
      <c r="I1200" s="5"/>
    </row>
    <row r="1201">
      <c r="A1201" s="5"/>
      <c r="B1201" s="6"/>
      <c r="C1201" s="7"/>
      <c r="D1201" s="8"/>
      <c r="E1201" s="9"/>
      <c r="F1201" s="8"/>
      <c r="G1201" s="5"/>
      <c r="H1201" s="5"/>
      <c r="I1201" s="5"/>
    </row>
    <row r="1202">
      <c r="A1202" s="5"/>
      <c r="B1202" s="6"/>
      <c r="C1202" s="7"/>
      <c r="D1202" s="8"/>
      <c r="E1202" s="9"/>
      <c r="F1202" s="8"/>
      <c r="G1202" s="5"/>
      <c r="H1202" s="5"/>
      <c r="I1202" s="5"/>
    </row>
    <row r="1203">
      <c r="A1203" s="5"/>
      <c r="B1203" s="6"/>
      <c r="C1203" s="7"/>
      <c r="D1203" s="8"/>
      <c r="E1203" s="9"/>
      <c r="F1203" s="8"/>
      <c r="G1203" s="5"/>
      <c r="H1203" s="5"/>
      <c r="I1203" s="5"/>
    </row>
    <row r="1204">
      <c r="A1204" s="5"/>
      <c r="B1204" s="6"/>
      <c r="C1204" s="7"/>
      <c r="D1204" s="8"/>
      <c r="E1204" s="9"/>
      <c r="F1204" s="8"/>
      <c r="G1204" s="5"/>
      <c r="H1204" s="5"/>
      <c r="I1204" s="5"/>
    </row>
    <row r="1205">
      <c r="A1205" s="5"/>
      <c r="B1205" s="6"/>
      <c r="C1205" s="7"/>
      <c r="D1205" s="8"/>
      <c r="E1205" s="9"/>
      <c r="F1205" s="8"/>
      <c r="G1205" s="5"/>
      <c r="H1205" s="5"/>
      <c r="I1205" s="5"/>
    </row>
    <row r="1206">
      <c r="A1206" s="5"/>
      <c r="B1206" s="6"/>
      <c r="C1206" s="7"/>
      <c r="D1206" s="8"/>
      <c r="E1206" s="9"/>
      <c r="F1206" s="8"/>
      <c r="G1206" s="5"/>
      <c r="H1206" s="5"/>
      <c r="I1206" s="5"/>
    </row>
    <row r="1207">
      <c r="A1207" s="5"/>
      <c r="B1207" s="6"/>
      <c r="C1207" s="7"/>
      <c r="D1207" s="8"/>
      <c r="E1207" s="9"/>
      <c r="F1207" s="8"/>
      <c r="G1207" s="5"/>
      <c r="H1207" s="5"/>
      <c r="I1207" s="5"/>
    </row>
    <row r="1208">
      <c r="A1208" s="5"/>
      <c r="B1208" s="6"/>
      <c r="C1208" s="7"/>
      <c r="D1208" s="8"/>
      <c r="E1208" s="9"/>
      <c r="F1208" s="8"/>
      <c r="G1208" s="5"/>
      <c r="H1208" s="5"/>
      <c r="I1208" s="5"/>
    </row>
    <row r="1209">
      <c r="A1209" s="5"/>
      <c r="B1209" s="6"/>
      <c r="C1209" s="7"/>
      <c r="D1209" s="8"/>
      <c r="E1209" s="9"/>
      <c r="F1209" s="8"/>
      <c r="G1209" s="5"/>
      <c r="H1209" s="5"/>
      <c r="I1209" s="5"/>
    </row>
    <row r="1210">
      <c r="A1210" s="5"/>
      <c r="B1210" s="6"/>
      <c r="C1210" s="7"/>
      <c r="D1210" s="8"/>
      <c r="E1210" s="9"/>
      <c r="F1210" s="8"/>
      <c r="G1210" s="5"/>
      <c r="H1210" s="5"/>
      <c r="I1210" s="5"/>
    </row>
    <row r="1211">
      <c r="A1211" s="5"/>
      <c r="B1211" s="6"/>
      <c r="C1211" s="7"/>
      <c r="D1211" s="8"/>
      <c r="E1211" s="9"/>
      <c r="F1211" s="8"/>
      <c r="G1211" s="5"/>
      <c r="H1211" s="5"/>
      <c r="I1211" s="5"/>
    </row>
    <row r="1212">
      <c r="A1212" s="5"/>
      <c r="B1212" s="6"/>
      <c r="C1212" s="7"/>
      <c r="D1212" s="8"/>
      <c r="E1212" s="9"/>
      <c r="F1212" s="8"/>
      <c r="G1212" s="5"/>
      <c r="H1212" s="5"/>
      <c r="I1212" s="5"/>
    </row>
    <row r="1213">
      <c r="A1213" s="5"/>
      <c r="B1213" s="6"/>
      <c r="C1213" s="7"/>
      <c r="D1213" s="8"/>
      <c r="E1213" s="9"/>
      <c r="F1213" s="8"/>
      <c r="G1213" s="5"/>
      <c r="H1213" s="5"/>
      <c r="I1213" s="5"/>
    </row>
    <row r="1214">
      <c r="A1214" s="5"/>
      <c r="B1214" s="6"/>
      <c r="C1214" s="7"/>
      <c r="D1214" s="8"/>
      <c r="E1214" s="9"/>
      <c r="F1214" s="8"/>
      <c r="G1214" s="5"/>
      <c r="H1214" s="5"/>
      <c r="I1214" s="5"/>
    </row>
    <row r="1215">
      <c r="A1215" s="5"/>
      <c r="B1215" s="6"/>
      <c r="C1215" s="7"/>
      <c r="D1215" s="8"/>
      <c r="E1215" s="9"/>
      <c r="F1215" s="8"/>
      <c r="G1215" s="5"/>
      <c r="H1215" s="5"/>
      <c r="I1215" s="5"/>
    </row>
    <row r="1216">
      <c r="A1216" s="5"/>
      <c r="B1216" s="6"/>
      <c r="C1216" s="7"/>
      <c r="D1216" s="8"/>
      <c r="E1216" s="9"/>
      <c r="F1216" s="8"/>
      <c r="G1216" s="5"/>
      <c r="H1216" s="5"/>
      <c r="I1216" s="5"/>
    </row>
    <row r="1217">
      <c r="A1217" s="5"/>
      <c r="B1217" s="6"/>
      <c r="C1217" s="7"/>
      <c r="D1217" s="8"/>
      <c r="E1217" s="9"/>
      <c r="F1217" s="8"/>
      <c r="G1217" s="5"/>
      <c r="H1217" s="5"/>
      <c r="I1217" s="5"/>
    </row>
    <row r="1218">
      <c r="A1218" s="5"/>
      <c r="B1218" s="6"/>
      <c r="C1218" s="7"/>
      <c r="D1218" s="8"/>
      <c r="E1218" s="9"/>
      <c r="F1218" s="8"/>
      <c r="G1218" s="5"/>
      <c r="H1218" s="5"/>
      <c r="I1218" s="5"/>
    </row>
    <row r="1219">
      <c r="A1219" s="5"/>
      <c r="B1219" s="6"/>
      <c r="C1219" s="7"/>
      <c r="D1219" s="8"/>
      <c r="E1219" s="9"/>
      <c r="F1219" s="8"/>
      <c r="G1219" s="5"/>
      <c r="H1219" s="5"/>
      <c r="I1219" s="5"/>
    </row>
    <row r="1220">
      <c r="A1220" s="5"/>
      <c r="B1220" s="6"/>
      <c r="C1220" s="7"/>
      <c r="D1220" s="8"/>
      <c r="E1220" s="9"/>
      <c r="F1220" s="8"/>
      <c r="G1220" s="5"/>
      <c r="H1220" s="5"/>
      <c r="I1220" s="5"/>
    </row>
    <row r="1221">
      <c r="A1221" s="5"/>
      <c r="B1221" s="6"/>
      <c r="C1221" s="7"/>
      <c r="D1221" s="8"/>
      <c r="E1221" s="9"/>
      <c r="F1221" s="8"/>
      <c r="G1221" s="5"/>
      <c r="H1221" s="5"/>
      <c r="I1221" s="5"/>
    </row>
    <row r="1222">
      <c r="A1222" s="5"/>
      <c r="B1222" s="6"/>
      <c r="C1222" s="7"/>
      <c r="D1222" s="8"/>
      <c r="E1222" s="9"/>
      <c r="F1222" s="8"/>
      <c r="G1222" s="5"/>
      <c r="H1222" s="5"/>
      <c r="I1222" s="5"/>
    </row>
    <row r="1223">
      <c r="A1223" s="5"/>
      <c r="B1223" s="6"/>
      <c r="C1223" s="7"/>
      <c r="D1223" s="8"/>
      <c r="E1223" s="9"/>
      <c r="F1223" s="8"/>
      <c r="G1223" s="5"/>
      <c r="H1223" s="5"/>
      <c r="I1223" s="5"/>
    </row>
    <row r="1224">
      <c r="A1224" s="5"/>
      <c r="B1224" s="6"/>
      <c r="C1224" s="7"/>
      <c r="D1224" s="8"/>
      <c r="E1224" s="9"/>
      <c r="F1224" s="8"/>
      <c r="G1224" s="5"/>
      <c r="H1224" s="5"/>
      <c r="I1224" s="5"/>
    </row>
    <row r="1225">
      <c r="A1225" s="5"/>
      <c r="B1225" s="6"/>
      <c r="C1225" s="7"/>
      <c r="D1225" s="8"/>
      <c r="E1225" s="9"/>
      <c r="F1225" s="8"/>
      <c r="G1225" s="5"/>
      <c r="H1225" s="5"/>
      <c r="I1225" s="5"/>
    </row>
    <row r="1226">
      <c r="A1226" s="5"/>
      <c r="B1226" s="6"/>
      <c r="C1226" s="7"/>
      <c r="D1226" s="8"/>
      <c r="E1226" s="9"/>
      <c r="F1226" s="8"/>
      <c r="G1226" s="5"/>
      <c r="H1226" s="5"/>
      <c r="I1226" s="5"/>
    </row>
    <row r="1227">
      <c r="A1227" s="5"/>
      <c r="B1227" s="6"/>
      <c r="C1227" s="7"/>
      <c r="D1227" s="8"/>
      <c r="E1227" s="9"/>
      <c r="F1227" s="8"/>
      <c r="G1227" s="5"/>
      <c r="H1227" s="5"/>
      <c r="I1227" s="5"/>
    </row>
    <row r="1228">
      <c r="A1228" s="5"/>
      <c r="B1228" s="6"/>
      <c r="C1228" s="7"/>
      <c r="D1228" s="8"/>
      <c r="E1228" s="9"/>
      <c r="F1228" s="8"/>
      <c r="G1228" s="5"/>
      <c r="H1228" s="5"/>
      <c r="I1228" s="5"/>
    </row>
    <row r="1229">
      <c r="A1229" s="5"/>
      <c r="B1229" s="6"/>
      <c r="C1229" s="7"/>
      <c r="D1229" s="8"/>
      <c r="E1229" s="9"/>
      <c r="F1229" s="8"/>
      <c r="G1229" s="5"/>
      <c r="H1229" s="5"/>
      <c r="I1229" s="5"/>
    </row>
    <row r="1230">
      <c r="A1230" s="5"/>
      <c r="B1230" s="6"/>
      <c r="C1230" s="7"/>
      <c r="D1230" s="8"/>
      <c r="E1230" s="9"/>
      <c r="F1230" s="8"/>
      <c r="G1230" s="5"/>
      <c r="H1230" s="5"/>
      <c r="I1230" s="5"/>
    </row>
    <row r="1231">
      <c r="A1231" s="5"/>
      <c r="B1231" s="6"/>
      <c r="C1231" s="7"/>
      <c r="D1231" s="8"/>
      <c r="E1231" s="9"/>
      <c r="F1231" s="8"/>
      <c r="G1231" s="5"/>
      <c r="H1231" s="5"/>
      <c r="I1231" s="5"/>
    </row>
    <row r="1232">
      <c r="A1232" s="5"/>
      <c r="B1232" s="6"/>
      <c r="C1232" s="7"/>
      <c r="D1232" s="8"/>
      <c r="E1232" s="9"/>
      <c r="F1232" s="8"/>
      <c r="G1232" s="5"/>
      <c r="H1232" s="5"/>
      <c r="I1232" s="5"/>
    </row>
    <row r="1233">
      <c r="A1233" s="5"/>
      <c r="B1233" s="6"/>
      <c r="C1233" s="7"/>
      <c r="D1233" s="8"/>
      <c r="E1233" s="9"/>
      <c r="F1233" s="8"/>
      <c r="G1233" s="5"/>
      <c r="H1233" s="5"/>
      <c r="I1233" s="5"/>
    </row>
    <row r="1234">
      <c r="A1234" s="5"/>
      <c r="B1234" s="6"/>
      <c r="C1234" s="7"/>
      <c r="D1234" s="8"/>
      <c r="E1234" s="9"/>
      <c r="F1234" s="8"/>
      <c r="G1234" s="5"/>
      <c r="H1234" s="5"/>
      <c r="I1234" s="5"/>
    </row>
    <row r="1235">
      <c r="A1235" s="5"/>
      <c r="B1235" s="6"/>
      <c r="C1235" s="7"/>
      <c r="D1235" s="8"/>
      <c r="E1235" s="9"/>
      <c r="F1235" s="8"/>
      <c r="G1235" s="5"/>
      <c r="H1235" s="5"/>
      <c r="I1235" s="5"/>
    </row>
    <row r="1236">
      <c r="A1236" s="5"/>
      <c r="B1236" s="6"/>
      <c r="C1236" s="7"/>
      <c r="D1236" s="8"/>
      <c r="E1236" s="9"/>
      <c r="F1236" s="8"/>
      <c r="G1236" s="5"/>
      <c r="H1236" s="5"/>
      <c r="I1236" s="5"/>
    </row>
    <row r="1237">
      <c r="A1237" s="5"/>
      <c r="B1237" s="6"/>
      <c r="C1237" s="7"/>
      <c r="D1237" s="8"/>
      <c r="E1237" s="9"/>
      <c r="F1237" s="8"/>
      <c r="G1237" s="5"/>
      <c r="H1237" s="5"/>
      <c r="I1237" s="5"/>
    </row>
    <row r="1238">
      <c r="A1238" s="5"/>
      <c r="B1238" s="6"/>
      <c r="C1238" s="7"/>
      <c r="D1238" s="8"/>
      <c r="E1238" s="9"/>
      <c r="F1238" s="8"/>
      <c r="G1238" s="5"/>
      <c r="H1238" s="5"/>
      <c r="I1238" s="5"/>
    </row>
    <row r="1239">
      <c r="A1239" s="5"/>
      <c r="B1239" s="6"/>
      <c r="C1239" s="7"/>
      <c r="D1239" s="8"/>
      <c r="E1239" s="9"/>
      <c r="F1239" s="8"/>
      <c r="G1239" s="5"/>
      <c r="H1239" s="5"/>
      <c r="I1239" s="5"/>
    </row>
    <row r="1240">
      <c r="A1240" s="5"/>
      <c r="B1240" s="6"/>
      <c r="C1240" s="7"/>
      <c r="D1240" s="8"/>
      <c r="E1240" s="9"/>
      <c r="F1240" s="8"/>
      <c r="G1240" s="5"/>
      <c r="H1240" s="5"/>
      <c r="I1240" s="5"/>
    </row>
    <row r="1241">
      <c r="A1241" s="5"/>
      <c r="B1241" s="6"/>
      <c r="C1241" s="7"/>
      <c r="D1241" s="8"/>
      <c r="E1241" s="9"/>
      <c r="F1241" s="8"/>
      <c r="G1241" s="5"/>
      <c r="H1241" s="5"/>
      <c r="I1241" s="5"/>
    </row>
    <row r="1242">
      <c r="A1242" s="5"/>
      <c r="B1242" s="6"/>
      <c r="C1242" s="7"/>
      <c r="D1242" s="8"/>
      <c r="E1242" s="9"/>
      <c r="F1242" s="8"/>
      <c r="G1242" s="5"/>
      <c r="H1242" s="5"/>
      <c r="I1242" s="5"/>
    </row>
    <row r="1243">
      <c r="A1243" s="5"/>
      <c r="B1243" s="6"/>
      <c r="C1243" s="7"/>
      <c r="D1243" s="8"/>
      <c r="E1243" s="9"/>
      <c r="F1243" s="8"/>
      <c r="G1243" s="5"/>
      <c r="H1243" s="5"/>
      <c r="I1243" s="5"/>
    </row>
    <row r="1244">
      <c r="A1244" s="5"/>
      <c r="B1244" s="6"/>
      <c r="C1244" s="7"/>
      <c r="D1244" s="8"/>
      <c r="E1244" s="9"/>
      <c r="F1244" s="8"/>
      <c r="G1244" s="5"/>
      <c r="H1244" s="5"/>
      <c r="I1244" s="5"/>
    </row>
    <row r="1245">
      <c r="A1245" s="5"/>
      <c r="B1245" s="6"/>
      <c r="C1245" s="7"/>
      <c r="D1245" s="8"/>
      <c r="E1245" s="9"/>
      <c r="F1245" s="8"/>
      <c r="G1245" s="5"/>
      <c r="H1245" s="5"/>
      <c r="I1245" s="5"/>
    </row>
    <row r="1246">
      <c r="A1246" s="5"/>
      <c r="B1246" s="6"/>
      <c r="C1246" s="7"/>
      <c r="D1246" s="8"/>
      <c r="E1246" s="9"/>
      <c r="F1246" s="8"/>
      <c r="G1246" s="5"/>
      <c r="H1246" s="5"/>
      <c r="I1246" s="5"/>
    </row>
    <row r="1247">
      <c r="A1247" s="5"/>
      <c r="B1247" s="6"/>
      <c r="C1247" s="7"/>
      <c r="D1247" s="8"/>
      <c r="E1247" s="9"/>
      <c r="F1247" s="8"/>
      <c r="G1247" s="5"/>
      <c r="H1247" s="5"/>
      <c r="I1247" s="5"/>
    </row>
    <row r="1248">
      <c r="A1248" s="5"/>
      <c r="B1248" s="6"/>
      <c r="C1248" s="7"/>
      <c r="D1248" s="8"/>
      <c r="E1248" s="9"/>
      <c r="F1248" s="8"/>
      <c r="G1248" s="5"/>
      <c r="H1248" s="5"/>
      <c r="I1248" s="5"/>
    </row>
    <row r="1249">
      <c r="A1249" s="5"/>
      <c r="B1249" s="6"/>
      <c r="C1249" s="7"/>
      <c r="D1249" s="8"/>
      <c r="E1249" s="9"/>
      <c r="F1249" s="8"/>
      <c r="G1249" s="5"/>
      <c r="H1249" s="5"/>
      <c r="I1249" s="5"/>
    </row>
    <row r="1250">
      <c r="A1250" s="5"/>
      <c r="B1250" s="6"/>
      <c r="C1250" s="7"/>
      <c r="D1250" s="8"/>
      <c r="E1250" s="9"/>
      <c r="F1250" s="8"/>
      <c r="G1250" s="5"/>
      <c r="H1250" s="5"/>
      <c r="I1250" s="5"/>
    </row>
    <row r="1251">
      <c r="A1251" s="5"/>
      <c r="B1251" s="6"/>
      <c r="C1251" s="7"/>
      <c r="D1251" s="8"/>
      <c r="E1251" s="9"/>
      <c r="F1251" s="8"/>
      <c r="G1251" s="5"/>
      <c r="H1251" s="5"/>
      <c r="I1251" s="5"/>
    </row>
    <row r="1252">
      <c r="A1252" s="5"/>
      <c r="B1252" s="6"/>
      <c r="C1252" s="7"/>
      <c r="D1252" s="8"/>
      <c r="E1252" s="9"/>
      <c r="F1252" s="8"/>
      <c r="G1252" s="5"/>
      <c r="H1252" s="5"/>
      <c r="I1252" s="5"/>
    </row>
    <row r="1253">
      <c r="A1253" s="5"/>
      <c r="B1253" s="6"/>
      <c r="C1253" s="7"/>
      <c r="D1253" s="8"/>
      <c r="E1253" s="9"/>
      <c r="F1253" s="8"/>
      <c r="G1253" s="5"/>
      <c r="H1253" s="5"/>
      <c r="I1253" s="5"/>
    </row>
    <row r="1254">
      <c r="A1254" s="5"/>
      <c r="B1254" s="6"/>
      <c r="C1254" s="7"/>
      <c r="D1254" s="8"/>
      <c r="E1254" s="9"/>
      <c r="F1254" s="8"/>
      <c r="G1254" s="5"/>
      <c r="H1254" s="5"/>
      <c r="I1254" s="5"/>
    </row>
    <row r="1255">
      <c r="A1255" s="5"/>
      <c r="B1255" s="6"/>
      <c r="C1255" s="7"/>
      <c r="D1255" s="8"/>
      <c r="E1255" s="9"/>
      <c r="F1255" s="8"/>
      <c r="G1255" s="5"/>
      <c r="H1255" s="5"/>
      <c r="I1255" s="5"/>
    </row>
    <row r="1256">
      <c r="A1256" s="5"/>
      <c r="B1256" s="6"/>
      <c r="C1256" s="7"/>
      <c r="D1256" s="8"/>
      <c r="E1256" s="9"/>
      <c r="F1256" s="8"/>
      <c r="G1256" s="5"/>
      <c r="H1256" s="5"/>
      <c r="I1256" s="5"/>
    </row>
    <row r="1257">
      <c r="A1257" s="5"/>
      <c r="B1257" s="6"/>
      <c r="C1257" s="7"/>
      <c r="D1257" s="8"/>
      <c r="E1257" s="9"/>
      <c r="F1257" s="8"/>
      <c r="G1257" s="5"/>
      <c r="H1257" s="5"/>
      <c r="I1257" s="5"/>
    </row>
    <row r="1258">
      <c r="A1258" s="5"/>
      <c r="B1258" s="6"/>
      <c r="C1258" s="7"/>
      <c r="D1258" s="8"/>
      <c r="E1258" s="9"/>
      <c r="F1258" s="8"/>
      <c r="G1258" s="5"/>
      <c r="H1258" s="5"/>
      <c r="I1258" s="5"/>
    </row>
    <row r="1259">
      <c r="A1259" s="5"/>
      <c r="B1259" s="6"/>
      <c r="C1259" s="7"/>
      <c r="D1259" s="8"/>
      <c r="E1259" s="9"/>
      <c r="F1259" s="8"/>
      <c r="G1259" s="5"/>
      <c r="H1259" s="5"/>
      <c r="I1259" s="5"/>
    </row>
    <row r="1260">
      <c r="A1260" s="5"/>
      <c r="B1260" s="6"/>
      <c r="C1260" s="7"/>
      <c r="D1260" s="8"/>
      <c r="E1260" s="9"/>
      <c r="F1260" s="8"/>
      <c r="G1260" s="5"/>
      <c r="H1260" s="5"/>
      <c r="I1260" s="5"/>
    </row>
    <row r="1261">
      <c r="A1261" s="5"/>
      <c r="B1261" s="6"/>
      <c r="C1261" s="7"/>
      <c r="D1261" s="8"/>
      <c r="E1261" s="9"/>
      <c r="F1261" s="8"/>
      <c r="G1261" s="5"/>
      <c r="H1261" s="5"/>
      <c r="I1261" s="5"/>
    </row>
    <row r="1262">
      <c r="A1262" s="5"/>
      <c r="B1262" s="6"/>
      <c r="C1262" s="7"/>
      <c r="D1262" s="8"/>
      <c r="E1262" s="9"/>
      <c r="F1262" s="8"/>
      <c r="G1262" s="5"/>
      <c r="H1262" s="5"/>
      <c r="I1262" s="5"/>
    </row>
    <row r="1263">
      <c r="A1263" s="5"/>
      <c r="B1263" s="6"/>
      <c r="C1263" s="7"/>
      <c r="D1263" s="8"/>
      <c r="E1263" s="9"/>
      <c r="F1263" s="8"/>
      <c r="G1263" s="5"/>
      <c r="H1263" s="5"/>
      <c r="I1263" s="5"/>
    </row>
    <row r="1264">
      <c r="A1264" s="5"/>
      <c r="B1264" s="6"/>
      <c r="C1264" s="7"/>
      <c r="D1264" s="8"/>
      <c r="E1264" s="9"/>
      <c r="F1264" s="8"/>
      <c r="G1264" s="5"/>
      <c r="H1264" s="5"/>
      <c r="I1264" s="5"/>
    </row>
    <row r="1265">
      <c r="A1265" s="5"/>
      <c r="B1265" s="6"/>
      <c r="C1265" s="7"/>
      <c r="D1265" s="8"/>
      <c r="E1265" s="9"/>
      <c r="F1265" s="8"/>
      <c r="G1265" s="5"/>
      <c r="H1265" s="5"/>
      <c r="I1265" s="5"/>
    </row>
    <row r="1266">
      <c r="A1266" s="5"/>
      <c r="B1266" s="6"/>
      <c r="C1266" s="7"/>
      <c r="D1266" s="8"/>
      <c r="E1266" s="9"/>
      <c r="F1266" s="8"/>
      <c r="G1266" s="5"/>
      <c r="H1266" s="5"/>
      <c r="I1266" s="5"/>
    </row>
    <row r="1267">
      <c r="A1267" s="5"/>
      <c r="B1267" s="6"/>
      <c r="C1267" s="7"/>
      <c r="D1267" s="8"/>
      <c r="E1267" s="9"/>
      <c r="F1267" s="8"/>
      <c r="G1267" s="5"/>
      <c r="H1267" s="5"/>
      <c r="I1267" s="5"/>
    </row>
    <row r="1268">
      <c r="A1268" s="5"/>
      <c r="B1268" s="6"/>
      <c r="C1268" s="7"/>
      <c r="D1268" s="8"/>
      <c r="E1268" s="9"/>
      <c r="F1268" s="8"/>
      <c r="G1268" s="5"/>
      <c r="H1268" s="5"/>
      <c r="I1268" s="5"/>
    </row>
    <row r="1269">
      <c r="A1269" s="5"/>
      <c r="B1269" s="6"/>
      <c r="C1269" s="7"/>
      <c r="D1269" s="8"/>
      <c r="E1269" s="9"/>
      <c r="F1269" s="8"/>
      <c r="G1269" s="5"/>
      <c r="H1269" s="5"/>
      <c r="I1269" s="5"/>
    </row>
    <row r="1270">
      <c r="A1270" s="5"/>
      <c r="B1270" s="6"/>
      <c r="C1270" s="7"/>
      <c r="D1270" s="8"/>
      <c r="E1270" s="9"/>
      <c r="F1270" s="8"/>
      <c r="G1270" s="5"/>
      <c r="H1270" s="5"/>
      <c r="I1270" s="5"/>
    </row>
    <row r="1271">
      <c r="A1271" s="5"/>
      <c r="B1271" s="6"/>
      <c r="C1271" s="7"/>
      <c r="D1271" s="8"/>
      <c r="E1271" s="9"/>
      <c r="F1271" s="8"/>
      <c r="G1271" s="5"/>
      <c r="H1271" s="5"/>
      <c r="I1271" s="5"/>
    </row>
    <row r="1272">
      <c r="A1272" s="5"/>
      <c r="B1272" s="6"/>
      <c r="C1272" s="7"/>
      <c r="D1272" s="8"/>
      <c r="E1272" s="9"/>
      <c r="F1272" s="8"/>
      <c r="G1272" s="5"/>
      <c r="H1272" s="5"/>
      <c r="I1272" s="5"/>
    </row>
    <row r="1273">
      <c r="A1273" s="5"/>
      <c r="B1273" s="6"/>
      <c r="C1273" s="7"/>
      <c r="D1273" s="8"/>
      <c r="E1273" s="9"/>
      <c r="F1273" s="8"/>
      <c r="G1273" s="5"/>
      <c r="H1273" s="5"/>
      <c r="I1273" s="5"/>
    </row>
    <row r="1274">
      <c r="A1274" s="5"/>
      <c r="B1274" s="6"/>
      <c r="C1274" s="7"/>
      <c r="D1274" s="8"/>
      <c r="E1274" s="9"/>
      <c r="F1274" s="8"/>
      <c r="G1274" s="5"/>
      <c r="H1274" s="5"/>
      <c r="I1274" s="5"/>
    </row>
    <row r="1275">
      <c r="A1275" s="5"/>
      <c r="B1275" s="6"/>
      <c r="C1275" s="7"/>
      <c r="D1275" s="8"/>
      <c r="E1275" s="9"/>
      <c r="F1275" s="8"/>
      <c r="G1275" s="5"/>
      <c r="H1275" s="5"/>
      <c r="I1275" s="5"/>
    </row>
    <row r="1276">
      <c r="A1276" s="5"/>
      <c r="B1276" s="6"/>
      <c r="C1276" s="7"/>
      <c r="D1276" s="8"/>
      <c r="E1276" s="9"/>
      <c r="F1276" s="8"/>
      <c r="G1276" s="5"/>
      <c r="H1276" s="5"/>
      <c r="I1276" s="5"/>
    </row>
    <row r="1277">
      <c r="A1277" s="5"/>
      <c r="B1277" s="6"/>
      <c r="C1277" s="7"/>
      <c r="D1277" s="8"/>
      <c r="E1277" s="9"/>
      <c r="F1277" s="8"/>
      <c r="G1277" s="5"/>
      <c r="H1277" s="5"/>
      <c r="I1277" s="5"/>
    </row>
    <row r="1278">
      <c r="A1278" s="5"/>
      <c r="B1278" s="6"/>
      <c r="C1278" s="7"/>
      <c r="D1278" s="8"/>
      <c r="E1278" s="9"/>
      <c r="F1278" s="8"/>
      <c r="G1278" s="5"/>
      <c r="H1278" s="5"/>
      <c r="I1278" s="5"/>
    </row>
    <row r="1279">
      <c r="A1279" s="5"/>
      <c r="B1279" s="6"/>
      <c r="C1279" s="7"/>
      <c r="D1279" s="8"/>
      <c r="E1279" s="9"/>
      <c r="F1279" s="8"/>
      <c r="G1279" s="5"/>
      <c r="H1279" s="5"/>
      <c r="I1279" s="5"/>
    </row>
    <row r="1280">
      <c r="A1280" s="5"/>
      <c r="B1280" s="6"/>
      <c r="C1280" s="7"/>
      <c r="D1280" s="8"/>
      <c r="E1280" s="9"/>
      <c r="F1280" s="8"/>
      <c r="G1280" s="5"/>
      <c r="H1280" s="5"/>
      <c r="I1280" s="5"/>
    </row>
    <row r="1281">
      <c r="A1281" s="5"/>
      <c r="B1281" s="6"/>
      <c r="C1281" s="7"/>
      <c r="D1281" s="8"/>
      <c r="E1281" s="9"/>
      <c r="F1281" s="8"/>
      <c r="G1281" s="5"/>
      <c r="H1281" s="5"/>
      <c r="I1281" s="5"/>
    </row>
    <row r="1282">
      <c r="A1282" s="5"/>
      <c r="B1282" s="6"/>
      <c r="C1282" s="7"/>
      <c r="D1282" s="8"/>
      <c r="E1282" s="9"/>
      <c r="F1282" s="8"/>
      <c r="G1282" s="5"/>
      <c r="H1282" s="5"/>
      <c r="I1282" s="5"/>
    </row>
    <row r="1283">
      <c r="A1283" s="5"/>
      <c r="B1283" s="6"/>
      <c r="C1283" s="7"/>
      <c r="D1283" s="8"/>
      <c r="E1283" s="9"/>
      <c r="F1283" s="8"/>
      <c r="G1283" s="5"/>
      <c r="H1283" s="5"/>
      <c r="I1283" s="5"/>
    </row>
    <row r="1284">
      <c r="A1284" s="5"/>
      <c r="B1284" s="6"/>
      <c r="C1284" s="7"/>
      <c r="D1284" s="8"/>
      <c r="E1284" s="9"/>
      <c r="F1284" s="8"/>
      <c r="G1284" s="5"/>
      <c r="H1284" s="5"/>
      <c r="I1284" s="5"/>
    </row>
    <row r="1285">
      <c r="A1285" s="5"/>
      <c r="B1285" s="6"/>
      <c r="C1285" s="7"/>
      <c r="D1285" s="8"/>
      <c r="E1285" s="9"/>
      <c r="F1285" s="8"/>
      <c r="G1285" s="5"/>
      <c r="H1285" s="5"/>
      <c r="I1285" s="5"/>
    </row>
    <row r="1286">
      <c r="A1286" s="5"/>
      <c r="B1286" s="6"/>
      <c r="C1286" s="7"/>
      <c r="D1286" s="8"/>
      <c r="E1286" s="9"/>
      <c r="F1286" s="8"/>
      <c r="G1286" s="5"/>
      <c r="H1286" s="5"/>
      <c r="I1286" s="5"/>
    </row>
    <row r="1287">
      <c r="A1287" s="5"/>
      <c r="B1287" s="6"/>
      <c r="C1287" s="7"/>
      <c r="D1287" s="8"/>
      <c r="E1287" s="9"/>
      <c r="F1287" s="8"/>
      <c r="G1287" s="5"/>
      <c r="H1287" s="5"/>
      <c r="I1287" s="5"/>
    </row>
    <row r="1288">
      <c r="A1288" s="5"/>
      <c r="B1288" s="6"/>
      <c r="C1288" s="7"/>
      <c r="D1288" s="8"/>
      <c r="E1288" s="9"/>
      <c r="F1288" s="8"/>
      <c r="G1288" s="5"/>
      <c r="H1288" s="5"/>
      <c r="I1288" s="5"/>
    </row>
    <row r="1289">
      <c r="A1289" s="5"/>
      <c r="B1289" s="6"/>
      <c r="C1289" s="7"/>
      <c r="D1289" s="8"/>
      <c r="E1289" s="9"/>
      <c r="F1289" s="8"/>
      <c r="G1289" s="5"/>
      <c r="H1289" s="5"/>
      <c r="I1289" s="5"/>
    </row>
    <row r="1290">
      <c r="A1290" s="5"/>
      <c r="B1290" s="6"/>
      <c r="C1290" s="7"/>
      <c r="D1290" s="8"/>
      <c r="E1290" s="9"/>
      <c r="F1290" s="8"/>
      <c r="G1290" s="5"/>
      <c r="H1290" s="5"/>
      <c r="I1290" s="5"/>
    </row>
    <row r="1291">
      <c r="A1291" s="5"/>
      <c r="B1291" s="6"/>
      <c r="C1291" s="7"/>
      <c r="D1291" s="8"/>
      <c r="E1291" s="9"/>
      <c r="F1291" s="8"/>
      <c r="G1291" s="5"/>
      <c r="H1291" s="5"/>
      <c r="I1291" s="5"/>
    </row>
    <row r="1292">
      <c r="A1292" s="5"/>
      <c r="B1292" s="6"/>
      <c r="C1292" s="7"/>
      <c r="D1292" s="8"/>
      <c r="E1292" s="9"/>
      <c r="F1292" s="8"/>
      <c r="G1292" s="5"/>
      <c r="H1292" s="5"/>
      <c r="I1292" s="5"/>
    </row>
    <row r="1293">
      <c r="A1293" s="5"/>
      <c r="B1293" s="6"/>
      <c r="C1293" s="7"/>
      <c r="D1293" s="8"/>
      <c r="E1293" s="9"/>
      <c r="F1293" s="8"/>
      <c r="G1293" s="5"/>
      <c r="H1293" s="5"/>
      <c r="I1293" s="5"/>
    </row>
    <row r="1294">
      <c r="A1294" s="5"/>
      <c r="B1294" s="6"/>
      <c r="C1294" s="7"/>
      <c r="D1294" s="8"/>
      <c r="E1294" s="9"/>
      <c r="F1294" s="8"/>
      <c r="G1294" s="5"/>
      <c r="H1294" s="5"/>
      <c r="I1294" s="5"/>
    </row>
    <row r="1295">
      <c r="A1295" s="5"/>
      <c r="B1295" s="6"/>
      <c r="C1295" s="7"/>
      <c r="D1295" s="8"/>
      <c r="E1295" s="9"/>
      <c r="F1295" s="8"/>
      <c r="G1295" s="5"/>
      <c r="H1295" s="5"/>
      <c r="I1295" s="5"/>
    </row>
    <row r="1296">
      <c r="A1296" s="5"/>
      <c r="B1296" s="6"/>
      <c r="C1296" s="7"/>
      <c r="D1296" s="8"/>
      <c r="E1296" s="9"/>
      <c r="F1296" s="8"/>
      <c r="G1296" s="5"/>
      <c r="H1296" s="5"/>
      <c r="I1296" s="5"/>
    </row>
    <row r="1297">
      <c r="A1297" s="5"/>
      <c r="B1297" s="6"/>
      <c r="C1297" s="7"/>
      <c r="D1297" s="8"/>
      <c r="E1297" s="9"/>
      <c r="F1297" s="8"/>
      <c r="G1297" s="5"/>
      <c r="H1297" s="5"/>
      <c r="I1297" s="5"/>
    </row>
    <row r="1298">
      <c r="A1298" s="5"/>
      <c r="B1298" s="6"/>
      <c r="C1298" s="7"/>
      <c r="D1298" s="8"/>
      <c r="E1298" s="9"/>
      <c r="F1298" s="8"/>
      <c r="G1298" s="5"/>
      <c r="H1298" s="5"/>
      <c r="I1298" s="5"/>
    </row>
    <row r="1299">
      <c r="A1299" s="5"/>
      <c r="B1299" s="6"/>
      <c r="C1299" s="7"/>
      <c r="D1299" s="8"/>
      <c r="E1299" s="9"/>
      <c r="F1299" s="8"/>
      <c r="G1299" s="5"/>
      <c r="H1299" s="5"/>
      <c r="I1299" s="5"/>
    </row>
    <row r="1300">
      <c r="A1300" s="5"/>
      <c r="B1300" s="6"/>
      <c r="C1300" s="7"/>
      <c r="D1300" s="8"/>
      <c r="E1300" s="9"/>
      <c r="F1300" s="8"/>
      <c r="G1300" s="5"/>
      <c r="H1300" s="5"/>
      <c r="I1300" s="5"/>
    </row>
    <row r="1301">
      <c r="A1301" s="5"/>
      <c r="B1301" s="6"/>
      <c r="C1301" s="7"/>
      <c r="D1301" s="8"/>
      <c r="E1301" s="9"/>
      <c r="F1301" s="8"/>
      <c r="G1301" s="5"/>
      <c r="H1301" s="5"/>
      <c r="I1301" s="5"/>
    </row>
    <row r="1302">
      <c r="A1302" s="5"/>
      <c r="B1302" s="6"/>
      <c r="C1302" s="7"/>
      <c r="D1302" s="8"/>
      <c r="E1302" s="9"/>
      <c r="F1302" s="8"/>
      <c r="G1302" s="5"/>
      <c r="H1302" s="5"/>
      <c r="I1302" s="5"/>
    </row>
    <row r="1303">
      <c r="A1303" s="5"/>
      <c r="B1303" s="6"/>
      <c r="C1303" s="7"/>
      <c r="D1303" s="8"/>
      <c r="E1303" s="9"/>
      <c r="F1303" s="8"/>
      <c r="G1303" s="5"/>
      <c r="H1303" s="5"/>
      <c r="I1303" s="5"/>
    </row>
    <row r="1304">
      <c r="A1304" s="5"/>
      <c r="B1304" s="6"/>
      <c r="C1304" s="7"/>
      <c r="D1304" s="8"/>
      <c r="E1304" s="9"/>
      <c r="F1304" s="8"/>
      <c r="G1304" s="5"/>
      <c r="H1304" s="5"/>
      <c r="I1304" s="5"/>
    </row>
    <row r="1305">
      <c r="A1305" s="5"/>
      <c r="B1305" s="6"/>
      <c r="C1305" s="7"/>
      <c r="D1305" s="8"/>
      <c r="E1305" s="9"/>
      <c r="F1305" s="8"/>
      <c r="G1305" s="5"/>
      <c r="H1305" s="5"/>
      <c r="I1305" s="5"/>
    </row>
    <row r="1306">
      <c r="A1306" s="5"/>
      <c r="B1306" s="6"/>
      <c r="C1306" s="7"/>
      <c r="D1306" s="8"/>
      <c r="E1306" s="9"/>
      <c r="F1306" s="8"/>
      <c r="G1306" s="5"/>
      <c r="H1306" s="5"/>
      <c r="I1306" s="5"/>
    </row>
    <row r="1307">
      <c r="A1307" s="5"/>
      <c r="B1307" s="6"/>
      <c r="C1307" s="7"/>
      <c r="D1307" s="8"/>
      <c r="E1307" s="9"/>
      <c r="F1307" s="8"/>
      <c r="G1307" s="5"/>
      <c r="H1307" s="5"/>
      <c r="I1307" s="5"/>
    </row>
    <row r="1308">
      <c r="A1308" s="5"/>
      <c r="B1308" s="6"/>
      <c r="C1308" s="7"/>
      <c r="D1308" s="8"/>
      <c r="E1308" s="9"/>
      <c r="F1308" s="8"/>
      <c r="G1308" s="5"/>
      <c r="H1308" s="5"/>
      <c r="I1308" s="5"/>
    </row>
    <row r="1309">
      <c r="A1309" s="5"/>
      <c r="B1309" s="6"/>
      <c r="C1309" s="7"/>
      <c r="D1309" s="8"/>
      <c r="E1309" s="9"/>
      <c r="F1309" s="8"/>
      <c r="G1309" s="5"/>
      <c r="H1309" s="5"/>
      <c r="I1309" s="5"/>
    </row>
    <row r="1310">
      <c r="A1310" s="5"/>
      <c r="B1310" s="6"/>
      <c r="C1310" s="7"/>
      <c r="D1310" s="8"/>
      <c r="E1310" s="9"/>
      <c r="F1310" s="8"/>
      <c r="G1310" s="5"/>
      <c r="H1310" s="5"/>
      <c r="I1310" s="5"/>
    </row>
    <row r="1311">
      <c r="A1311" s="5"/>
      <c r="B1311" s="6"/>
      <c r="C1311" s="7"/>
      <c r="D1311" s="8"/>
      <c r="E1311" s="9"/>
      <c r="F1311" s="8"/>
      <c r="G1311" s="5"/>
      <c r="H1311" s="5"/>
      <c r="I1311" s="5"/>
    </row>
    <row r="1312">
      <c r="A1312" s="5"/>
      <c r="B1312" s="6"/>
      <c r="C1312" s="7"/>
      <c r="D1312" s="8"/>
      <c r="E1312" s="9"/>
      <c r="F1312" s="8"/>
      <c r="G1312" s="5"/>
      <c r="H1312" s="5"/>
      <c r="I1312" s="5"/>
    </row>
    <row r="1313">
      <c r="A1313" s="5"/>
      <c r="B1313" s="6"/>
      <c r="C1313" s="7"/>
      <c r="D1313" s="8"/>
      <c r="E1313" s="9"/>
      <c r="F1313" s="8"/>
      <c r="G1313" s="5"/>
      <c r="H1313" s="5"/>
      <c r="I1313" s="5"/>
    </row>
    <row r="1314">
      <c r="A1314" s="5"/>
      <c r="B1314" s="6"/>
      <c r="C1314" s="7"/>
      <c r="D1314" s="8"/>
      <c r="E1314" s="9"/>
      <c r="F1314" s="8"/>
      <c r="G1314" s="5"/>
      <c r="H1314" s="5"/>
      <c r="I1314" s="5"/>
    </row>
    <row r="1315">
      <c r="A1315" s="5"/>
      <c r="B1315" s="6"/>
      <c r="C1315" s="7"/>
      <c r="D1315" s="8"/>
      <c r="E1315" s="9"/>
      <c r="F1315" s="8"/>
      <c r="G1315" s="5"/>
      <c r="H1315" s="5"/>
      <c r="I1315" s="5"/>
    </row>
    <row r="1316">
      <c r="A1316" s="5"/>
      <c r="B1316" s="6"/>
      <c r="C1316" s="7"/>
      <c r="D1316" s="8"/>
      <c r="E1316" s="9"/>
      <c r="F1316" s="8"/>
      <c r="G1316" s="5"/>
      <c r="H1316" s="5"/>
      <c r="I1316" s="5"/>
    </row>
    <row r="1317">
      <c r="A1317" s="5"/>
      <c r="B1317" s="6"/>
      <c r="C1317" s="7"/>
      <c r="D1317" s="8"/>
      <c r="E1317" s="9"/>
      <c r="F1317" s="8"/>
      <c r="G1317" s="5"/>
      <c r="H1317" s="5"/>
      <c r="I1317" s="5"/>
    </row>
    <row r="1318">
      <c r="A1318" s="5"/>
      <c r="B1318" s="6"/>
      <c r="C1318" s="7"/>
      <c r="D1318" s="8"/>
      <c r="E1318" s="9"/>
      <c r="F1318" s="8"/>
      <c r="G1318" s="5"/>
      <c r="H1318" s="5"/>
      <c r="I1318" s="5"/>
    </row>
    <row r="1319">
      <c r="A1319" s="5"/>
      <c r="B1319" s="6"/>
      <c r="C1319" s="7"/>
      <c r="D1319" s="8"/>
      <c r="E1319" s="9"/>
      <c r="F1319" s="8"/>
      <c r="G1319" s="5"/>
      <c r="H1319" s="5"/>
      <c r="I1319" s="5"/>
    </row>
    <row r="1320">
      <c r="A1320" s="5"/>
      <c r="B1320" s="6"/>
      <c r="C1320" s="7"/>
      <c r="D1320" s="8"/>
      <c r="E1320" s="9"/>
      <c r="F1320" s="8"/>
      <c r="G1320" s="5"/>
      <c r="H1320" s="5"/>
      <c r="I1320" s="5"/>
    </row>
    <row r="1321">
      <c r="A1321" s="5"/>
      <c r="B1321" s="6"/>
      <c r="C1321" s="7"/>
      <c r="D1321" s="8"/>
      <c r="E1321" s="9"/>
      <c r="F1321" s="8"/>
      <c r="G1321" s="5"/>
      <c r="H1321" s="5"/>
      <c r="I1321" s="5"/>
    </row>
    <row r="1322">
      <c r="A1322" s="5"/>
      <c r="B1322" s="6"/>
      <c r="C1322" s="7"/>
      <c r="D1322" s="8"/>
      <c r="E1322" s="9"/>
      <c r="F1322" s="8"/>
      <c r="G1322" s="5"/>
      <c r="H1322" s="5"/>
      <c r="I1322" s="5"/>
    </row>
    <row r="1323">
      <c r="A1323" s="5"/>
      <c r="B1323" s="6"/>
      <c r="C1323" s="7"/>
      <c r="D1323" s="8"/>
      <c r="E1323" s="9"/>
      <c r="F1323" s="8"/>
      <c r="G1323" s="5"/>
      <c r="H1323" s="5"/>
      <c r="I1323" s="5"/>
    </row>
    <row r="1324">
      <c r="A1324" s="5"/>
      <c r="B1324" s="6"/>
      <c r="C1324" s="7"/>
      <c r="D1324" s="8"/>
      <c r="E1324" s="9"/>
      <c r="F1324" s="8"/>
      <c r="G1324" s="5"/>
      <c r="H1324" s="5"/>
      <c r="I1324" s="5"/>
    </row>
    <row r="1325">
      <c r="A1325" s="5"/>
      <c r="B1325" s="6"/>
      <c r="C1325" s="7"/>
      <c r="D1325" s="8"/>
      <c r="E1325" s="9"/>
      <c r="F1325" s="8"/>
      <c r="G1325" s="5"/>
      <c r="H1325" s="5"/>
      <c r="I1325" s="5"/>
    </row>
    <row r="1326">
      <c r="A1326" s="5"/>
      <c r="B1326" s="6"/>
      <c r="C1326" s="7"/>
      <c r="D1326" s="8"/>
      <c r="E1326" s="9"/>
      <c r="F1326" s="8"/>
      <c r="G1326" s="5"/>
      <c r="H1326" s="5"/>
      <c r="I1326" s="5"/>
    </row>
    <row r="1327">
      <c r="A1327" s="5"/>
      <c r="B1327" s="6"/>
      <c r="C1327" s="7"/>
      <c r="D1327" s="8"/>
      <c r="E1327" s="9"/>
      <c r="F1327" s="8"/>
      <c r="G1327" s="5"/>
      <c r="H1327" s="5"/>
      <c r="I1327" s="5"/>
    </row>
    <row r="1328">
      <c r="A1328" s="5"/>
      <c r="B1328" s="6"/>
      <c r="C1328" s="7"/>
      <c r="D1328" s="8"/>
      <c r="E1328" s="9"/>
      <c r="F1328" s="8"/>
      <c r="G1328" s="5"/>
      <c r="H1328" s="5"/>
      <c r="I1328" s="5"/>
    </row>
    <row r="1329">
      <c r="A1329" s="5"/>
      <c r="B1329" s="6"/>
      <c r="C1329" s="7"/>
      <c r="D1329" s="8"/>
      <c r="E1329" s="9"/>
      <c r="F1329" s="8"/>
      <c r="G1329" s="5"/>
      <c r="H1329" s="5"/>
      <c r="I1329" s="5"/>
    </row>
    <row r="1330">
      <c r="A1330" s="5"/>
      <c r="B1330" s="6"/>
      <c r="C1330" s="7"/>
      <c r="D1330" s="8"/>
      <c r="E1330" s="9"/>
      <c r="F1330" s="8"/>
      <c r="G1330" s="5"/>
      <c r="H1330" s="5"/>
      <c r="I1330" s="5"/>
    </row>
    <row r="1331">
      <c r="A1331" s="5"/>
      <c r="B1331" s="6"/>
      <c r="C1331" s="7"/>
      <c r="D1331" s="8"/>
      <c r="E1331" s="9"/>
      <c r="F1331" s="8"/>
      <c r="G1331" s="5"/>
      <c r="H1331" s="5"/>
      <c r="I1331" s="5"/>
    </row>
    <row r="1332">
      <c r="A1332" s="5"/>
      <c r="B1332" s="6"/>
      <c r="C1332" s="7"/>
      <c r="D1332" s="8"/>
      <c r="E1332" s="9"/>
      <c r="F1332" s="8"/>
      <c r="G1332" s="5"/>
      <c r="H1332" s="5"/>
      <c r="I1332" s="5"/>
    </row>
    <row r="1333">
      <c r="A1333" s="5"/>
      <c r="B1333" s="6"/>
      <c r="C1333" s="7"/>
      <c r="D1333" s="8"/>
      <c r="E1333" s="9"/>
      <c r="F1333" s="8"/>
      <c r="G1333" s="5"/>
      <c r="H1333" s="5"/>
      <c r="I1333" s="5"/>
    </row>
    <row r="1334">
      <c r="A1334" s="5"/>
      <c r="B1334" s="6"/>
      <c r="C1334" s="7"/>
      <c r="D1334" s="8"/>
      <c r="E1334" s="9"/>
      <c r="F1334" s="8"/>
      <c r="G1334" s="5"/>
      <c r="H1334" s="5"/>
      <c r="I1334" s="5"/>
    </row>
    <row r="1335">
      <c r="A1335" s="5"/>
      <c r="B1335" s="6"/>
      <c r="C1335" s="7"/>
      <c r="D1335" s="8"/>
      <c r="E1335" s="9"/>
      <c r="F1335" s="8"/>
      <c r="G1335" s="5"/>
      <c r="H1335" s="5"/>
      <c r="I1335" s="5"/>
    </row>
    <row r="1336">
      <c r="A1336" s="5"/>
      <c r="B1336" s="6"/>
      <c r="C1336" s="7"/>
      <c r="D1336" s="8"/>
      <c r="E1336" s="9"/>
      <c r="F1336" s="8"/>
      <c r="G1336" s="5"/>
      <c r="H1336" s="5"/>
      <c r="I1336" s="5"/>
    </row>
    <row r="1337">
      <c r="A1337" s="5"/>
      <c r="B1337" s="6"/>
      <c r="C1337" s="7"/>
      <c r="D1337" s="8"/>
      <c r="E1337" s="9"/>
      <c r="F1337" s="8"/>
      <c r="G1337" s="5"/>
      <c r="H1337" s="5"/>
      <c r="I1337" s="5"/>
    </row>
    <row r="1338">
      <c r="A1338" s="5"/>
      <c r="B1338" s="6"/>
      <c r="C1338" s="7"/>
      <c r="D1338" s="8"/>
      <c r="E1338" s="9"/>
      <c r="F1338" s="8"/>
      <c r="G1338" s="5"/>
      <c r="H1338" s="5"/>
      <c r="I1338" s="5"/>
    </row>
    <row r="1339">
      <c r="A1339" s="5"/>
      <c r="B1339" s="6"/>
      <c r="C1339" s="7"/>
      <c r="D1339" s="8"/>
      <c r="E1339" s="9"/>
      <c r="F1339" s="8"/>
      <c r="G1339" s="5"/>
      <c r="H1339" s="5"/>
      <c r="I1339" s="5"/>
    </row>
    <row r="1340">
      <c r="A1340" s="5"/>
      <c r="B1340" s="6"/>
      <c r="C1340" s="7"/>
      <c r="D1340" s="8"/>
      <c r="E1340" s="9"/>
      <c r="F1340" s="8"/>
      <c r="G1340" s="5"/>
      <c r="H1340" s="5"/>
      <c r="I1340" s="5"/>
    </row>
    <row r="1341">
      <c r="A1341" s="5"/>
      <c r="B1341" s="6"/>
      <c r="C1341" s="7"/>
      <c r="D1341" s="8"/>
      <c r="E1341" s="9"/>
      <c r="F1341" s="8"/>
      <c r="G1341" s="5"/>
      <c r="H1341" s="5"/>
      <c r="I1341" s="5"/>
    </row>
    <row r="1342">
      <c r="A1342" s="5"/>
      <c r="B1342" s="6"/>
      <c r="C1342" s="7"/>
      <c r="D1342" s="8"/>
      <c r="E1342" s="9"/>
      <c r="F1342" s="8"/>
      <c r="G1342" s="5"/>
      <c r="H1342" s="5"/>
      <c r="I1342" s="5"/>
    </row>
    <row r="1343">
      <c r="A1343" s="5"/>
      <c r="B1343" s="6"/>
      <c r="C1343" s="7"/>
      <c r="D1343" s="8"/>
      <c r="E1343" s="9"/>
      <c r="F1343" s="8"/>
      <c r="G1343" s="5"/>
      <c r="H1343" s="5"/>
      <c r="I1343" s="5"/>
    </row>
    <row r="1344">
      <c r="A1344" s="5"/>
      <c r="B1344" s="6"/>
      <c r="C1344" s="7"/>
      <c r="D1344" s="8"/>
      <c r="E1344" s="9"/>
      <c r="F1344" s="8"/>
      <c r="G1344" s="5"/>
      <c r="H1344" s="5"/>
      <c r="I1344" s="5"/>
    </row>
    <row r="1345">
      <c r="A1345" s="5"/>
      <c r="B1345" s="6"/>
      <c r="C1345" s="7"/>
      <c r="D1345" s="8"/>
      <c r="E1345" s="9"/>
      <c r="F1345" s="8"/>
      <c r="G1345" s="5"/>
      <c r="H1345" s="5"/>
      <c r="I1345" s="5"/>
    </row>
    <row r="1346">
      <c r="A1346" s="5"/>
      <c r="B1346" s="6"/>
      <c r="C1346" s="7"/>
      <c r="D1346" s="8"/>
      <c r="E1346" s="9"/>
      <c r="F1346" s="8"/>
      <c r="G1346" s="5"/>
      <c r="H1346" s="5"/>
      <c r="I1346" s="5"/>
    </row>
    <row r="1347">
      <c r="A1347" s="5"/>
      <c r="B1347" s="6"/>
      <c r="C1347" s="7"/>
      <c r="D1347" s="8"/>
      <c r="E1347" s="9"/>
      <c r="F1347" s="8"/>
      <c r="G1347" s="5"/>
      <c r="H1347" s="5"/>
      <c r="I1347" s="5"/>
    </row>
    <row r="1348">
      <c r="A1348" s="5"/>
      <c r="B1348" s="6"/>
      <c r="C1348" s="7"/>
      <c r="D1348" s="8"/>
      <c r="E1348" s="9"/>
      <c r="F1348" s="8"/>
      <c r="G1348" s="5"/>
      <c r="H1348" s="5"/>
      <c r="I1348" s="5"/>
    </row>
    <row r="1349">
      <c r="A1349" s="5"/>
      <c r="B1349" s="6"/>
      <c r="C1349" s="7"/>
      <c r="D1349" s="8"/>
      <c r="E1349" s="9"/>
      <c r="F1349" s="8"/>
      <c r="G1349" s="5"/>
      <c r="H1349" s="5"/>
      <c r="I1349" s="5"/>
    </row>
    <row r="1350">
      <c r="A1350" s="5"/>
      <c r="B1350" s="6"/>
      <c r="C1350" s="7"/>
      <c r="D1350" s="8"/>
      <c r="E1350" s="9"/>
      <c r="F1350" s="8"/>
      <c r="G1350" s="5"/>
      <c r="H1350" s="5"/>
      <c r="I1350" s="5"/>
    </row>
    <row r="1351">
      <c r="A1351" s="5"/>
      <c r="B1351" s="6"/>
      <c r="C1351" s="7"/>
      <c r="D1351" s="8"/>
      <c r="E1351" s="9"/>
      <c r="F1351" s="8"/>
      <c r="G1351" s="5"/>
      <c r="H1351" s="5"/>
      <c r="I1351" s="5"/>
    </row>
    <row r="1352">
      <c r="A1352" s="5"/>
      <c r="B1352" s="6"/>
      <c r="C1352" s="7"/>
      <c r="D1352" s="8"/>
      <c r="E1352" s="9"/>
      <c r="F1352" s="8"/>
      <c r="G1352" s="5"/>
      <c r="H1352" s="5"/>
      <c r="I1352" s="5"/>
    </row>
    <row r="1353">
      <c r="A1353" s="5"/>
      <c r="B1353" s="6"/>
      <c r="C1353" s="7"/>
      <c r="D1353" s="8"/>
      <c r="E1353" s="9"/>
      <c r="F1353" s="8"/>
      <c r="G1353" s="5"/>
      <c r="H1353" s="5"/>
      <c r="I1353" s="5"/>
    </row>
    <row r="1354">
      <c r="A1354" s="5"/>
      <c r="B1354" s="6"/>
      <c r="C1354" s="7"/>
      <c r="D1354" s="8"/>
      <c r="E1354" s="9"/>
      <c r="F1354" s="8"/>
      <c r="G1354" s="5"/>
      <c r="H1354" s="5"/>
      <c r="I1354" s="5"/>
    </row>
    <row r="1355">
      <c r="A1355" s="5"/>
      <c r="B1355" s="6"/>
      <c r="C1355" s="7"/>
      <c r="D1355" s="8"/>
      <c r="E1355" s="9"/>
      <c r="F1355" s="8"/>
      <c r="G1355" s="5"/>
      <c r="H1355" s="5"/>
      <c r="I1355" s="5"/>
    </row>
    <row r="1356">
      <c r="A1356" s="5"/>
      <c r="B1356" s="6"/>
      <c r="C1356" s="7"/>
      <c r="D1356" s="8"/>
      <c r="E1356" s="9"/>
      <c r="F1356" s="8"/>
      <c r="G1356" s="5"/>
      <c r="H1356" s="5"/>
      <c r="I1356" s="5"/>
    </row>
    <row r="1357">
      <c r="A1357" s="5"/>
      <c r="B1357" s="6"/>
      <c r="C1357" s="7"/>
      <c r="D1357" s="8"/>
      <c r="E1357" s="9"/>
      <c r="F1357" s="8"/>
      <c r="G1357" s="5"/>
      <c r="H1357" s="5"/>
      <c r="I1357" s="5"/>
    </row>
    <row r="1358">
      <c r="A1358" s="5"/>
      <c r="B1358" s="6"/>
      <c r="C1358" s="7"/>
      <c r="D1358" s="8"/>
      <c r="E1358" s="9"/>
      <c r="F1358" s="8"/>
      <c r="G1358" s="5"/>
      <c r="H1358" s="5"/>
      <c r="I1358" s="5"/>
    </row>
    <row r="1359">
      <c r="A1359" s="5"/>
      <c r="B1359" s="6"/>
      <c r="C1359" s="7"/>
      <c r="D1359" s="8"/>
      <c r="E1359" s="9"/>
      <c r="F1359" s="8"/>
      <c r="G1359" s="5"/>
      <c r="H1359" s="5"/>
      <c r="I1359" s="5"/>
    </row>
    <row r="1360">
      <c r="A1360" s="5"/>
      <c r="B1360" s="6"/>
      <c r="C1360" s="7"/>
      <c r="D1360" s="8"/>
      <c r="E1360" s="9"/>
      <c r="F1360" s="8"/>
      <c r="G1360" s="5"/>
      <c r="H1360" s="5"/>
      <c r="I1360" s="5"/>
    </row>
    <row r="1361">
      <c r="A1361" s="5"/>
      <c r="B1361" s="6"/>
      <c r="C1361" s="7"/>
      <c r="D1361" s="8"/>
      <c r="E1361" s="9"/>
      <c r="F1361" s="8"/>
      <c r="G1361" s="5"/>
      <c r="H1361" s="5"/>
      <c r="I1361" s="5"/>
    </row>
    <row r="1362">
      <c r="A1362" s="5"/>
      <c r="B1362" s="6"/>
      <c r="C1362" s="7"/>
      <c r="D1362" s="8"/>
      <c r="E1362" s="9"/>
      <c r="F1362" s="8"/>
      <c r="G1362" s="5"/>
      <c r="H1362" s="5"/>
      <c r="I1362" s="5"/>
    </row>
    <row r="1363">
      <c r="A1363" s="5"/>
      <c r="B1363" s="6"/>
      <c r="C1363" s="7"/>
      <c r="D1363" s="8"/>
      <c r="E1363" s="9"/>
      <c r="F1363" s="8"/>
      <c r="G1363" s="5"/>
      <c r="H1363" s="5"/>
      <c r="I1363" s="5"/>
    </row>
    <row r="1364">
      <c r="A1364" s="5"/>
      <c r="B1364" s="6"/>
      <c r="C1364" s="7"/>
      <c r="D1364" s="8"/>
      <c r="E1364" s="9"/>
      <c r="F1364" s="8"/>
      <c r="G1364" s="5"/>
      <c r="H1364" s="5"/>
      <c r="I1364" s="5"/>
    </row>
    <row r="1365">
      <c r="A1365" s="5"/>
      <c r="B1365" s="6"/>
      <c r="C1365" s="7"/>
      <c r="D1365" s="8"/>
      <c r="E1365" s="9"/>
      <c r="F1365" s="8"/>
      <c r="G1365" s="5"/>
      <c r="H1365" s="5"/>
      <c r="I1365" s="5"/>
    </row>
    <row r="1366">
      <c r="A1366" s="5"/>
      <c r="B1366" s="6"/>
      <c r="C1366" s="7"/>
      <c r="D1366" s="8"/>
      <c r="E1366" s="9"/>
      <c r="F1366" s="8"/>
      <c r="G1366" s="5"/>
      <c r="H1366" s="5"/>
      <c r="I1366" s="5"/>
    </row>
    <row r="1367">
      <c r="A1367" s="5"/>
      <c r="B1367" s="6"/>
      <c r="C1367" s="7"/>
      <c r="D1367" s="8"/>
      <c r="E1367" s="9"/>
      <c r="F1367" s="8"/>
      <c r="G1367" s="5"/>
      <c r="H1367" s="5"/>
      <c r="I1367" s="5"/>
    </row>
    <row r="1368">
      <c r="A1368" s="5"/>
      <c r="B1368" s="6"/>
      <c r="C1368" s="7"/>
      <c r="D1368" s="8"/>
      <c r="E1368" s="9"/>
      <c r="F1368" s="8"/>
      <c r="G1368" s="5"/>
      <c r="H1368" s="5"/>
      <c r="I1368" s="5"/>
    </row>
    <row r="1369">
      <c r="A1369" s="5"/>
      <c r="B1369" s="6"/>
      <c r="C1369" s="7"/>
      <c r="D1369" s="8"/>
      <c r="E1369" s="9"/>
      <c r="F1369" s="8"/>
      <c r="G1369" s="5"/>
      <c r="H1369" s="5"/>
      <c r="I1369" s="5"/>
    </row>
    <row r="1370">
      <c r="A1370" s="5"/>
      <c r="B1370" s="6"/>
      <c r="C1370" s="7"/>
      <c r="D1370" s="8"/>
      <c r="E1370" s="9"/>
      <c r="F1370" s="8"/>
      <c r="G1370" s="5"/>
      <c r="H1370" s="5"/>
      <c r="I1370" s="5"/>
    </row>
    <row r="1371">
      <c r="A1371" s="5"/>
      <c r="B1371" s="6"/>
      <c r="C1371" s="7"/>
      <c r="D1371" s="8"/>
      <c r="E1371" s="9"/>
      <c r="F1371" s="8"/>
      <c r="G1371" s="5"/>
      <c r="H1371" s="5"/>
      <c r="I1371" s="5"/>
    </row>
    <row r="1372">
      <c r="A1372" s="5"/>
      <c r="B1372" s="6"/>
      <c r="C1372" s="7"/>
      <c r="D1372" s="8"/>
      <c r="E1372" s="9"/>
      <c r="F1372" s="8"/>
      <c r="G1372" s="5"/>
      <c r="H1372" s="5"/>
      <c r="I1372" s="5"/>
    </row>
    <row r="1373">
      <c r="A1373" s="5"/>
      <c r="B1373" s="6"/>
      <c r="C1373" s="7"/>
      <c r="D1373" s="8"/>
      <c r="E1373" s="9"/>
      <c r="F1373" s="8"/>
      <c r="G1373" s="5"/>
      <c r="H1373" s="5"/>
      <c r="I1373" s="5"/>
    </row>
    <row r="1374">
      <c r="A1374" s="5"/>
      <c r="B1374" s="6"/>
      <c r="C1374" s="7"/>
      <c r="D1374" s="8"/>
      <c r="E1374" s="9"/>
      <c r="F1374" s="8"/>
      <c r="G1374" s="5"/>
      <c r="H1374" s="5"/>
      <c r="I1374" s="5"/>
    </row>
    <row r="1375">
      <c r="A1375" s="5"/>
      <c r="B1375" s="6"/>
      <c r="C1375" s="7"/>
      <c r="D1375" s="8"/>
      <c r="E1375" s="9"/>
      <c r="F1375" s="8"/>
      <c r="G1375" s="5"/>
      <c r="H1375" s="5"/>
      <c r="I1375" s="5"/>
    </row>
    <row r="1376">
      <c r="A1376" s="5"/>
      <c r="B1376" s="6"/>
      <c r="C1376" s="7"/>
      <c r="D1376" s="8"/>
      <c r="E1376" s="9"/>
      <c r="F1376" s="8"/>
      <c r="G1376" s="5"/>
      <c r="H1376" s="5"/>
      <c r="I1376" s="5"/>
    </row>
    <row r="1377">
      <c r="A1377" s="5"/>
      <c r="B1377" s="6"/>
      <c r="C1377" s="7"/>
      <c r="D1377" s="8"/>
      <c r="E1377" s="9"/>
      <c r="F1377" s="8"/>
      <c r="G1377" s="5"/>
      <c r="H1377" s="5"/>
      <c r="I1377" s="5"/>
    </row>
    <row r="1378">
      <c r="A1378" s="5"/>
      <c r="B1378" s="6"/>
      <c r="C1378" s="7"/>
      <c r="D1378" s="8"/>
      <c r="E1378" s="9"/>
      <c r="F1378" s="8"/>
      <c r="G1378" s="5"/>
      <c r="H1378" s="5"/>
      <c r="I1378" s="5"/>
    </row>
    <row r="1379">
      <c r="A1379" s="5"/>
      <c r="B1379" s="6"/>
      <c r="C1379" s="7"/>
      <c r="D1379" s="8"/>
      <c r="E1379" s="9"/>
      <c r="F1379" s="8"/>
      <c r="G1379" s="5"/>
      <c r="H1379" s="5"/>
      <c r="I1379" s="5"/>
    </row>
    <row r="1380">
      <c r="A1380" s="5"/>
      <c r="B1380" s="6"/>
      <c r="C1380" s="7"/>
      <c r="D1380" s="8"/>
      <c r="E1380" s="9"/>
      <c r="F1380" s="8"/>
      <c r="G1380" s="5"/>
      <c r="H1380" s="5"/>
      <c r="I1380" s="5"/>
    </row>
    <row r="1381">
      <c r="A1381" s="5"/>
      <c r="B1381" s="6"/>
      <c r="C1381" s="7"/>
      <c r="D1381" s="8"/>
      <c r="E1381" s="9"/>
      <c r="F1381" s="8"/>
      <c r="G1381" s="5"/>
      <c r="H1381" s="5"/>
      <c r="I1381" s="5"/>
    </row>
    <row r="1382">
      <c r="A1382" s="5"/>
      <c r="B1382" s="6"/>
      <c r="C1382" s="7"/>
      <c r="D1382" s="8"/>
      <c r="E1382" s="9"/>
      <c r="F1382" s="8"/>
      <c r="G1382" s="5"/>
      <c r="H1382" s="5"/>
      <c r="I1382" s="5"/>
    </row>
    <row r="1383">
      <c r="A1383" s="5"/>
      <c r="B1383" s="6"/>
      <c r="C1383" s="7"/>
      <c r="D1383" s="8"/>
      <c r="E1383" s="9"/>
      <c r="F1383" s="8"/>
      <c r="G1383" s="5"/>
      <c r="H1383" s="5"/>
      <c r="I1383" s="5"/>
    </row>
    <row r="1384">
      <c r="A1384" s="5"/>
      <c r="B1384" s="6"/>
      <c r="C1384" s="7"/>
      <c r="D1384" s="8"/>
      <c r="E1384" s="9"/>
      <c r="F1384" s="8"/>
      <c r="G1384" s="5"/>
      <c r="H1384" s="5"/>
      <c r="I1384" s="5"/>
    </row>
    <row r="1385">
      <c r="A1385" s="5"/>
      <c r="B1385" s="6"/>
      <c r="C1385" s="7"/>
      <c r="D1385" s="8"/>
      <c r="E1385" s="9"/>
      <c r="F1385" s="8"/>
      <c r="G1385" s="5"/>
      <c r="H1385" s="5"/>
      <c r="I1385" s="5"/>
    </row>
    <row r="1386">
      <c r="A1386" s="5"/>
      <c r="B1386" s="6"/>
      <c r="C1386" s="7"/>
      <c r="D1386" s="8"/>
      <c r="E1386" s="9"/>
      <c r="F1386" s="8"/>
      <c r="G1386" s="5"/>
      <c r="H1386" s="5"/>
      <c r="I1386" s="5"/>
    </row>
    <row r="1387">
      <c r="A1387" s="5"/>
      <c r="B1387" s="6"/>
      <c r="C1387" s="7"/>
      <c r="D1387" s="8"/>
      <c r="E1387" s="9"/>
      <c r="F1387" s="8"/>
      <c r="G1387" s="5"/>
      <c r="H1387" s="5"/>
      <c r="I1387" s="5"/>
    </row>
    <row r="1388">
      <c r="A1388" s="5"/>
      <c r="B1388" s="6"/>
      <c r="C1388" s="7"/>
      <c r="D1388" s="8"/>
      <c r="E1388" s="9"/>
      <c r="F1388" s="8"/>
      <c r="G1388" s="5"/>
      <c r="H1388" s="5"/>
      <c r="I1388" s="5"/>
    </row>
    <row r="1389">
      <c r="A1389" s="5"/>
      <c r="B1389" s="6"/>
      <c r="C1389" s="7"/>
      <c r="D1389" s="8"/>
      <c r="E1389" s="9"/>
      <c r="F1389" s="8"/>
      <c r="G1389" s="5"/>
      <c r="H1389" s="5"/>
      <c r="I1389" s="5"/>
    </row>
    <row r="1390">
      <c r="A1390" s="5"/>
      <c r="B1390" s="6"/>
      <c r="C1390" s="7"/>
      <c r="D1390" s="8"/>
      <c r="E1390" s="9"/>
      <c r="F1390" s="8"/>
      <c r="G1390" s="5"/>
      <c r="H1390" s="5"/>
      <c r="I1390" s="5"/>
    </row>
    <row r="1391">
      <c r="A1391" s="5"/>
      <c r="B1391" s="6"/>
      <c r="C1391" s="7"/>
      <c r="D1391" s="8"/>
      <c r="E1391" s="9"/>
      <c r="F1391" s="8"/>
      <c r="G1391" s="5"/>
      <c r="H1391" s="5"/>
      <c r="I1391" s="5"/>
    </row>
    <row r="1392">
      <c r="A1392" s="5"/>
      <c r="B1392" s="6"/>
      <c r="C1392" s="7"/>
      <c r="D1392" s="8"/>
      <c r="E1392" s="9"/>
      <c r="F1392" s="8"/>
      <c r="G1392" s="5"/>
      <c r="H1392" s="5"/>
      <c r="I1392" s="5"/>
    </row>
    <row r="1393">
      <c r="A1393" s="5"/>
      <c r="B1393" s="6"/>
      <c r="C1393" s="7"/>
      <c r="D1393" s="8"/>
      <c r="E1393" s="9"/>
      <c r="F1393" s="8"/>
      <c r="G1393" s="5"/>
      <c r="H1393" s="5"/>
      <c r="I1393" s="5"/>
    </row>
    <row r="1394">
      <c r="A1394" s="5"/>
      <c r="B1394" s="6"/>
      <c r="C1394" s="7"/>
      <c r="D1394" s="8"/>
      <c r="E1394" s="9"/>
      <c r="F1394" s="8"/>
      <c r="G1394" s="5"/>
      <c r="H1394" s="5"/>
      <c r="I1394" s="5"/>
    </row>
    <row r="1395">
      <c r="A1395" s="5"/>
      <c r="B1395" s="6"/>
      <c r="C1395" s="7"/>
      <c r="D1395" s="8"/>
      <c r="E1395" s="9"/>
      <c r="F1395" s="8"/>
      <c r="G1395" s="5"/>
      <c r="H1395" s="5"/>
      <c r="I1395" s="5"/>
    </row>
    <row r="1396">
      <c r="A1396" s="5"/>
      <c r="B1396" s="6"/>
      <c r="C1396" s="7"/>
      <c r="D1396" s="8"/>
      <c r="E1396" s="9"/>
      <c r="F1396" s="8"/>
      <c r="G1396" s="5"/>
      <c r="H1396" s="5"/>
      <c r="I1396" s="5"/>
    </row>
    <row r="1397">
      <c r="A1397" s="5"/>
      <c r="B1397" s="6"/>
      <c r="C1397" s="7"/>
      <c r="D1397" s="8"/>
      <c r="E1397" s="9"/>
      <c r="F1397" s="8"/>
      <c r="G1397" s="5"/>
      <c r="H1397" s="5"/>
      <c r="I1397" s="5"/>
    </row>
    <row r="1398">
      <c r="A1398" s="5"/>
      <c r="B1398" s="6"/>
      <c r="C1398" s="7"/>
      <c r="D1398" s="8"/>
      <c r="E1398" s="9"/>
      <c r="F1398" s="8"/>
      <c r="G1398" s="5"/>
      <c r="H1398" s="5"/>
      <c r="I1398" s="5"/>
    </row>
    <row r="1399">
      <c r="A1399" s="5"/>
      <c r="B1399" s="6"/>
      <c r="C1399" s="7"/>
      <c r="D1399" s="8"/>
      <c r="E1399" s="9"/>
      <c r="F1399" s="8"/>
      <c r="G1399" s="5"/>
      <c r="H1399" s="5"/>
      <c r="I1399" s="5"/>
    </row>
    <row r="1400">
      <c r="A1400" s="5"/>
      <c r="B1400" s="6"/>
      <c r="C1400" s="7"/>
      <c r="D1400" s="8"/>
      <c r="E1400" s="9"/>
      <c r="F1400" s="8"/>
      <c r="G1400" s="5"/>
      <c r="H1400" s="5"/>
      <c r="I1400" s="5"/>
    </row>
    <row r="1401">
      <c r="A1401" s="5"/>
      <c r="B1401" s="6"/>
      <c r="C1401" s="7"/>
      <c r="D1401" s="8"/>
      <c r="E1401" s="9"/>
      <c r="F1401" s="8"/>
      <c r="G1401" s="5"/>
      <c r="H1401" s="5"/>
      <c r="I1401" s="5"/>
    </row>
    <row r="1402">
      <c r="A1402" s="5"/>
      <c r="B1402" s="6"/>
      <c r="C1402" s="7"/>
      <c r="D1402" s="8"/>
      <c r="E1402" s="9"/>
      <c r="F1402" s="8"/>
      <c r="G1402" s="5"/>
      <c r="H1402" s="5"/>
      <c r="I1402" s="5"/>
    </row>
    <row r="1403">
      <c r="A1403" s="5"/>
      <c r="B1403" s="6"/>
      <c r="C1403" s="7"/>
      <c r="D1403" s="8"/>
      <c r="E1403" s="9"/>
      <c r="F1403" s="8"/>
      <c r="G1403" s="5"/>
      <c r="H1403" s="5"/>
      <c r="I1403" s="5"/>
    </row>
    <row r="1404">
      <c r="A1404" s="5"/>
      <c r="B1404" s="6"/>
      <c r="C1404" s="7"/>
      <c r="D1404" s="8"/>
      <c r="E1404" s="9"/>
      <c r="F1404" s="8"/>
      <c r="G1404" s="5"/>
      <c r="H1404" s="5"/>
      <c r="I1404" s="5"/>
    </row>
    <row r="1405">
      <c r="A1405" s="5"/>
      <c r="B1405" s="6"/>
      <c r="C1405" s="7"/>
      <c r="D1405" s="8"/>
      <c r="E1405" s="9"/>
      <c r="F1405" s="8"/>
      <c r="G1405" s="5"/>
      <c r="H1405" s="5"/>
      <c r="I1405" s="5"/>
    </row>
    <row r="1406">
      <c r="A1406" s="5"/>
      <c r="B1406" s="6"/>
      <c r="C1406" s="7"/>
      <c r="D1406" s="8"/>
      <c r="E1406" s="9"/>
      <c r="F1406" s="8"/>
      <c r="G1406" s="5"/>
      <c r="H1406" s="5"/>
      <c r="I1406" s="5"/>
    </row>
    <row r="1407">
      <c r="A1407" s="5"/>
      <c r="B1407" s="6"/>
      <c r="C1407" s="7"/>
      <c r="D1407" s="8"/>
      <c r="E1407" s="9"/>
      <c r="F1407" s="8"/>
      <c r="G1407" s="5"/>
      <c r="H1407" s="5"/>
      <c r="I1407" s="5"/>
    </row>
    <row r="1408">
      <c r="A1408" s="5"/>
      <c r="B1408" s="6"/>
      <c r="C1408" s="7"/>
      <c r="D1408" s="8"/>
      <c r="E1408" s="9"/>
      <c r="F1408" s="8"/>
      <c r="G1408" s="5"/>
      <c r="H1408" s="5"/>
      <c r="I1408" s="5"/>
    </row>
    <row r="1409">
      <c r="A1409" s="5"/>
      <c r="B1409" s="6"/>
      <c r="C1409" s="7"/>
      <c r="D1409" s="8"/>
      <c r="E1409" s="9"/>
      <c r="F1409" s="8"/>
      <c r="G1409" s="5"/>
      <c r="H1409" s="5"/>
      <c r="I1409" s="5"/>
    </row>
    <row r="1410">
      <c r="A1410" s="5"/>
      <c r="B1410" s="6"/>
      <c r="C1410" s="7"/>
      <c r="D1410" s="8"/>
      <c r="E1410" s="9"/>
      <c r="F1410" s="8"/>
      <c r="G1410" s="5"/>
      <c r="H1410" s="5"/>
      <c r="I1410" s="5"/>
    </row>
    <row r="1411">
      <c r="A1411" s="5"/>
      <c r="B1411" s="6"/>
      <c r="C1411" s="7"/>
      <c r="D1411" s="8"/>
      <c r="E1411" s="9"/>
      <c r="F1411" s="8"/>
      <c r="G1411" s="5"/>
      <c r="H1411" s="5"/>
      <c r="I1411" s="5"/>
    </row>
    <row r="1412">
      <c r="A1412" s="5"/>
      <c r="B1412" s="6"/>
      <c r="C1412" s="7"/>
      <c r="D1412" s="8"/>
      <c r="E1412" s="9"/>
      <c r="F1412" s="8"/>
      <c r="G1412" s="5"/>
      <c r="H1412" s="5"/>
      <c r="I1412" s="5"/>
    </row>
    <row r="1413">
      <c r="A1413" s="5"/>
      <c r="B1413" s="6"/>
      <c r="C1413" s="7"/>
      <c r="D1413" s="8"/>
      <c r="E1413" s="9"/>
      <c r="F1413" s="8"/>
      <c r="G1413" s="5"/>
      <c r="H1413" s="5"/>
      <c r="I1413" s="5"/>
    </row>
    <row r="1414">
      <c r="A1414" s="5"/>
      <c r="B1414" s="6"/>
      <c r="C1414" s="7"/>
      <c r="D1414" s="8"/>
      <c r="E1414" s="9"/>
      <c r="F1414" s="8"/>
      <c r="G1414" s="5"/>
      <c r="H1414" s="5"/>
      <c r="I1414" s="5"/>
    </row>
    <row r="1415">
      <c r="A1415" s="5"/>
      <c r="B1415" s="6"/>
      <c r="C1415" s="7"/>
      <c r="D1415" s="8"/>
      <c r="E1415" s="9"/>
      <c r="F1415" s="8"/>
      <c r="G1415" s="5"/>
      <c r="H1415" s="5"/>
      <c r="I1415" s="5"/>
    </row>
    <row r="1416">
      <c r="A1416" s="5"/>
      <c r="B1416" s="6"/>
      <c r="C1416" s="7"/>
      <c r="D1416" s="8"/>
      <c r="E1416" s="9"/>
      <c r="F1416" s="8"/>
      <c r="G1416" s="5"/>
      <c r="H1416" s="5"/>
      <c r="I1416" s="5"/>
    </row>
    <row r="1417">
      <c r="A1417" s="5"/>
      <c r="B1417" s="6"/>
      <c r="C1417" s="7"/>
      <c r="D1417" s="8"/>
      <c r="E1417" s="9"/>
      <c r="F1417" s="8"/>
      <c r="G1417" s="5"/>
      <c r="H1417" s="5"/>
      <c r="I1417" s="5"/>
    </row>
    <row r="1418">
      <c r="A1418" s="5"/>
      <c r="B1418" s="6"/>
      <c r="C1418" s="7"/>
      <c r="D1418" s="8"/>
      <c r="E1418" s="9"/>
      <c r="F1418" s="8"/>
      <c r="G1418" s="5"/>
      <c r="H1418" s="5"/>
      <c r="I1418" s="5"/>
    </row>
    <row r="1419">
      <c r="A1419" s="5"/>
      <c r="B1419" s="6"/>
      <c r="C1419" s="7"/>
      <c r="D1419" s="8"/>
      <c r="E1419" s="9"/>
      <c r="F1419" s="8"/>
      <c r="G1419" s="5"/>
      <c r="H1419" s="5"/>
      <c r="I1419" s="5"/>
    </row>
    <row r="1420">
      <c r="A1420" s="5"/>
      <c r="B1420" s="6"/>
      <c r="C1420" s="7"/>
      <c r="D1420" s="8"/>
      <c r="E1420" s="9"/>
      <c r="F1420" s="8"/>
      <c r="G1420" s="5"/>
      <c r="H1420" s="5"/>
      <c r="I1420" s="5"/>
    </row>
    <row r="1421">
      <c r="A1421" s="5"/>
      <c r="B1421" s="6"/>
      <c r="C1421" s="7"/>
      <c r="D1421" s="8"/>
      <c r="E1421" s="9"/>
      <c r="F1421" s="8"/>
      <c r="G1421" s="5"/>
      <c r="H1421" s="5"/>
      <c r="I1421" s="5"/>
    </row>
    <row r="1422">
      <c r="A1422" s="5"/>
      <c r="B1422" s="6"/>
      <c r="C1422" s="7"/>
      <c r="D1422" s="8"/>
      <c r="E1422" s="9"/>
      <c r="F1422" s="8"/>
      <c r="G1422" s="5"/>
      <c r="H1422" s="5"/>
      <c r="I1422" s="5"/>
    </row>
    <row r="1423">
      <c r="A1423" s="5"/>
      <c r="B1423" s="6"/>
      <c r="C1423" s="7"/>
      <c r="D1423" s="8"/>
      <c r="E1423" s="9"/>
      <c r="F1423" s="8"/>
      <c r="G1423" s="5"/>
      <c r="H1423" s="5"/>
      <c r="I1423" s="5"/>
    </row>
    <row r="1424">
      <c r="A1424" s="5"/>
      <c r="B1424" s="6"/>
      <c r="C1424" s="7"/>
      <c r="D1424" s="8"/>
      <c r="E1424" s="9"/>
      <c r="F1424" s="8"/>
      <c r="G1424" s="5"/>
      <c r="H1424" s="5"/>
      <c r="I1424" s="5"/>
    </row>
    <row r="1425">
      <c r="A1425" s="5"/>
      <c r="B1425" s="6"/>
      <c r="C1425" s="7"/>
      <c r="D1425" s="8"/>
      <c r="E1425" s="9"/>
      <c r="F1425" s="8"/>
      <c r="G1425" s="5"/>
      <c r="H1425" s="5"/>
      <c r="I1425" s="5"/>
    </row>
    <row r="1426">
      <c r="A1426" s="5"/>
      <c r="B1426" s="6"/>
      <c r="C1426" s="7"/>
      <c r="D1426" s="8"/>
      <c r="E1426" s="9"/>
      <c r="F1426" s="8"/>
      <c r="G1426" s="5"/>
      <c r="H1426" s="5"/>
      <c r="I1426" s="5"/>
    </row>
    <row r="1427">
      <c r="A1427" s="5"/>
      <c r="B1427" s="6"/>
      <c r="C1427" s="7"/>
      <c r="D1427" s="8"/>
      <c r="E1427" s="9"/>
      <c r="F1427" s="8"/>
      <c r="G1427" s="5"/>
      <c r="H1427" s="5"/>
      <c r="I1427" s="5"/>
    </row>
    <row r="1428">
      <c r="A1428" s="5"/>
      <c r="B1428" s="6"/>
      <c r="C1428" s="7"/>
      <c r="D1428" s="8"/>
      <c r="E1428" s="9"/>
      <c r="F1428" s="8"/>
      <c r="G1428" s="5"/>
      <c r="H1428" s="5"/>
      <c r="I1428" s="5"/>
    </row>
    <row r="1429">
      <c r="A1429" s="5"/>
      <c r="B1429" s="6"/>
      <c r="C1429" s="7"/>
      <c r="D1429" s="8"/>
      <c r="E1429" s="9"/>
      <c r="F1429" s="8"/>
      <c r="G1429" s="5"/>
      <c r="H1429" s="5"/>
      <c r="I1429" s="5"/>
    </row>
    <row r="1430">
      <c r="A1430" s="5"/>
      <c r="B1430" s="6"/>
      <c r="C1430" s="7"/>
      <c r="D1430" s="8"/>
      <c r="E1430" s="9"/>
      <c r="F1430" s="8"/>
      <c r="G1430" s="5"/>
      <c r="H1430" s="5"/>
      <c r="I1430" s="5"/>
    </row>
    <row r="1431">
      <c r="A1431" s="5"/>
      <c r="B1431" s="6"/>
      <c r="C1431" s="7"/>
      <c r="D1431" s="8"/>
      <c r="E1431" s="9"/>
      <c r="F1431" s="8"/>
      <c r="G1431" s="5"/>
      <c r="H1431" s="5"/>
      <c r="I1431" s="5"/>
    </row>
    <row r="1432">
      <c r="A1432" s="5"/>
      <c r="B1432" s="6"/>
      <c r="C1432" s="7"/>
      <c r="D1432" s="8"/>
      <c r="E1432" s="9"/>
      <c r="F1432" s="8"/>
      <c r="G1432" s="5"/>
      <c r="H1432" s="5"/>
      <c r="I1432" s="5"/>
    </row>
    <row r="1433">
      <c r="A1433" s="5"/>
      <c r="B1433" s="6"/>
      <c r="C1433" s="7"/>
      <c r="D1433" s="8"/>
      <c r="E1433" s="9"/>
      <c r="F1433" s="8"/>
      <c r="G1433" s="5"/>
      <c r="H1433" s="5"/>
      <c r="I1433" s="5"/>
    </row>
    <row r="1434">
      <c r="A1434" s="5"/>
      <c r="B1434" s="6"/>
      <c r="C1434" s="7"/>
      <c r="D1434" s="8"/>
      <c r="E1434" s="9"/>
      <c r="F1434" s="8"/>
      <c r="G1434" s="5"/>
      <c r="H1434" s="5"/>
      <c r="I1434" s="5"/>
    </row>
    <row r="1435">
      <c r="A1435" s="5"/>
      <c r="B1435" s="6"/>
      <c r="C1435" s="7"/>
      <c r="D1435" s="8"/>
      <c r="E1435" s="9"/>
      <c r="F1435" s="8"/>
      <c r="G1435" s="5"/>
      <c r="H1435" s="5"/>
      <c r="I1435" s="5"/>
    </row>
    <row r="1436">
      <c r="A1436" s="5"/>
      <c r="B1436" s="6"/>
      <c r="C1436" s="7"/>
      <c r="D1436" s="8"/>
      <c r="E1436" s="9"/>
      <c r="F1436" s="8"/>
      <c r="G1436" s="5"/>
      <c r="H1436" s="5"/>
      <c r="I1436" s="5"/>
    </row>
    <row r="1437">
      <c r="A1437" s="5"/>
      <c r="B1437" s="6"/>
      <c r="C1437" s="7"/>
      <c r="D1437" s="8"/>
      <c r="E1437" s="9"/>
      <c r="F1437" s="8"/>
      <c r="G1437" s="5"/>
      <c r="H1437" s="5"/>
      <c r="I1437" s="5"/>
    </row>
    <row r="1438">
      <c r="A1438" s="5"/>
      <c r="B1438" s="6"/>
      <c r="C1438" s="7"/>
      <c r="D1438" s="8"/>
      <c r="E1438" s="9"/>
      <c r="F1438" s="8"/>
      <c r="G1438" s="5"/>
      <c r="H1438" s="5"/>
      <c r="I1438" s="5"/>
    </row>
    <row r="1439">
      <c r="A1439" s="5"/>
      <c r="B1439" s="6"/>
      <c r="C1439" s="7"/>
      <c r="D1439" s="8"/>
      <c r="E1439" s="9"/>
      <c r="F1439" s="8"/>
      <c r="G1439" s="5"/>
      <c r="H1439" s="5"/>
      <c r="I1439" s="5"/>
    </row>
    <row r="1440">
      <c r="A1440" s="5"/>
      <c r="B1440" s="6"/>
      <c r="C1440" s="7"/>
      <c r="D1440" s="8"/>
      <c r="E1440" s="9"/>
      <c r="F1440" s="8"/>
      <c r="G1440" s="5"/>
      <c r="H1440" s="5"/>
      <c r="I1440" s="5"/>
    </row>
    <row r="1441">
      <c r="A1441" s="5"/>
      <c r="B1441" s="6"/>
      <c r="C1441" s="7"/>
      <c r="D1441" s="8"/>
      <c r="E1441" s="9"/>
      <c r="F1441" s="8"/>
      <c r="G1441" s="5"/>
      <c r="H1441" s="5"/>
      <c r="I1441" s="5"/>
    </row>
    <row r="1442">
      <c r="A1442" s="5"/>
      <c r="B1442" s="6"/>
      <c r="C1442" s="7"/>
      <c r="D1442" s="8"/>
      <c r="E1442" s="9"/>
      <c r="F1442" s="8"/>
      <c r="G1442" s="5"/>
      <c r="H1442" s="5"/>
      <c r="I1442" s="5"/>
    </row>
    <row r="1443">
      <c r="A1443" s="5"/>
      <c r="B1443" s="6"/>
      <c r="C1443" s="7"/>
      <c r="D1443" s="8"/>
      <c r="E1443" s="9"/>
      <c r="F1443" s="8"/>
      <c r="G1443" s="5"/>
      <c r="H1443" s="5"/>
      <c r="I1443" s="5"/>
    </row>
    <row r="1444">
      <c r="A1444" s="5"/>
      <c r="B1444" s="6"/>
      <c r="C1444" s="7"/>
      <c r="D1444" s="8"/>
      <c r="E1444" s="9"/>
      <c r="F1444" s="8"/>
      <c r="G1444" s="5"/>
      <c r="H1444" s="5"/>
      <c r="I1444" s="5"/>
    </row>
    <row r="1445">
      <c r="A1445" s="5"/>
      <c r="B1445" s="6"/>
      <c r="C1445" s="7"/>
      <c r="D1445" s="8"/>
      <c r="E1445" s="9"/>
      <c r="F1445" s="8"/>
      <c r="G1445" s="5"/>
      <c r="H1445" s="5"/>
      <c r="I1445" s="5"/>
    </row>
    <row r="1446">
      <c r="A1446" s="5"/>
      <c r="B1446" s="6"/>
      <c r="C1446" s="7"/>
      <c r="D1446" s="8"/>
      <c r="E1446" s="9"/>
      <c r="F1446" s="8"/>
      <c r="G1446" s="5"/>
      <c r="H1446" s="5"/>
      <c r="I1446" s="5"/>
    </row>
    <row r="1447">
      <c r="A1447" s="5"/>
      <c r="B1447" s="6"/>
      <c r="C1447" s="7"/>
      <c r="D1447" s="8"/>
      <c r="E1447" s="9"/>
      <c r="F1447" s="8"/>
      <c r="G1447" s="5"/>
      <c r="H1447" s="5"/>
      <c r="I1447" s="5"/>
    </row>
    <row r="1448">
      <c r="A1448" s="5"/>
      <c r="B1448" s="6"/>
      <c r="C1448" s="7"/>
      <c r="D1448" s="8"/>
      <c r="E1448" s="9"/>
      <c r="F1448" s="8"/>
      <c r="G1448" s="5"/>
      <c r="H1448" s="5"/>
      <c r="I1448" s="5"/>
    </row>
    <row r="1449">
      <c r="A1449" s="5"/>
      <c r="B1449" s="6"/>
      <c r="C1449" s="7"/>
      <c r="D1449" s="8"/>
      <c r="E1449" s="9"/>
      <c r="F1449" s="8"/>
      <c r="G1449" s="5"/>
      <c r="H1449" s="5"/>
      <c r="I1449" s="5"/>
    </row>
    <row r="1450">
      <c r="A1450" s="5"/>
      <c r="B1450" s="6"/>
      <c r="C1450" s="7"/>
      <c r="D1450" s="8"/>
      <c r="E1450" s="9"/>
      <c r="F1450" s="8"/>
      <c r="G1450" s="5"/>
      <c r="H1450" s="5"/>
      <c r="I1450" s="5"/>
    </row>
    <row r="1451">
      <c r="A1451" s="5"/>
      <c r="B1451" s="6"/>
      <c r="C1451" s="7"/>
      <c r="D1451" s="8"/>
      <c r="E1451" s="9"/>
      <c r="F1451" s="8"/>
      <c r="G1451" s="5"/>
      <c r="H1451" s="5"/>
      <c r="I1451" s="5"/>
    </row>
    <row r="1452">
      <c r="A1452" s="5"/>
      <c r="B1452" s="6"/>
      <c r="C1452" s="7"/>
      <c r="D1452" s="8"/>
      <c r="E1452" s="9"/>
      <c r="F1452" s="8"/>
      <c r="G1452" s="5"/>
      <c r="H1452" s="5"/>
      <c r="I1452" s="5"/>
    </row>
    <row r="1453">
      <c r="A1453" s="5"/>
      <c r="B1453" s="6"/>
      <c r="C1453" s="7"/>
      <c r="D1453" s="8"/>
      <c r="E1453" s="9"/>
      <c r="F1453" s="8"/>
      <c r="G1453" s="5"/>
      <c r="H1453" s="5"/>
      <c r="I1453" s="5"/>
    </row>
    <row r="1454">
      <c r="A1454" s="5"/>
      <c r="B1454" s="6"/>
      <c r="C1454" s="7"/>
      <c r="D1454" s="8"/>
      <c r="E1454" s="9"/>
      <c r="F1454" s="8"/>
      <c r="G1454" s="5"/>
      <c r="H1454" s="5"/>
      <c r="I1454" s="5"/>
    </row>
    <row r="1455">
      <c r="A1455" s="5"/>
      <c r="B1455" s="6"/>
      <c r="C1455" s="7"/>
      <c r="D1455" s="8"/>
      <c r="E1455" s="9"/>
      <c r="F1455" s="8"/>
      <c r="G1455" s="5"/>
      <c r="H1455" s="5"/>
      <c r="I1455" s="5"/>
    </row>
    <row r="1456">
      <c r="A1456" s="5"/>
      <c r="B1456" s="6"/>
      <c r="C1456" s="7"/>
      <c r="D1456" s="8"/>
      <c r="E1456" s="9"/>
      <c r="F1456" s="8"/>
      <c r="G1456" s="5"/>
      <c r="H1456" s="5"/>
      <c r="I1456" s="5"/>
    </row>
    <row r="1457">
      <c r="A1457" s="5"/>
      <c r="B1457" s="6"/>
      <c r="C1457" s="7"/>
      <c r="D1457" s="8"/>
      <c r="E1457" s="9"/>
      <c r="F1457" s="8"/>
      <c r="G1457" s="5"/>
      <c r="H1457" s="5"/>
      <c r="I1457" s="5"/>
    </row>
    <row r="1458">
      <c r="A1458" s="5"/>
      <c r="B1458" s="6"/>
      <c r="C1458" s="7"/>
      <c r="D1458" s="8"/>
      <c r="E1458" s="9"/>
      <c r="F1458" s="8"/>
      <c r="G1458" s="5"/>
      <c r="H1458" s="5"/>
      <c r="I1458" s="5"/>
    </row>
    <row r="1459">
      <c r="A1459" s="5"/>
      <c r="B1459" s="6"/>
      <c r="C1459" s="7"/>
      <c r="D1459" s="8"/>
      <c r="E1459" s="9"/>
      <c r="F1459" s="8"/>
      <c r="G1459" s="5"/>
      <c r="H1459" s="5"/>
      <c r="I1459" s="5"/>
    </row>
    <row r="1460">
      <c r="A1460" s="5"/>
      <c r="B1460" s="6"/>
      <c r="C1460" s="7"/>
      <c r="D1460" s="8"/>
      <c r="E1460" s="9"/>
      <c r="F1460" s="8"/>
      <c r="G1460" s="5"/>
      <c r="H1460" s="5"/>
      <c r="I1460" s="5"/>
    </row>
    <row r="1461">
      <c r="A1461" s="5"/>
      <c r="B1461" s="6"/>
      <c r="C1461" s="7"/>
      <c r="D1461" s="8"/>
      <c r="E1461" s="9"/>
      <c r="F1461" s="8"/>
      <c r="G1461" s="5"/>
      <c r="H1461" s="5"/>
      <c r="I1461" s="5"/>
    </row>
    <row r="1462">
      <c r="A1462" s="5"/>
      <c r="B1462" s="6"/>
      <c r="C1462" s="7"/>
      <c r="D1462" s="8"/>
      <c r="E1462" s="9"/>
      <c r="F1462" s="8"/>
      <c r="G1462" s="5"/>
      <c r="H1462" s="5"/>
      <c r="I1462" s="5"/>
    </row>
    <row r="1463">
      <c r="A1463" s="5"/>
      <c r="B1463" s="6"/>
      <c r="C1463" s="7"/>
      <c r="D1463" s="8"/>
      <c r="E1463" s="9"/>
      <c r="F1463" s="8"/>
      <c r="G1463" s="5"/>
      <c r="H1463" s="5"/>
      <c r="I1463" s="5"/>
    </row>
    <row r="1464">
      <c r="A1464" s="5"/>
      <c r="B1464" s="6"/>
      <c r="C1464" s="7"/>
      <c r="D1464" s="8"/>
      <c r="E1464" s="9"/>
      <c r="F1464" s="8"/>
      <c r="G1464" s="5"/>
      <c r="H1464" s="5"/>
      <c r="I1464" s="5"/>
    </row>
    <row r="1465">
      <c r="A1465" s="5"/>
      <c r="B1465" s="6"/>
      <c r="C1465" s="7"/>
      <c r="D1465" s="8"/>
      <c r="E1465" s="9"/>
      <c r="F1465" s="8"/>
      <c r="G1465" s="5"/>
      <c r="H1465" s="5"/>
      <c r="I1465" s="5"/>
    </row>
    <row r="1466">
      <c r="A1466" s="5"/>
      <c r="B1466" s="6"/>
      <c r="C1466" s="7"/>
      <c r="D1466" s="8"/>
      <c r="E1466" s="9"/>
      <c r="F1466" s="8"/>
      <c r="G1466" s="5"/>
      <c r="H1466" s="5"/>
      <c r="I1466" s="5"/>
    </row>
    <row r="1467">
      <c r="A1467" s="5"/>
      <c r="B1467" s="6"/>
      <c r="C1467" s="7"/>
      <c r="D1467" s="8"/>
      <c r="E1467" s="9"/>
      <c r="F1467" s="8"/>
      <c r="G1467" s="5"/>
      <c r="H1467" s="5"/>
      <c r="I1467" s="5"/>
    </row>
    <row r="1468">
      <c r="A1468" s="5"/>
      <c r="B1468" s="6"/>
      <c r="C1468" s="7"/>
      <c r="D1468" s="8"/>
      <c r="E1468" s="9"/>
      <c r="F1468" s="8"/>
      <c r="G1468" s="5"/>
      <c r="H1468" s="5"/>
      <c r="I1468" s="5"/>
    </row>
    <row r="1469">
      <c r="A1469" s="5"/>
      <c r="B1469" s="6"/>
      <c r="C1469" s="7"/>
      <c r="D1469" s="8"/>
      <c r="E1469" s="9"/>
      <c r="F1469" s="8"/>
      <c r="G1469" s="5"/>
      <c r="H1469" s="5"/>
      <c r="I1469" s="5"/>
    </row>
    <row r="1470">
      <c r="A1470" s="5"/>
      <c r="B1470" s="6"/>
      <c r="C1470" s="7"/>
      <c r="D1470" s="8"/>
      <c r="E1470" s="9"/>
      <c r="F1470" s="8"/>
      <c r="G1470" s="5"/>
      <c r="H1470" s="5"/>
      <c r="I1470" s="5"/>
    </row>
    <row r="1471">
      <c r="A1471" s="5"/>
      <c r="B1471" s="6"/>
      <c r="C1471" s="7"/>
      <c r="D1471" s="8"/>
      <c r="E1471" s="9"/>
      <c r="F1471" s="8"/>
      <c r="G1471" s="5"/>
      <c r="H1471" s="5"/>
      <c r="I1471" s="5"/>
    </row>
    <row r="1472">
      <c r="A1472" s="5"/>
      <c r="B1472" s="6"/>
      <c r="C1472" s="7"/>
      <c r="D1472" s="8"/>
      <c r="E1472" s="9"/>
      <c r="F1472" s="8"/>
      <c r="G1472" s="5"/>
      <c r="H1472" s="5"/>
      <c r="I1472" s="5"/>
    </row>
    <row r="1473">
      <c r="A1473" s="5"/>
      <c r="B1473" s="6"/>
      <c r="C1473" s="7"/>
      <c r="D1473" s="8"/>
      <c r="E1473" s="9"/>
      <c r="F1473" s="8"/>
      <c r="G1473" s="5"/>
      <c r="H1473" s="5"/>
      <c r="I1473" s="5"/>
    </row>
    <row r="1474">
      <c r="A1474" s="5"/>
      <c r="B1474" s="6"/>
      <c r="C1474" s="7"/>
      <c r="D1474" s="8"/>
      <c r="E1474" s="9"/>
      <c r="F1474" s="8"/>
      <c r="G1474" s="5"/>
      <c r="H1474" s="5"/>
      <c r="I1474" s="5"/>
    </row>
    <row r="1475">
      <c r="A1475" s="5"/>
      <c r="B1475" s="6"/>
      <c r="C1475" s="7"/>
      <c r="D1475" s="8"/>
      <c r="E1475" s="9"/>
      <c r="F1475" s="8"/>
      <c r="G1475" s="5"/>
      <c r="H1475" s="5"/>
      <c r="I1475" s="5"/>
    </row>
    <row r="1476">
      <c r="A1476" s="5"/>
      <c r="B1476" s="6"/>
      <c r="C1476" s="7"/>
      <c r="D1476" s="8"/>
      <c r="E1476" s="9"/>
      <c r="F1476" s="8"/>
      <c r="G1476" s="5"/>
      <c r="H1476" s="5"/>
      <c r="I1476" s="5"/>
    </row>
    <row r="1477">
      <c r="A1477" s="5"/>
      <c r="B1477" s="6"/>
      <c r="C1477" s="7"/>
      <c r="D1477" s="8"/>
      <c r="E1477" s="9"/>
      <c r="F1477" s="8"/>
      <c r="G1477" s="5"/>
      <c r="H1477" s="5"/>
      <c r="I1477" s="5"/>
    </row>
    <row r="1478">
      <c r="A1478" s="5"/>
      <c r="B1478" s="6"/>
      <c r="C1478" s="7"/>
      <c r="D1478" s="8"/>
      <c r="E1478" s="9"/>
      <c r="F1478" s="8"/>
      <c r="G1478" s="5"/>
      <c r="H1478" s="5"/>
      <c r="I1478" s="5"/>
    </row>
    <row r="1479">
      <c r="A1479" s="5"/>
      <c r="B1479" s="6"/>
      <c r="C1479" s="7"/>
      <c r="D1479" s="8"/>
      <c r="E1479" s="9"/>
      <c r="F1479" s="8"/>
      <c r="G1479" s="5"/>
      <c r="H1479" s="5"/>
      <c r="I1479" s="5"/>
    </row>
    <row r="1480">
      <c r="A1480" s="5"/>
      <c r="B1480" s="6"/>
      <c r="C1480" s="7"/>
      <c r="D1480" s="8"/>
      <c r="E1480" s="9"/>
      <c r="F1480" s="8"/>
      <c r="G1480" s="5"/>
      <c r="H1480" s="5"/>
      <c r="I1480" s="5"/>
    </row>
    <row r="1481">
      <c r="A1481" s="5"/>
      <c r="B1481" s="6"/>
      <c r="C1481" s="7"/>
      <c r="D1481" s="8"/>
      <c r="E1481" s="9"/>
      <c r="F1481" s="8"/>
      <c r="G1481" s="5"/>
      <c r="H1481" s="5"/>
      <c r="I1481" s="5"/>
    </row>
    <row r="1482">
      <c r="A1482" s="5"/>
      <c r="B1482" s="6"/>
      <c r="C1482" s="7"/>
      <c r="D1482" s="8"/>
      <c r="E1482" s="9"/>
      <c r="F1482" s="8"/>
      <c r="G1482" s="5"/>
      <c r="H1482" s="5"/>
      <c r="I1482" s="5"/>
    </row>
    <row r="1483">
      <c r="A1483" s="5"/>
      <c r="B1483" s="6"/>
      <c r="C1483" s="7"/>
      <c r="D1483" s="8"/>
      <c r="E1483" s="9"/>
      <c r="F1483" s="8"/>
      <c r="G1483" s="5"/>
      <c r="H1483" s="5"/>
      <c r="I1483" s="5"/>
    </row>
    <row r="1484">
      <c r="A1484" s="5"/>
      <c r="B1484" s="6"/>
      <c r="C1484" s="7"/>
      <c r="D1484" s="8"/>
      <c r="E1484" s="9"/>
      <c r="F1484" s="8"/>
      <c r="G1484" s="5"/>
      <c r="H1484" s="5"/>
      <c r="I1484" s="5"/>
    </row>
    <row r="1485">
      <c r="A1485" s="5"/>
      <c r="B1485" s="6"/>
      <c r="C1485" s="7"/>
      <c r="D1485" s="8"/>
      <c r="E1485" s="9"/>
      <c r="F1485" s="8"/>
      <c r="G1485" s="5"/>
      <c r="H1485" s="5"/>
      <c r="I1485" s="5"/>
    </row>
    <row r="1486">
      <c r="A1486" s="5"/>
      <c r="B1486" s="6"/>
      <c r="C1486" s="7"/>
      <c r="D1486" s="8"/>
      <c r="E1486" s="9"/>
      <c r="F1486" s="8"/>
      <c r="G1486" s="5"/>
      <c r="H1486" s="5"/>
      <c r="I1486" s="5"/>
    </row>
    <row r="1487">
      <c r="A1487" s="5"/>
      <c r="B1487" s="6"/>
      <c r="C1487" s="7"/>
      <c r="D1487" s="8"/>
      <c r="E1487" s="9"/>
      <c r="F1487" s="8"/>
      <c r="G1487" s="5"/>
      <c r="H1487" s="5"/>
      <c r="I1487" s="5"/>
    </row>
    <row r="1488">
      <c r="A1488" s="5"/>
      <c r="B1488" s="6"/>
      <c r="C1488" s="7"/>
      <c r="D1488" s="8"/>
      <c r="E1488" s="9"/>
      <c r="F1488" s="8"/>
      <c r="G1488" s="5"/>
      <c r="H1488" s="5"/>
      <c r="I1488" s="5"/>
    </row>
    <row r="1489">
      <c r="A1489" s="5"/>
      <c r="B1489" s="6"/>
      <c r="C1489" s="7"/>
      <c r="D1489" s="8"/>
      <c r="E1489" s="9"/>
      <c r="F1489" s="8"/>
      <c r="G1489" s="5"/>
      <c r="H1489" s="5"/>
      <c r="I1489" s="5"/>
    </row>
    <row r="1490">
      <c r="A1490" s="5"/>
      <c r="B1490" s="6"/>
      <c r="C1490" s="7"/>
      <c r="D1490" s="8"/>
      <c r="E1490" s="9"/>
      <c r="F1490" s="8"/>
      <c r="G1490" s="5"/>
      <c r="H1490" s="5"/>
      <c r="I1490" s="5"/>
    </row>
    <row r="1491">
      <c r="A1491" s="5"/>
      <c r="B1491" s="6"/>
      <c r="C1491" s="7"/>
      <c r="D1491" s="8"/>
      <c r="E1491" s="9"/>
      <c r="F1491" s="8"/>
      <c r="G1491" s="5"/>
      <c r="H1491" s="5"/>
      <c r="I1491" s="5"/>
    </row>
    <row r="1492">
      <c r="A1492" s="5"/>
      <c r="B1492" s="6"/>
      <c r="C1492" s="7"/>
      <c r="D1492" s="8"/>
      <c r="E1492" s="9"/>
      <c r="F1492" s="8"/>
      <c r="G1492" s="5"/>
      <c r="H1492" s="5"/>
      <c r="I1492" s="5"/>
    </row>
    <row r="1493">
      <c r="A1493" s="5"/>
      <c r="B1493" s="6"/>
      <c r="C1493" s="7"/>
      <c r="D1493" s="8"/>
      <c r="E1493" s="9"/>
      <c r="F1493" s="8"/>
      <c r="G1493" s="5"/>
      <c r="H1493" s="5"/>
      <c r="I1493" s="5"/>
    </row>
    <row r="1494">
      <c r="A1494" s="5"/>
      <c r="B1494" s="6"/>
      <c r="C1494" s="7"/>
      <c r="D1494" s="8"/>
      <c r="E1494" s="9"/>
      <c r="F1494" s="8"/>
      <c r="G1494" s="5"/>
      <c r="H1494" s="5"/>
      <c r="I1494" s="5"/>
    </row>
    <row r="1495">
      <c r="A1495" s="5"/>
      <c r="B1495" s="6"/>
      <c r="C1495" s="7"/>
      <c r="D1495" s="8"/>
      <c r="E1495" s="9"/>
      <c r="F1495" s="8"/>
      <c r="G1495" s="5"/>
      <c r="H1495" s="5"/>
      <c r="I1495" s="5"/>
    </row>
    <row r="1496">
      <c r="A1496" s="5"/>
      <c r="B1496" s="6"/>
      <c r="C1496" s="7"/>
      <c r="D1496" s="8"/>
      <c r="E1496" s="9"/>
      <c r="F1496" s="8"/>
      <c r="G1496" s="5"/>
      <c r="H1496" s="5"/>
      <c r="I1496" s="5"/>
    </row>
    <row r="1497">
      <c r="A1497" s="5"/>
      <c r="B1497" s="6"/>
      <c r="C1497" s="7"/>
      <c r="D1497" s="8"/>
      <c r="E1497" s="9"/>
      <c r="F1497" s="8"/>
      <c r="G1497" s="5"/>
      <c r="H1497" s="5"/>
      <c r="I1497" s="5"/>
    </row>
    <row r="1498">
      <c r="A1498" s="5"/>
      <c r="B1498" s="6"/>
      <c r="C1498" s="7"/>
      <c r="D1498" s="8"/>
      <c r="E1498" s="9"/>
      <c r="F1498" s="8"/>
      <c r="G1498" s="5"/>
      <c r="H1498" s="5"/>
      <c r="I1498" s="5"/>
    </row>
    <row r="1499">
      <c r="A1499" s="5"/>
      <c r="B1499" s="6"/>
      <c r="C1499" s="7"/>
      <c r="D1499" s="8"/>
      <c r="E1499" s="9"/>
      <c r="F1499" s="8"/>
      <c r="G1499" s="5"/>
      <c r="H1499" s="5"/>
      <c r="I1499" s="5"/>
    </row>
    <row r="1500">
      <c r="A1500" s="5"/>
      <c r="B1500" s="6"/>
      <c r="C1500" s="7"/>
      <c r="D1500" s="8"/>
      <c r="E1500" s="9"/>
      <c r="F1500" s="8"/>
      <c r="G1500" s="5"/>
      <c r="H1500" s="5"/>
      <c r="I1500" s="5"/>
    </row>
    <row r="1501">
      <c r="A1501" s="5"/>
      <c r="B1501" s="6"/>
      <c r="C1501" s="7"/>
      <c r="D1501" s="8"/>
      <c r="E1501" s="9"/>
      <c r="F1501" s="8"/>
      <c r="G1501" s="5"/>
      <c r="H1501" s="5"/>
      <c r="I1501" s="5"/>
    </row>
    <row r="1502">
      <c r="A1502" s="5"/>
      <c r="B1502" s="6"/>
      <c r="C1502" s="7"/>
      <c r="D1502" s="8"/>
      <c r="E1502" s="9"/>
      <c r="F1502" s="8"/>
      <c r="G1502" s="5"/>
      <c r="H1502" s="5"/>
      <c r="I1502" s="5"/>
    </row>
    <row r="1503">
      <c r="A1503" s="5"/>
      <c r="B1503" s="6"/>
      <c r="C1503" s="7"/>
      <c r="D1503" s="8"/>
      <c r="E1503" s="9"/>
      <c r="F1503" s="8"/>
      <c r="G1503" s="5"/>
      <c r="H1503" s="5"/>
      <c r="I1503" s="5"/>
    </row>
    <row r="1504">
      <c r="A1504" s="5"/>
      <c r="B1504" s="6"/>
      <c r="C1504" s="7"/>
      <c r="D1504" s="8"/>
      <c r="E1504" s="9"/>
      <c r="F1504" s="8"/>
      <c r="G1504" s="5"/>
      <c r="H1504" s="5"/>
      <c r="I1504" s="5"/>
    </row>
    <row r="1505">
      <c r="A1505" s="5"/>
      <c r="B1505" s="6"/>
      <c r="C1505" s="7"/>
      <c r="D1505" s="8"/>
      <c r="E1505" s="9"/>
      <c r="F1505" s="8"/>
      <c r="G1505" s="5"/>
      <c r="H1505" s="5"/>
      <c r="I1505" s="5"/>
    </row>
    <row r="1506">
      <c r="A1506" s="5"/>
      <c r="B1506" s="6"/>
      <c r="C1506" s="7"/>
      <c r="D1506" s="8"/>
      <c r="E1506" s="9"/>
      <c r="F1506" s="8"/>
      <c r="G1506" s="5"/>
      <c r="H1506" s="5"/>
      <c r="I1506" s="5"/>
    </row>
    <row r="1507">
      <c r="A1507" s="5"/>
      <c r="B1507" s="6"/>
      <c r="C1507" s="7"/>
      <c r="D1507" s="8"/>
      <c r="E1507" s="9"/>
      <c r="F1507" s="8"/>
      <c r="G1507" s="5"/>
      <c r="H1507" s="5"/>
      <c r="I1507" s="5"/>
    </row>
    <row r="1508">
      <c r="A1508" s="5"/>
      <c r="B1508" s="6"/>
      <c r="C1508" s="7"/>
      <c r="D1508" s="8"/>
      <c r="E1508" s="9"/>
      <c r="F1508" s="8"/>
      <c r="G1508" s="5"/>
      <c r="H1508" s="5"/>
      <c r="I1508" s="5"/>
    </row>
    <row r="1509">
      <c r="A1509" s="5"/>
      <c r="B1509" s="6"/>
      <c r="C1509" s="7"/>
      <c r="D1509" s="8"/>
      <c r="E1509" s="9"/>
      <c r="F1509" s="8"/>
      <c r="G1509" s="5"/>
      <c r="H1509" s="5"/>
      <c r="I1509" s="5"/>
    </row>
    <row r="1510">
      <c r="A1510" s="5"/>
      <c r="B1510" s="6"/>
      <c r="C1510" s="7"/>
      <c r="D1510" s="8"/>
      <c r="E1510" s="9"/>
      <c r="F1510" s="8"/>
      <c r="G1510" s="5"/>
      <c r="H1510" s="5"/>
      <c r="I1510" s="5"/>
    </row>
    <row r="1511">
      <c r="A1511" s="5"/>
      <c r="B1511" s="6"/>
      <c r="C1511" s="7"/>
      <c r="D1511" s="8"/>
      <c r="E1511" s="9"/>
      <c r="F1511" s="8"/>
      <c r="G1511" s="5"/>
      <c r="H1511" s="5"/>
      <c r="I1511" s="5"/>
    </row>
    <row r="1512">
      <c r="A1512" s="5"/>
      <c r="B1512" s="6"/>
      <c r="C1512" s="7"/>
      <c r="D1512" s="8"/>
      <c r="E1512" s="9"/>
      <c r="F1512" s="8"/>
      <c r="G1512" s="5"/>
      <c r="H1512" s="5"/>
      <c r="I1512" s="5"/>
    </row>
    <row r="1513">
      <c r="A1513" s="5"/>
      <c r="B1513" s="6"/>
      <c r="C1513" s="7"/>
      <c r="D1513" s="8"/>
      <c r="E1513" s="9"/>
      <c r="F1513" s="8"/>
      <c r="G1513" s="5"/>
      <c r="H1513" s="5"/>
      <c r="I1513" s="5"/>
    </row>
    <row r="1514">
      <c r="A1514" s="5"/>
      <c r="B1514" s="6"/>
      <c r="C1514" s="7"/>
      <c r="D1514" s="8"/>
      <c r="E1514" s="9"/>
      <c r="F1514" s="8"/>
      <c r="G1514" s="5"/>
      <c r="H1514" s="5"/>
      <c r="I1514" s="5"/>
    </row>
    <row r="1515">
      <c r="A1515" s="5"/>
      <c r="B1515" s="6"/>
      <c r="C1515" s="7"/>
      <c r="D1515" s="8"/>
      <c r="E1515" s="9"/>
      <c r="F1515" s="8"/>
      <c r="G1515" s="5"/>
      <c r="H1515" s="5"/>
      <c r="I1515" s="5"/>
    </row>
    <row r="1516">
      <c r="A1516" s="5"/>
      <c r="B1516" s="6"/>
      <c r="C1516" s="7"/>
      <c r="D1516" s="8"/>
      <c r="E1516" s="9"/>
      <c r="F1516" s="8"/>
      <c r="G1516" s="5"/>
      <c r="H1516" s="5"/>
      <c r="I1516" s="5"/>
    </row>
    <row r="1517">
      <c r="A1517" s="5"/>
      <c r="B1517" s="6"/>
      <c r="C1517" s="7"/>
      <c r="D1517" s="8"/>
      <c r="E1517" s="9"/>
      <c r="F1517" s="8"/>
      <c r="G1517" s="5"/>
      <c r="H1517" s="5"/>
      <c r="I1517" s="5"/>
    </row>
    <row r="1518">
      <c r="A1518" s="5"/>
      <c r="B1518" s="6"/>
      <c r="C1518" s="7"/>
      <c r="D1518" s="8"/>
      <c r="E1518" s="9"/>
      <c r="F1518" s="8"/>
      <c r="G1518" s="5"/>
      <c r="H1518" s="5"/>
      <c r="I1518" s="5"/>
    </row>
    <row r="1519">
      <c r="A1519" s="5"/>
      <c r="B1519" s="6"/>
      <c r="C1519" s="7"/>
      <c r="D1519" s="8"/>
      <c r="E1519" s="9"/>
      <c r="F1519" s="8"/>
      <c r="G1519" s="5"/>
      <c r="H1519" s="5"/>
      <c r="I1519" s="5"/>
    </row>
    <row r="1520">
      <c r="A1520" s="5"/>
      <c r="B1520" s="6"/>
      <c r="C1520" s="7"/>
      <c r="D1520" s="8"/>
      <c r="E1520" s="9"/>
      <c r="F1520" s="8"/>
      <c r="G1520" s="5"/>
      <c r="H1520" s="5"/>
      <c r="I1520" s="5"/>
    </row>
    <row r="1521">
      <c r="A1521" s="5"/>
      <c r="B1521" s="6"/>
      <c r="C1521" s="7"/>
      <c r="D1521" s="8"/>
      <c r="E1521" s="9"/>
      <c r="F1521" s="8"/>
      <c r="G1521" s="5"/>
      <c r="H1521" s="5"/>
      <c r="I1521" s="5"/>
    </row>
    <row r="1522">
      <c r="A1522" s="5"/>
      <c r="B1522" s="6"/>
      <c r="C1522" s="7"/>
      <c r="D1522" s="8"/>
      <c r="E1522" s="9"/>
      <c r="F1522" s="8"/>
      <c r="G1522" s="5"/>
      <c r="H1522" s="5"/>
      <c r="I1522" s="5"/>
    </row>
    <row r="1523">
      <c r="A1523" s="5"/>
      <c r="B1523" s="6"/>
      <c r="C1523" s="7"/>
      <c r="D1523" s="8"/>
      <c r="E1523" s="9"/>
      <c r="F1523" s="8"/>
      <c r="G1523" s="5"/>
      <c r="H1523" s="5"/>
      <c r="I1523" s="5"/>
    </row>
    <row r="1524">
      <c r="A1524" s="5"/>
      <c r="B1524" s="6"/>
      <c r="C1524" s="7"/>
      <c r="D1524" s="8"/>
      <c r="E1524" s="9"/>
      <c r="F1524" s="8"/>
      <c r="G1524" s="5"/>
      <c r="H1524" s="5"/>
      <c r="I1524" s="5"/>
    </row>
    <row r="1525">
      <c r="A1525" s="5"/>
      <c r="B1525" s="6"/>
      <c r="C1525" s="7"/>
      <c r="D1525" s="8"/>
      <c r="E1525" s="9"/>
      <c r="F1525" s="8"/>
      <c r="G1525" s="5"/>
      <c r="H1525" s="5"/>
      <c r="I1525" s="5"/>
    </row>
    <row r="1526">
      <c r="A1526" s="5"/>
      <c r="B1526" s="6"/>
      <c r="C1526" s="7"/>
      <c r="D1526" s="8"/>
      <c r="E1526" s="9"/>
      <c r="F1526" s="8"/>
      <c r="G1526" s="5"/>
      <c r="H1526" s="5"/>
      <c r="I1526" s="5"/>
    </row>
    <row r="1527">
      <c r="A1527" s="5"/>
      <c r="B1527" s="6"/>
      <c r="C1527" s="7"/>
      <c r="D1527" s="8"/>
      <c r="E1527" s="9"/>
      <c r="F1527" s="8"/>
      <c r="G1527" s="5"/>
      <c r="H1527" s="5"/>
      <c r="I1527" s="5"/>
    </row>
    <row r="1528">
      <c r="A1528" s="5"/>
      <c r="B1528" s="6"/>
      <c r="C1528" s="7"/>
      <c r="D1528" s="8"/>
      <c r="E1528" s="9"/>
      <c r="F1528" s="8"/>
      <c r="G1528" s="5"/>
      <c r="H1528" s="5"/>
      <c r="I1528" s="5"/>
    </row>
    <row r="1529">
      <c r="A1529" s="5"/>
      <c r="B1529" s="6"/>
      <c r="C1529" s="7"/>
      <c r="D1529" s="8"/>
      <c r="E1529" s="9"/>
      <c r="F1529" s="8"/>
      <c r="G1529" s="5"/>
      <c r="H1529" s="5"/>
      <c r="I1529" s="5"/>
    </row>
    <row r="1530">
      <c r="A1530" s="5"/>
      <c r="B1530" s="6"/>
      <c r="C1530" s="7"/>
      <c r="D1530" s="8"/>
      <c r="E1530" s="9"/>
      <c r="F1530" s="8"/>
      <c r="G1530" s="5"/>
      <c r="H1530" s="5"/>
      <c r="I1530" s="5"/>
    </row>
    <row r="1531">
      <c r="A1531" s="5"/>
      <c r="B1531" s="6"/>
      <c r="C1531" s="7"/>
      <c r="D1531" s="8"/>
      <c r="E1531" s="9"/>
      <c r="F1531" s="8"/>
      <c r="G1531" s="5"/>
      <c r="H1531" s="5"/>
      <c r="I1531" s="5"/>
    </row>
    <row r="1532">
      <c r="A1532" s="5"/>
      <c r="B1532" s="6"/>
      <c r="C1532" s="7"/>
      <c r="D1532" s="8"/>
      <c r="E1532" s="9"/>
      <c r="F1532" s="8"/>
      <c r="G1532" s="5"/>
      <c r="H1532" s="5"/>
      <c r="I1532" s="5"/>
    </row>
    <row r="1533">
      <c r="A1533" s="5"/>
      <c r="B1533" s="6"/>
      <c r="C1533" s="7"/>
      <c r="D1533" s="8"/>
      <c r="E1533" s="9"/>
      <c r="F1533" s="8"/>
      <c r="G1533" s="5"/>
      <c r="H1533" s="5"/>
      <c r="I1533" s="5"/>
    </row>
    <row r="1534">
      <c r="A1534" s="5"/>
      <c r="B1534" s="6"/>
      <c r="C1534" s="7"/>
      <c r="D1534" s="8"/>
      <c r="E1534" s="9"/>
      <c r="F1534" s="8"/>
      <c r="G1534" s="5"/>
      <c r="H1534" s="5"/>
      <c r="I1534" s="5"/>
    </row>
    <row r="1535">
      <c r="A1535" s="5"/>
      <c r="B1535" s="6"/>
      <c r="C1535" s="7"/>
      <c r="D1535" s="8"/>
      <c r="E1535" s="9"/>
      <c r="F1535" s="8"/>
      <c r="G1535" s="5"/>
      <c r="H1535" s="5"/>
      <c r="I1535" s="5"/>
    </row>
    <row r="1536">
      <c r="A1536" s="5"/>
      <c r="B1536" s="6"/>
      <c r="C1536" s="7"/>
      <c r="D1536" s="8"/>
      <c r="E1536" s="9"/>
      <c r="F1536" s="8"/>
      <c r="G1536" s="5"/>
      <c r="H1536" s="5"/>
      <c r="I1536" s="5"/>
    </row>
    <row r="1537">
      <c r="A1537" s="5"/>
      <c r="B1537" s="6"/>
      <c r="C1537" s="7"/>
      <c r="D1537" s="8"/>
      <c r="E1537" s="9"/>
      <c r="F1537" s="8"/>
      <c r="G1537" s="5"/>
      <c r="H1537" s="5"/>
      <c r="I1537" s="5"/>
    </row>
    <row r="1538">
      <c r="A1538" s="5"/>
      <c r="B1538" s="6"/>
      <c r="C1538" s="7"/>
      <c r="D1538" s="8"/>
      <c r="E1538" s="9"/>
      <c r="F1538" s="8"/>
      <c r="G1538" s="5"/>
      <c r="H1538" s="5"/>
      <c r="I1538" s="5"/>
    </row>
    <row r="1539">
      <c r="A1539" s="5"/>
      <c r="B1539" s="6"/>
      <c r="C1539" s="7"/>
      <c r="D1539" s="8"/>
      <c r="E1539" s="9"/>
      <c r="F1539" s="8"/>
      <c r="G1539" s="5"/>
      <c r="H1539" s="5"/>
      <c r="I1539" s="5"/>
    </row>
    <row r="1540">
      <c r="A1540" s="5"/>
      <c r="B1540" s="6"/>
      <c r="C1540" s="7"/>
      <c r="D1540" s="8"/>
      <c r="E1540" s="9"/>
      <c r="F1540" s="8"/>
      <c r="G1540" s="5"/>
      <c r="H1540" s="5"/>
      <c r="I1540" s="5"/>
    </row>
    <row r="1541">
      <c r="A1541" s="5"/>
      <c r="B1541" s="6"/>
      <c r="C1541" s="7"/>
      <c r="D1541" s="8"/>
      <c r="E1541" s="9"/>
      <c r="F1541" s="8"/>
      <c r="G1541" s="5"/>
      <c r="H1541" s="5"/>
      <c r="I1541" s="5"/>
    </row>
    <row r="1542">
      <c r="A1542" s="5"/>
      <c r="B1542" s="6"/>
      <c r="C1542" s="7"/>
      <c r="D1542" s="8"/>
      <c r="E1542" s="9"/>
      <c r="F1542" s="8"/>
      <c r="G1542" s="5"/>
      <c r="H1542" s="5"/>
      <c r="I1542" s="5"/>
    </row>
    <row r="1543">
      <c r="A1543" s="5"/>
      <c r="B1543" s="6"/>
      <c r="C1543" s="7"/>
      <c r="D1543" s="8"/>
      <c r="E1543" s="9"/>
      <c r="F1543" s="8"/>
      <c r="G1543" s="5"/>
      <c r="H1543" s="5"/>
      <c r="I1543" s="5"/>
    </row>
    <row r="1544">
      <c r="A1544" s="5"/>
      <c r="B1544" s="6"/>
      <c r="C1544" s="7"/>
      <c r="D1544" s="8"/>
      <c r="E1544" s="9"/>
      <c r="F1544" s="8"/>
      <c r="G1544" s="5"/>
      <c r="H1544" s="5"/>
      <c r="I1544" s="5"/>
    </row>
    <row r="1545">
      <c r="A1545" s="5"/>
      <c r="B1545" s="6"/>
      <c r="C1545" s="7"/>
      <c r="D1545" s="8"/>
      <c r="E1545" s="9"/>
      <c r="F1545" s="8"/>
      <c r="G1545" s="5"/>
      <c r="H1545" s="5"/>
      <c r="I1545" s="5"/>
    </row>
    <row r="1546">
      <c r="A1546" s="5"/>
      <c r="B1546" s="6"/>
      <c r="C1546" s="7"/>
      <c r="D1546" s="8"/>
      <c r="E1546" s="9"/>
      <c r="F1546" s="8"/>
      <c r="G1546" s="5"/>
      <c r="H1546" s="5"/>
      <c r="I1546" s="5"/>
    </row>
    <row r="1547">
      <c r="A1547" s="5"/>
      <c r="B1547" s="6"/>
      <c r="C1547" s="7"/>
      <c r="D1547" s="8"/>
      <c r="E1547" s="9"/>
      <c r="F1547" s="8"/>
      <c r="G1547" s="5"/>
      <c r="H1547" s="5"/>
      <c r="I1547" s="5"/>
    </row>
    <row r="1548">
      <c r="A1548" s="5"/>
      <c r="B1548" s="6"/>
      <c r="C1548" s="7"/>
      <c r="D1548" s="8"/>
      <c r="E1548" s="9"/>
      <c r="F1548" s="8"/>
      <c r="G1548" s="5"/>
      <c r="H1548" s="5"/>
      <c r="I1548" s="5"/>
    </row>
    <row r="1549">
      <c r="A1549" s="5"/>
      <c r="B1549" s="6"/>
      <c r="C1549" s="7"/>
      <c r="D1549" s="8"/>
      <c r="E1549" s="9"/>
      <c r="F1549" s="8"/>
      <c r="G1549" s="5"/>
      <c r="H1549" s="5"/>
      <c r="I1549" s="5"/>
    </row>
    <row r="1550">
      <c r="A1550" s="5"/>
      <c r="B1550" s="6"/>
      <c r="C1550" s="7"/>
      <c r="D1550" s="8"/>
      <c r="E1550" s="9"/>
      <c r="F1550" s="8"/>
      <c r="G1550" s="5"/>
      <c r="H1550" s="5"/>
      <c r="I1550" s="5"/>
    </row>
    <row r="1551">
      <c r="A1551" s="5"/>
      <c r="B1551" s="6"/>
      <c r="C1551" s="7"/>
      <c r="D1551" s="8"/>
      <c r="E1551" s="9"/>
      <c r="F1551" s="8"/>
      <c r="G1551" s="5"/>
      <c r="H1551" s="5"/>
      <c r="I1551" s="5"/>
    </row>
    <row r="1552">
      <c r="A1552" s="5"/>
      <c r="B1552" s="6"/>
      <c r="C1552" s="7"/>
      <c r="D1552" s="8"/>
      <c r="E1552" s="9"/>
      <c r="F1552" s="8"/>
      <c r="G1552" s="5"/>
      <c r="H1552" s="5"/>
      <c r="I1552" s="5"/>
    </row>
    <row r="1553">
      <c r="A1553" s="5"/>
      <c r="B1553" s="6"/>
      <c r="C1553" s="7"/>
      <c r="D1553" s="8"/>
      <c r="E1553" s="9"/>
      <c r="F1553" s="8"/>
      <c r="G1553" s="5"/>
      <c r="H1553" s="5"/>
      <c r="I1553" s="5"/>
    </row>
    <row r="1554">
      <c r="A1554" s="5"/>
      <c r="B1554" s="6"/>
      <c r="C1554" s="7"/>
      <c r="D1554" s="8"/>
      <c r="E1554" s="9"/>
      <c r="F1554" s="8"/>
      <c r="G1554" s="5"/>
      <c r="H1554" s="5"/>
      <c r="I1554" s="5"/>
    </row>
    <row r="1555">
      <c r="A1555" s="5"/>
      <c r="B1555" s="6"/>
      <c r="C1555" s="7"/>
      <c r="D1555" s="8"/>
      <c r="E1555" s="9"/>
      <c r="F1555" s="8"/>
      <c r="G1555" s="5"/>
      <c r="H1555" s="5"/>
      <c r="I1555" s="5"/>
    </row>
    <row r="1556">
      <c r="A1556" s="5"/>
      <c r="B1556" s="6"/>
      <c r="C1556" s="7"/>
      <c r="D1556" s="8"/>
      <c r="E1556" s="9"/>
      <c r="F1556" s="8"/>
      <c r="G1556" s="5"/>
      <c r="H1556" s="5"/>
      <c r="I1556" s="5"/>
    </row>
    <row r="1557">
      <c r="A1557" s="5"/>
      <c r="B1557" s="6"/>
      <c r="C1557" s="7"/>
      <c r="D1557" s="8"/>
      <c r="E1557" s="9"/>
      <c r="F1557" s="8"/>
      <c r="G1557" s="5"/>
      <c r="H1557" s="5"/>
      <c r="I1557" s="5"/>
    </row>
    <row r="1558">
      <c r="A1558" s="5"/>
      <c r="B1558" s="6"/>
      <c r="C1558" s="7"/>
      <c r="D1558" s="8"/>
      <c r="E1558" s="9"/>
      <c r="F1558" s="8"/>
      <c r="G1558" s="5"/>
      <c r="H1558" s="5"/>
      <c r="I1558" s="5"/>
    </row>
    <row r="1559">
      <c r="A1559" s="5"/>
      <c r="B1559" s="6"/>
      <c r="C1559" s="7"/>
      <c r="D1559" s="8"/>
      <c r="E1559" s="9"/>
      <c r="F1559" s="8"/>
      <c r="G1559" s="5"/>
      <c r="H1559" s="5"/>
      <c r="I1559" s="5"/>
    </row>
    <row r="1560">
      <c r="A1560" s="5"/>
      <c r="B1560" s="6"/>
      <c r="C1560" s="7"/>
      <c r="D1560" s="8"/>
      <c r="E1560" s="9"/>
      <c r="F1560" s="8"/>
      <c r="G1560" s="5"/>
      <c r="H1560" s="5"/>
      <c r="I1560" s="5"/>
    </row>
    <row r="1561">
      <c r="A1561" s="5"/>
      <c r="B1561" s="6"/>
      <c r="C1561" s="7"/>
      <c r="D1561" s="8"/>
      <c r="E1561" s="9"/>
      <c r="F1561" s="8"/>
      <c r="G1561" s="5"/>
      <c r="H1561" s="5"/>
      <c r="I1561" s="5"/>
    </row>
    <row r="1562">
      <c r="A1562" s="5"/>
      <c r="B1562" s="6"/>
      <c r="C1562" s="7"/>
      <c r="D1562" s="8"/>
      <c r="E1562" s="9"/>
      <c r="F1562" s="8"/>
      <c r="G1562" s="5"/>
      <c r="H1562" s="5"/>
      <c r="I1562" s="5"/>
    </row>
    <row r="1563">
      <c r="A1563" s="5"/>
      <c r="B1563" s="6"/>
      <c r="C1563" s="7"/>
      <c r="D1563" s="8"/>
      <c r="E1563" s="9"/>
      <c r="F1563" s="8"/>
      <c r="G1563" s="5"/>
      <c r="H1563" s="5"/>
      <c r="I1563" s="5"/>
    </row>
    <row r="1564">
      <c r="A1564" s="5"/>
      <c r="B1564" s="6"/>
      <c r="C1564" s="7"/>
      <c r="D1564" s="8"/>
      <c r="E1564" s="9"/>
      <c r="F1564" s="8"/>
      <c r="G1564" s="5"/>
      <c r="H1564" s="5"/>
      <c r="I1564" s="5"/>
    </row>
    <row r="1565">
      <c r="A1565" s="5"/>
      <c r="B1565" s="6"/>
      <c r="C1565" s="7"/>
      <c r="D1565" s="8"/>
      <c r="E1565" s="9"/>
      <c r="F1565" s="8"/>
      <c r="G1565" s="5"/>
      <c r="H1565" s="5"/>
      <c r="I1565" s="5"/>
    </row>
    <row r="1566">
      <c r="A1566" s="5"/>
      <c r="B1566" s="6"/>
      <c r="C1566" s="7"/>
      <c r="D1566" s="8"/>
      <c r="E1566" s="9"/>
      <c r="F1566" s="8"/>
      <c r="G1566" s="5"/>
      <c r="H1566" s="5"/>
      <c r="I1566" s="5"/>
    </row>
    <row r="1567">
      <c r="A1567" s="5"/>
      <c r="B1567" s="6"/>
      <c r="C1567" s="7"/>
      <c r="D1567" s="8"/>
      <c r="E1567" s="9"/>
      <c r="F1567" s="8"/>
      <c r="G1567" s="5"/>
      <c r="H1567" s="5"/>
      <c r="I1567" s="5"/>
    </row>
    <row r="1568">
      <c r="A1568" s="5"/>
      <c r="B1568" s="6"/>
      <c r="C1568" s="7"/>
      <c r="D1568" s="8"/>
      <c r="E1568" s="9"/>
      <c r="F1568" s="8"/>
      <c r="G1568" s="5"/>
      <c r="H1568" s="5"/>
      <c r="I1568" s="5"/>
    </row>
    <row r="1569">
      <c r="A1569" s="5"/>
      <c r="B1569" s="6"/>
      <c r="C1569" s="7"/>
      <c r="D1569" s="8"/>
      <c r="E1569" s="9"/>
      <c r="F1569" s="8"/>
      <c r="G1569" s="5"/>
      <c r="H1569" s="5"/>
      <c r="I1569" s="5"/>
    </row>
    <row r="1570">
      <c r="A1570" s="5"/>
      <c r="B1570" s="6"/>
      <c r="C1570" s="7"/>
      <c r="D1570" s="8"/>
      <c r="E1570" s="9"/>
      <c r="F1570" s="8"/>
      <c r="G1570" s="5"/>
      <c r="H1570" s="5"/>
      <c r="I1570" s="5"/>
    </row>
    <row r="1571">
      <c r="A1571" s="5"/>
      <c r="B1571" s="6"/>
      <c r="C1571" s="7"/>
      <c r="D1571" s="8"/>
      <c r="E1571" s="9"/>
      <c r="F1571" s="8"/>
      <c r="G1571" s="5"/>
      <c r="H1571" s="5"/>
      <c r="I1571" s="5"/>
    </row>
    <row r="1572">
      <c r="A1572" s="5"/>
      <c r="B1572" s="6"/>
      <c r="C1572" s="7"/>
      <c r="D1572" s="8"/>
      <c r="E1572" s="9"/>
      <c r="F1572" s="8"/>
      <c r="G1572" s="5"/>
      <c r="H1572" s="5"/>
      <c r="I1572" s="5"/>
    </row>
    <row r="1573">
      <c r="A1573" s="5"/>
      <c r="B1573" s="6"/>
      <c r="C1573" s="7"/>
      <c r="D1573" s="8"/>
      <c r="E1573" s="9"/>
      <c r="F1573" s="8"/>
      <c r="G1573" s="5"/>
      <c r="H1573" s="5"/>
      <c r="I1573" s="5"/>
    </row>
    <row r="1574">
      <c r="A1574" s="5"/>
      <c r="B1574" s="6"/>
      <c r="C1574" s="7"/>
      <c r="D1574" s="8"/>
      <c r="E1574" s="9"/>
      <c r="F1574" s="8"/>
      <c r="G1574" s="5"/>
      <c r="H1574" s="5"/>
      <c r="I1574" s="5"/>
    </row>
    <row r="1575">
      <c r="A1575" s="5"/>
      <c r="B1575" s="6"/>
      <c r="C1575" s="7"/>
      <c r="D1575" s="8"/>
      <c r="E1575" s="9"/>
      <c r="F1575" s="8"/>
      <c r="G1575" s="5"/>
      <c r="H1575" s="5"/>
      <c r="I1575" s="5"/>
    </row>
    <row r="1576">
      <c r="A1576" s="5"/>
      <c r="B1576" s="6"/>
      <c r="C1576" s="7"/>
      <c r="D1576" s="8"/>
      <c r="E1576" s="9"/>
      <c r="F1576" s="8"/>
      <c r="G1576" s="5"/>
      <c r="H1576" s="5"/>
      <c r="I1576" s="5"/>
    </row>
    <row r="1577">
      <c r="A1577" s="5"/>
      <c r="B1577" s="6"/>
      <c r="C1577" s="7"/>
      <c r="D1577" s="8"/>
      <c r="E1577" s="9"/>
      <c r="F1577" s="8"/>
      <c r="G1577" s="5"/>
      <c r="H1577" s="5"/>
      <c r="I1577" s="5"/>
    </row>
    <row r="1578">
      <c r="A1578" s="5"/>
      <c r="B1578" s="6"/>
      <c r="C1578" s="7"/>
      <c r="D1578" s="8"/>
      <c r="E1578" s="9"/>
      <c r="F1578" s="8"/>
      <c r="G1578" s="5"/>
      <c r="H1578" s="5"/>
      <c r="I1578" s="5"/>
    </row>
    <row r="1579">
      <c r="A1579" s="5"/>
      <c r="B1579" s="6"/>
      <c r="C1579" s="7"/>
      <c r="D1579" s="8"/>
      <c r="E1579" s="9"/>
      <c r="F1579" s="8"/>
      <c r="G1579" s="5"/>
      <c r="H1579" s="5"/>
      <c r="I1579" s="5"/>
    </row>
    <row r="1580">
      <c r="A1580" s="5"/>
      <c r="B1580" s="6"/>
      <c r="C1580" s="7"/>
      <c r="D1580" s="8"/>
      <c r="E1580" s="9"/>
      <c r="F1580" s="8"/>
      <c r="G1580" s="5"/>
      <c r="H1580" s="5"/>
      <c r="I1580" s="5"/>
    </row>
    <row r="1581">
      <c r="A1581" s="5"/>
      <c r="B1581" s="6"/>
      <c r="C1581" s="7"/>
      <c r="D1581" s="8"/>
      <c r="E1581" s="9"/>
      <c r="F1581" s="8"/>
      <c r="G1581" s="5"/>
      <c r="H1581" s="5"/>
      <c r="I1581" s="5"/>
    </row>
    <row r="1582">
      <c r="A1582" s="5"/>
      <c r="B1582" s="6"/>
      <c r="C1582" s="7"/>
      <c r="D1582" s="8"/>
      <c r="E1582" s="9"/>
      <c r="F1582" s="8"/>
      <c r="G1582" s="5"/>
      <c r="H1582" s="5"/>
      <c r="I1582" s="5"/>
    </row>
    <row r="1583">
      <c r="A1583" s="5"/>
      <c r="B1583" s="6"/>
      <c r="C1583" s="7"/>
      <c r="D1583" s="8"/>
      <c r="E1583" s="9"/>
      <c r="F1583" s="8"/>
      <c r="G1583" s="5"/>
      <c r="H1583" s="5"/>
      <c r="I1583" s="5"/>
    </row>
    <row r="1584">
      <c r="A1584" s="5"/>
      <c r="B1584" s="6"/>
      <c r="C1584" s="7"/>
      <c r="D1584" s="8"/>
      <c r="E1584" s="9"/>
      <c r="F1584" s="8"/>
      <c r="G1584" s="5"/>
      <c r="H1584" s="5"/>
      <c r="I1584" s="5"/>
    </row>
    <row r="1585">
      <c r="A1585" s="5"/>
      <c r="B1585" s="6"/>
      <c r="C1585" s="7"/>
      <c r="D1585" s="8"/>
      <c r="E1585" s="9"/>
      <c r="F1585" s="8"/>
      <c r="G1585" s="5"/>
      <c r="H1585" s="5"/>
      <c r="I1585" s="5"/>
    </row>
    <row r="1586">
      <c r="A1586" s="5"/>
      <c r="B1586" s="6"/>
      <c r="C1586" s="7"/>
      <c r="D1586" s="8"/>
      <c r="E1586" s="9"/>
      <c r="F1586" s="8"/>
      <c r="G1586" s="5"/>
      <c r="H1586" s="5"/>
      <c r="I1586" s="5"/>
    </row>
    <row r="1587">
      <c r="A1587" s="5"/>
      <c r="B1587" s="6"/>
      <c r="C1587" s="7"/>
      <c r="D1587" s="8"/>
      <c r="E1587" s="9"/>
      <c r="F1587" s="8"/>
      <c r="G1587" s="5"/>
      <c r="H1587" s="5"/>
      <c r="I1587" s="5"/>
    </row>
    <row r="1588">
      <c r="A1588" s="5"/>
      <c r="B1588" s="6"/>
      <c r="C1588" s="7"/>
      <c r="D1588" s="8"/>
      <c r="E1588" s="9"/>
      <c r="F1588" s="8"/>
      <c r="G1588" s="5"/>
      <c r="H1588" s="5"/>
      <c r="I1588" s="5"/>
    </row>
    <row r="1589">
      <c r="A1589" s="5"/>
      <c r="B1589" s="6"/>
      <c r="C1589" s="7"/>
      <c r="D1589" s="8"/>
      <c r="E1589" s="9"/>
      <c r="F1589" s="8"/>
      <c r="G1589" s="5"/>
      <c r="H1589" s="5"/>
      <c r="I1589" s="5"/>
    </row>
    <row r="1590">
      <c r="A1590" s="5"/>
      <c r="B1590" s="6"/>
      <c r="C1590" s="7"/>
      <c r="D1590" s="8"/>
      <c r="E1590" s="9"/>
      <c r="F1590" s="8"/>
      <c r="G1590" s="5"/>
      <c r="H1590" s="5"/>
      <c r="I1590" s="5"/>
    </row>
    <row r="1591">
      <c r="A1591" s="5"/>
      <c r="B1591" s="6"/>
      <c r="C1591" s="7"/>
      <c r="D1591" s="8"/>
      <c r="E1591" s="9"/>
      <c r="F1591" s="8"/>
      <c r="G1591" s="5"/>
      <c r="H1591" s="5"/>
      <c r="I1591" s="5"/>
    </row>
    <row r="1592">
      <c r="A1592" s="5"/>
      <c r="B1592" s="6"/>
      <c r="C1592" s="7"/>
      <c r="D1592" s="8"/>
      <c r="E1592" s="9"/>
      <c r="F1592" s="8"/>
      <c r="G1592" s="5"/>
      <c r="H1592" s="5"/>
      <c r="I1592" s="5"/>
    </row>
    <row r="1593">
      <c r="A1593" s="5"/>
      <c r="B1593" s="6"/>
      <c r="C1593" s="7"/>
      <c r="D1593" s="8"/>
      <c r="E1593" s="9"/>
      <c r="F1593" s="8"/>
      <c r="G1593" s="5"/>
      <c r="H1593" s="5"/>
      <c r="I1593" s="5"/>
    </row>
    <row r="1594">
      <c r="A1594" s="5"/>
      <c r="B1594" s="6"/>
      <c r="C1594" s="7"/>
      <c r="D1594" s="8"/>
      <c r="E1594" s="9"/>
      <c r="F1594" s="8"/>
      <c r="G1594" s="5"/>
      <c r="H1594" s="5"/>
      <c r="I1594" s="5"/>
    </row>
    <row r="1595">
      <c r="A1595" s="5"/>
      <c r="B1595" s="6"/>
      <c r="C1595" s="7"/>
      <c r="D1595" s="8"/>
      <c r="E1595" s="9"/>
      <c r="F1595" s="8"/>
      <c r="G1595" s="5"/>
      <c r="H1595" s="5"/>
      <c r="I1595" s="5"/>
    </row>
    <row r="1596">
      <c r="A1596" s="5"/>
      <c r="B1596" s="6"/>
      <c r="C1596" s="7"/>
      <c r="D1596" s="8"/>
      <c r="E1596" s="9"/>
      <c r="F1596" s="8"/>
      <c r="G1596" s="5"/>
      <c r="H1596" s="5"/>
      <c r="I1596" s="5"/>
    </row>
    <row r="1597">
      <c r="A1597" s="5"/>
      <c r="B1597" s="6"/>
      <c r="C1597" s="7"/>
      <c r="D1597" s="8"/>
      <c r="E1597" s="9"/>
      <c r="F1597" s="8"/>
      <c r="G1597" s="5"/>
      <c r="H1597" s="5"/>
      <c r="I1597" s="5"/>
    </row>
    <row r="1598">
      <c r="A1598" s="5"/>
      <c r="B1598" s="6"/>
      <c r="C1598" s="7"/>
      <c r="D1598" s="8"/>
      <c r="E1598" s="9"/>
      <c r="F1598" s="8"/>
      <c r="G1598" s="5"/>
      <c r="H1598" s="5"/>
      <c r="I1598" s="5"/>
    </row>
    <row r="1599">
      <c r="A1599" s="5"/>
      <c r="B1599" s="6"/>
      <c r="C1599" s="7"/>
      <c r="D1599" s="8"/>
      <c r="E1599" s="9"/>
      <c r="F1599" s="8"/>
      <c r="G1599" s="5"/>
      <c r="H1599" s="5"/>
      <c r="I1599" s="5"/>
    </row>
    <row r="1600">
      <c r="A1600" s="5"/>
      <c r="B1600" s="6"/>
      <c r="C1600" s="7"/>
      <c r="D1600" s="8"/>
      <c r="E1600" s="9"/>
      <c r="F1600" s="8"/>
      <c r="G1600" s="5"/>
      <c r="H1600" s="5"/>
      <c r="I1600" s="5"/>
    </row>
    <row r="1601">
      <c r="A1601" s="5"/>
      <c r="B1601" s="6"/>
      <c r="C1601" s="7"/>
      <c r="D1601" s="8"/>
      <c r="E1601" s="9"/>
      <c r="F1601" s="8"/>
      <c r="G1601" s="5"/>
      <c r="H1601" s="5"/>
      <c r="I1601" s="5"/>
    </row>
    <row r="1602">
      <c r="A1602" s="5"/>
      <c r="B1602" s="6"/>
      <c r="C1602" s="7"/>
      <c r="D1602" s="8"/>
      <c r="E1602" s="9"/>
      <c r="F1602" s="8"/>
      <c r="G1602" s="5"/>
      <c r="H1602" s="5"/>
      <c r="I1602" s="5"/>
    </row>
    <row r="1603">
      <c r="A1603" s="5"/>
      <c r="B1603" s="6"/>
      <c r="C1603" s="7"/>
      <c r="D1603" s="8"/>
      <c r="E1603" s="9"/>
      <c r="F1603" s="8"/>
      <c r="G1603" s="5"/>
      <c r="H1603" s="5"/>
      <c r="I1603" s="5"/>
    </row>
    <row r="1604">
      <c r="A1604" s="5"/>
      <c r="B1604" s="6"/>
      <c r="C1604" s="7"/>
      <c r="D1604" s="8"/>
      <c r="E1604" s="9"/>
      <c r="F1604" s="8"/>
      <c r="G1604" s="5"/>
      <c r="H1604" s="5"/>
      <c r="I1604" s="5"/>
    </row>
    <row r="1605">
      <c r="A1605" s="5"/>
      <c r="B1605" s="6"/>
      <c r="C1605" s="7"/>
      <c r="D1605" s="8"/>
      <c r="E1605" s="9"/>
      <c r="F1605" s="8"/>
      <c r="G1605" s="5"/>
      <c r="H1605" s="5"/>
      <c r="I1605" s="5"/>
    </row>
    <row r="1606">
      <c r="A1606" s="5"/>
      <c r="B1606" s="6"/>
      <c r="C1606" s="7"/>
      <c r="D1606" s="8"/>
      <c r="E1606" s="9"/>
      <c r="F1606" s="8"/>
      <c r="G1606" s="5"/>
      <c r="H1606" s="5"/>
      <c r="I1606" s="5"/>
    </row>
    <row r="1607">
      <c r="A1607" s="5"/>
      <c r="B1607" s="6"/>
      <c r="C1607" s="7"/>
      <c r="D1607" s="8"/>
      <c r="E1607" s="9"/>
      <c r="F1607" s="8"/>
      <c r="G1607" s="5"/>
      <c r="H1607" s="5"/>
      <c r="I1607" s="5"/>
    </row>
    <row r="1608">
      <c r="A1608" s="5"/>
      <c r="B1608" s="6"/>
      <c r="C1608" s="7"/>
      <c r="D1608" s="8"/>
      <c r="E1608" s="9"/>
      <c r="F1608" s="8"/>
      <c r="G1608" s="5"/>
      <c r="H1608" s="5"/>
      <c r="I1608" s="5"/>
    </row>
    <row r="1609">
      <c r="A1609" s="5"/>
      <c r="B1609" s="6"/>
      <c r="C1609" s="7"/>
      <c r="D1609" s="8"/>
      <c r="E1609" s="9"/>
      <c r="F1609" s="8"/>
      <c r="G1609" s="5"/>
      <c r="H1609" s="5"/>
      <c r="I1609" s="5"/>
    </row>
    <row r="1610">
      <c r="A1610" s="5"/>
      <c r="B1610" s="6"/>
      <c r="C1610" s="7"/>
      <c r="D1610" s="8"/>
      <c r="E1610" s="9"/>
      <c r="F1610" s="8"/>
      <c r="G1610" s="5"/>
      <c r="H1610" s="5"/>
      <c r="I1610" s="5"/>
    </row>
    <row r="1611">
      <c r="A1611" s="5"/>
      <c r="B1611" s="6"/>
      <c r="C1611" s="7"/>
      <c r="D1611" s="8"/>
      <c r="E1611" s="9"/>
      <c r="F1611" s="8"/>
      <c r="G1611" s="5"/>
      <c r="H1611" s="5"/>
      <c r="I1611" s="5"/>
    </row>
    <row r="1612">
      <c r="A1612" s="5"/>
      <c r="B1612" s="6"/>
      <c r="C1612" s="7"/>
      <c r="D1612" s="8"/>
      <c r="E1612" s="9"/>
      <c r="F1612" s="8"/>
      <c r="G1612" s="5"/>
      <c r="H1612" s="5"/>
      <c r="I1612" s="5"/>
    </row>
    <row r="1613">
      <c r="A1613" s="5"/>
      <c r="B1613" s="6"/>
      <c r="C1613" s="7"/>
      <c r="D1613" s="8"/>
      <c r="E1613" s="9"/>
      <c r="F1613" s="8"/>
      <c r="G1613" s="5"/>
      <c r="H1613" s="5"/>
      <c r="I1613" s="5"/>
    </row>
    <row r="1614">
      <c r="A1614" s="5"/>
      <c r="B1614" s="6"/>
      <c r="C1614" s="7"/>
      <c r="D1614" s="8"/>
      <c r="E1614" s="9"/>
      <c r="F1614" s="8"/>
      <c r="G1614" s="5"/>
      <c r="H1614" s="5"/>
      <c r="I1614" s="5"/>
    </row>
    <row r="1615">
      <c r="A1615" s="5"/>
      <c r="B1615" s="6"/>
      <c r="C1615" s="7"/>
      <c r="D1615" s="8"/>
      <c r="E1615" s="9"/>
      <c r="F1615" s="8"/>
      <c r="G1615" s="5"/>
      <c r="H1615" s="5"/>
      <c r="I1615" s="5"/>
    </row>
    <row r="1616">
      <c r="A1616" s="5"/>
      <c r="B1616" s="6"/>
      <c r="C1616" s="7"/>
      <c r="D1616" s="8"/>
      <c r="E1616" s="9"/>
      <c r="F1616" s="8"/>
      <c r="G1616" s="5"/>
      <c r="H1616" s="5"/>
      <c r="I1616" s="5"/>
    </row>
    <row r="1617">
      <c r="A1617" s="5"/>
      <c r="B1617" s="6"/>
      <c r="C1617" s="7"/>
      <c r="D1617" s="8"/>
      <c r="E1617" s="9"/>
      <c r="F1617" s="8"/>
      <c r="G1617" s="5"/>
      <c r="H1617" s="5"/>
      <c r="I1617" s="5"/>
    </row>
    <row r="1618">
      <c r="A1618" s="5"/>
      <c r="B1618" s="6"/>
      <c r="C1618" s="7"/>
      <c r="D1618" s="8"/>
      <c r="E1618" s="9"/>
      <c r="F1618" s="8"/>
      <c r="G1618" s="5"/>
      <c r="H1618" s="5"/>
      <c r="I1618" s="5"/>
    </row>
    <row r="1619">
      <c r="A1619" s="5"/>
      <c r="B1619" s="6"/>
      <c r="C1619" s="7"/>
      <c r="D1619" s="8"/>
      <c r="E1619" s="9"/>
      <c r="F1619" s="8"/>
      <c r="G1619" s="5"/>
      <c r="H1619" s="5"/>
      <c r="I1619" s="5"/>
    </row>
    <row r="1620">
      <c r="A1620" s="5"/>
      <c r="B1620" s="6"/>
      <c r="C1620" s="7"/>
      <c r="D1620" s="8"/>
      <c r="E1620" s="9"/>
      <c r="F1620" s="8"/>
      <c r="G1620" s="5"/>
      <c r="H1620" s="5"/>
      <c r="I1620" s="5"/>
    </row>
    <row r="1621">
      <c r="A1621" s="5"/>
      <c r="B1621" s="6"/>
      <c r="C1621" s="7"/>
      <c r="D1621" s="8"/>
      <c r="E1621" s="9"/>
      <c r="F1621" s="8"/>
      <c r="G1621" s="5"/>
      <c r="H1621" s="5"/>
      <c r="I1621" s="5"/>
    </row>
    <row r="1622">
      <c r="A1622" s="5"/>
      <c r="B1622" s="6"/>
      <c r="C1622" s="7"/>
      <c r="D1622" s="8"/>
      <c r="E1622" s="9"/>
      <c r="F1622" s="8"/>
      <c r="G1622" s="5"/>
      <c r="H1622" s="5"/>
      <c r="I1622" s="5"/>
    </row>
    <row r="1623">
      <c r="A1623" s="5"/>
      <c r="B1623" s="6"/>
      <c r="C1623" s="7"/>
      <c r="D1623" s="8"/>
      <c r="E1623" s="9"/>
      <c r="F1623" s="8"/>
      <c r="G1623" s="5"/>
      <c r="H1623" s="5"/>
      <c r="I1623" s="5"/>
    </row>
    <row r="1624">
      <c r="A1624" s="5"/>
      <c r="B1624" s="6"/>
      <c r="C1624" s="7"/>
      <c r="D1624" s="8"/>
      <c r="E1624" s="9"/>
      <c r="F1624" s="8"/>
      <c r="G1624" s="5"/>
      <c r="H1624" s="5"/>
      <c r="I1624" s="5"/>
    </row>
    <row r="1625">
      <c r="A1625" s="5"/>
      <c r="B1625" s="6"/>
      <c r="C1625" s="7"/>
      <c r="D1625" s="8"/>
      <c r="E1625" s="9"/>
      <c r="F1625" s="8"/>
      <c r="G1625" s="5"/>
      <c r="H1625" s="5"/>
      <c r="I1625" s="5"/>
    </row>
    <row r="1626">
      <c r="A1626" s="5"/>
      <c r="B1626" s="6"/>
      <c r="C1626" s="7"/>
      <c r="D1626" s="8"/>
      <c r="E1626" s="9"/>
      <c r="F1626" s="8"/>
      <c r="G1626" s="5"/>
      <c r="H1626" s="5"/>
      <c r="I1626" s="5"/>
    </row>
    <row r="1627">
      <c r="A1627" s="5"/>
      <c r="B1627" s="6"/>
      <c r="C1627" s="7"/>
      <c r="D1627" s="8"/>
      <c r="E1627" s="9"/>
      <c r="F1627" s="8"/>
      <c r="G1627" s="5"/>
      <c r="H1627" s="5"/>
      <c r="I1627" s="5"/>
    </row>
    <row r="1628">
      <c r="A1628" s="5"/>
      <c r="B1628" s="6"/>
      <c r="C1628" s="7"/>
      <c r="D1628" s="8"/>
      <c r="E1628" s="9"/>
      <c r="F1628" s="8"/>
      <c r="G1628" s="5"/>
      <c r="H1628" s="5"/>
      <c r="I1628" s="5"/>
    </row>
    <row r="1629">
      <c r="A1629" s="5"/>
      <c r="B1629" s="6"/>
      <c r="C1629" s="7"/>
      <c r="D1629" s="8"/>
      <c r="E1629" s="9"/>
      <c r="F1629" s="8"/>
      <c r="G1629" s="5"/>
      <c r="H1629" s="5"/>
      <c r="I1629" s="5"/>
    </row>
    <row r="1630">
      <c r="A1630" s="5"/>
      <c r="B1630" s="6"/>
      <c r="C1630" s="7"/>
      <c r="D1630" s="8"/>
      <c r="E1630" s="9"/>
      <c r="F1630" s="8"/>
      <c r="G1630" s="5"/>
      <c r="H1630" s="5"/>
      <c r="I1630" s="5"/>
    </row>
    <row r="1631">
      <c r="A1631" s="5"/>
      <c r="B1631" s="6"/>
      <c r="C1631" s="7"/>
      <c r="D1631" s="8"/>
      <c r="E1631" s="9"/>
      <c r="F1631" s="8"/>
      <c r="G1631" s="5"/>
      <c r="H1631" s="5"/>
      <c r="I1631" s="5"/>
    </row>
    <row r="1632">
      <c r="A1632" s="5"/>
      <c r="B1632" s="6"/>
      <c r="C1632" s="7"/>
      <c r="D1632" s="8"/>
      <c r="E1632" s="9"/>
      <c r="F1632" s="8"/>
      <c r="G1632" s="5"/>
      <c r="H1632" s="5"/>
      <c r="I1632" s="5"/>
    </row>
    <row r="1633">
      <c r="A1633" s="5"/>
      <c r="B1633" s="6"/>
      <c r="C1633" s="7"/>
      <c r="D1633" s="8"/>
      <c r="E1633" s="9"/>
      <c r="F1633" s="8"/>
      <c r="G1633" s="5"/>
      <c r="H1633" s="5"/>
      <c r="I1633" s="5"/>
    </row>
    <row r="1634">
      <c r="A1634" s="5"/>
      <c r="B1634" s="6"/>
      <c r="C1634" s="7"/>
      <c r="D1634" s="8"/>
      <c r="E1634" s="9"/>
      <c r="F1634" s="8"/>
      <c r="G1634" s="5"/>
      <c r="H1634" s="5"/>
      <c r="I1634" s="5"/>
    </row>
    <row r="1635">
      <c r="A1635" s="5"/>
      <c r="B1635" s="6"/>
      <c r="C1635" s="7"/>
      <c r="D1635" s="8"/>
      <c r="E1635" s="9"/>
      <c r="F1635" s="8"/>
      <c r="G1635" s="5"/>
      <c r="H1635" s="5"/>
      <c r="I1635" s="5"/>
    </row>
    <row r="1636">
      <c r="A1636" s="5"/>
      <c r="B1636" s="6"/>
      <c r="C1636" s="7"/>
      <c r="D1636" s="8"/>
      <c r="E1636" s="9"/>
      <c r="F1636" s="8"/>
      <c r="G1636" s="5"/>
      <c r="H1636" s="5"/>
      <c r="I1636" s="5"/>
    </row>
    <row r="1637">
      <c r="A1637" s="5"/>
      <c r="B1637" s="6"/>
      <c r="C1637" s="7"/>
      <c r="D1637" s="8"/>
      <c r="E1637" s="9"/>
      <c r="F1637" s="8"/>
      <c r="G1637" s="5"/>
      <c r="H1637" s="5"/>
      <c r="I1637" s="5"/>
    </row>
    <row r="1638">
      <c r="A1638" s="5"/>
      <c r="B1638" s="6"/>
      <c r="C1638" s="7"/>
      <c r="D1638" s="8"/>
      <c r="E1638" s="9"/>
      <c r="F1638" s="8"/>
      <c r="G1638" s="5"/>
      <c r="H1638" s="5"/>
      <c r="I1638" s="5"/>
    </row>
    <row r="1639">
      <c r="A1639" s="5"/>
      <c r="B1639" s="6"/>
      <c r="C1639" s="7"/>
      <c r="D1639" s="8"/>
      <c r="E1639" s="9"/>
      <c r="F1639" s="8"/>
      <c r="G1639" s="5"/>
      <c r="H1639" s="5"/>
      <c r="I1639" s="5"/>
    </row>
    <row r="1640">
      <c r="A1640" s="5"/>
      <c r="B1640" s="6"/>
      <c r="C1640" s="7"/>
      <c r="D1640" s="8"/>
      <c r="E1640" s="9"/>
      <c r="F1640" s="8"/>
      <c r="G1640" s="5"/>
      <c r="H1640" s="5"/>
      <c r="I1640" s="5"/>
    </row>
    <row r="1641">
      <c r="A1641" s="5"/>
      <c r="B1641" s="6"/>
      <c r="C1641" s="7"/>
      <c r="D1641" s="8"/>
      <c r="E1641" s="9"/>
      <c r="F1641" s="8"/>
      <c r="G1641" s="5"/>
      <c r="H1641" s="5"/>
      <c r="I1641" s="5"/>
    </row>
    <row r="1642">
      <c r="A1642" s="5"/>
      <c r="B1642" s="6"/>
      <c r="C1642" s="7"/>
      <c r="D1642" s="8"/>
      <c r="E1642" s="9"/>
      <c r="F1642" s="8"/>
      <c r="G1642" s="5"/>
      <c r="H1642" s="5"/>
      <c r="I1642" s="5"/>
    </row>
    <row r="1643">
      <c r="A1643" s="5"/>
      <c r="B1643" s="6"/>
      <c r="C1643" s="7"/>
      <c r="D1643" s="8"/>
      <c r="E1643" s="9"/>
      <c r="F1643" s="8"/>
      <c r="G1643" s="5"/>
      <c r="H1643" s="5"/>
      <c r="I1643" s="5"/>
    </row>
    <row r="1644">
      <c r="A1644" s="5"/>
      <c r="B1644" s="6"/>
      <c r="C1644" s="7"/>
      <c r="D1644" s="8"/>
      <c r="E1644" s="9"/>
      <c r="F1644" s="8"/>
      <c r="G1644" s="5"/>
      <c r="H1644" s="5"/>
      <c r="I1644" s="5"/>
    </row>
    <row r="1645">
      <c r="A1645" s="5"/>
      <c r="B1645" s="6"/>
      <c r="C1645" s="7"/>
      <c r="D1645" s="8"/>
      <c r="E1645" s="9"/>
      <c r="F1645" s="8"/>
      <c r="G1645" s="5"/>
      <c r="H1645" s="5"/>
      <c r="I1645" s="5"/>
    </row>
    <row r="1646">
      <c r="A1646" s="5"/>
      <c r="B1646" s="6"/>
      <c r="C1646" s="7"/>
      <c r="D1646" s="8"/>
      <c r="E1646" s="9"/>
      <c r="F1646" s="8"/>
      <c r="G1646" s="5"/>
      <c r="H1646" s="5"/>
      <c r="I1646" s="5"/>
    </row>
    <row r="1647">
      <c r="A1647" s="5"/>
      <c r="B1647" s="6"/>
      <c r="C1647" s="7"/>
      <c r="D1647" s="8"/>
      <c r="E1647" s="9"/>
      <c r="F1647" s="8"/>
      <c r="G1647" s="5"/>
      <c r="H1647" s="5"/>
      <c r="I1647" s="5"/>
    </row>
    <row r="1648">
      <c r="A1648" s="5"/>
      <c r="B1648" s="6"/>
      <c r="C1648" s="7"/>
      <c r="D1648" s="8"/>
      <c r="E1648" s="9"/>
      <c r="F1648" s="8"/>
      <c r="G1648" s="5"/>
      <c r="H1648" s="5"/>
      <c r="I1648" s="5"/>
    </row>
    <row r="1649">
      <c r="A1649" s="5"/>
      <c r="B1649" s="6"/>
      <c r="C1649" s="7"/>
      <c r="D1649" s="8"/>
      <c r="E1649" s="9"/>
      <c r="F1649" s="8"/>
      <c r="G1649" s="5"/>
      <c r="H1649" s="5"/>
      <c r="I1649" s="5"/>
    </row>
    <row r="1650">
      <c r="A1650" s="5"/>
      <c r="B1650" s="6"/>
      <c r="C1650" s="7"/>
      <c r="D1650" s="8"/>
      <c r="E1650" s="9"/>
      <c r="F1650" s="8"/>
      <c r="G1650" s="5"/>
      <c r="H1650" s="5"/>
      <c r="I1650" s="5"/>
    </row>
    <row r="1651">
      <c r="A1651" s="5"/>
      <c r="B1651" s="6"/>
      <c r="C1651" s="7"/>
      <c r="D1651" s="8"/>
      <c r="E1651" s="9"/>
      <c r="F1651" s="8"/>
      <c r="G1651" s="5"/>
      <c r="H1651" s="5"/>
      <c r="I1651" s="5"/>
    </row>
    <row r="1652">
      <c r="A1652" s="5"/>
      <c r="B1652" s="6"/>
      <c r="C1652" s="7"/>
      <c r="D1652" s="8"/>
      <c r="E1652" s="9"/>
      <c r="F1652" s="8"/>
      <c r="G1652" s="5"/>
      <c r="H1652" s="5"/>
      <c r="I1652" s="5"/>
    </row>
    <row r="1653">
      <c r="A1653" s="5"/>
      <c r="B1653" s="6"/>
      <c r="C1653" s="7"/>
      <c r="D1653" s="8"/>
      <c r="E1653" s="9"/>
      <c r="F1653" s="8"/>
      <c r="G1653" s="5"/>
      <c r="H1653" s="5"/>
      <c r="I1653" s="5"/>
    </row>
    <row r="1654">
      <c r="A1654" s="5"/>
      <c r="B1654" s="6"/>
      <c r="C1654" s="7"/>
      <c r="D1654" s="8"/>
      <c r="E1654" s="9"/>
      <c r="F1654" s="8"/>
      <c r="G1654" s="5"/>
      <c r="H1654" s="5"/>
      <c r="I1654" s="5"/>
    </row>
    <row r="1655">
      <c r="A1655" s="5"/>
      <c r="B1655" s="6"/>
      <c r="C1655" s="7"/>
      <c r="D1655" s="8"/>
      <c r="E1655" s="9"/>
      <c r="F1655" s="8"/>
      <c r="G1655" s="5"/>
      <c r="H1655" s="5"/>
      <c r="I1655" s="5"/>
    </row>
    <row r="1656">
      <c r="A1656" s="5"/>
      <c r="B1656" s="6"/>
      <c r="C1656" s="7"/>
      <c r="D1656" s="8"/>
      <c r="E1656" s="9"/>
      <c r="F1656" s="8"/>
      <c r="G1656" s="5"/>
      <c r="H1656" s="5"/>
      <c r="I1656" s="5"/>
    </row>
    <row r="1657">
      <c r="A1657" s="5"/>
      <c r="B1657" s="6"/>
      <c r="C1657" s="7"/>
      <c r="D1657" s="8"/>
      <c r="E1657" s="9"/>
      <c r="F1657" s="8"/>
      <c r="G1657" s="5"/>
      <c r="H1657" s="5"/>
      <c r="I1657" s="5"/>
    </row>
    <row r="1658">
      <c r="A1658" s="5"/>
      <c r="B1658" s="6"/>
      <c r="C1658" s="7"/>
      <c r="D1658" s="8"/>
      <c r="E1658" s="9"/>
      <c r="F1658" s="8"/>
      <c r="G1658" s="5"/>
      <c r="H1658" s="5"/>
      <c r="I1658" s="5"/>
    </row>
    <row r="1659">
      <c r="A1659" s="5"/>
      <c r="B1659" s="6"/>
      <c r="C1659" s="7"/>
      <c r="D1659" s="8"/>
      <c r="E1659" s="9"/>
      <c r="F1659" s="8"/>
      <c r="G1659" s="5"/>
      <c r="H1659" s="5"/>
      <c r="I1659" s="5"/>
    </row>
    <row r="1660">
      <c r="A1660" s="5"/>
      <c r="B1660" s="6"/>
      <c r="C1660" s="7"/>
      <c r="D1660" s="8"/>
      <c r="E1660" s="9"/>
      <c r="F1660" s="8"/>
      <c r="G1660" s="5"/>
      <c r="H1660" s="5"/>
      <c r="I1660" s="5"/>
    </row>
    <row r="1661">
      <c r="A1661" s="5"/>
      <c r="B1661" s="6"/>
      <c r="C1661" s="7"/>
      <c r="D1661" s="8"/>
      <c r="E1661" s="9"/>
      <c r="F1661" s="8"/>
      <c r="G1661" s="5"/>
      <c r="H1661" s="5"/>
      <c r="I1661" s="5"/>
    </row>
    <row r="1662">
      <c r="A1662" s="5"/>
      <c r="B1662" s="6"/>
      <c r="C1662" s="7"/>
      <c r="D1662" s="8"/>
      <c r="E1662" s="9"/>
      <c r="F1662" s="8"/>
      <c r="G1662" s="5"/>
      <c r="H1662" s="5"/>
      <c r="I1662" s="5"/>
    </row>
    <row r="1663">
      <c r="A1663" s="5"/>
      <c r="B1663" s="6"/>
      <c r="C1663" s="7"/>
      <c r="D1663" s="8"/>
      <c r="E1663" s="9"/>
      <c r="F1663" s="8"/>
      <c r="G1663" s="5"/>
      <c r="H1663" s="5"/>
      <c r="I1663" s="5"/>
    </row>
    <row r="1664">
      <c r="A1664" s="5"/>
      <c r="B1664" s="6"/>
      <c r="C1664" s="7"/>
      <c r="D1664" s="8"/>
      <c r="E1664" s="9"/>
      <c r="F1664" s="8"/>
      <c r="G1664" s="5"/>
      <c r="H1664" s="5"/>
      <c r="I1664" s="5"/>
    </row>
    <row r="1665">
      <c r="A1665" s="5"/>
      <c r="B1665" s="6"/>
      <c r="C1665" s="7"/>
      <c r="D1665" s="8"/>
      <c r="E1665" s="9"/>
      <c r="F1665" s="8"/>
      <c r="G1665" s="5"/>
      <c r="H1665" s="5"/>
      <c r="I1665" s="5"/>
    </row>
    <row r="1666">
      <c r="A1666" s="5"/>
      <c r="B1666" s="6"/>
      <c r="C1666" s="7"/>
      <c r="D1666" s="8"/>
      <c r="E1666" s="9"/>
      <c r="F1666" s="8"/>
      <c r="G1666" s="5"/>
      <c r="H1666" s="5"/>
      <c r="I1666" s="5"/>
    </row>
    <row r="1667">
      <c r="A1667" s="5"/>
      <c r="B1667" s="6"/>
      <c r="C1667" s="7"/>
      <c r="D1667" s="8"/>
      <c r="E1667" s="9"/>
      <c r="F1667" s="8"/>
      <c r="G1667" s="5"/>
      <c r="H1667" s="5"/>
      <c r="I1667" s="5"/>
    </row>
    <row r="1668">
      <c r="A1668" s="5"/>
      <c r="B1668" s="6"/>
      <c r="C1668" s="7"/>
      <c r="D1668" s="8"/>
      <c r="E1668" s="9"/>
      <c r="F1668" s="8"/>
      <c r="G1668" s="5"/>
      <c r="H1668" s="5"/>
      <c r="I1668" s="5"/>
    </row>
    <row r="1669">
      <c r="A1669" s="5"/>
      <c r="B1669" s="6"/>
      <c r="C1669" s="7"/>
      <c r="D1669" s="8"/>
      <c r="E1669" s="9"/>
      <c r="F1669" s="8"/>
      <c r="G1669" s="5"/>
      <c r="H1669" s="5"/>
      <c r="I1669" s="5"/>
    </row>
    <row r="1670">
      <c r="A1670" s="5"/>
      <c r="B1670" s="6"/>
      <c r="C1670" s="7"/>
      <c r="D1670" s="8"/>
      <c r="E1670" s="9"/>
      <c r="F1670" s="8"/>
      <c r="G1670" s="5"/>
      <c r="H1670" s="5"/>
      <c r="I1670" s="5"/>
    </row>
    <row r="1671">
      <c r="A1671" s="5"/>
      <c r="B1671" s="6"/>
      <c r="C1671" s="7"/>
      <c r="D1671" s="8"/>
      <c r="E1671" s="9"/>
      <c r="F1671" s="8"/>
      <c r="G1671" s="5"/>
      <c r="H1671" s="5"/>
      <c r="I1671" s="5"/>
    </row>
    <row r="1672">
      <c r="A1672" s="5"/>
      <c r="B1672" s="6"/>
      <c r="C1672" s="7"/>
      <c r="D1672" s="8"/>
      <c r="E1672" s="9"/>
      <c r="F1672" s="8"/>
      <c r="G1672" s="5"/>
      <c r="H1672" s="5"/>
      <c r="I1672" s="5"/>
    </row>
    <row r="1673">
      <c r="A1673" s="5"/>
      <c r="B1673" s="6"/>
      <c r="C1673" s="7"/>
      <c r="D1673" s="8"/>
      <c r="E1673" s="9"/>
      <c r="F1673" s="8"/>
      <c r="G1673" s="5"/>
      <c r="H1673" s="5"/>
      <c r="I1673" s="5"/>
    </row>
    <row r="1674">
      <c r="A1674" s="5"/>
      <c r="B1674" s="6"/>
      <c r="C1674" s="7"/>
      <c r="D1674" s="8"/>
      <c r="E1674" s="9"/>
      <c r="F1674" s="8"/>
      <c r="G1674" s="5"/>
      <c r="H1674" s="5"/>
      <c r="I1674" s="5"/>
    </row>
    <row r="1675">
      <c r="A1675" s="5"/>
      <c r="B1675" s="6"/>
      <c r="C1675" s="7"/>
      <c r="D1675" s="8"/>
      <c r="E1675" s="9"/>
      <c r="F1675" s="8"/>
      <c r="G1675" s="5"/>
      <c r="H1675" s="5"/>
      <c r="I1675" s="5"/>
    </row>
    <row r="1676">
      <c r="A1676" s="5"/>
      <c r="B1676" s="6"/>
      <c r="C1676" s="7"/>
      <c r="D1676" s="8"/>
      <c r="E1676" s="9"/>
      <c r="F1676" s="8"/>
      <c r="G1676" s="5"/>
      <c r="H1676" s="5"/>
      <c r="I1676" s="5"/>
    </row>
    <row r="1677">
      <c r="A1677" s="5"/>
      <c r="B1677" s="6"/>
      <c r="C1677" s="7"/>
      <c r="D1677" s="8"/>
      <c r="E1677" s="9"/>
      <c r="F1677" s="8"/>
      <c r="G1677" s="5"/>
      <c r="H1677" s="5"/>
      <c r="I1677" s="5"/>
    </row>
    <row r="1678">
      <c r="A1678" s="5"/>
      <c r="B1678" s="6"/>
      <c r="C1678" s="7"/>
      <c r="D1678" s="8"/>
      <c r="E1678" s="9"/>
      <c r="F1678" s="8"/>
      <c r="G1678" s="5"/>
      <c r="H1678" s="5"/>
      <c r="I1678" s="5"/>
    </row>
    <row r="1679">
      <c r="A1679" s="5"/>
      <c r="B1679" s="6"/>
      <c r="C1679" s="7"/>
      <c r="D1679" s="8"/>
      <c r="E1679" s="9"/>
      <c r="F1679" s="8"/>
      <c r="G1679" s="5"/>
      <c r="H1679" s="5"/>
      <c r="I1679" s="5"/>
    </row>
    <row r="1680">
      <c r="A1680" s="5"/>
      <c r="B1680" s="6"/>
      <c r="C1680" s="7"/>
      <c r="D1680" s="8"/>
      <c r="E1680" s="9"/>
      <c r="F1680" s="8"/>
      <c r="G1680" s="5"/>
      <c r="H1680" s="5"/>
      <c r="I1680" s="5"/>
    </row>
    <row r="1681">
      <c r="A1681" s="5"/>
      <c r="B1681" s="6"/>
      <c r="C1681" s="7"/>
      <c r="D1681" s="8"/>
      <c r="E1681" s="9"/>
      <c r="F1681" s="8"/>
      <c r="G1681" s="5"/>
      <c r="H1681" s="5"/>
      <c r="I1681" s="5"/>
    </row>
    <row r="1682">
      <c r="A1682" s="5"/>
      <c r="B1682" s="6"/>
      <c r="C1682" s="7"/>
      <c r="D1682" s="8"/>
      <c r="E1682" s="9"/>
      <c r="F1682" s="8"/>
      <c r="G1682" s="5"/>
      <c r="H1682" s="5"/>
      <c r="I1682" s="5"/>
    </row>
    <row r="1683">
      <c r="A1683" s="5"/>
      <c r="B1683" s="6"/>
      <c r="C1683" s="7"/>
      <c r="D1683" s="8"/>
      <c r="E1683" s="9"/>
      <c r="F1683" s="8"/>
      <c r="G1683" s="5"/>
      <c r="H1683" s="5"/>
      <c r="I1683" s="5"/>
    </row>
    <row r="1684">
      <c r="A1684" s="5"/>
      <c r="B1684" s="6"/>
      <c r="C1684" s="7"/>
      <c r="D1684" s="8"/>
      <c r="E1684" s="9"/>
      <c r="F1684" s="8"/>
      <c r="G1684" s="5"/>
      <c r="H1684" s="5"/>
      <c r="I1684" s="5"/>
    </row>
    <row r="1685">
      <c r="A1685" s="5"/>
      <c r="B1685" s="6"/>
      <c r="C1685" s="7"/>
      <c r="D1685" s="8"/>
      <c r="E1685" s="9"/>
      <c r="F1685" s="8"/>
      <c r="G1685" s="5"/>
      <c r="H1685" s="5"/>
      <c r="I1685" s="5"/>
    </row>
    <row r="1686">
      <c r="A1686" s="5"/>
      <c r="B1686" s="6"/>
      <c r="C1686" s="7"/>
      <c r="D1686" s="8"/>
      <c r="E1686" s="9"/>
      <c r="F1686" s="8"/>
      <c r="G1686" s="5"/>
      <c r="H1686" s="5"/>
      <c r="I1686" s="5"/>
    </row>
    <row r="1687">
      <c r="A1687" s="5"/>
      <c r="B1687" s="6"/>
      <c r="C1687" s="7"/>
      <c r="D1687" s="8"/>
      <c r="E1687" s="9"/>
      <c r="F1687" s="8"/>
      <c r="G1687" s="5"/>
      <c r="H1687" s="5"/>
      <c r="I1687" s="5"/>
    </row>
    <row r="1688">
      <c r="A1688" s="5"/>
      <c r="B1688" s="6"/>
      <c r="C1688" s="7"/>
      <c r="D1688" s="8"/>
      <c r="E1688" s="9"/>
      <c r="F1688" s="8"/>
      <c r="G1688" s="5"/>
      <c r="H1688" s="5"/>
      <c r="I1688" s="5"/>
    </row>
    <row r="1689">
      <c r="A1689" s="5"/>
      <c r="B1689" s="6"/>
      <c r="C1689" s="7"/>
      <c r="D1689" s="8"/>
      <c r="E1689" s="9"/>
      <c r="F1689" s="8"/>
      <c r="G1689" s="5"/>
      <c r="H1689" s="5"/>
      <c r="I1689" s="5"/>
    </row>
    <row r="1690">
      <c r="A1690" s="5"/>
      <c r="B1690" s="6"/>
      <c r="C1690" s="7"/>
      <c r="D1690" s="8"/>
      <c r="E1690" s="9"/>
      <c r="F1690" s="8"/>
      <c r="G1690" s="5"/>
      <c r="H1690" s="5"/>
      <c r="I1690" s="5"/>
    </row>
    <row r="1691">
      <c r="A1691" s="5"/>
      <c r="B1691" s="6"/>
      <c r="C1691" s="7"/>
      <c r="D1691" s="8"/>
      <c r="E1691" s="9"/>
      <c r="F1691" s="8"/>
      <c r="G1691" s="5"/>
      <c r="H1691" s="5"/>
      <c r="I1691" s="5"/>
    </row>
    <row r="1692">
      <c r="A1692" s="5"/>
      <c r="B1692" s="6"/>
      <c r="C1692" s="7"/>
      <c r="D1692" s="8"/>
      <c r="E1692" s="9"/>
      <c r="F1692" s="8"/>
      <c r="G1692" s="5"/>
      <c r="H1692" s="5"/>
      <c r="I1692" s="5"/>
    </row>
    <row r="1693">
      <c r="A1693" s="5"/>
      <c r="B1693" s="6"/>
      <c r="C1693" s="7"/>
      <c r="D1693" s="8"/>
      <c r="E1693" s="9"/>
      <c r="F1693" s="8"/>
      <c r="G1693" s="5"/>
      <c r="H1693" s="5"/>
      <c r="I1693" s="5"/>
    </row>
    <row r="1694">
      <c r="A1694" s="5"/>
      <c r="B1694" s="6"/>
      <c r="C1694" s="7"/>
      <c r="D1694" s="8"/>
      <c r="E1694" s="9"/>
      <c r="F1694" s="8"/>
      <c r="G1694" s="5"/>
      <c r="H1694" s="5"/>
      <c r="I1694" s="5"/>
    </row>
    <row r="1695">
      <c r="A1695" s="5"/>
      <c r="B1695" s="6"/>
      <c r="C1695" s="7"/>
      <c r="D1695" s="8"/>
      <c r="E1695" s="9"/>
      <c r="F1695" s="8"/>
      <c r="G1695" s="5"/>
      <c r="H1695" s="5"/>
      <c r="I1695" s="5"/>
    </row>
    <row r="1696">
      <c r="A1696" s="5"/>
      <c r="B1696" s="6"/>
      <c r="C1696" s="7"/>
      <c r="D1696" s="8"/>
      <c r="E1696" s="9"/>
      <c r="F1696" s="8"/>
      <c r="G1696" s="5"/>
      <c r="H1696" s="5"/>
      <c r="I1696" s="5"/>
    </row>
    <row r="1697">
      <c r="A1697" s="5"/>
      <c r="B1697" s="6"/>
      <c r="C1697" s="7"/>
      <c r="D1697" s="8"/>
      <c r="E1697" s="9"/>
      <c r="F1697" s="8"/>
      <c r="G1697" s="5"/>
      <c r="H1697" s="5"/>
      <c r="I1697" s="5"/>
    </row>
    <row r="1698">
      <c r="A1698" s="5"/>
      <c r="B1698" s="6"/>
      <c r="C1698" s="7"/>
      <c r="D1698" s="8"/>
      <c r="E1698" s="9"/>
      <c r="F1698" s="8"/>
      <c r="G1698" s="5"/>
      <c r="H1698" s="5"/>
      <c r="I1698" s="5"/>
    </row>
    <row r="1699">
      <c r="A1699" s="5"/>
      <c r="B1699" s="6"/>
      <c r="C1699" s="7"/>
      <c r="D1699" s="8"/>
      <c r="E1699" s="9"/>
      <c r="F1699" s="8"/>
      <c r="G1699" s="5"/>
      <c r="H1699" s="5"/>
      <c r="I1699" s="5"/>
    </row>
    <row r="1700">
      <c r="A1700" s="5"/>
      <c r="B1700" s="6"/>
      <c r="C1700" s="7"/>
      <c r="D1700" s="8"/>
      <c r="E1700" s="9"/>
      <c r="F1700" s="8"/>
      <c r="G1700" s="5"/>
      <c r="H1700" s="5"/>
      <c r="I1700" s="5"/>
    </row>
    <row r="1701">
      <c r="A1701" s="5"/>
      <c r="B1701" s="6"/>
      <c r="C1701" s="7"/>
      <c r="D1701" s="8"/>
      <c r="E1701" s="9"/>
      <c r="F1701" s="8"/>
      <c r="G1701" s="5"/>
      <c r="H1701" s="5"/>
      <c r="I1701" s="5"/>
    </row>
    <row r="1702">
      <c r="A1702" s="5"/>
      <c r="B1702" s="6"/>
      <c r="C1702" s="7"/>
      <c r="D1702" s="8"/>
      <c r="E1702" s="9"/>
      <c r="F1702" s="8"/>
      <c r="G1702" s="5"/>
      <c r="H1702" s="5"/>
      <c r="I1702" s="5"/>
    </row>
    <row r="1703">
      <c r="A1703" s="5"/>
      <c r="B1703" s="6"/>
      <c r="C1703" s="7"/>
      <c r="D1703" s="8"/>
      <c r="E1703" s="9"/>
      <c r="F1703" s="8"/>
      <c r="G1703" s="5"/>
      <c r="H1703" s="5"/>
      <c r="I1703" s="5"/>
    </row>
    <row r="1704">
      <c r="A1704" s="5"/>
      <c r="B1704" s="6"/>
      <c r="C1704" s="7"/>
      <c r="D1704" s="8"/>
      <c r="E1704" s="9"/>
      <c r="F1704" s="8"/>
      <c r="G1704" s="5"/>
      <c r="H1704" s="5"/>
      <c r="I1704" s="5"/>
    </row>
    <row r="1705">
      <c r="A1705" s="5"/>
      <c r="B1705" s="6"/>
      <c r="C1705" s="7"/>
      <c r="D1705" s="8"/>
      <c r="E1705" s="9"/>
      <c r="F1705" s="8"/>
      <c r="G1705" s="5"/>
      <c r="H1705" s="5"/>
      <c r="I1705" s="5"/>
    </row>
    <row r="1706">
      <c r="A1706" s="5"/>
      <c r="B1706" s="6"/>
      <c r="C1706" s="7"/>
      <c r="D1706" s="8"/>
      <c r="E1706" s="9"/>
      <c r="F1706" s="8"/>
      <c r="G1706" s="5"/>
      <c r="H1706" s="5"/>
      <c r="I1706" s="5"/>
    </row>
    <row r="1707">
      <c r="A1707" s="5"/>
      <c r="B1707" s="6"/>
      <c r="C1707" s="7"/>
      <c r="D1707" s="8"/>
      <c r="E1707" s="9"/>
      <c r="F1707" s="8"/>
      <c r="G1707" s="5"/>
      <c r="H1707" s="5"/>
      <c r="I1707" s="5"/>
    </row>
    <row r="1708">
      <c r="A1708" s="5"/>
      <c r="B1708" s="6"/>
      <c r="C1708" s="7"/>
      <c r="D1708" s="8"/>
      <c r="E1708" s="9"/>
      <c r="F1708" s="8"/>
      <c r="G1708" s="5"/>
      <c r="H1708" s="5"/>
      <c r="I1708" s="5"/>
    </row>
    <row r="1709">
      <c r="A1709" s="5"/>
      <c r="B1709" s="6"/>
      <c r="C1709" s="7"/>
      <c r="D1709" s="8"/>
      <c r="E1709" s="9"/>
      <c r="F1709" s="8"/>
      <c r="G1709" s="5"/>
      <c r="H1709" s="5"/>
      <c r="I1709" s="5"/>
    </row>
    <row r="1710">
      <c r="A1710" s="5"/>
      <c r="B1710" s="6"/>
      <c r="C1710" s="7"/>
      <c r="D1710" s="8"/>
      <c r="E1710" s="9"/>
      <c r="F1710" s="8"/>
      <c r="G1710" s="5"/>
      <c r="H1710" s="5"/>
      <c r="I1710" s="5"/>
    </row>
    <row r="1711">
      <c r="A1711" s="5"/>
      <c r="B1711" s="6"/>
      <c r="C1711" s="7"/>
      <c r="D1711" s="8"/>
      <c r="E1711" s="9"/>
      <c r="F1711" s="8"/>
      <c r="G1711" s="5"/>
      <c r="H1711" s="5"/>
      <c r="I1711" s="5"/>
    </row>
    <row r="1712">
      <c r="A1712" s="5"/>
      <c r="B1712" s="6"/>
      <c r="C1712" s="7"/>
      <c r="D1712" s="8"/>
      <c r="E1712" s="9"/>
      <c r="F1712" s="8"/>
      <c r="G1712" s="5"/>
      <c r="H1712" s="5"/>
      <c r="I1712" s="5"/>
    </row>
    <row r="1713">
      <c r="A1713" s="5"/>
      <c r="B1713" s="6"/>
      <c r="C1713" s="7"/>
      <c r="D1713" s="8"/>
      <c r="E1713" s="9"/>
      <c r="F1713" s="8"/>
      <c r="G1713" s="5"/>
      <c r="H1713" s="5"/>
      <c r="I1713" s="5"/>
    </row>
    <row r="1714">
      <c r="A1714" s="5"/>
      <c r="B1714" s="6"/>
      <c r="C1714" s="7"/>
      <c r="D1714" s="8"/>
      <c r="E1714" s="9"/>
      <c r="F1714" s="8"/>
      <c r="G1714" s="5"/>
      <c r="H1714" s="5"/>
      <c r="I1714" s="5"/>
    </row>
    <row r="1715">
      <c r="A1715" s="5"/>
      <c r="B1715" s="6"/>
      <c r="C1715" s="7"/>
      <c r="D1715" s="8"/>
      <c r="E1715" s="9"/>
      <c r="F1715" s="8"/>
      <c r="G1715" s="5"/>
      <c r="H1715" s="5"/>
      <c r="I1715" s="5"/>
    </row>
    <row r="1716">
      <c r="A1716" s="5"/>
      <c r="B1716" s="6"/>
      <c r="C1716" s="7"/>
      <c r="D1716" s="8"/>
      <c r="E1716" s="9"/>
      <c r="F1716" s="8"/>
      <c r="G1716" s="5"/>
      <c r="H1716" s="5"/>
      <c r="I1716" s="5"/>
    </row>
    <row r="1717">
      <c r="A1717" s="5"/>
      <c r="B1717" s="6"/>
      <c r="C1717" s="7"/>
      <c r="D1717" s="8"/>
      <c r="E1717" s="9"/>
      <c r="F1717" s="8"/>
      <c r="G1717" s="5"/>
      <c r="H1717" s="5"/>
      <c r="I1717" s="5"/>
    </row>
    <row r="1718">
      <c r="A1718" s="5"/>
      <c r="B1718" s="6"/>
      <c r="C1718" s="7"/>
      <c r="D1718" s="8"/>
      <c r="E1718" s="9"/>
      <c r="F1718" s="8"/>
      <c r="G1718" s="5"/>
      <c r="H1718" s="5"/>
      <c r="I1718" s="5"/>
    </row>
    <row r="1719">
      <c r="A1719" s="5"/>
      <c r="B1719" s="6"/>
      <c r="C1719" s="7"/>
      <c r="D1719" s="8"/>
      <c r="E1719" s="9"/>
      <c r="F1719" s="8"/>
      <c r="G1719" s="5"/>
      <c r="H1719" s="5"/>
      <c r="I1719" s="5"/>
    </row>
    <row r="1720">
      <c r="A1720" s="5"/>
      <c r="B1720" s="6"/>
      <c r="C1720" s="7"/>
      <c r="D1720" s="8"/>
      <c r="E1720" s="9"/>
      <c r="F1720" s="8"/>
      <c r="G1720" s="5"/>
      <c r="H1720" s="5"/>
      <c r="I1720" s="5"/>
    </row>
    <row r="1721">
      <c r="A1721" s="5"/>
      <c r="B1721" s="6"/>
      <c r="C1721" s="7"/>
      <c r="D1721" s="8"/>
      <c r="E1721" s="9"/>
      <c r="F1721" s="8"/>
      <c r="G1721" s="5"/>
      <c r="H1721" s="5"/>
      <c r="I1721" s="5"/>
    </row>
    <row r="1722">
      <c r="A1722" s="5"/>
      <c r="B1722" s="6"/>
      <c r="C1722" s="7"/>
      <c r="D1722" s="8"/>
      <c r="E1722" s="9"/>
      <c r="F1722" s="8"/>
      <c r="G1722" s="5"/>
      <c r="H1722" s="5"/>
      <c r="I1722" s="5"/>
    </row>
    <row r="1723">
      <c r="A1723" s="5"/>
      <c r="B1723" s="6"/>
      <c r="C1723" s="7"/>
      <c r="D1723" s="8"/>
      <c r="E1723" s="9"/>
      <c r="F1723" s="8"/>
      <c r="G1723" s="5"/>
      <c r="H1723" s="5"/>
      <c r="I1723" s="5"/>
    </row>
    <row r="1724">
      <c r="A1724" s="5"/>
      <c r="B1724" s="6"/>
      <c r="C1724" s="7"/>
      <c r="D1724" s="8"/>
      <c r="E1724" s="9"/>
      <c r="F1724" s="8"/>
      <c r="G1724" s="5"/>
      <c r="H1724" s="5"/>
      <c r="I1724" s="5"/>
    </row>
    <row r="1725">
      <c r="A1725" s="5"/>
      <c r="B1725" s="6"/>
      <c r="C1725" s="7"/>
      <c r="D1725" s="8"/>
      <c r="E1725" s="9"/>
      <c r="F1725" s="8"/>
      <c r="G1725" s="5"/>
      <c r="H1725" s="5"/>
      <c r="I1725" s="5"/>
    </row>
    <row r="1726">
      <c r="A1726" s="5"/>
      <c r="B1726" s="6"/>
      <c r="C1726" s="7"/>
      <c r="D1726" s="8"/>
      <c r="E1726" s="9"/>
      <c r="F1726" s="8"/>
      <c r="G1726" s="5"/>
      <c r="H1726" s="5"/>
      <c r="I1726" s="5"/>
    </row>
    <row r="1727">
      <c r="A1727" s="5"/>
      <c r="B1727" s="6"/>
      <c r="C1727" s="7"/>
      <c r="D1727" s="8"/>
      <c r="E1727" s="9"/>
      <c r="F1727" s="8"/>
      <c r="G1727" s="5"/>
      <c r="H1727" s="5"/>
      <c r="I1727" s="5"/>
    </row>
    <row r="1728">
      <c r="A1728" s="5"/>
      <c r="B1728" s="6"/>
      <c r="C1728" s="7"/>
      <c r="D1728" s="8"/>
      <c r="E1728" s="9"/>
      <c r="F1728" s="8"/>
      <c r="G1728" s="5"/>
      <c r="H1728" s="5"/>
      <c r="I1728" s="5"/>
    </row>
    <row r="1729">
      <c r="A1729" s="5"/>
      <c r="B1729" s="6"/>
      <c r="C1729" s="7"/>
      <c r="D1729" s="8"/>
      <c r="E1729" s="9"/>
      <c r="F1729" s="8"/>
      <c r="G1729" s="5"/>
      <c r="H1729" s="5"/>
      <c r="I1729" s="5"/>
    </row>
    <row r="1730">
      <c r="A1730" s="5"/>
      <c r="B1730" s="6"/>
      <c r="C1730" s="7"/>
      <c r="D1730" s="8"/>
      <c r="E1730" s="9"/>
      <c r="F1730" s="8"/>
      <c r="G1730" s="5"/>
      <c r="H1730" s="5"/>
      <c r="I1730" s="5"/>
    </row>
    <row r="1731">
      <c r="A1731" s="5"/>
      <c r="B1731" s="6"/>
      <c r="C1731" s="7"/>
      <c r="D1731" s="8"/>
      <c r="E1731" s="9"/>
      <c r="F1731" s="8"/>
      <c r="G1731" s="5"/>
      <c r="H1731" s="5"/>
      <c r="I1731" s="5"/>
    </row>
    <row r="1732">
      <c r="A1732" s="5"/>
      <c r="B1732" s="6"/>
      <c r="C1732" s="7"/>
      <c r="D1732" s="8"/>
      <c r="E1732" s="9"/>
      <c r="F1732" s="8"/>
      <c r="G1732" s="5"/>
      <c r="H1732" s="5"/>
      <c r="I1732" s="5"/>
    </row>
    <row r="1733">
      <c r="A1733" s="5"/>
      <c r="B1733" s="6"/>
      <c r="C1733" s="7"/>
      <c r="D1733" s="8"/>
      <c r="E1733" s="9"/>
      <c r="F1733" s="8"/>
      <c r="G1733" s="5"/>
      <c r="H1733" s="5"/>
      <c r="I1733" s="5"/>
    </row>
    <row r="1734">
      <c r="A1734" s="5"/>
      <c r="B1734" s="6"/>
      <c r="C1734" s="7"/>
      <c r="D1734" s="8"/>
      <c r="E1734" s="9"/>
      <c r="F1734" s="8"/>
      <c r="G1734" s="5"/>
      <c r="H1734" s="5"/>
      <c r="I1734" s="5"/>
    </row>
    <row r="1735">
      <c r="A1735" s="5"/>
      <c r="B1735" s="6"/>
      <c r="C1735" s="7"/>
      <c r="D1735" s="8"/>
      <c r="E1735" s="9"/>
      <c r="F1735" s="8"/>
      <c r="G1735" s="5"/>
      <c r="H1735" s="5"/>
      <c r="I1735" s="5"/>
    </row>
    <row r="1736">
      <c r="A1736" s="5"/>
      <c r="B1736" s="6"/>
      <c r="C1736" s="7"/>
      <c r="D1736" s="8"/>
      <c r="E1736" s="9"/>
      <c r="F1736" s="8"/>
      <c r="G1736" s="5"/>
      <c r="H1736" s="5"/>
      <c r="I1736" s="5"/>
    </row>
    <row r="1737">
      <c r="A1737" s="5"/>
      <c r="B1737" s="6"/>
      <c r="C1737" s="7"/>
      <c r="D1737" s="8"/>
      <c r="E1737" s="9"/>
      <c r="F1737" s="8"/>
      <c r="G1737" s="5"/>
      <c r="H1737" s="5"/>
      <c r="I1737" s="5"/>
    </row>
    <row r="1738">
      <c r="A1738" s="5"/>
      <c r="B1738" s="6"/>
      <c r="C1738" s="7"/>
      <c r="D1738" s="8"/>
      <c r="E1738" s="9"/>
      <c r="F1738" s="8"/>
      <c r="G1738" s="5"/>
      <c r="H1738" s="5"/>
      <c r="I1738" s="5"/>
    </row>
    <row r="1739">
      <c r="A1739" s="5"/>
      <c r="B1739" s="6"/>
      <c r="C1739" s="7"/>
      <c r="D1739" s="8"/>
      <c r="E1739" s="9"/>
      <c r="F1739" s="8"/>
      <c r="G1739" s="5"/>
      <c r="H1739" s="5"/>
      <c r="I1739" s="5"/>
    </row>
    <row r="1740">
      <c r="A1740" s="5"/>
      <c r="B1740" s="6"/>
      <c r="C1740" s="7"/>
      <c r="D1740" s="8"/>
      <c r="E1740" s="9"/>
      <c r="F1740" s="8"/>
      <c r="G1740" s="5"/>
      <c r="H1740" s="5"/>
      <c r="I1740" s="5"/>
    </row>
    <row r="1741">
      <c r="A1741" s="5"/>
      <c r="B1741" s="6"/>
      <c r="C1741" s="7"/>
      <c r="D1741" s="8"/>
      <c r="E1741" s="9"/>
      <c r="F1741" s="8"/>
      <c r="G1741" s="5"/>
      <c r="H1741" s="5"/>
      <c r="I1741" s="5"/>
    </row>
    <row r="1742">
      <c r="A1742" s="5"/>
      <c r="B1742" s="6"/>
      <c r="C1742" s="7"/>
      <c r="D1742" s="8"/>
      <c r="E1742" s="9"/>
      <c r="F1742" s="8"/>
      <c r="G1742" s="5"/>
      <c r="H1742" s="5"/>
      <c r="I1742" s="5"/>
    </row>
    <row r="1743">
      <c r="A1743" s="5"/>
      <c r="B1743" s="6"/>
      <c r="C1743" s="7"/>
      <c r="D1743" s="8"/>
      <c r="E1743" s="9"/>
      <c r="F1743" s="8"/>
      <c r="G1743" s="5"/>
      <c r="H1743" s="5"/>
      <c r="I1743" s="5"/>
    </row>
    <row r="1744">
      <c r="A1744" s="5"/>
      <c r="B1744" s="6"/>
      <c r="C1744" s="7"/>
      <c r="D1744" s="8"/>
      <c r="E1744" s="9"/>
      <c r="F1744" s="8"/>
      <c r="G1744" s="5"/>
      <c r="H1744" s="5"/>
      <c r="I1744" s="5"/>
    </row>
    <row r="1745">
      <c r="A1745" s="5"/>
      <c r="B1745" s="6"/>
      <c r="C1745" s="7"/>
      <c r="D1745" s="8"/>
      <c r="E1745" s="9"/>
      <c r="F1745" s="8"/>
      <c r="G1745" s="5"/>
      <c r="H1745" s="5"/>
      <c r="I1745" s="5"/>
    </row>
    <row r="1746">
      <c r="A1746" s="5"/>
      <c r="B1746" s="6"/>
      <c r="C1746" s="7"/>
      <c r="D1746" s="8"/>
      <c r="E1746" s="9"/>
      <c r="F1746" s="8"/>
      <c r="G1746" s="5"/>
      <c r="H1746" s="5"/>
      <c r="I1746" s="5"/>
    </row>
    <row r="1747">
      <c r="A1747" s="5"/>
      <c r="B1747" s="6"/>
      <c r="C1747" s="7"/>
      <c r="D1747" s="8"/>
      <c r="E1747" s="9"/>
      <c r="F1747" s="8"/>
      <c r="G1747" s="5"/>
      <c r="H1747" s="5"/>
      <c r="I1747" s="5"/>
    </row>
    <row r="1748">
      <c r="A1748" s="5"/>
      <c r="B1748" s="6"/>
      <c r="C1748" s="7"/>
      <c r="D1748" s="8"/>
      <c r="E1748" s="9"/>
      <c r="F1748" s="8"/>
      <c r="G1748" s="5"/>
      <c r="H1748" s="5"/>
      <c r="I1748" s="5"/>
    </row>
    <row r="1749">
      <c r="A1749" s="5"/>
      <c r="B1749" s="6"/>
      <c r="C1749" s="7"/>
      <c r="D1749" s="8"/>
      <c r="E1749" s="9"/>
      <c r="F1749" s="8"/>
      <c r="G1749" s="5"/>
      <c r="H1749" s="5"/>
      <c r="I1749" s="5"/>
    </row>
    <row r="1750">
      <c r="A1750" s="5"/>
      <c r="B1750" s="6"/>
      <c r="C1750" s="7"/>
      <c r="D1750" s="8"/>
      <c r="E1750" s="9"/>
      <c r="F1750" s="8"/>
      <c r="G1750" s="5"/>
      <c r="H1750" s="5"/>
      <c r="I1750" s="5"/>
    </row>
    <row r="1751">
      <c r="A1751" s="5"/>
      <c r="B1751" s="6"/>
      <c r="C1751" s="7"/>
      <c r="D1751" s="8"/>
      <c r="E1751" s="9"/>
      <c r="F1751" s="8"/>
      <c r="G1751" s="5"/>
      <c r="H1751" s="5"/>
      <c r="I1751" s="5"/>
    </row>
    <row r="1752">
      <c r="A1752" s="5"/>
      <c r="B1752" s="6"/>
      <c r="C1752" s="7"/>
      <c r="D1752" s="8"/>
      <c r="E1752" s="9"/>
      <c r="F1752" s="8"/>
      <c r="G1752" s="5"/>
      <c r="H1752" s="5"/>
      <c r="I1752" s="5"/>
    </row>
    <row r="1753">
      <c r="A1753" s="5"/>
      <c r="B1753" s="6"/>
      <c r="C1753" s="7"/>
      <c r="D1753" s="8"/>
      <c r="E1753" s="9"/>
      <c r="F1753" s="8"/>
      <c r="G1753" s="5"/>
      <c r="H1753" s="5"/>
      <c r="I1753" s="5"/>
    </row>
    <row r="1754">
      <c r="A1754" s="5"/>
      <c r="B1754" s="6"/>
      <c r="C1754" s="7"/>
      <c r="D1754" s="8"/>
      <c r="E1754" s="9"/>
      <c r="F1754" s="8"/>
      <c r="G1754" s="5"/>
      <c r="H1754" s="5"/>
      <c r="I1754" s="5"/>
    </row>
    <row r="1755">
      <c r="A1755" s="5"/>
      <c r="B1755" s="6"/>
      <c r="C1755" s="7"/>
      <c r="D1755" s="8"/>
      <c r="E1755" s="9"/>
      <c r="F1755" s="8"/>
      <c r="G1755" s="5"/>
      <c r="H1755" s="5"/>
      <c r="I1755" s="5"/>
    </row>
    <row r="1756">
      <c r="A1756" s="5"/>
      <c r="B1756" s="6"/>
      <c r="C1756" s="7"/>
      <c r="D1756" s="8"/>
      <c r="E1756" s="9"/>
      <c r="F1756" s="8"/>
      <c r="G1756" s="5"/>
      <c r="H1756" s="5"/>
      <c r="I1756" s="5"/>
    </row>
    <row r="1757">
      <c r="A1757" s="5"/>
      <c r="B1757" s="6"/>
      <c r="C1757" s="7"/>
      <c r="D1757" s="8"/>
      <c r="E1757" s="9"/>
      <c r="F1757" s="8"/>
      <c r="G1757" s="5"/>
      <c r="H1757" s="5"/>
      <c r="I1757" s="5"/>
    </row>
    <row r="1758">
      <c r="A1758" s="5"/>
      <c r="B1758" s="6"/>
      <c r="C1758" s="7"/>
      <c r="D1758" s="8"/>
      <c r="E1758" s="9"/>
      <c r="F1758" s="8"/>
      <c r="G1758" s="5"/>
      <c r="H1758" s="5"/>
      <c r="I1758" s="5"/>
    </row>
    <row r="1759">
      <c r="A1759" s="5"/>
      <c r="B1759" s="6"/>
      <c r="C1759" s="7"/>
      <c r="D1759" s="8"/>
      <c r="E1759" s="9"/>
      <c r="F1759" s="8"/>
      <c r="G1759" s="5"/>
      <c r="H1759" s="5"/>
      <c r="I1759" s="5"/>
    </row>
    <row r="1760">
      <c r="A1760" s="5"/>
      <c r="B1760" s="6"/>
      <c r="C1760" s="7"/>
      <c r="D1760" s="8"/>
      <c r="E1760" s="9"/>
      <c r="F1760" s="8"/>
      <c r="G1760" s="5"/>
      <c r="H1760" s="5"/>
      <c r="I1760" s="5"/>
    </row>
    <row r="1761">
      <c r="A1761" s="5"/>
      <c r="B1761" s="6"/>
      <c r="C1761" s="7"/>
      <c r="D1761" s="8"/>
      <c r="E1761" s="9"/>
      <c r="F1761" s="8"/>
      <c r="G1761" s="5"/>
      <c r="H1761" s="5"/>
      <c r="I1761" s="5"/>
    </row>
    <row r="1762">
      <c r="A1762" s="5"/>
      <c r="B1762" s="6"/>
      <c r="C1762" s="7"/>
      <c r="D1762" s="8"/>
      <c r="E1762" s="9"/>
      <c r="F1762" s="8"/>
      <c r="G1762" s="5"/>
      <c r="H1762" s="5"/>
      <c r="I1762" s="5"/>
    </row>
    <row r="1763">
      <c r="A1763" s="5"/>
      <c r="B1763" s="6"/>
      <c r="C1763" s="7"/>
      <c r="D1763" s="8"/>
      <c r="E1763" s="9"/>
      <c r="F1763" s="8"/>
      <c r="G1763" s="5"/>
      <c r="H1763" s="5"/>
      <c r="I1763" s="5"/>
    </row>
    <row r="1764">
      <c r="A1764" s="5"/>
      <c r="B1764" s="6"/>
      <c r="C1764" s="7"/>
      <c r="D1764" s="8"/>
      <c r="E1764" s="9"/>
      <c r="F1764" s="8"/>
      <c r="G1764" s="5"/>
      <c r="H1764" s="5"/>
      <c r="I1764" s="5"/>
    </row>
    <row r="1765">
      <c r="A1765" s="5"/>
      <c r="B1765" s="6"/>
      <c r="C1765" s="7"/>
      <c r="D1765" s="8"/>
      <c r="E1765" s="9"/>
      <c r="F1765" s="8"/>
      <c r="G1765" s="5"/>
      <c r="H1765" s="5"/>
      <c r="I1765" s="5"/>
    </row>
    <row r="1766">
      <c r="A1766" s="5"/>
      <c r="B1766" s="6"/>
      <c r="C1766" s="7"/>
      <c r="D1766" s="8"/>
      <c r="E1766" s="9"/>
      <c r="F1766" s="8"/>
      <c r="G1766" s="5"/>
      <c r="H1766" s="5"/>
      <c r="I1766" s="5"/>
    </row>
    <row r="1767">
      <c r="A1767" s="5"/>
      <c r="B1767" s="6"/>
      <c r="C1767" s="7"/>
      <c r="D1767" s="8"/>
      <c r="E1767" s="9"/>
      <c r="F1767" s="8"/>
      <c r="G1767" s="5"/>
      <c r="H1767" s="5"/>
      <c r="I1767" s="5"/>
    </row>
    <row r="1768">
      <c r="A1768" s="5"/>
      <c r="B1768" s="6"/>
      <c r="C1768" s="7"/>
      <c r="D1768" s="8"/>
      <c r="E1768" s="9"/>
      <c r="F1768" s="8"/>
      <c r="G1768" s="5"/>
      <c r="H1768" s="5"/>
      <c r="I1768" s="5"/>
    </row>
    <row r="1769">
      <c r="A1769" s="5"/>
      <c r="B1769" s="6"/>
      <c r="C1769" s="7"/>
      <c r="D1769" s="8"/>
      <c r="E1769" s="9"/>
      <c r="F1769" s="8"/>
      <c r="G1769" s="5"/>
      <c r="H1769" s="5"/>
      <c r="I1769" s="5"/>
    </row>
    <row r="1770">
      <c r="A1770" s="5"/>
      <c r="B1770" s="6"/>
      <c r="C1770" s="7"/>
      <c r="D1770" s="8"/>
      <c r="E1770" s="9"/>
      <c r="F1770" s="8"/>
      <c r="G1770" s="5"/>
      <c r="H1770" s="5"/>
      <c r="I1770" s="5"/>
    </row>
    <row r="1771">
      <c r="A1771" s="5"/>
      <c r="B1771" s="6"/>
      <c r="C1771" s="7"/>
      <c r="D1771" s="8"/>
      <c r="E1771" s="9"/>
      <c r="F1771" s="8"/>
      <c r="G1771" s="5"/>
      <c r="H1771" s="5"/>
      <c r="I1771" s="5"/>
    </row>
    <row r="1772">
      <c r="A1772" s="5"/>
      <c r="B1772" s="6"/>
      <c r="C1772" s="7"/>
      <c r="D1772" s="8"/>
      <c r="E1772" s="9"/>
      <c r="F1772" s="8"/>
      <c r="G1772" s="5"/>
      <c r="H1772" s="5"/>
      <c r="I1772" s="5"/>
    </row>
    <row r="1773">
      <c r="A1773" s="5"/>
      <c r="B1773" s="6"/>
      <c r="C1773" s="7"/>
      <c r="D1773" s="8"/>
      <c r="E1773" s="9"/>
      <c r="F1773" s="8"/>
      <c r="G1773" s="5"/>
      <c r="H1773" s="5"/>
      <c r="I1773" s="5"/>
    </row>
    <row r="1774">
      <c r="A1774" s="5"/>
      <c r="B1774" s="6"/>
      <c r="C1774" s="7"/>
      <c r="D1774" s="8"/>
      <c r="E1774" s="9"/>
      <c r="F1774" s="8"/>
      <c r="G1774" s="5"/>
      <c r="H1774" s="5"/>
      <c r="I1774" s="5"/>
    </row>
    <row r="1775">
      <c r="A1775" s="5"/>
      <c r="B1775" s="6"/>
      <c r="C1775" s="7"/>
      <c r="D1775" s="8"/>
      <c r="E1775" s="9"/>
      <c r="F1775" s="8"/>
      <c r="G1775" s="5"/>
      <c r="H1775" s="5"/>
      <c r="I1775" s="5"/>
    </row>
    <row r="1776">
      <c r="A1776" s="5"/>
      <c r="B1776" s="6"/>
      <c r="C1776" s="7"/>
      <c r="D1776" s="8"/>
      <c r="E1776" s="9"/>
      <c r="F1776" s="8"/>
      <c r="G1776" s="5"/>
      <c r="H1776" s="5"/>
      <c r="I1776" s="5"/>
    </row>
    <row r="1777">
      <c r="A1777" s="5"/>
      <c r="B1777" s="6"/>
      <c r="C1777" s="7"/>
      <c r="D1777" s="8"/>
      <c r="E1777" s="9"/>
      <c r="F1777" s="8"/>
      <c r="G1777" s="5"/>
      <c r="H1777" s="5"/>
      <c r="I1777" s="5"/>
    </row>
    <row r="1778">
      <c r="A1778" s="5"/>
      <c r="B1778" s="6"/>
      <c r="C1778" s="7"/>
      <c r="D1778" s="8"/>
      <c r="E1778" s="9"/>
      <c r="F1778" s="8"/>
      <c r="G1778" s="5"/>
      <c r="H1778" s="5"/>
      <c r="I1778" s="5"/>
    </row>
    <row r="1779">
      <c r="A1779" s="5"/>
      <c r="B1779" s="6"/>
      <c r="C1779" s="7"/>
      <c r="D1779" s="8"/>
      <c r="E1779" s="9"/>
      <c r="F1779" s="8"/>
      <c r="G1779" s="5"/>
      <c r="H1779" s="5"/>
      <c r="I1779" s="5"/>
    </row>
    <row r="1780">
      <c r="A1780" s="5"/>
      <c r="B1780" s="6"/>
      <c r="C1780" s="7"/>
      <c r="D1780" s="8"/>
      <c r="E1780" s="9"/>
      <c r="F1780" s="8"/>
      <c r="G1780" s="5"/>
      <c r="H1780" s="5"/>
      <c r="I1780" s="5"/>
    </row>
    <row r="1781">
      <c r="A1781" s="5"/>
      <c r="B1781" s="6"/>
      <c r="C1781" s="7"/>
      <c r="D1781" s="8"/>
      <c r="E1781" s="9"/>
      <c r="F1781" s="8"/>
      <c r="G1781" s="5"/>
      <c r="H1781" s="5"/>
      <c r="I1781" s="5"/>
    </row>
    <row r="1782">
      <c r="A1782" s="5"/>
      <c r="B1782" s="6"/>
      <c r="C1782" s="7"/>
      <c r="D1782" s="8"/>
      <c r="E1782" s="9"/>
      <c r="F1782" s="8"/>
      <c r="G1782" s="5"/>
      <c r="H1782" s="5"/>
      <c r="I1782" s="5"/>
    </row>
    <row r="1783">
      <c r="A1783" s="5"/>
      <c r="B1783" s="6"/>
      <c r="C1783" s="7"/>
      <c r="D1783" s="8"/>
      <c r="E1783" s="9"/>
      <c r="F1783" s="8"/>
      <c r="G1783" s="5"/>
      <c r="H1783" s="5"/>
      <c r="I1783" s="5"/>
    </row>
    <row r="1784">
      <c r="A1784" s="5"/>
      <c r="B1784" s="6"/>
      <c r="C1784" s="7"/>
      <c r="D1784" s="8"/>
      <c r="E1784" s="9"/>
      <c r="F1784" s="8"/>
      <c r="G1784" s="5"/>
      <c r="H1784" s="5"/>
      <c r="I1784" s="5"/>
    </row>
    <row r="1785">
      <c r="A1785" s="5"/>
      <c r="B1785" s="6"/>
      <c r="C1785" s="7"/>
      <c r="D1785" s="8"/>
      <c r="E1785" s="9"/>
      <c r="F1785" s="8"/>
      <c r="G1785" s="5"/>
      <c r="H1785" s="5"/>
      <c r="I1785" s="5"/>
    </row>
    <row r="1786">
      <c r="A1786" s="5"/>
      <c r="B1786" s="6"/>
      <c r="C1786" s="7"/>
      <c r="D1786" s="8"/>
      <c r="E1786" s="9"/>
      <c r="F1786" s="8"/>
      <c r="G1786" s="5"/>
      <c r="H1786" s="5"/>
      <c r="I1786" s="5"/>
    </row>
    <row r="1787">
      <c r="A1787" s="5"/>
      <c r="B1787" s="6"/>
      <c r="C1787" s="7"/>
      <c r="D1787" s="8"/>
      <c r="E1787" s="9"/>
      <c r="F1787" s="8"/>
      <c r="G1787" s="5"/>
      <c r="H1787" s="5"/>
      <c r="I1787" s="5"/>
    </row>
    <row r="1788">
      <c r="A1788" s="5"/>
      <c r="B1788" s="6"/>
      <c r="C1788" s="7"/>
      <c r="D1788" s="8"/>
      <c r="E1788" s="9"/>
      <c r="F1788" s="8"/>
      <c r="G1788" s="5"/>
      <c r="H1788" s="5"/>
      <c r="I1788" s="5"/>
    </row>
    <row r="1789">
      <c r="A1789" s="5"/>
      <c r="B1789" s="6"/>
      <c r="C1789" s="7"/>
      <c r="D1789" s="8"/>
      <c r="E1789" s="9"/>
      <c r="F1789" s="8"/>
      <c r="G1789" s="5"/>
      <c r="H1789" s="5"/>
      <c r="I1789" s="5"/>
    </row>
    <row r="1790">
      <c r="A1790" s="5"/>
      <c r="B1790" s="6"/>
      <c r="C1790" s="7"/>
      <c r="D1790" s="8"/>
      <c r="E1790" s="9"/>
      <c r="F1790" s="8"/>
      <c r="G1790" s="5"/>
      <c r="H1790" s="5"/>
      <c r="I1790" s="5"/>
    </row>
    <row r="1791">
      <c r="A1791" s="5"/>
      <c r="B1791" s="6"/>
      <c r="C1791" s="7"/>
      <c r="D1791" s="8"/>
      <c r="E1791" s="9"/>
      <c r="F1791" s="8"/>
      <c r="G1791" s="5"/>
      <c r="H1791" s="5"/>
      <c r="I1791" s="5"/>
    </row>
    <row r="1792">
      <c r="A1792" s="5"/>
      <c r="B1792" s="6"/>
      <c r="C1792" s="7"/>
      <c r="D1792" s="8"/>
      <c r="E1792" s="9"/>
      <c r="F1792" s="8"/>
      <c r="G1792" s="5"/>
      <c r="H1792" s="5"/>
      <c r="I1792" s="5"/>
    </row>
    <row r="1793">
      <c r="A1793" s="5"/>
      <c r="B1793" s="6"/>
      <c r="C1793" s="7"/>
      <c r="D1793" s="8"/>
      <c r="E1793" s="9"/>
      <c r="F1793" s="8"/>
      <c r="G1793" s="5"/>
      <c r="H1793" s="5"/>
      <c r="I1793" s="5"/>
    </row>
    <row r="1794">
      <c r="A1794" s="5"/>
      <c r="B1794" s="6"/>
      <c r="C1794" s="7"/>
      <c r="D1794" s="8"/>
      <c r="E1794" s="9"/>
      <c r="F1794" s="8"/>
      <c r="G1794" s="5"/>
      <c r="H1794" s="5"/>
      <c r="I1794" s="5"/>
    </row>
    <row r="1795">
      <c r="A1795" s="5"/>
      <c r="B1795" s="6"/>
      <c r="C1795" s="7"/>
      <c r="D1795" s="8"/>
      <c r="E1795" s="9"/>
      <c r="F1795" s="8"/>
      <c r="G1795" s="5"/>
      <c r="H1795" s="5"/>
      <c r="I1795" s="5"/>
    </row>
    <row r="1796">
      <c r="A1796" s="5"/>
      <c r="B1796" s="6"/>
      <c r="C1796" s="7"/>
      <c r="D1796" s="8"/>
      <c r="E1796" s="9"/>
      <c r="F1796" s="8"/>
      <c r="G1796" s="5"/>
      <c r="H1796" s="5"/>
      <c r="I1796" s="5"/>
    </row>
    <row r="1797">
      <c r="A1797" s="5"/>
      <c r="B1797" s="6"/>
      <c r="C1797" s="7"/>
      <c r="D1797" s="8"/>
      <c r="E1797" s="9"/>
      <c r="F1797" s="8"/>
      <c r="G1797" s="5"/>
      <c r="H1797" s="5"/>
      <c r="I1797" s="5"/>
    </row>
    <row r="1798">
      <c r="A1798" s="5"/>
      <c r="B1798" s="6"/>
      <c r="C1798" s="7"/>
      <c r="D1798" s="8"/>
      <c r="E1798" s="9"/>
      <c r="F1798" s="8"/>
      <c r="G1798" s="5"/>
      <c r="H1798" s="5"/>
      <c r="I1798" s="5"/>
    </row>
    <row r="1799">
      <c r="A1799" s="5"/>
      <c r="B1799" s="6"/>
      <c r="C1799" s="7"/>
      <c r="D1799" s="8"/>
      <c r="E1799" s="9"/>
      <c r="F1799" s="8"/>
      <c r="G1799" s="5"/>
      <c r="H1799" s="5"/>
      <c r="I1799" s="5"/>
    </row>
    <row r="1800">
      <c r="A1800" s="5"/>
      <c r="B1800" s="6"/>
      <c r="C1800" s="7"/>
      <c r="D1800" s="8"/>
      <c r="E1800" s="9"/>
      <c r="F1800" s="8"/>
      <c r="G1800" s="5"/>
      <c r="H1800" s="5"/>
      <c r="I1800" s="5"/>
    </row>
    <row r="1801">
      <c r="A1801" s="5"/>
      <c r="B1801" s="6"/>
      <c r="C1801" s="7"/>
      <c r="D1801" s="8"/>
      <c r="E1801" s="9"/>
      <c r="F1801" s="8"/>
      <c r="G1801" s="5"/>
      <c r="H1801" s="5"/>
      <c r="I1801" s="5"/>
    </row>
    <row r="1802">
      <c r="A1802" s="5"/>
      <c r="B1802" s="6"/>
      <c r="C1802" s="7"/>
      <c r="D1802" s="8"/>
      <c r="E1802" s="9"/>
      <c r="F1802" s="8"/>
      <c r="G1802" s="5"/>
      <c r="H1802" s="5"/>
      <c r="I1802" s="5"/>
    </row>
    <row r="1803">
      <c r="A1803" s="5"/>
      <c r="B1803" s="6"/>
      <c r="C1803" s="7"/>
      <c r="D1803" s="8"/>
      <c r="E1803" s="9"/>
      <c r="F1803" s="8"/>
      <c r="G1803" s="5"/>
      <c r="H1803" s="5"/>
      <c r="I1803" s="5"/>
    </row>
    <row r="1804">
      <c r="A1804" s="5"/>
      <c r="B1804" s="6"/>
      <c r="C1804" s="7"/>
      <c r="D1804" s="8"/>
      <c r="E1804" s="9"/>
      <c r="F1804" s="8"/>
      <c r="G1804" s="5"/>
      <c r="H1804" s="5"/>
      <c r="I1804" s="5"/>
    </row>
    <row r="1805">
      <c r="A1805" s="5"/>
      <c r="B1805" s="6"/>
      <c r="C1805" s="7"/>
      <c r="D1805" s="8"/>
      <c r="E1805" s="9"/>
      <c r="F1805" s="8"/>
      <c r="G1805" s="5"/>
      <c r="H1805" s="5"/>
      <c r="I1805" s="5"/>
    </row>
    <row r="1806">
      <c r="A1806" s="5"/>
      <c r="B1806" s="6"/>
      <c r="C1806" s="7"/>
      <c r="D1806" s="8"/>
      <c r="E1806" s="9"/>
      <c r="F1806" s="8"/>
      <c r="G1806" s="5"/>
      <c r="H1806" s="5"/>
      <c r="I1806" s="5"/>
    </row>
    <row r="1807">
      <c r="A1807" s="5"/>
      <c r="B1807" s="6"/>
      <c r="C1807" s="7"/>
      <c r="D1807" s="8"/>
      <c r="E1807" s="9"/>
      <c r="F1807" s="8"/>
      <c r="G1807" s="5"/>
      <c r="H1807" s="5"/>
      <c r="I1807" s="5"/>
    </row>
    <row r="1808">
      <c r="A1808" s="5"/>
      <c r="B1808" s="6"/>
      <c r="C1808" s="7"/>
      <c r="D1808" s="8"/>
      <c r="E1808" s="9"/>
      <c r="F1808" s="8"/>
      <c r="G1808" s="5"/>
      <c r="H1808" s="5"/>
      <c r="I1808" s="5"/>
    </row>
    <row r="1809">
      <c r="A1809" s="5"/>
      <c r="B1809" s="6"/>
      <c r="C1809" s="7"/>
      <c r="D1809" s="8"/>
      <c r="E1809" s="9"/>
      <c r="F1809" s="8"/>
      <c r="G1809" s="5"/>
      <c r="H1809" s="5"/>
      <c r="I1809" s="5"/>
    </row>
    <row r="1810">
      <c r="A1810" s="5"/>
      <c r="B1810" s="6"/>
      <c r="C1810" s="7"/>
      <c r="D1810" s="8"/>
      <c r="E1810" s="9"/>
      <c r="F1810" s="8"/>
      <c r="G1810" s="5"/>
      <c r="H1810" s="5"/>
      <c r="I1810" s="5"/>
    </row>
    <row r="1811">
      <c r="A1811" s="5"/>
      <c r="B1811" s="6"/>
      <c r="C1811" s="7"/>
      <c r="D1811" s="8"/>
      <c r="E1811" s="9"/>
      <c r="F1811" s="8"/>
      <c r="G1811" s="5"/>
      <c r="H1811" s="5"/>
      <c r="I1811" s="5"/>
    </row>
    <row r="1812">
      <c r="A1812" s="5"/>
      <c r="B1812" s="6"/>
      <c r="C1812" s="7"/>
      <c r="D1812" s="8"/>
      <c r="E1812" s="9"/>
      <c r="F1812" s="8"/>
      <c r="G1812" s="5"/>
      <c r="H1812" s="5"/>
      <c r="I1812" s="5"/>
    </row>
    <row r="1813">
      <c r="A1813" s="5"/>
      <c r="B1813" s="6"/>
      <c r="C1813" s="7"/>
      <c r="D1813" s="8"/>
      <c r="E1813" s="9"/>
      <c r="F1813" s="8"/>
      <c r="G1813" s="5"/>
      <c r="H1813" s="5"/>
      <c r="I1813" s="5"/>
    </row>
    <row r="1814">
      <c r="A1814" s="5"/>
      <c r="B1814" s="6"/>
      <c r="C1814" s="7"/>
      <c r="D1814" s="8"/>
      <c r="E1814" s="9"/>
      <c r="F1814" s="8"/>
      <c r="G1814" s="5"/>
      <c r="H1814" s="5"/>
      <c r="I1814" s="5"/>
    </row>
    <row r="1815">
      <c r="A1815" s="5"/>
      <c r="B1815" s="6"/>
      <c r="C1815" s="7"/>
      <c r="D1815" s="8"/>
      <c r="E1815" s="9"/>
      <c r="F1815" s="8"/>
      <c r="G1815" s="5"/>
      <c r="H1815" s="5"/>
      <c r="I1815" s="5"/>
    </row>
    <row r="1816">
      <c r="A1816" s="5"/>
      <c r="B1816" s="6"/>
      <c r="C1816" s="7"/>
      <c r="D1816" s="8"/>
      <c r="E1816" s="9"/>
      <c r="F1816" s="8"/>
      <c r="G1816" s="5"/>
      <c r="H1816" s="5"/>
      <c r="I1816" s="5"/>
    </row>
    <row r="1817">
      <c r="A1817" s="5"/>
      <c r="B1817" s="6"/>
      <c r="C1817" s="7"/>
      <c r="D1817" s="8"/>
      <c r="E1817" s="9"/>
      <c r="F1817" s="8"/>
      <c r="G1817" s="5"/>
      <c r="H1817" s="5"/>
      <c r="I1817" s="5"/>
    </row>
    <row r="1818">
      <c r="A1818" s="5"/>
      <c r="B1818" s="6"/>
      <c r="C1818" s="7"/>
      <c r="D1818" s="8"/>
      <c r="E1818" s="9"/>
      <c r="F1818" s="8"/>
      <c r="G1818" s="5"/>
      <c r="H1818" s="5"/>
      <c r="I1818" s="5"/>
    </row>
    <row r="1819">
      <c r="A1819" s="5"/>
      <c r="B1819" s="6"/>
      <c r="C1819" s="7"/>
      <c r="D1819" s="8"/>
      <c r="E1819" s="9"/>
      <c r="F1819" s="8"/>
      <c r="G1819" s="5"/>
      <c r="H1819" s="5"/>
      <c r="I1819" s="5"/>
    </row>
    <row r="1820">
      <c r="A1820" s="5"/>
      <c r="B1820" s="6"/>
      <c r="C1820" s="7"/>
      <c r="D1820" s="8"/>
      <c r="E1820" s="9"/>
      <c r="F1820" s="8"/>
      <c r="G1820" s="5"/>
      <c r="H1820" s="5"/>
      <c r="I1820" s="5"/>
    </row>
    <row r="1821">
      <c r="A1821" s="5"/>
      <c r="B1821" s="6"/>
      <c r="C1821" s="7"/>
      <c r="D1821" s="8"/>
      <c r="E1821" s="9"/>
      <c r="F1821" s="8"/>
      <c r="G1821" s="5"/>
      <c r="H1821" s="5"/>
      <c r="I1821" s="5"/>
    </row>
    <row r="1822">
      <c r="A1822" s="5"/>
      <c r="B1822" s="6"/>
      <c r="C1822" s="7"/>
      <c r="D1822" s="8"/>
      <c r="E1822" s="9"/>
      <c r="F1822" s="8"/>
      <c r="G1822" s="5"/>
      <c r="H1822" s="5"/>
      <c r="I1822" s="5"/>
    </row>
    <row r="1823">
      <c r="A1823" s="5"/>
      <c r="B1823" s="6"/>
      <c r="C1823" s="7"/>
      <c r="D1823" s="8"/>
      <c r="E1823" s="9"/>
      <c r="F1823" s="8"/>
      <c r="G1823" s="5"/>
      <c r="H1823" s="5"/>
      <c r="I1823" s="5"/>
    </row>
    <row r="1824">
      <c r="A1824" s="5"/>
      <c r="B1824" s="6"/>
      <c r="C1824" s="7"/>
      <c r="D1824" s="8"/>
      <c r="E1824" s="9"/>
      <c r="F1824" s="8"/>
      <c r="G1824" s="5"/>
      <c r="H1824" s="5"/>
      <c r="I1824" s="5"/>
    </row>
    <row r="1825">
      <c r="A1825" s="5"/>
      <c r="B1825" s="6"/>
      <c r="C1825" s="7"/>
      <c r="D1825" s="8"/>
      <c r="E1825" s="9"/>
      <c r="F1825" s="8"/>
      <c r="G1825" s="5"/>
      <c r="H1825" s="5"/>
      <c r="I1825" s="5"/>
    </row>
    <row r="1826">
      <c r="A1826" s="5"/>
      <c r="B1826" s="6"/>
      <c r="C1826" s="7"/>
      <c r="D1826" s="8"/>
      <c r="E1826" s="9"/>
      <c r="F1826" s="8"/>
      <c r="G1826" s="5"/>
      <c r="H1826" s="5"/>
      <c r="I1826" s="5"/>
    </row>
    <row r="1827">
      <c r="A1827" s="5"/>
      <c r="B1827" s="6"/>
      <c r="C1827" s="7"/>
      <c r="D1827" s="8"/>
      <c r="E1827" s="9"/>
      <c r="F1827" s="8"/>
      <c r="G1827" s="5"/>
      <c r="H1827" s="5"/>
      <c r="I1827" s="5"/>
    </row>
    <row r="1828">
      <c r="A1828" s="5"/>
      <c r="B1828" s="6"/>
      <c r="C1828" s="7"/>
      <c r="D1828" s="8"/>
      <c r="E1828" s="9"/>
      <c r="F1828" s="8"/>
      <c r="G1828" s="5"/>
      <c r="H1828" s="5"/>
      <c r="I1828" s="5"/>
    </row>
    <row r="1829">
      <c r="A1829" s="5"/>
      <c r="B1829" s="6"/>
      <c r="C1829" s="7"/>
      <c r="D1829" s="8"/>
      <c r="E1829" s="9"/>
      <c r="F1829" s="8"/>
      <c r="G1829" s="5"/>
      <c r="H1829" s="5"/>
      <c r="I1829" s="5"/>
    </row>
    <row r="1830">
      <c r="A1830" s="5"/>
      <c r="B1830" s="6"/>
      <c r="C1830" s="7"/>
      <c r="D1830" s="8"/>
      <c r="E1830" s="9"/>
      <c r="F1830" s="8"/>
      <c r="G1830" s="5"/>
      <c r="H1830" s="5"/>
      <c r="I1830" s="5"/>
    </row>
    <row r="1831">
      <c r="A1831" s="5"/>
      <c r="B1831" s="6"/>
      <c r="C1831" s="7"/>
      <c r="D1831" s="8"/>
      <c r="E1831" s="9"/>
      <c r="F1831" s="8"/>
      <c r="G1831" s="5"/>
      <c r="H1831" s="5"/>
      <c r="I1831" s="5"/>
    </row>
    <row r="1832">
      <c r="A1832" s="5"/>
      <c r="B1832" s="6"/>
      <c r="C1832" s="7"/>
      <c r="D1832" s="8"/>
      <c r="E1832" s="9"/>
      <c r="F1832" s="8"/>
      <c r="G1832" s="5"/>
      <c r="H1832" s="5"/>
      <c r="I1832" s="5"/>
    </row>
    <row r="1833">
      <c r="A1833" s="5"/>
      <c r="B1833" s="6"/>
      <c r="C1833" s="7"/>
      <c r="D1833" s="8"/>
      <c r="E1833" s="9"/>
      <c r="F1833" s="8"/>
      <c r="G1833" s="5"/>
      <c r="H1833" s="5"/>
      <c r="I1833" s="5"/>
    </row>
    <row r="1834">
      <c r="A1834" s="5"/>
      <c r="B1834" s="6"/>
      <c r="C1834" s="7"/>
      <c r="D1834" s="8"/>
      <c r="E1834" s="9"/>
      <c r="F1834" s="8"/>
      <c r="G1834" s="5"/>
      <c r="H1834" s="5"/>
      <c r="I1834" s="5"/>
    </row>
    <row r="1835">
      <c r="A1835" s="5"/>
      <c r="B1835" s="6"/>
      <c r="C1835" s="7"/>
      <c r="D1835" s="8"/>
      <c r="E1835" s="9"/>
      <c r="F1835" s="8"/>
      <c r="G1835" s="5"/>
      <c r="H1835" s="5"/>
      <c r="I1835" s="5"/>
    </row>
    <row r="1836">
      <c r="A1836" s="5"/>
      <c r="B1836" s="6"/>
      <c r="C1836" s="7"/>
      <c r="D1836" s="8"/>
      <c r="E1836" s="9"/>
      <c r="F1836" s="8"/>
      <c r="G1836" s="5"/>
      <c r="H1836" s="5"/>
      <c r="I1836" s="5"/>
    </row>
    <row r="1837">
      <c r="A1837" s="5"/>
      <c r="B1837" s="6"/>
      <c r="C1837" s="7"/>
      <c r="D1837" s="8"/>
      <c r="E1837" s="9"/>
      <c r="F1837" s="8"/>
      <c r="G1837" s="5"/>
      <c r="H1837" s="5"/>
      <c r="I1837" s="5"/>
    </row>
    <row r="1838">
      <c r="A1838" s="5"/>
      <c r="B1838" s="6"/>
      <c r="C1838" s="7"/>
      <c r="D1838" s="8"/>
      <c r="E1838" s="9"/>
      <c r="F1838" s="8"/>
      <c r="G1838" s="5"/>
      <c r="H1838" s="5"/>
      <c r="I1838" s="5"/>
    </row>
    <row r="1839">
      <c r="A1839" s="5"/>
      <c r="B1839" s="6"/>
      <c r="C1839" s="7"/>
      <c r="D1839" s="8"/>
      <c r="E1839" s="9"/>
      <c r="F1839" s="8"/>
      <c r="G1839" s="5"/>
      <c r="H1839" s="5"/>
      <c r="I1839" s="5"/>
    </row>
    <row r="1840">
      <c r="A1840" s="5"/>
      <c r="B1840" s="6"/>
      <c r="C1840" s="7"/>
      <c r="D1840" s="8"/>
      <c r="E1840" s="9"/>
      <c r="F1840" s="8"/>
      <c r="G1840" s="5"/>
      <c r="H1840" s="5"/>
      <c r="I1840" s="5"/>
    </row>
    <row r="1841">
      <c r="A1841" s="5"/>
      <c r="B1841" s="6"/>
      <c r="C1841" s="7"/>
      <c r="D1841" s="8"/>
      <c r="E1841" s="9"/>
      <c r="F1841" s="8"/>
      <c r="G1841" s="5"/>
      <c r="H1841" s="5"/>
      <c r="I1841" s="5"/>
    </row>
    <row r="1842">
      <c r="A1842" s="5"/>
      <c r="B1842" s="6"/>
      <c r="C1842" s="7"/>
      <c r="D1842" s="8"/>
      <c r="E1842" s="9"/>
      <c r="F1842" s="8"/>
      <c r="G1842" s="5"/>
      <c r="H1842" s="5"/>
      <c r="I1842" s="5"/>
    </row>
    <row r="1843">
      <c r="A1843" s="5"/>
      <c r="B1843" s="6"/>
      <c r="C1843" s="7"/>
      <c r="D1843" s="8"/>
      <c r="E1843" s="9"/>
      <c r="F1843" s="8"/>
      <c r="G1843" s="5"/>
      <c r="H1843" s="5"/>
      <c r="I1843" s="5"/>
    </row>
    <row r="1844">
      <c r="A1844" s="5"/>
      <c r="B1844" s="6"/>
      <c r="C1844" s="7"/>
      <c r="D1844" s="8"/>
      <c r="E1844" s="9"/>
      <c r="F1844" s="8"/>
      <c r="G1844" s="5"/>
      <c r="H1844" s="5"/>
      <c r="I1844" s="5"/>
    </row>
    <row r="1845">
      <c r="A1845" s="5"/>
      <c r="B1845" s="6"/>
      <c r="C1845" s="7"/>
      <c r="D1845" s="8"/>
      <c r="E1845" s="9"/>
      <c r="F1845" s="8"/>
      <c r="G1845" s="5"/>
      <c r="H1845" s="5"/>
      <c r="I1845" s="5"/>
    </row>
    <row r="1846">
      <c r="A1846" s="5"/>
      <c r="B1846" s="6"/>
      <c r="C1846" s="7"/>
      <c r="D1846" s="8"/>
      <c r="E1846" s="9"/>
      <c r="F1846" s="8"/>
      <c r="G1846" s="5"/>
      <c r="H1846" s="5"/>
      <c r="I1846" s="5"/>
    </row>
    <row r="1847">
      <c r="A1847" s="5"/>
      <c r="B1847" s="6"/>
      <c r="C1847" s="7"/>
      <c r="D1847" s="8"/>
      <c r="E1847" s="9"/>
      <c r="F1847" s="8"/>
      <c r="G1847" s="5"/>
      <c r="H1847" s="5"/>
      <c r="I1847" s="5"/>
    </row>
    <row r="1848">
      <c r="A1848" s="5"/>
      <c r="B1848" s="6"/>
      <c r="C1848" s="7"/>
      <c r="D1848" s="8"/>
      <c r="E1848" s="9"/>
      <c r="F1848" s="8"/>
      <c r="G1848" s="5"/>
      <c r="H1848" s="5"/>
      <c r="I1848" s="5"/>
    </row>
    <row r="1849">
      <c r="A1849" s="5"/>
      <c r="B1849" s="6"/>
      <c r="C1849" s="7"/>
      <c r="D1849" s="8"/>
      <c r="E1849" s="9"/>
      <c r="F1849" s="8"/>
      <c r="G1849" s="5"/>
      <c r="H1849" s="5"/>
      <c r="I1849" s="5"/>
    </row>
    <row r="1850">
      <c r="A1850" s="5"/>
      <c r="B1850" s="6"/>
      <c r="C1850" s="7"/>
      <c r="D1850" s="8"/>
      <c r="E1850" s="9"/>
      <c r="F1850" s="8"/>
      <c r="G1850" s="5"/>
      <c r="H1850" s="5"/>
      <c r="I1850" s="5"/>
    </row>
    <row r="1851">
      <c r="A1851" s="5"/>
      <c r="B1851" s="6"/>
      <c r="C1851" s="7"/>
      <c r="D1851" s="8"/>
      <c r="E1851" s="9"/>
      <c r="F1851" s="8"/>
      <c r="G1851" s="5"/>
      <c r="H1851" s="5"/>
      <c r="I1851" s="5"/>
    </row>
    <row r="1852">
      <c r="A1852" s="5"/>
      <c r="B1852" s="6"/>
      <c r="C1852" s="7"/>
      <c r="D1852" s="8"/>
      <c r="E1852" s="9"/>
      <c r="F1852" s="8"/>
      <c r="G1852" s="5"/>
      <c r="H1852" s="5"/>
      <c r="I1852" s="5"/>
    </row>
    <row r="1853">
      <c r="A1853" s="5"/>
      <c r="B1853" s="6"/>
      <c r="C1853" s="7"/>
      <c r="D1853" s="8"/>
      <c r="E1853" s="9"/>
      <c r="F1853" s="8"/>
      <c r="G1853" s="5"/>
      <c r="H1853" s="5"/>
      <c r="I1853" s="5"/>
    </row>
    <row r="1854">
      <c r="A1854" s="5"/>
      <c r="B1854" s="6"/>
      <c r="C1854" s="7"/>
      <c r="D1854" s="8"/>
      <c r="E1854" s="9"/>
      <c r="F1854" s="8"/>
      <c r="G1854" s="5"/>
      <c r="H1854" s="5"/>
      <c r="I1854" s="5"/>
    </row>
    <row r="1855">
      <c r="A1855" s="5"/>
      <c r="B1855" s="6"/>
      <c r="C1855" s="7"/>
      <c r="D1855" s="8"/>
      <c r="E1855" s="9"/>
      <c r="F1855" s="8"/>
      <c r="G1855" s="5"/>
      <c r="H1855" s="5"/>
      <c r="I1855" s="5"/>
    </row>
    <row r="1856">
      <c r="A1856" s="5"/>
      <c r="B1856" s="6"/>
      <c r="C1856" s="7"/>
      <c r="D1856" s="8"/>
      <c r="E1856" s="9"/>
      <c r="F1856" s="8"/>
      <c r="G1856" s="5"/>
      <c r="H1856" s="5"/>
      <c r="I1856" s="5"/>
    </row>
    <row r="1857">
      <c r="A1857" s="5"/>
      <c r="B1857" s="6"/>
      <c r="C1857" s="7"/>
      <c r="D1857" s="8"/>
      <c r="E1857" s="9"/>
      <c r="F1857" s="8"/>
      <c r="G1857" s="5"/>
      <c r="H1857" s="5"/>
      <c r="I1857" s="5"/>
    </row>
    <row r="1858">
      <c r="A1858" s="5"/>
      <c r="B1858" s="6"/>
      <c r="C1858" s="7"/>
      <c r="D1858" s="8"/>
      <c r="E1858" s="9"/>
      <c r="F1858" s="8"/>
      <c r="G1858" s="5"/>
      <c r="H1858" s="5"/>
      <c r="I1858" s="5"/>
    </row>
    <row r="1859">
      <c r="A1859" s="5"/>
      <c r="B1859" s="6"/>
      <c r="C1859" s="7"/>
      <c r="D1859" s="8"/>
      <c r="E1859" s="9"/>
      <c r="F1859" s="8"/>
      <c r="G1859" s="5"/>
      <c r="H1859" s="5"/>
      <c r="I1859" s="5"/>
    </row>
    <row r="1860">
      <c r="A1860" s="5"/>
      <c r="B1860" s="6"/>
      <c r="C1860" s="7"/>
      <c r="D1860" s="8"/>
      <c r="E1860" s="9"/>
      <c r="F1860" s="8"/>
      <c r="G1860" s="5"/>
      <c r="H1860" s="5"/>
      <c r="I1860" s="5"/>
    </row>
    <row r="1861">
      <c r="A1861" s="5"/>
      <c r="B1861" s="6"/>
      <c r="C1861" s="7"/>
      <c r="D1861" s="8"/>
      <c r="E1861" s="9"/>
      <c r="F1861" s="8"/>
      <c r="G1861" s="5"/>
      <c r="H1861" s="5"/>
      <c r="I1861" s="5"/>
    </row>
    <row r="1862">
      <c r="A1862" s="5"/>
      <c r="B1862" s="6"/>
      <c r="C1862" s="7"/>
      <c r="D1862" s="8"/>
      <c r="E1862" s="9"/>
      <c r="F1862" s="8"/>
      <c r="G1862" s="5"/>
      <c r="H1862" s="5"/>
      <c r="I1862" s="5"/>
    </row>
    <row r="1863">
      <c r="A1863" s="5"/>
      <c r="B1863" s="6"/>
      <c r="C1863" s="7"/>
      <c r="D1863" s="8"/>
      <c r="E1863" s="9"/>
      <c r="F1863" s="8"/>
      <c r="G1863" s="5"/>
      <c r="H1863" s="5"/>
      <c r="I1863" s="5"/>
    </row>
    <row r="1864">
      <c r="A1864" s="5"/>
      <c r="B1864" s="6"/>
      <c r="C1864" s="7"/>
      <c r="D1864" s="8"/>
      <c r="E1864" s="9"/>
      <c r="F1864" s="8"/>
      <c r="G1864" s="5"/>
      <c r="H1864" s="5"/>
      <c r="I1864" s="5"/>
    </row>
    <row r="1865">
      <c r="A1865" s="5"/>
      <c r="B1865" s="6"/>
      <c r="C1865" s="7"/>
      <c r="D1865" s="8"/>
      <c r="E1865" s="9"/>
      <c r="F1865" s="8"/>
      <c r="G1865" s="5"/>
      <c r="H1865" s="5"/>
      <c r="I1865" s="5"/>
    </row>
    <row r="1866">
      <c r="A1866" s="5"/>
      <c r="B1866" s="6"/>
      <c r="C1866" s="7"/>
      <c r="D1866" s="8"/>
      <c r="E1866" s="9"/>
      <c r="F1866" s="8"/>
      <c r="G1866" s="5"/>
      <c r="H1866" s="5"/>
      <c r="I1866" s="5"/>
    </row>
    <row r="1867">
      <c r="A1867" s="5"/>
      <c r="B1867" s="6"/>
      <c r="C1867" s="7"/>
      <c r="D1867" s="8"/>
      <c r="E1867" s="9"/>
      <c r="F1867" s="8"/>
      <c r="G1867" s="5"/>
      <c r="H1867" s="5"/>
      <c r="I1867" s="5"/>
    </row>
    <row r="1868">
      <c r="A1868" s="5"/>
      <c r="B1868" s="6"/>
      <c r="C1868" s="7"/>
      <c r="D1868" s="8"/>
      <c r="E1868" s="9"/>
      <c r="F1868" s="8"/>
      <c r="G1868" s="5"/>
      <c r="H1868" s="5"/>
      <c r="I1868" s="5"/>
    </row>
    <row r="1869">
      <c r="A1869" s="5"/>
      <c r="B1869" s="6"/>
      <c r="C1869" s="7"/>
      <c r="D1869" s="8"/>
      <c r="E1869" s="9"/>
      <c r="F1869" s="8"/>
      <c r="G1869" s="5"/>
      <c r="H1869" s="5"/>
      <c r="I1869" s="5"/>
    </row>
    <row r="1870">
      <c r="A1870" s="5"/>
      <c r="B1870" s="6"/>
      <c r="C1870" s="7"/>
      <c r="D1870" s="8"/>
      <c r="E1870" s="9"/>
      <c r="F1870" s="8"/>
      <c r="G1870" s="5"/>
      <c r="H1870" s="5"/>
      <c r="I1870" s="5"/>
    </row>
    <row r="1871">
      <c r="A1871" s="5"/>
      <c r="B1871" s="6"/>
      <c r="C1871" s="7"/>
      <c r="D1871" s="8"/>
      <c r="E1871" s="9"/>
      <c r="F1871" s="8"/>
      <c r="G1871" s="5"/>
      <c r="H1871" s="5"/>
      <c r="I1871" s="5"/>
    </row>
    <row r="1872">
      <c r="A1872" s="5"/>
      <c r="B1872" s="6"/>
      <c r="C1872" s="7"/>
      <c r="D1872" s="8"/>
      <c r="E1872" s="9"/>
      <c r="F1872" s="8"/>
      <c r="G1872" s="5"/>
      <c r="H1872" s="5"/>
      <c r="I1872" s="5"/>
    </row>
    <row r="1873">
      <c r="A1873" s="5"/>
      <c r="B1873" s="6"/>
      <c r="C1873" s="7"/>
      <c r="D1873" s="8"/>
      <c r="E1873" s="9"/>
      <c r="F1873" s="8"/>
      <c r="G1873" s="5"/>
      <c r="H1873" s="5"/>
      <c r="I1873" s="5"/>
    </row>
    <row r="1874">
      <c r="A1874" s="5"/>
      <c r="B1874" s="6"/>
      <c r="C1874" s="7"/>
      <c r="D1874" s="8"/>
      <c r="E1874" s="9"/>
      <c r="F1874" s="8"/>
      <c r="G1874" s="5"/>
      <c r="H1874" s="5"/>
      <c r="I1874" s="5"/>
    </row>
    <row r="1875">
      <c r="A1875" s="5"/>
      <c r="B1875" s="6"/>
      <c r="C1875" s="7"/>
      <c r="D1875" s="8"/>
      <c r="E1875" s="9"/>
      <c r="F1875" s="8"/>
      <c r="G1875" s="5"/>
      <c r="H1875" s="5"/>
      <c r="I1875" s="5"/>
    </row>
    <row r="1876">
      <c r="A1876" s="5"/>
      <c r="B1876" s="6"/>
      <c r="C1876" s="7"/>
      <c r="D1876" s="8"/>
      <c r="E1876" s="9"/>
      <c r="F1876" s="8"/>
      <c r="G1876" s="5"/>
      <c r="H1876" s="5"/>
      <c r="I1876" s="5"/>
    </row>
    <row r="1877">
      <c r="A1877" s="5"/>
      <c r="B1877" s="6"/>
      <c r="C1877" s="7"/>
      <c r="D1877" s="8"/>
      <c r="E1877" s="9"/>
      <c r="F1877" s="8"/>
      <c r="G1877" s="5"/>
      <c r="H1877" s="5"/>
      <c r="I1877" s="5"/>
    </row>
    <row r="1878">
      <c r="A1878" s="5"/>
      <c r="B1878" s="6"/>
      <c r="C1878" s="7"/>
      <c r="D1878" s="8"/>
      <c r="E1878" s="9"/>
      <c r="F1878" s="8"/>
      <c r="G1878" s="5"/>
      <c r="H1878" s="5"/>
      <c r="I1878" s="5"/>
    </row>
    <row r="1879">
      <c r="A1879" s="5"/>
      <c r="B1879" s="6"/>
      <c r="C1879" s="7"/>
      <c r="D1879" s="8"/>
      <c r="E1879" s="9"/>
      <c r="F1879" s="8"/>
      <c r="G1879" s="5"/>
      <c r="H1879" s="5"/>
      <c r="I1879" s="5"/>
    </row>
    <row r="1880">
      <c r="A1880" s="5"/>
      <c r="B1880" s="6"/>
      <c r="C1880" s="7"/>
      <c r="D1880" s="8"/>
      <c r="E1880" s="9"/>
      <c r="F1880" s="8"/>
      <c r="G1880" s="5"/>
      <c r="H1880" s="5"/>
      <c r="I1880" s="5"/>
    </row>
    <row r="1881">
      <c r="A1881" s="5"/>
      <c r="B1881" s="6"/>
      <c r="C1881" s="7"/>
      <c r="D1881" s="8"/>
      <c r="E1881" s="9"/>
      <c r="F1881" s="8"/>
      <c r="G1881" s="5"/>
      <c r="H1881" s="5"/>
      <c r="I1881" s="5"/>
    </row>
    <row r="1882">
      <c r="A1882" s="5"/>
      <c r="B1882" s="6"/>
      <c r="C1882" s="7"/>
      <c r="D1882" s="8"/>
      <c r="E1882" s="9"/>
      <c r="F1882" s="8"/>
      <c r="G1882" s="5"/>
      <c r="H1882" s="5"/>
      <c r="I1882" s="5"/>
    </row>
    <row r="1883">
      <c r="A1883" s="5"/>
      <c r="B1883" s="6"/>
      <c r="C1883" s="7"/>
      <c r="D1883" s="8"/>
      <c r="E1883" s="9"/>
      <c r="F1883" s="8"/>
      <c r="G1883" s="5"/>
      <c r="H1883" s="5"/>
      <c r="I1883" s="5"/>
    </row>
    <row r="1884">
      <c r="A1884" s="5"/>
      <c r="B1884" s="6"/>
      <c r="C1884" s="7"/>
      <c r="D1884" s="8"/>
      <c r="E1884" s="9"/>
      <c r="F1884" s="8"/>
      <c r="G1884" s="5"/>
      <c r="H1884" s="5"/>
      <c r="I1884" s="5"/>
    </row>
    <row r="1885">
      <c r="A1885" s="5"/>
      <c r="B1885" s="6"/>
      <c r="C1885" s="7"/>
      <c r="D1885" s="8"/>
      <c r="E1885" s="9"/>
      <c r="F1885" s="8"/>
      <c r="G1885" s="5"/>
      <c r="H1885" s="5"/>
      <c r="I1885" s="5"/>
    </row>
    <row r="1886">
      <c r="A1886" s="5"/>
      <c r="B1886" s="6"/>
      <c r="C1886" s="7"/>
      <c r="D1886" s="8"/>
      <c r="E1886" s="9"/>
      <c r="F1886" s="8"/>
      <c r="G1886" s="5"/>
      <c r="H1886" s="5"/>
      <c r="I1886" s="5"/>
    </row>
    <row r="1887">
      <c r="A1887" s="5"/>
      <c r="B1887" s="6"/>
      <c r="C1887" s="7"/>
      <c r="D1887" s="8"/>
      <c r="E1887" s="9"/>
      <c r="F1887" s="8"/>
      <c r="G1887" s="5"/>
      <c r="H1887" s="5"/>
      <c r="I1887" s="5"/>
    </row>
    <row r="1888">
      <c r="A1888" s="5"/>
      <c r="B1888" s="6"/>
      <c r="C1888" s="7"/>
      <c r="D1888" s="8"/>
      <c r="E1888" s="9"/>
      <c r="F1888" s="8"/>
      <c r="G1888" s="5"/>
      <c r="H1888" s="5"/>
      <c r="I1888" s="5"/>
    </row>
    <row r="1889">
      <c r="A1889" s="5"/>
      <c r="B1889" s="6"/>
      <c r="C1889" s="7"/>
      <c r="D1889" s="8"/>
      <c r="E1889" s="9"/>
      <c r="F1889" s="8"/>
      <c r="G1889" s="5"/>
      <c r="H1889" s="5"/>
      <c r="I1889" s="5"/>
    </row>
    <row r="1890">
      <c r="A1890" s="5"/>
      <c r="B1890" s="6"/>
      <c r="C1890" s="7"/>
      <c r="D1890" s="8"/>
      <c r="E1890" s="9"/>
      <c r="F1890" s="8"/>
      <c r="G1890" s="5"/>
      <c r="H1890" s="5"/>
      <c r="I1890" s="5"/>
    </row>
    <row r="1891">
      <c r="A1891" s="5"/>
      <c r="B1891" s="6"/>
      <c r="C1891" s="7"/>
      <c r="D1891" s="8"/>
      <c r="E1891" s="9"/>
      <c r="F1891" s="8"/>
      <c r="G1891" s="5"/>
      <c r="H1891" s="5"/>
      <c r="I1891" s="5"/>
    </row>
    <row r="1892">
      <c r="A1892" s="5"/>
      <c r="B1892" s="6"/>
      <c r="C1892" s="7"/>
      <c r="D1892" s="8"/>
      <c r="E1892" s="9"/>
      <c r="F1892" s="8"/>
      <c r="G1892" s="5"/>
      <c r="H1892" s="5"/>
      <c r="I1892" s="5"/>
    </row>
    <row r="1893">
      <c r="A1893" s="5"/>
      <c r="B1893" s="6"/>
      <c r="C1893" s="7"/>
      <c r="D1893" s="8"/>
      <c r="E1893" s="9"/>
      <c r="F1893" s="8"/>
      <c r="G1893" s="5"/>
      <c r="H1893" s="5"/>
      <c r="I1893" s="5"/>
    </row>
    <row r="1894">
      <c r="A1894" s="5"/>
      <c r="B1894" s="6"/>
      <c r="C1894" s="7"/>
      <c r="D1894" s="8"/>
      <c r="E1894" s="9"/>
      <c r="F1894" s="8"/>
      <c r="G1894" s="5"/>
      <c r="H1894" s="5"/>
      <c r="I1894" s="5"/>
    </row>
    <row r="1895">
      <c r="A1895" s="5"/>
      <c r="B1895" s="6"/>
      <c r="C1895" s="7"/>
      <c r="D1895" s="8"/>
      <c r="E1895" s="9"/>
      <c r="F1895" s="8"/>
      <c r="G1895" s="5"/>
      <c r="H1895" s="5"/>
      <c r="I1895" s="5"/>
    </row>
    <row r="1896">
      <c r="A1896" s="5"/>
      <c r="B1896" s="6"/>
      <c r="C1896" s="7"/>
      <c r="D1896" s="8"/>
      <c r="E1896" s="9"/>
      <c r="F1896" s="8"/>
      <c r="G1896" s="5"/>
      <c r="H1896" s="5"/>
      <c r="I1896" s="5"/>
    </row>
    <row r="1897">
      <c r="A1897" s="5"/>
      <c r="B1897" s="6"/>
      <c r="C1897" s="7"/>
      <c r="D1897" s="8"/>
      <c r="E1897" s="9"/>
      <c r="F1897" s="8"/>
      <c r="G1897" s="5"/>
      <c r="H1897" s="5"/>
      <c r="I1897" s="5"/>
    </row>
    <row r="1898">
      <c r="A1898" s="5"/>
      <c r="B1898" s="6"/>
      <c r="C1898" s="7"/>
      <c r="D1898" s="8"/>
      <c r="E1898" s="9"/>
      <c r="F1898" s="8"/>
      <c r="G1898" s="5"/>
      <c r="H1898" s="5"/>
      <c r="I1898" s="5"/>
    </row>
    <row r="1899">
      <c r="A1899" s="5"/>
      <c r="B1899" s="6"/>
      <c r="C1899" s="7"/>
      <c r="D1899" s="8"/>
      <c r="E1899" s="9"/>
      <c r="F1899" s="8"/>
      <c r="G1899" s="5"/>
      <c r="H1899" s="5"/>
      <c r="I1899" s="5"/>
    </row>
    <row r="1900">
      <c r="A1900" s="5"/>
      <c r="B1900" s="6"/>
      <c r="C1900" s="7"/>
      <c r="D1900" s="8"/>
      <c r="E1900" s="9"/>
      <c r="F1900" s="8"/>
      <c r="G1900" s="5"/>
      <c r="H1900" s="5"/>
      <c r="I1900" s="5"/>
    </row>
    <row r="1901">
      <c r="A1901" s="5"/>
      <c r="B1901" s="6"/>
      <c r="C1901" s="7"/>
      <c r="D1901" s="8"/>
      <c r="E1901" s="9"/>
      <c r="F1901" s="8"/>
      <c r="G1901" s="5"/>
      <c r="H1901" s="5"/>
      <c r="I1901" s="5"/>
    </row>
    <row r="1902">
      <c r="A1902" s="5"/>
      <c r="B1902" s="6"/>
      <c r="C1902" s="7"/>
      <c r="D1902" s="8"/>
      <c r="E1902" s="9"/>
      <c r="F1902" s="8"/>
      <c r="G1902" s="5"/>
      <c r="H1902" s="5"/>
      <c r="I1902" s="5"/>
    </row>
    <row r="1903">
      <c r="A1903" s="5"/>
      <c r="B1903" s="6"/>
      <c r="C1903" s="7"/>
      <c r="D1903" s="8"/>
      <c r="E1903" s="9"/>
      <c r="F1903" s="8"/>
      <c r="G1903" s="5"/>
      <c r="H1903" s="5"/>
      <c r="I1903" s="5"/>
    </row>
    <row r="1904">
      <c r="A1904" s="5"/>
      <c r="B1904" s="6"/>
      <c r="C1904" s="7"/>
      <c r="D1904" s="8"/>
      <c r="E1904" s="9"/>
      <c r="F1904" s="8"/>
      <c r="G1904" s="5"/>
      <c r="H1904" s="5"/>
      <c r="I1904" s="5"/>
    </row>
    <row r="1905">
      <c r="A1905" s="5"/>
      <c r="B1905" s="6"/>
      <c r="C1905" s="7"/>
      <c r="D1905" s="8"/>
      <c r="E1905" s="9"/>
      <c r="F1905" s="8"/>
      <c r="G1905" s="5"/>
      <c r="H1905" s="5"/>
      <c r="I1905" s="5"/>
    </row>
    <row r="1906">
      <c r="A1906" s="5"/>
      <c r="B1906" s="6"/>
      <c r="C1906" s="7"/>
      <c r="D1906" s="8"/>
      <c r="E1906" s="9"/>
      <c r="F1906" s="8"/>
      <c r="G1906" s="5"/>
      <c r="H1906" s="5"/>
      <c r="I1906" s="5"/>
    </row>
    <row r="1907">
      <c r="A1907" s="5"/>
      <c r="B1907" s="6"/>
      <c r="C1907" s="7"/>
      <c r="D1907" s="8"/>
      <c r="E1907" s="9"/>
      <c r="F1907" s="8"/>
      <c r="G1907" s="5"/>
      <c r="H1907" s="5"/>
      <c r="I1907" s="5"/>
    </row>
    <row r="1908">
      <c r="A1908" s="5"/>
      <c r="B1908" s="6"/>
      <c r="C1908" s="7"/>
      <c r="D1908" s="8"/>
      <c r="E1908" s="9"/>
      <c r="F1908" s="8"/>
      <c r="G1908" s="5"/>
      <c r="H1908" s="5"/>
      <c r="I1908" s="5"/>
    </row>
    <row r="1909">
      <c r="A1909" s="5"/>
      <c r="B1909" s="6"/>
      <c r="C1909" s="7"/>
      <c r="D1909" s="8"/>
      <c r="E1909" s="9"/>
      <c r="F1909" s="8"/>
      <c r="G1909" s="5"/>
      <c r="H1909" s="5"/>
      <c r="I1909" s="5"/>
    </row>
    <row r="1910">
      <c r="A1910" s="5"/>
      <c r="B1910" s="6"/>
      <c r="C1910" s="7"/>
      <c r="D1910" s="8"/>
      <c r="E1910" s="9"/>
      <c r="F1910" s="8"/>
      <c r="G1910" s="5"/>
      <c r="H1910" s="5"/>
      <c r="I1910" s="5"/>
    </row>
    <row r="1911">
      <c r="A1911" s="5"/>
      <c r="B1911" s="6"/>
      <c r="C1911" s="7"/>
      <c r="D1911" s="8"/>
      <c r="E1911" s="9"/>
      <c r="F1911" s="8"/>
      <c r="G1911" s="5"/>
      <c r="H1911" s="5"/>
      <c r="I1911" s="5"/>
    </row>
    <row r="1912">
      <c r="A1912" s="5"/>
      <c r="B1912" s="6"/>
      <c r="C1912" s="7"/>
      <c r="D1912" s="8"/>
      <c r="E1912" s="9"/>
      <c r="F1912" s="8"/>
      <c r="G1912" s="5"/>
      <c r="H1912" s="5"/>
      <c r="I1912" s="5"/>
    </row>
    <row r="1913">
      <c r="A1913" s="5"/>
      <c r="B1913" s="6"/>
      <c r="C1913" s="7"/>
      <c r="D1913" s="8"/>
      <c r="E1913" s="9"/>
      <c r="F1913" s="8"/>
      <c r="G1913" s="5"/>
      <c r="H1913" s="5"/>
      <c r="I1913" s="5"/>
    </row>
    <row r="1914">
      <c r="A1914" s="5"/>
      <c r="B1914" s="6"/>
      <c r="C1914" s="7"/>
      <c r="D1914" s="8"/>
      <c r="E1914" s="9"/>
      <c r="F1914" s="8"/>
      <c r="G1914" s="5"/>
      <c r="H1914" s="5"/>
      <c r="I1914" s="5"/>
    </row>
    <row r="1915">
      <c r="A1915" s="5"/>
      <c r="B1915" s="6"/>
      <c r="C1915" s="7"/>
      <c r="D1915" s="8"/>
      <c r="E1915" s="9"/>
      <c r="F1915" s="8"/>
      <c r="G1915" s="5"/>
      <c r="H1915" s="5"/>
      <c r="I1915" s="5"/>
    </row>
    <row r="1916">
      <c r="A1916" s="5"/>
      <c r="B1916" s="6"/>
      <c r="C1916" s="7"/>
      <c r="D1916" s="8"/>
      <c r="E1916" s="9"/>
      <c r="F1916" s="8"/>
      <c r="G1916" s="5"/>
      <c r="H1916" s="5"/>
      <c r="I1916" s="5"/>
    </row>
    <row r="1917">
      <c r="A1917" s="5"/>
      <c r="B1917" s="6"/>
      <c r="C1917" s="7"/>
      <c r="D1917" s="8"/>
      <c r="E1917" s="9"/>
      <c r="F1917" s="8"/>
      <c r="G1917" s="5"/>
      <c r="H1917" s="5"/>
      <c r="I1917" s="5"/>
    </row>
    <row r="1918">
      <c r="A1918" s="5"/>
      <c r="B1918" s="6"/>
      <c r="C1918" s="7"/>
      <c r="D1918" s="8"/>
      <c r="E1918" s="9"/>
      <c r="F1918" s="8"/>
      <c r="G1918" s="5"/>
      <c r="H1918" s="5"/>
      <c r="I1918" s="5"/>
    </row>
    <row r="1919">
      <c r="A1919" s="5"/>
      <c r="B1919" s="6"/>
      <c r="C1919" s="7"/>
      <c r="D1919" s="8"/>
      <c r="E1919" s="9"/>
      <c r="F1919" s="8"/>
      <c r="G1919" s="5"/>
      <c r="H1919" s="5"/>
      <c r="I1919" s="5"/>
    </row>
    <row r="1920">
      <c r="A1920" s="5"/>
      <c r="B1920" s="6"/>
      <c r="C1920" s="7"/>
      <c r="D1920" s="8"/>
      <c r="E1920" s="9"/>
      <c r="F1920" s="8"/>
      <c r="G1920" s="5"/>
      <c r="H1920" s="5"/>
      <c r="I1920" s="5"/>
    </row>
    <row r="1921">
      <c r="A1921" s="5"/>
      <c r="B1921" s="6"/>
      <c r="C1921" s="7"/>
      <c r="D1921" s="8"/>
      <c r="E1921" s="9"/>
      <c r="F1921" s="8"/>
      <c r="G1921" s="5"/>
      <c r="H1921" s="5"/>
      <c r="I1921" s="5"/>
    </row>
    <row r="1922">
      <c r="A1922" s="5"/>
      <c r="B1922" s="6"/>
      <c r="C1922" s="7"/>
      <c r="D1922" s="8"/>
      <c r="E1922" s="9"/>
      <c r="F1922" s="8"/>
      <c r="G1922" s="5"/>
      <c r="H1922" s="5"/>
      <c r="I1922" s="5"/>
    </row>
    <row r="1923">
      <c r="A1923" s="5"/>
      <c r="B1923" s="6"/>
      <c r="C1923" s="7"/>
      <c r="D1923" s="8"/>
      <c r="E1923" s="9"/>
      <c r="F1923" s="8"/>
      <c r="G1923" s="5"/>
      <c r="H1923" s="5"/>
      <c r="I1923" s="5"/>
    </row>
    <row r="1924">
      <c r="A1924" s="5"/>
      <c r="B1924" s="6"/>
      <c r="C1924" s="7"/>
      <c r="D1924" s="8"/>
      <c r="E1924" s="9"/>
      <c r="F1924" s="8"/>
      <c r="G1924" s="5"/>
      <c r="H1924" s="5"/>
      <c r="I1924" s="5"/>
    </row>
    <row r="1925">
      <c r="A1925" s="5"/>
      <c r="B1925" s="6"/>
      <c r="C1925" s="7"/>
      <c r="D1925" s="8"/>
      <c r="E1925" s="9"/>
      <c r="F1925" s="8"/>
      <c r="G1925" s="5"/>
      <c r="H1925" s="5"/>
      <c r="I1925" s="5"/>
    </row>
    <row r="1926">
      <c r="A1926" s="5"/>
      <c r="B1926" s="6"/>
      <c r="C1926" s="7"/>
      <c r="D1926" s="8"/>
      <c r="E1926" s="9"/>
      <c r="F1926" s="8"/>
      <c r="G1926" s="5"/>
      <c r="H1926" s="5"/>
      <c r="I1926" s="5"/>
    </row>
    <row r="1927">
      <c r="A1927" s="5"/>
      <c r="B1927" s="6"/>
      <c r="C1927" s="7"/>
      <c r="D1927" s="8"/>
      <c r="E1927" s="9"/>
      <c r="F1927" s="8"/>
      <c r="G1927" s="5"/>
      <c r="H1927" s="5"/>
      <c r="I1927" s="5"/>
    </row>
    <row r="1928">
      <c r="A1928" s="5"/>
      <c r="B1928" s="6"/>
      <c r="C1928" s="7"/>
      <c r="D1928" s="8"/>
      <c r="E1928" s="9"/>
      <c r="F1928" s="8"/>
      <c r="G1928" s="5"/>
      <c r="H1928" s="5"/>
      <c r="I1928" s="5"/>
    </row>
    <row r="1929">
      <c r="A1929" s="5"/>
      <c r="B1929" s="6"/>
      <c r="C1929" s="7"/>
      <c r="D1929" s="8"/>
      <c r="E1929" s="9"/>
      <c r="F1929" s="8"/>
      <c r="G1929" s="5"/>
      <c r="H1929" s="5"/>
      <c r="I1929" s="5"/>
    </row>
    <row r="1930">
      <c r="A1930" s="5"/>
      <c r="B1930" s="6"/>
      <c r="C1930" s="7"/>
      <c r="D1930" s="8"/>
      <c r="E1930" s="9"/>
      <c r="F1930" s="8"/>
      <c r="G1930" s="5"/>
      <c r="H1930" s="5"/>
      <c r="I1930" s="5"/>
    </row>
    <row r="1931">
      <c r="A1931" s="5"/>
      <c r="B1931" s="6"/>
      <c r="C1931" s="7"/>
      <c r="D1931" s="8"/>
      <c r="E1931" s="9"/>
      <c r="F1931" s="8"/>
      <c r="G1931" s="5"/>
      <c r="H1931" s="5"/>
      <c r="I1931" s="5"/>
    </row>
    <row r="1932">
      <c r="A1932" s="5"/>
      <c r="B1932" s="6"/>
      <c r="C1932" s="7"/>
      <c r="D1932" s="8"/>
      <c r="E1932" s="9"/>
      <c r="F1932" s="8"/>
      <c r="G1932" s="5"/>
      <c r="H1932" s="5"/>
      <c r="I1932" s="5"/>
    </row>
    <row r="1933">
      <c r="A1933" s="5"/>
      <c r="B1933" s="6"/>
      <c r="C1933" s="7"/>
      <c r="D1933" s="8"/>
      <c r="E1933" s="9"/>
      <c r="F1933" s="8"/>
      <c r="G1933" s="5"/>
      <c r="H1933" s="5"/>
      <c r="I1933" s="5"/>
    </row>
    <row r="1934">
      <c r="A1934" s="5"/>
      <c r="B1934" s="6"/>
      <c r="C1934" s="7"/>
      <c r="D1934" s="8"/>
      <c r="E1934" s="9"/>
      <c r="F1934" s="8"/>
      <c r="G1934" s="5"/>
      <c r="H1934" s="5"/>
      <c r="I1934" s="5"/>
    </row>
    <row r="1935">
      <c r="A1935" s="5"/>
      <c r="B1935" s="6"/>
      <c r="C1935" s="7"/>
      <c r="D1935" s="8"/>
      <c r="E1935" s="9"/>
      <c r="F1935" s="8"/>
      <c r="G1935" s="5"/>
      <c r="H1935" s="5"/>
      <c r="I1935" s="5"/>
    </row>
    <row r="1936">
      <c r="A1936" s="5"/>
      <c r="B1936" s="6"/>
      <c r="C1936" s="7"/>
      <c r="D1936" s="8"/>
      <c r="E1936" s="9"/>
      <c r="F1936" s="8"/>
      <c r="G1936" s="5"/>
      <c r="H1936" s="5"/>
      <c r="I1936" s="5"/>
    </row>
    <row r="1937">
      <c r="A1937" s="5"/>
      <c r="B1937" s="6"/>
      <c r="C1937" s="7"/>
      <c r="D1937" s="8"/>
      <c r="E1937" s="9"/>
      <c r="F1937" s="8"/>
      <c r="G1937" s="5"/>
      <c r="H1937" s="5"/>
      <c r="I1937" s="5"/>
    </row>
    <row r="1938">
      <c r="A1938" s="5"/>
      <c r="B1938" s="6"/>
      <c r="C1938" s="7"/>
      <c r="D1938" s="8"/>
      <c r="E1938" s="9"/>
      <c r="F1938" s="8"/>
      <c r="G1938" s="5"/>
      <c r="H1938" s="5"/>
      <c r="I1938" s="5"/>
    </row>
    <row r="1939">
      <c r="A1939" s="5"/>
      <c r="B1939" s="6"/>
      <c r="C1939" s="7"/>
      <c r="D1939" s="8"/>
      <c r="E1939" s="9"/>
      <c r="F1939" s="8"/>
      <c r="G1939" s="5"/>
      <c r="H1939" s="5"/>
      <c r="I1939" s="5"/>
    </row>
    <row r="1940">
      <c r="A1940" s="5"/>
      <c r="B1940" s="6"/>
      <c r="C1940" s="7"/>
      <c r="D1940" s="8"/>
      <c r="E1940" s="9"/>
      <c r="F1940" s="8"/>
      <c r="G1940" s="5"/>
      <c r="H1940" s="5"/>
      <c r="I1940" s="5"/>
    </row>
    <row r="1941">
      <c r="A1941" s="5"/>
      <c r="B1941" s="6"/>
      <c r="C1941" s="7"/>
      <c r="D1941" s="8"/>
      <c r="E1941" s="9"/>
      <c r="F1941" s="8"/>
      <c r="G1941" s="5"/>
      <c r="H1941" s="5"/>
      <c r="I1941" s="5"/>
    </row>
    <row r="1942">
      <c r="A1942" s="5"/>
      <c r="B1942" s="6"/>
      <c r="C1942" s="7"/>
      <c r="D1942" s="8"/>
      <c r="E1942" s="9"/>
      <c r="F1942" s="8"/>
      <c r="G1942" s="5"/>
      <c r="H1942" s="5"/>
      <c r="I1942" s="5"/>
    </row>
    <row r="1943">
      <c r="A1943" s="5"/>
      <c r="B1943" s="6"/>
      <c r="C1943" s="7"/>
      <c r="D1943" s="8"/>
      <c r="E1943" s="9"/>
      <c r="F1943" s="8"/>
      <c r="G1943" s="5"/>
      <c r="H1943" s="5"/>
      <c r="I1943" s="5"/>
    </row>
    <row r="1944">
      <c r="A1944" s="5"/>
      <c r="B1944" s="6"/>
      <c r="C1944" s="7"/>
      <c r="D1944" s="8"/>
      <c r="E1944" s="9"/>
      <c r="F1944" s="8"/>
      <c r="G1944" s="5"/>
      <c r="H1944" s="5"/>
      <c r="I1944" s="5"/>
    </row>
    <row r="1945">
      <c r="A1945" s="5"/>
      <c r="B1945" s="6"/>
      <c r="C1945" s="7"/>
      <c r="D1945" s="8"/>
      <c r="E1945" s="9"/>
      <c r="F1945" s="8"/>
      <c r="G1945" s="5"/>
      <c r="H1945" s="5"/>
      <c r="I1945" s="5"/>
    </row>
    <row r="1946">
      <c r="A1946" s="5"/>
      <c r="B1946" s="6"/>
      <c r="C1946" s="7"/>
      <c r="D1946" s="8"/>
      <c r="E1946" s="9"/>
      <c r="F1946" s="8"/>
      <c r="G1946" s="5"/>
      <c r="H1946" s="5"/>
      <c r="I1946" s="5"/>
    </row>
    <row r="1947">
      <c r="A1947" s="5"/>
      <c r="B1947" s="6"/>
      <c r="C1947" s="7"/>
      <c r="D1947" s="8"/>
      <c r="E1947" s="9"/>
      <c r="F1947" s="8"/>
      <c r="G1947" s="5"/>
      <c r="H1947" s="5"/>
      <c r="I1947" s="5"/>
    </row>
    <row r="1948">
      <c r="A1948" s="5"/>
      <c r="B1948" s="6"/>
      <c r="C1948" s="7"/>
      <c r="D1948" s="8"/>
      <c r="E1948" s="9"/>
      <c r="F1948" s="8"/>
      <c r="G1948" s="5"/>
      <c r="H1948" s="5"/>
      <c r="I1948" s="5"/>
    </row>
    <row r="1949">
      <c r="A1949" s="5"/>
      <c r="B1949" s="6"/>
      <c r="C1949" s="7"/>
      <c r="D1949" s="8"/>
      <c r="E1949" s="9"/>
      <c r="F1949" s="8"/>
      <c r="G1949" s="5"/>
      <c r="H1949" s="5"/>
      <c r="I1949" s="5"/>
    </row>
    <row r="1950">
      <c r="A1950" s="5"/>
      <c r="B1950" s="6"/>
      <c r="C1950" s="7"/>
      <c r="D1950" s="8"/>
      <c r="E1950" s="9"/>
      <c r="F1950" s="8"/>
      <c r="G1950" s="5"/>
      <c r="H1950" s="5"/>
      <c r="I1950" s="5"/>
    </row>
    <row r="1951">
      <c r="A1951" s="5"/>
      <c r="B1951" s="6"/>
      <c r="C1951" s="7"/>
      <c r="D1951" s="8"/>
      <c r="E1951" s="9"/>
      <c r="F1951" s="8"/>
      <c r="G1951" s="5"/>
      <c r="H1951" s="5"/>
      <c r="I1951" s="5"/>
    </row>
    <row r="1952">
      <c r="A1952" s="5"/>
      <c r="B1952" s="6"/>
      <c r="C1952" s="7"/>
      <c r="D1952" s="8"/>
      <c r="E1952" s="9"/>
      <c r="F1952" s="8"/>
      <c r="G1952" s="5"/>
      <c r="H1952" s="5"/>
      <c r="I1952" s="5"/>
    </row>
    <row r="1953">
      <c r="A1953" s="5"/>
      <c r="B1953" s="6"/>
      <c r="C1953" s="7"/>
      <c r="D1953" s="8"/>
      <c r="E1953" s="9"/>
      <c r="F1953" s="8"/>
      <c r="G1953" s="5"/>
      <c r="H1953" s="5"/>
      <c r="I1953" s="5"/>
    </row>
    <row r="1954">
      <c r="A1954" s="5"/>
      <c r="B1954" s="6"/>
      <c r="C1954" s="7"/>
      <c r="D1954" s="8"/>
      <c r="E1954" s="9"/>
      <c r="F1954" s="8"/>
      <c r="G1954" s="5"/>
      <c r="H1954" s="5"/>
      <c r="I1954" s="5"/>
    </row>
    <row r="1955">
      <c r="A1955" s="5"/>
      <c r="B1955" s="6"/>
      <c r="C1955" s="7"/>
      <c r="D1955" s="8"/>
      <c r="E1955" s="9"/>
      <c r="F1955" s="8"/>
      <c r="G1955" s="5"/>
      <c r="H1955" s="5"/>
      <c r="I1955" s="5"/>
    </row>
    <row r="1956">
      <c r="A1956" s="5"/>
      <c r="B1956" s="6"/>
      <c r="C1956" s="7"/>
      <c r="D1956" s="8"/>
      <c r="E1956" s="9"/>
      <c r="F1956" s="8"/>
      <c r="G1956" s="5"/>
      <c r="H1956" s="5"/>
      <c r="I1956" s="5"/>
    </row>
    <row r="1957">
      <c r="A1957" s="5"/>
      <c r="B1957" s="6"/>
      <c r="C1957" s="7"/>
      <c r="D1957" s="8"/>
      <c r="E1957" s="9"/>
      <c r="F1957" s="8"/>
      <c r="G1957" s="5"/>
      <c r="H1957" s="5"/>
      <c r="I1957" s="5"/>
    </row>
    <row r="1958">
      <c r="A1958" s="5"/>
      <c r="B1958" s="6"/>
      <c r="C1958" s="7"/>
      <c r="D1958" s="8"/>
      <c r="E1958" s="9"/>
      <c r="F1958" s="8"/>
      <c r="G1958" s="5"/>
      <c r="H1958" s="5"/>
      <c r="I1958" s="5"/>
    </row>
    <row r="1959">
      <c r="A1959" s="5"/>
      <c r="B1959" s="6"/>
      <c r="C1959" s="7"/>
      <c r="D1959" s="8"/>
      <c r="E1959" s="9"/>
      <c r="F1959" s="8"/>
      <c r="G1959" s="5"/>
      <c r="H1959" s="5"/>
      <c r="I1959" s="5"/>
    </row>
    <row r="1960">
      <c r="A1960" s="5"/>
      <c r="B1960" s="6"/>
      <c r="C1960" s="7"/>
      <c r="D1960" s="8"/>
      <c r="E1960" s="9"/>
      <c r="F1960" s="8"/>
      <c r="G1960" s="5"/>
      <c r="H1960" s="5"/>
      <c r="I1960" s="5"/>
    </row>
    <row r="1961">
      <c r="A1961" s="5"/>
      <c r="B1961" s="6"/>
      <c r="C1961" s="7"/>
      <c r="D1961" s="8"/>
      <c r="E1961" s="9"/>
      <c r="F1961" s="8"/>
      <c r="G1961" s="5"/>
      <c r="H1961" s="5"/>
      <c r="I1961" s="5"/>
    </row>
    <row r="1962">
      <c r="A1962" s="5"/>
      <c r="B1962" s="6"/>
      <c r="C1962" s="7"/>
      <c r="D1962" s="8"/>
      <c r="E1962" s="9"/>
      <c r="F1962" s="8"/>
      <c r="G1962" s="5"/>
      <c r="H1962" s="5"/>
      <c r="I1962" s="5"/>
    </row>
    <row r="1963">
      <c r="A1963" s="5"/>
      <c r="B1963" s="6"/>
      <c r="C1963" s="7"/>
      <c r="D1963" s="8"/>
      <c r="E1963" s="9"/>
      <c r="F1963" s="8"/>
      <c r="G1963" s="5"/>
      <c r="H1963" s="5"/>
      <c r="I1963" s="5"/>
    </row>
    <row r="1964">
      <c r="A1964" s="5"/>
      <c r="B1964" s="6"/>
      <c r="C1964" s="7"/>
      <c r="D1964" s="8"/>
      <c r="E1964" s="9"/>
      <c r="F1964" s="8"/>
      <c r="G1964" s="5"/>
      <c r="H1964" s="5"/>
      <c r="I1964" s="5"/>
    </row>
    <row r="1965">
      <c r="A1965" s="5"/>
      <c r="B1965" s="6"/>
      <c r="C1965" s="7"/>
      <c r="D1965" s="8"/>
      <c r="E1965" s="9"/>
      <c r="F1965" s="8"/>
      <c r="G1965" s="5"/>
      <c r="H1965" s="5"/>
      <c r="I1965" s="5"/>
    </row>
    <row r="1966">
      <c r="A1966" s="5"/>
      <c r="B1966" s="6"/>
      <c r="C1966" s="7"/>
      <c r="D1966" s="8"/>
      <c r="E1966" s="9"/>
      <c r="F1966" s="8"/>
      <c r="G1966" s="5"/>
      <c r="H1966" s="5"/>
      <c r="I1966" s="5"/>
    </row>
    <row r="1967">
      <c r="A1967" s="5"/>
      <c r="B1967" s="6"/>
      <c r="C1967" s="7"/>
      <c r="D1967" s="8"/>
      <c r="E1967" s="9"/>
      <c r="F1967" s="8"/>
      <c r="G1967" s="5"/>
      <c r="H1967" s="5"/>
      <c r="I1967" s="5"/>
    </row>
    <row r="1968">
      <c r="A1968" s="5"/>
      <c r="B1968" s="6"/>
      <c r="C1968" s="7"/>
      <c r="D1968" s="8"/>
      <c r="E1968" s="9"/>
      <c r="F1968" s="8"/>
      <c r="G1968" s="5"/>
      <c r="H1968" s="5"/>
      <c r="I1968" s="5"/>
    </row>
    <row r="1969">
      <c r="A1969" s="5"/>
      <c r="B1969" s="6"/>
      <c r="C1969" s="7"/>
      <c r="D1969" s="8"/>
      <c r="E1969" s="9"/>
      <c r="F1969" s="8"/>
      <c r="G1969" s="5"/>
      <c r="H1969" s="5"/>
      <c r="I1969" s="5"/>
    </row>
    <row r="1970">
      <c r="A1970" s="5"/>
      <c r="B1970" s="6"/>
      <c r="C1970" s="7"/>
      <c r="D1970" s="8"/>
      <c r="E1970" s="9"/>
      <c r="F1970" s="8"/>
      <c r="G1970" s="5"/>
      <c r="H1970" s="5"/>
      <c r="I1970" s="5"/>
    </row>
    <row r="1971">
      <c r="A1971" s="5"/>
      <c r="B1971" s="6"/>
      <c r="C1971" s="7"/>
      <c r="D1971" s="8"/>
      <c r="E1971" s="9"/>
      <c r="F1971" s="8"/>
      <c r="G1971" s="5"/>
      <c r="H1971" s="5"/>
      <c r="I1971" s="5"/>
    </row>
    <row r="1972">
      <c r="A1972" s="5"/>
      <c r="B1972" s="6"/>
      <c r="C1972" s="7"/>
      <c r="D1972" s="8"/>
      <c r="E1972" s="9"/>
      <c r="F1972" s="8"/>
      <c r="G1972" s="5"/>
      <c r="H1972" s="5"/>
      <c r="I1972" s="5"/>
    </row>
    <row r="1973">
      <c r="A1973" s="5"/>
      <c r="B1973" s="6"/>
      <c r="C1973" s="7"/>
      <c r="D1973" s="8"/>
      <c r="E1973" s="9"/>
      <c r="F1973" s="8"/>
      <c r="G1973" s="5"/>
      <c r="H1973" s="5"/>
      <c r="I1973" s="5"/>
    </row>
    <row r="1974">
      <c r="A1974" s="5"/>
      <c r="B1974" s="6"/>
      <c r="C1974" s="7"/>
      <c r="D1974" s="8"/>
      <c r="E1974" s="9"/>
      <c r="F1974" s="8"/>
      <c r="G1974" s="5"/>
      <c r="H1974" s="5"/>
      <c r="I1974" s="5"/>
    </row>
    <row r="1975">
      <c r="A1975" s="5"/>
      <c r="B1975" s="6"/>
      <c r="C1975" s="7"/>
      <c r="D1975" s="8"/>
      <c r="E1975" s="9"/>
      <c r="F1975" s="8"/>
      <c r="G1975" s="5"/>
      <c r="H1975" s="5"/>
      <c r="I1975" s="5"/>
    </row>
    <row r="1976">
      <c r="A1976" s="5"/>
      <c r="B1976" s="6"/>
      <c r="C1976" s="7"/>
      <c r="D1976" s="8"/>
      <c r="E1976" s="9"/>
      <c r="F1976" s="8"/>
      <c r="G1976" s="5"/>
      <c r="H1976" s="5"/>
      <c r="I1976" s="5"/>
    </row>
    <row r="1977">
      <c r="A1977" s="5"/>
      <c r="B1977" s="6"/>
      <c r="C1977" s="7"/>
      <c r="D1977" s="8"/>
      <c r="E1977" s="9"/>
      <c r="F1977" s="8"/>
      <c r="G1977" s="5"/>
      <c r="H1977" s="5"/>
      <c r="I1977" s="5"/>
    </row>
    <row r="1978">
      <c r="A1978" s="5"/>
      <c r="B1978" s="6"/>
      <c r="C1978" s="7"/>
      <c r="D1978" s="8"/>
      <c r="E1978" s="9"/>
      <c r="F1978" s="8"/>
      <c r="G1978" s="5"/>
      <c r="H1978" s="5"/>
      <c r="I1978" s="5"/>
    </row>
    <row r="1979">
      <c r="A1979" s="5"/>
      <c r="B1979" s="6"/>
      <c r="C1979" s="7"/>
      <c r="D1979" s="8"/>
      <c r="E1979" s="9"/>
      <c r="F1979" s="8"/>
      <c r="G1979" s="5"/>
      <c r="H1979" s="5"/>
      <c r="I1979" s="5"/>
    </row>
    <row r="1980">
      <c r="A1980" s="5"/>
      <c r="B1980" s="6"/>
      <c r="C1980" s="7"/>
      <c r="D1980" s="8"/>
      <c r="E1980" s="9"/>
      <c r="F1980" s="8"/>
      <c r="G1980" s="5"/>
      <c r="H1980" s="5"/>
      <c r="I1980" s="5"/>
    </row>
    <row r="1981">
      <c r="A1981" s="5"/>
      <c r="B1981" s="6"/>
      <c r="C1981" s="7"/>
      <c r="D1981" s="8"/>
      <c r="E1981" s="9"/>
      <c r="F1981" s="8"/>
      <c r="G1981" s="5"/>
      <c r="H1981" s="5"/>
      <c r="I1981" s="5"/>
    </row>
    <row r="1982">
      <c r="A1982" s="5"/>
      <c r="B1982" s="6"/>
      <c r="C1982" s="7"/>
      <c r="D1982" s="8"/>
      <c r="E1982" s="9"/>
      <c r="F1982" s="8"/>
      <c r="G1982" s="5"/>
      <c r="H1982" s="5"/>
      <c r="I1982" s="5"/>
    </row>
    <row r="1983">
      <c r="A1983" s="5"/>
      <c r="B1983" s="6"/>
      <c r="C1983" s="7"/>
      <c r="D1983" s="8"/>
      <c r="E1983" s="9"/>
      <c r="F1983" s="8"/>
      <c r="G1983" s="5"/>
      <c r="H1983" s="5"/>
      <c r="I1983" s="5"/>
    </row>
    <row r="1984">
      <c r="A1984" s="5"/>
      <c r="B1984" s="6"/>
      <c r="C1984" s="7"/>
      <c r="D1984" s="8"/>
      <c r="E1984" s="9"/>
      <c r="F1984" s="8"/>
      <c r="G1984" s="5"/>
      <c r="H1984" s="5"/>
      <c r="I1984" s="5"/>
    </row>
    <row r="1985">
      <c r="A1985" s="5"/>
      <c r="B1985" s="6"/>
      <c r="C1985" s="7"/>
      <c r="D1985" s="8"/>
      <c r="E1985" s="9"/>
      <c r="F1985" s="8"/>
      <c r="G1985" s="5"/>
      <c r="H1985" s="5"/>
      <c r="I1985" s="5"/>
    </row>
    <row r="1986">
      <c r="A1986" s="5"/>
      <c r="B1986" s="6"/>
      <c r="C1986" s="7"/>
      <c r="D1986" s="8"/>
      <c r="E1986" s="9"/>
      <c r="F1986" s="8"/>
      <c r="G1986" s="5"/>
      <c r="H1986" s="5"/>
      <c r="I1986" s="5"/>
    </row>
    <row r="1987">
      <c r="A1987" s="5"/>
      <c r="B1987" s="6"/>
      <c r="C1987" s="7"/>
      <c r="D1987" s="8"/>
      <c r="E1987" s="9"/>
      <c r="F1987" s="8"/>
      <c r="G1987" s="5"/>
      <c r="H1987" s="5"/>
      <c r="I1987" s="5"/>
    </row>
    <row r="1988">
      <c r="A1988" s="5"/>
      <c r="B1988" s="6"/>
      <c r="C1988" s="7"/>
      <c r="D1988" s="8"/>
      <c r="E1988" s="9"/>
      <c r="F1988" s="8"/>
      <c r="G1988" s="5"/>
      <c r="H1988" s="5"/>
      <c r="I1988" s="5"/>
    </row>
    <row r="1989">
      <c r="A1989" s="5"/>
      <c r="B1989" s="6"/>
      <c r="C1989" s="7"/>
      <c r="D1989" s="8"/>
      <c r="E1989" s="9"/>
      <c r="F1989" s="8"/>
      <c r="G1989" s="5"/>
      <c r="H1989" s="5"/>
      <c r="I1989" s="5"/>
    </row>
    <row r="1990">
      <c r="A1990" s="5"/>
      <c r="B1990" s="6"/>
      <c r="C1990" s="7"/>
      <c r="D1990" s="8"/>
      <c r="E1990" s="9"/>
      <c r="F1990" s="8"/>
      <c r="G1990" s="5"/>
      <c r="H1990" s="5"/>
      <c r="I1990" s="5"/>
    </row>
    <row r="1991">
      <c r="A1991" s="5"/>
      <c r="B1991" s="6"/>
      <c r="C1991" s="7"/>
      <c r="D1991" s="8"/>
      <c r="E1991" s="9"/>
      <c r="F1991" s="8"/>
      <c r="G1991" s="5"/>
      <c r="H1991" s="5"/>
      <c r="I1991" s="5"/>
    </row>
    <row r="1992">
      <c r="A1992" s="5"/>
      <c r="B1992" s="6"/>
      <c r="C1992" s="7"/>
      <c r="D1992" s="8"/>
      <c r="E1992" s="9"/>
      <c r="F1992" s="8"/>
      <c r="G1992" s="5"/>
      <c r="H1992" s="5"/>
      <c r="I1992" s="5"/>
    </row>
    <row r="1993">
      <c r="A1993" s="5"/>
      <c r="B1993" s="6"/>
      <c r="C1993" s="7"/>
      <c r="D1993" s="8"/>
      <c r="E1993" s="9"/>
      <c r="F1993" s="8"/>
      <c r="G1993" s="5"/>
      <c r="H1993" s="5"/>
      <c r="I1993" s="5"/>
    </row>
    <row r="1994">
      <c r="A1994" s="5"/>
      <c r="B1994" s="6"/>
      <c r="C1994" s="7"/>
      <c r="D1994" s="8"/>
      <c r="E1994" s="9"/>
      <c r="F1994" s="8"/>
      <c r="G1994" s="5"/>
      <c r="H1994" s="5"/>
      <c r="I1994" s="5"/>
    </row>
    <row r="1995">
      <c r="A1995" s="5"/>
      <c r="B1995" s="6"/>
      <c r="C1995" s="7"/>
      <c r="D1995" s="8"/>
      <c r="E1995" s="9"/>
      <c r="F1995" s="8"/>
      <c r="G1995" s="5"/>
      <c r="H1995" s="5"/>
      <c r="I1995" s="5"/>
    </row>
    <row r="1996">
      <c r="A1996" s="5"/>
      <c r="B1996" s="6"/>
      <c r="C1996" s="7"/>
      <c r="D1996" s="8"/>
      <c r="E1996" s="9"/>
      <c r="F1996" s="8"/>
      <c r="G1996" s="5"/>
      <c r="H1996" s="5"/>
      <c r="I1996" s="5"/>
    </row>
    <row r="1997">
      <c r="A1997" s="5"/>
      <c r="B1997" s="6"/>
      <c r="C1997" s="7"/>
      <c r="D1997" s="8"/>
      <c r="E1997" s="9"/>
      <c r="F1997" s="8"/>
      <c r="G1997" s="5"/>
      <c r="H1997" s="5"/>
      <c r="I1997" s="5"/>
    </row>
    <row r="1998">
      <c r="A1998" s="5"/>
      <c r="B1998" s="6"/>
      <c r="C1998" s="7"/>
      <c r="D1998" s="8"/>
      <c r="E1998" s="9"/>
      <c r="F1998" s="8"/>
      <c r="G1998" s="5"/>
      <c r="H1998" s="5"/>
      <c r="I1998" s="5"/>
    </row>
    <row r="1999">
      <c r="A1999" s="5"/>
      <c r="B1999" s="6"/>
      <c r="C1999" s="7"/>
      <c r="D1999" s="8"/>
      <c r="E1999" s="9"/>
      <c r="F1999" s="8"/>
      <c r="G1999" s="5"/>
      <c r="H1999" s="5"/>
      <c r="I1999" s="5"/>
    </row>
    <row r="2000">
      <c r="A2000" s="5"/>
      <c r="B2000" s="6"/>
      <c r="C2000" s="7"/>
      <c r="D2000" s="8"/>
      <c r="E2000" s="9"/>
      <c r="F2000" s="8"/>
      <c r="G2000" s="5"/>
      <c r="H2000" s="5"/>
      <c r="I2000" s="5"/>
    </row>
    <row r="2001">
      <c r="A2001" s="5"/>
      <c r="B2001" s="6"/>
      <c r="C2001" s="7"/>
      <c r="D2001" s="8"/>
      <c r="E2001" s="9"/>
      <c r="F2001" s="8"/>
      <c r="G2001" s="5"/>
      <c r="H2001" s="5"/>
      <c r="I2001" s="5"/>
    </row>
    <row r="2002">
      <c r="A2002" s="5"/>
      <c r="B2002" s="6"/>
      <c r="C2002" s="7"/>
      <c r="D2002" s="8"/>
      <c r="E2002" s="9"/>
      <c r="F2002" s="8"/>
      <c r="G2002" s="5"/>
      <c r="H2002" s="5"/>
      <c r="I2002" s="5"/>
    </row>
    <row r="2003">
      <c r="A2003" s="5"/>
      <c r="B2003" s="6"/>
      <c r="C2003" s="7"/>
      <c r="D2003" s="8"/>
      <c r="E2003" s="9"/>
      <c r="F2003" s="8"/>
      <c r="G2003" s="5"/>
      <c r="H2003" s="5"/>
      <c r="I2003" s="5"/>
    </row>
    <row r="2004">
      <c r="A2004" s="5"/>
      <c r="B2004" s="6"/>
      <c r="C2004" s="7"/>
      <c r="D2004" s="8"/>
      <c r="E2004" s="9"/>
      <c r="F2004" s="8"/>
      <c r="G2004" s="5"/>
      <c r="H2004" s="5"/>
      <c r="I2004" s="5"/>
    </row>
    <row r="2005">
      <c r="A2005" s="5"/>
      <c r="B2005" s="6"/>
      <c r="C2005" s="7"/>
      <c r="D2005" s="8"/>
      <c r="E2005" s="9"/>
      <c r="F2005" s="8"/>
      <c r="G2005" s="5"/>
      <c r="H2005" s="5"/>
      <c r="I2005" s="5"/>
    </row>
    <row r="2006">
      <c r="A2006" s="5"/>
      <c r="B2006" s="6"/>
      <c r="C2006" s="7"/>
      <c r="D2006" s="8"/>
      <c r="E2006" s="9"/>
      <c r="F2006" s="8"/>
      <c r="G2006" s="5"/>
      <c r="H2006" s="5"/>
      <c r="I2006" s="5"/>
    </row>
    <row r="2007">
      <c r="A2007" s="5"/>
      <c r="B2007" s="6"/>
      <c r="C2007" s="7"/>
      <c r="D2007" s="8"/>
      <c r="E2007" s="9"/>
      <c r="F2007" s="8"/>
      <c r="G2007" s="5"/>
      <c r="H2007" s="5"/>
      <c r="I2007" s="5"/>
    </row>
    <row r="2008">
      <c r="A2008" s="5"/>
      <c r="B2008" s="6"/>
      <c r="C2008" s="7"/>
      <c r="D2008" s="8"/>
      <c r="E2008" s="9"/>
      <c r="F2008" s="8"/>
      <c r="G2008" s="5"/>
      <c r="H2008" s="5"/>
      <c r="I2008" s="5"/>
    </row>
    <row r="2009">
      <c r="A2009" s="5"/>
      <c r="B2009" s="6"/>
      <c r="C2009" s="7"/>
      <c r="D2009" s="8"/>
      <c r="E2009" s="9"/>
      <c r="F2009" s="8"/>
      <c r="G2009" s="5"/>
      <c r="H2009" s="5"/>
      <c r="I2009" s="5"/>
    </row>
    <row r="2010">
      <c r="A2010" s="5"/>
      <c r="B2010" s="6"/>
      <c r="C2010" s="7"/>
      <c r="D2010" s="8"/>
      <c r="E2010" s="9"/>
      <c r="F2010" s="8"/>
      <c r="G2010" s="5"/>
      <c r="H2010" s="5"/>
      <c r="I2010" s="5"/>
    </row>
    <row r="2011">
      <c r="A2011" s="5"/>
      <c r="B2011" s="6"/>
      <c r="C2011" s="7"/>
      <c r="D2011" s="8"/>
      <c r="E2011" s="9"/>
      <c r="F2011" s="8"/>
      <c r="G2011" s="5"/>
      <c r="H2011" s="5"/>
      <c r="I2011" s="5"/>
    </row>
    <row r="2012">
      <c r="A2012" s="5"/>
      <c r="B2012" s="6"/>
      <c r="C2012" s="7"/>
      <c r="D2012" s="8"/>
      <c r="E2012" s="9"/>
      <c r="F2012" s="8"/>
      <c r="G2012" s="5"/>
      <c r="H2012" s="5"/>
      <c r="I2012" s="5"/>
    </row>
    <row r="2013">
      <c r="A2013" s="5"/>
      <c r="B2013" s="6"/>
      <c r="C2013" s="7"/>
      <c r="D2013" s="8"/>
      <c r="E2013" s="9"/>
      <c r="F2013" s="8"/>
      <c r="G2013" s="5"/>
      <c r="H2013" s="5"/>
      <c r="I2013" s="5"/>
    </row>
    <row r="2014">
      <c r="A2014" s="5"/>
      <c r="B2014" s="6"/>
      <c r="C2014" s="7"/>
      <c r="D2014" s="8"/>
      <c r="E2014" s="9"/>
      <c r="F2014" s="8"/>
      <c r="G2014" s="5"/>
      <c r="H2014" s="5"/>
      <c r="I2014" s="5"/>
    </row>
    <row r="2015">
      <c r="A2015" s="5"/>
      <c r="B2015" s="6"/>
      <c r="C2015" s="7"/>
      <c r="D2015" s="8"/>
      <c r="E2015" s="9"/>
      <c r="F2015" s="8"/>
      <c r="G2015" s="5"/>
      <c r="H2015" s="5"/>
      <c r="I2015" s="5"/>
    </row>
    <row r="2016">
      <c r="A2016" s="5"/>
      <c r="B2016" s="6"/>
      <c r="C2016" s="7"/>
      <c r="D2016" s="8"/>
      <c r="E2016" s="9"/>
      <c r="F2016" s="8"/>
      <c r="G2016" s="5"/>
      <c r="H2016" s="5"/>
      <c r="I2016" s="5"/>
    </row>
    <row r="2017">
      <c r="A2017" s="5"/>
      <c r="B2017" s="6"/>
      <c r="C2017" s="7"/>
      <c r="D2017" s="8"/>
      <c r="E2017" s="9"/>
      <c r="F2017" s="8"/>
      <c r="G2017" s="5"/>
      <c r="H2017" s="5"/>
      <c r="I2017" s="5"/>
    </row>
    <row r="2018">
      <c r="A2018" s="5"/>
      <c r="B2018" s="6"/>
      <c r="C2018" s="7"/>
      <c r="D2018" s="8"/>
      <c r="E2018" s="9"/>
      <c r="F2018" s="8"/>
      <c r="G2018" s="5"/>
      <c r="H2018" s="5"/>
      <c r="I2018" s="5"/>
    </row>
    <row r="2019">
      <c r="A2019" s="5"/>
      <c r="B2019" s="6"/>
      <c r="C2019" s="7"/>
      <c r="D2019" s="8"/>
      <c r="E2019" s="9"/>
      <c r="F2019" s="8"/>
      <c r="G2019" s="5"/>
      <c r="H2019" s="5"/>
      <c r="I2019" s="5"/>
    </row>
    <row r="2020">
      <c r="A2020" s="5"/>
      <c r="B2020" s="6"/>
      <c r="C2020" s="7"/>
      <c r="D2020" s="8"/>
      <c r="E2020" s="9"/>
      <c r="F2020" s="8"/>
      <c r="G2020" s="5"/>
      <c r="H2020" s="5"/>
      <c r="I2020" s="5"/>
    </row>
    <row r="2021">
      <c r="A2021" s="5"/>
      <c r="B2021" s="6"/>
      <c r="C2021" s="7"/>
      <c r="D2021" s="8"/>
      <c r="E2021" s="9"/>
      <c r="F2021" s="8"/>
      <c r="G2021" s="5"/>
      <c r="H2021" s="5"/>
      <c r="I2021" s="5"/>
    </row>
    <row r="2022">
      <c r="A2022" s="5"/>
      <c r="B2022" s="6"/>
      <c r="C2022" s="7"/>
      <c r="D2022" s="8"/>
      <c r="E2022" s="9"/>
      <c r="F2022" s="8"/>
      <c r="G2022" s="5"/>
      <c r="H2022" s="5"/>
      <c r="I2022" s="5"/>
    </row>
    <row r="2023">
      <c r="A2023" s="5"/>
      <c r="B2023" s="6"/>
      <c r="C2023" s="7"/>
      <c r="D2023" s="8"/>
      <c r="E2023" s="9"/>
      <c r="F2023" s="8"/>
      <c r="G2023" s="5"/>
      <c r="H2023" s="5"/>
      <c r="I2023" s="5"/>
    </row>
    <row r="2024">
      <c r="A2024" s="5"/>
      <c r="B2024" s="6"/>
      <c r="C2024" s="7"/>
      <c r="D2024" s="8"/>
      <c r="E2024" s="9"/>
      <c r="F2024" s="8"/>
      <c r="G2024" s="5"/>
      <c r="H2024" s="5"/>
      <c r="I2024" s="5"/>
    </row>
    <row r="2025">
      <c r="A2025" s="5"/>
      <c r="B2025" s="6"/>
      <c r="C2025" s="7"/>
      <c r="D2025" s="8"/>
      <c r="E2025" s="9"/>
      <c r="F2025" s="8"/>
      <c r="G2025" s="5"/>
      <c r="H2025" s="5"/>
      <c r="I2025" s="5"/>
    </row>
    <row r="2026">
      <c r="A2026" s="5"/>
      <c r="B2026" s="6"/>
      <c r="C2026" s="7"/>
      <c r="D2026" s="8"/>
      <c r="E2026" s="9"/>
      <c r="F2026" s="8"/>
      <c r="G2026" s="5"/>
      <c r="H2026" s="5"/>
      <c r="I2026" s="5"/>
    </row>
    <row r="2027">
      <c r="A2027" s="5"/>
      <c r="B2027" s="6"/>
      <c r="C2027" s="7"/>
      <c r="D2027" s="8"/>
      <c r="E2027" s="9"/>
      <c r="F2027" s="8"/>
      <c r="G2027" s="5"/>
      <c r="H2027" s="5"/>
      <c r="I2027" s="5"/>
    </row>
    <row r="2028">
      <c r="A2028" s="5"/>
      <c r="B2028" s="6"/>
      <c r="C2028" s="7"/>
      <c r="D2028" s="8"/>
      <c r="E2028" s="9"/>
      <c r="F2028" s="8"/>
      <c r="G2028" s="5"/>
      <c r="H2028" s="5"/>
      <c r="I2028" s="5"/>
    </row>
    <row r="2029">
      <c r="A2029" s="5"/>
      <c r="B2029" s="6"/>
      <c r="C2029" s="7"/>
      <c r="D2029" s="8"/>
      <c r="E2029" s="9"/>
      <c r="F2029" s="8"/>
      <c r="G2029" s="5"/>
      <c r="H2029" s="5"/>
      <c r="I2029" s="5"/>
    </row>
    <row r="2030">
      <c r="A2030" s="5"/>
      <c r="B2030" s="6"/>
      <c r="C2030" s="7"/>
      <c r="D2030" s="8"/>
      <c r="E2030" s="9"/>
      <c r="F2030" s="8"/>
      <c r="G2030" s="5"/>
      <c r="H2030" s="5"/>
      <c r="I2030" s="5"/>
    </row>
    <row r="2031">
      <c r="A2031" s="5"/>
      <c r="B2031" s="6"/>
      <c r="C2031" s="7"/>
      <c r="D2031" s="8"/>
      <c r="E2031" s="9"/>
      <c r="F2031" s="8"/>
      <c r="G2031" s="5"/>
      <c r="H2031" s="5"/>
      <c r="I2031" s="5"/>
    </row>
    <row r="2032">
      <c r="A2032" s="5"/>
      <c r="B2032" s="6"/>
      <c r="C2032" s="7"/>
      <c r="D2032" s="8"/>
      <c r="E2032" s="9"/>
      <c r="F2032" s="8"/>
      <c r="G2032" s="5"/>
      <c r="H2032" s="5"/>
      <c r="I2032" s="5"/>
    </row>
    <row r="2033">
      <c r="A2033" s="5"/>
      <c r="B2033" s="6"/>
      <c r="C2033" s="7"/>
      <c r="D2033" s="8"/>
      <c r="E2033" s="9"/>
      <c r="F2033" s="8"/>
      <c r="G2033" s="5"/>
      <c r="H2033" s="5"/>
      <c r="I2033" s="5"/>
    </row>
    <row r="2034">
      <c r="A2034" s="5"/>
      <c r="B2034" s="6"/>
      <c r="C2034" s="7"/>
      <c r="D2034" s="8"/>
      <c r="E2034" s="9"/>
      <c r="F2034" s="8"/>
      <c r="G2034" s="5"/>
      <c r="H2034" s="5"/>
      <c r="I2034" s="5"/>
    </row>
    <row r="2035">
      <c r="A2035" s="5"/>
      <c r="B2035" s="6"/>
      <c r="C2035" s="7"/>
      <c r="D2035" s="8"/>
      <c r="E2035" s="9"/>
      <c r="F2035" s="8"/>
      <c r="G2035" s="5"/>
      <c r="H2035" s="5"/>
      <c r="I2035" s="5"/>
    </row>
    <row r="2036">
      <c r="A2036" s="5"/>
      <c r="B2036" s="6"/>
      <c r="C2036" s="7"/>
      <c r="D2036" s="8"/>
      <c r="E2036" s="9"/>
      <c r="F2036" s="8"/>
      <c r="G2036" s="5"/>
      <c r="H2036" s="5"/>
      <c r="I2036" s="5"/>
    </row>
    <row r="2037">
      <c r="A2037" s="5"/>
      <c r="B2037" s="6"/>
      <c r="C2037" s="7"/>
      <c r="D2037" s="8"/>
      <c r="E2037" s="9"/>
      <c r="F2037" s="8"/>
      <c r="G2037" s="5"/>
      <c r="H2037" s="5"/>
      <c r="I2037" s="5"/>
    </row>
    <row r="2038">
      <c r="A2038" s="5"/>
      <c r="B2038" s="6"/>
      <c r="C2038" s="7"/>
      <c r="D2038" s="8"/>
      <c r="E2038" s="9"/>
      <c r="F2038" s="8"/>
      <c r="G2038" s="5"/>
      <c r="H2038" s="5"/>
      <c r="I2038" s="5"/>
    </row>
    <row r="2039">
      <c r="A2039" s="5"/>
      <c r="B2039" s="6"/>
      <c r="C2039" s="7"/>
      <c r="D2039" s="8"/>
      <c r="E2039" s="9"/>
      <c r="F2039" s="8"/>
      <c r="G2039" s="5"/>
      <c r="H2039" s="5"/>
      <c r="I2039" s="5"/>
    </row>
    <row r="2040">
      <c r="A2040" s="5"/>
      <c r="B2040" s="6"/>
      <c r="C2040" s="7"/>
      <c r="D2040" s="8"/>
      <c r="E2040" s="9"/>
      <c r="F2040" s="8"/>
      <c r="G2040" s="5"/>
      <c r="H2040" s="5"/>
      <c r="I2040" s="5"/>
    </row>
    <row r="2041">
      <c r="A2041" s="5"/>
      <c r="B2041" s="6"/>
      <c r="C2041" s="7"/>
      <c r="D2041" s="8"/>
      <c r="E2041" s="9"/>
      <c r="F2041" s="8"/>
      <c r="G2041" s="5"/>
      <c r="H2041" s="5"/>
      <c r="I2041" s="5"/>
    </row>
    <row r="2042">
      <c r="A2042" s="5"/>
      <c r="B2042" s="6"/>
      <c r="C2042" s="7"/>
      <c r="D2042" s="8"/>
      <c r="E2042" s="9"/>
      <c r="F2042" s="8"/>
      <c r="G2042" s="5"/>
      <c r="H2042" s="5"/>
      <c r="I2042" s="5"/>
    </row>
    <row r="2043">
      <c r="A2043" s="5"/>
      <c r="B2043" s="6"/>
      <c r="C2043" s="7"/>
      <c r="D2043" s="8"/>
      <c r="E2043" s="9"/>
      <c r="F2043" s="8"/>
      <c r="G2043" s="5"/>
      <c r="H2043" s="5"/>
      <c r="I2043" s="5"/>
    </row>
    <row r="2044">
      <c r="A2044" s="5"/>
      <c r="B2044" s="6"/>
      <c r="C2044" s="7"/>
      <c r="D2044" s="8"/>
      <c r="E2044" s="9"/>
      <c r="F2044" s="8"/>
      <c r="G2044" s="5"/>
      <c r="H2044" s="5"/>
      <c r="I2044" s="5"/>
    </row>
    <row r="2045">
      <c r="A2045" s="5"/>
      <c r="B2045" s="6"/>
      <c r="C2045" s="7"/>
      <c r="D2045" s="8"/>
      <c r="E2045" s="9"/>
      <c r="F2045" s="8"/>
      <c r="G2045" s="5"/>
      <c r="H2045" s="5"/>
      <c r="I2045" s="5"/>
    </row>
    <row r="2046">
      <c r="A2046" s="5"/>
      <c r="B2046" s="6"/>
      <c r="C2046" s="7"/>
      <c r="D2046" s="8"/>
      <c r="E2046" s="9"/>
      <c r="F2046" s="8"/>
      <c r="G2046" s="5"/>
      <c r="H2046" s="5"/>
      <c r="I2046" s="5"/>
    </row>
    <row r="2047">
      <c r="A2047" s="5"/>
      <c r="B2047" s="6"/>
      <c r="C2047" s="7"/>
      <c r="D2047" s="8"/>
      <c r="E2047" s="9"/>
      <c r="F2047" s="8"/>
      <c r="G2047" s="5"/>
      <c r="H2047" s="5"/>
      <c r="I2047" s="5"/>
    </row>
    <row r="2048">
      <c r="A2048" s="5"/>
      <c r="B2048" s="6"/>
      <c r="C2048" s="7"/>
      <c r="D2048" s="8"/>
      <c r="E2048" s="9"/>
      <c r="F2048" s="8"/>
      <c r="G2048" s="5"/>
      <c r="H2048" s="5"/>
      <c r="I2048" s="5"/>
    </row>
    <row r="2049">
      <c r="A2049" s="5"/>
      <c r="B2049" s="6"/>
      <c r="C2049" s="7"/>
      <c r="D2049" s="8"/>
      <c r="E2049" s="9"/>
      <c r="F2049" s="8"/>
      <c r="G2049" s="5"/>
      <c r="H2049" s="5"/>
      <c r="I2049" s="5"/>
    </row>
    <row r="2050">
      <c r="A2050" s="5"/>
      <c r="B2050" s="6"/>
      <c r="C2050" s="7"/>
      <c r="D2050" s="8"/>
      <c r="E2050" s="9"/>
      <c r="F2050" s="8"/>
      <c r="G2050" s="5"/>
      <c r="H2050" s="5"/>
      <c r="I2050" s="5"/>
    </row>
    <row r="2051">
      <c r="A2051" s="5"/>
      <c r="B2051" s="6"/>
      <c r="C2051" s="7"/>
      <c r="D2051" s="8"/>
      <c r="E2051" s="9"/>
      <c r="F2051" s="8"/>
      <c r="G2051" s="5"/>
      <c r="H2051" s="5"/>
      <c r="I2051" s="5"/>
    </row>
    <row r="2052">
      <c r="A2052" s="5"/>
      <c r="B2052" s="6"/>
      <c r="C2052" s="7"/>
      <c r="D2052" s="8"/>
      <c r="E2052" s="9"/>
      <c r="F2052" s="8"/>
      <c r="G2052" s="5"/>
      <c r="H2052" s="5"/>
      <c r="I2052" s="5"/>
    </row>
    <row r="2053">
      <c r="A2053" s="5"/>
      <c r="B2053" s="6"/>
      <c r="C2053" s="7"/>
      <c r="D2053" s="8"/>
      <c r="E2053" s="9"/>
      <c r="F2053" s="8"/>
      <c r="G2053" s="5"/>
      <c r="H2053" s="5"/>
      <c r="I2053" s="5"/>
    </row>
    <row r="2054">
      <c r="A2054" s="5"/>
      <c r="B2054" s="6"/>
      <c r="C2054" s="7"/>
      <c r="D2054" s="8"/>
      <c r="E2054" s="9"/>
      <c r="F2054" s="8"/>
      <c r="G2054" s="5"/>
      <c r="H2054" s="5"/>
      <c r="I2054" s="5"/>
    </row>
    <row r="2055">
      <c r="A2055" s="5"/>
      <c r="B2055" s="6"/>
      <c r="C2055" s="7"/>
      <c r="D2055" s="8"/>
      <c r="E2055" s="9"/>
      <c r="F2055" s="8"/>
      <c r="G2055" s="5"/>
      <c r="H2055" s="5"/>
      <c r="I2055" s="5"/>
    </row>
    <row r="2056">
      <c r="A2056" s="5"/>
      <c r="B2056" s="6"/>
      <c r="C2056" s="7"/>
      <c r="D2056" s="8"/>
      <c r="E2056" s="9"/>
      <c r="F2056" s="8"/>
      <c r="G2056" s="5"/>
      <c r="H2056" s="5"/>
      <c r="I2056" s="5"/>
    </row>
    <row r="2057">
      <c r="A2057" s="5"/>
      <c r="B2057" s="6"/>
      <c r="C2057" s="7"/>
      <c r="D2057" s="8"/>
      <c r="E2057" s="9"/>
      <c r="F2057" s="8"/>
      <c r="G2057" s="5"/>
      <c r="H2057" s="5"/>
      <c r="I2057" s="5"/>
    </row>
    <row r="2058">
      <c r="A2058" s="5"/>
      <c r="B2058" s="6"/>
      <c r="C2058" s="7"/>
      <c r="D2058" s="8"/>
      <c r="E2058" s="9"/>
      <c r="F2058" s="8"/>
      <c r="G2058" s="5"/>
      <c r="H2058" s="5"/>
      <c r="I2058" s="5"/>
    </row>
    <row r="2059">
      <c r="A2059" s="5"/>
      <c r="B2059" s="6"/>
      <c r="C2059" s="7"/>
      <c r="D2059" s="8"/>
      <c r="E2059" s="9"/>
      <c r="F2059" s="8"/>
      <c r="G2059" s="5"/>
      <c r="H2059" s="5"/>
      <c r="I2059" s="5"/>
    </row>
    <row r="2060">
      <c r="A2060" s="5"/>
      <c r="B2060" s="6"/>
      <c r="C2060" s="7"/>
      <c r="D2060" s="8"/>
      <c r="E2060" s="9"/>
      <c r="F2060" s="8"/>
      <c r="G2060" s="5"/>
      <c r="H2060" s="5"/>
      <c r="I2060" s="5"/>
    </row>
    <row r="2061">
      <c r="A2061" s="5"/>
      <c r="B2061" s="6"/>
      <c r="C2061" s="7"/>
      <c r="D2061" s="8"/>
      <c r="E2061" s="9"/>
      <c r="F2061" s="8"/>
      <c r="G2061" s="5"/>
      <c r="H2061" s="5"/>
      <c r="I2061" s="5"/>
    </row>
    <row r="2062">
      <c r="A2062" s="5"/>
      <c r="B2062" s="6"/>
      <c r="C2062" s="7"/>
      <c r="D2062" s="8"/>
      <c r="E2062" s="9"/>
      <c r="F2062" s="8"/>
      <c r="G2062" s="5"/>
      <c r="H2062" s="5"/>
      <c r="I2062" s="5"/>
    </row>
    <row r="2063">
      <c r="A2063" s="5"/>
      <c r="B2063" s="6"/>
      <c r="C2063" s="7"/>
      <c r="D2063" s="8"/>
      <c r="E2063" s="9"/>
      <c r="F2063" s="8"/>
      <c r="G2063" s="5"/>
      <c r="H2063" s="5"/>
      <c r="I2063" s="5"/>
    </row>
  </sheetData>
  <autoFilter ref="$A$1:$A$2063"/>
  <dataValidations>
    <dataValidation type="list" allowBlank="1" sqref="A2:A1063">
      <formula1>"Amazon,Flipkart,Shopsy,Meesho"</formula1>
    </dataValidation>
    <dataValidation type="list" allowBlank="1" showErrorMessage="1" sqref="E2:E1243">
      <formula1>"LIVE,DRAFT,MISSING"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949A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48.14"/>
    <col customWidth="1" min="3" max="3" width="21.71"/>
    <col customWidth="1" min="4" max="4" width="20.71"/>
    <col customWidth="1" min="5" max="5" width="9.43"/>
    <col customWidth="1" min="6" max="6" width="14.0"/>
    <col customWidth="1" min="7" max="7" width="14.29"/>
    <col customWidth="1" min="8" max="8" width="17.86"/>
    <col customWidth="1" min="9" max="9" width="18.14"/>
    <col customWidth="1" min="10" max="10" width="8.0"/>
    <col customWidth="1" min="11" max="11" width="11.71"/>
    <col customWidth="1" min="12" max="12" width="9.0"/>
    <col customWidth="1" min="13" max="13" width="18.29"/>
    <col customWidth="1" min="14" max="27" width="8.71"/>
  </cols>
  <sheetData>
    <row r="1">
      <c r="A1" s="3" t="s">
        <v>1</v>
      </c>
      <c r="B1" s="3" t="s">
        <v>1727</v>
      </c>
      <c r="C1" s="3" t="s">
        <v>1728</v>
      </c>
      <c r="D1" s="3" t="s">
        <v>1729</v>
      </c>
      <c r="E1" s="3" t="s">
        <v>1730</v>
      </c>
      <c r="F1" s="3" t="s">
        <v>1731</v>
      </c>
      <c r="G1" s="3" t="s">
        <v>1732</v>
      </c>
      <c r="H1" s="3" t="s">
        <v>1733</v>
      </c>
      <c r="I1" s="3" t="s">
        <v>1734</v>
      </c>
      <c r="J1" s="3" t="s">
        <v>1735</v>
      </c>
      <c r="K1" s="3" t="s">
        <v>1736</v>
      </c>
      <c r="L1" s="3" t="s">
        <v>1737</v>
      </c>
      <c r="M1" s="3" t="s">
        <v>1738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8" t="s">
        <v>1739</v>
      </c>
      <c r="B2" s="7" t="s">
        <v>179</v>
      </c>
      <c r="C2" s="8" t="s">
        <v>1740</v>
      </c>
      <c r="D2" s="8" t="s">
        <v>1741</v>
      </c>
      <c r="E2" s="8">
        <v>99.0</v>
      </c>
      <c r="F2" s="8">
        <v>5.0</v>
      </c>
      <c r="G2" s="8">
        <v>2.0</v>
      </c>
      <c r="H2" s="8">
        <v>1.0</v>
      </c>
      <c r="I2" s="8">
        <f t="shared" ref="I2:I69" si="1">ROUND(E2 + F2 + G2 + H2, 2)</f>
        <v>107</v>
      </c>
      <c r="J2" s="8"/>
      <c r="K2" s="8">
        <v>5.0</v>
      </c>
      <c r="L2" s="8"/>
      <c r="M2" s="9" t="s">
        <v>1742</v>
      </c>
    </row>
    <row r="3">
      <c r="A3" s="8" t="s">
        <v>1739</v>
      </c>
      <c r="B3" s="7" t="s">
        <v>181</v>
      </c>
      <c r="C3" s="8" t="s">
        <v>1740</v>
      </c>
      <c r="D3" s="8" t="s">
        <v>1741</v>
      </c>
      <c r="E3" s="8">
        <v>99.0</v>
      </c>
      <c r="F3" s="8">
        <v>5.0</v>
      </c>
      <c r="G3" s="8">
        <v>2.0</v>
      </c>
      <c r="H3" s="8">
        <v>1.0</v>
      </c>
      <c r="I3" s="8">
        <f t="shared" si="1"/>
        <v>107</v>
      </c>
      <c r="J3" s="8"/>
      <c r="K3" s="8">
        <v>5.0</v>
      </c>
      <c r="L3" s="8"/>
      <c r="M3" s="9" t="s">
        <v>1742</v>
      </c>
    </row>
    <row r="4">
      <c r="A4" s="8" t="s">
        <v>1739</v>
      </c>
      <c r="B4" s="7" t="s">
        <v>183</v>
      </c>
      <c r="C4" s="8" t="s">
        <v>1740</v>
      </c>
      <c r="D4" s="8" t="s">
        <v>1741</v>
      </c>
      <c r="E4" s="8">
        <v>99.0</v>
      </c>
      <c r="F4" s="8">
        <v>5.0</v>
      </c>
      <c r="G4" s="8">
        <v>2.0</v>
      </c>
      <c r="H4" s="8">
        <v>1.0</v>
      </c>
      <c r="I4" s="8">
        <f t="shared" si="1"/>
        <v>107</v>
      </c>
      <c r="J4" s="8"/>
      <c r="K4" s="8">
        <v>5.0</v>
      </c>
      <c r="L4" s="8"/>
      <c r="M4" s="9" t="s">
        <v>1742</v>
      </c>
    </row>
    <row r="5">
      <c r="A5" s="8" t="s">
        <v>1739</v>
      </c>
      <c r="B5" s="7" t="s">
        <v>185</v>
      </c>
      <c r="C5" s="8" t="s">
        <v>1740</v>
      </c>
      <c r="D5" s="8" t="s">
        <v>1741</v>
      </c>
      <c r="E5" s="8">
        <v>99.0</v>
      </c>
      <c r="F5" s="8">
        <v>5.0</v>
      </c>
      <c r="G5" s="8">
        <v>2.0</v>
      </c>
      <c r="H5" s="8">
        <v>1.0</v>
      </c>
      <c r="I5" s="8">
        <f t="shared" si="1"/>
        <v>107</v>
      </c>
      <c r="J5" s="8"/>
      <c r="K5" s="8">
        <v>5.0</v>
      </c>
      <c r="L5" s="8"/>
      <c r="M5" s="9" t="s">
        <v>1742</v>
      </c>
    </row>
    <row r="6">
      <c r="A6" s="8" t="s">
        <v>1739</v>
      </c>
      <c r="B6" s="7" t="s">
        <v>187</v>
      </c>
      <c r="C6" s="8" t="s">
        <v>1740</v>
      </c>
      <c r="D6" s="8" t="s">
        <v>1741</v>
      </c>
      <c r="E6" s="8">
        <v>99.0</v>
      </c>
      <c r="F6" s="8">
        <v>5.0</v>
      </c>
      <c r="G6" s="8">
        <v>2.0</v>
      </c>
      <c r="H6" s="8">
        <v>1.0</v>
      </c>
      <c r="I6" s="8">
        <f t="shared" si="1"/>
        <v>107</v>
      </c>
      <c r="J6" s="8"/>
      <c r="K6" s="8">
        <v>5.0</v>
      </c>
      <c r="L6" s="8"/>
      <c r="M6" s="9" t="s">
        <v>1742</v>
      </c>
    </row>
    <row r="7">
      <c r="A7" s="8" t="s">
        <v>1739</v>
      </c>
      <c r="B7" s="7" t="s">
        <v>189</v>
      </c>
      <c r="C7" s="8" t="s">
        <v>1740</v>
      </c>
      <c r="D7" s="8" t="s">
        <v>1741</v>
      </c>
      <c r="E7" s="8">
        <v>99.0</v>
      </c>
      <c r="F7" s="8">
        <v>5.0</v>
      </c>
      <c r="G7" s="8">
        <v>2.0</v>
      </c>
      <c r="H7" s="8">
        <v>1.0</v>
      </c>
      <c r="I7" s="8">
        <f t="shared" si="1"/>
        <v>107</v>
      </c>
      <c r="J7" s="8"/>
      <c r="K7" s="8">
        <v>5.0</v>
      </c>
      <c r="L7" s="8"/>
      <c r="M7" s="9" t="s">
        <v>1742</v>
      </c>
    </row>
    <row r="8">
      <c r="A8" s="8" t="s">
        <v>1739</v>
      </c>
      <c r="B8" s="7" t="s">
        <v>191</v>
      </c>
      <c r="C8" s="8" t="s">
        <v>1740</v>
      </c>
      <c r="D8" s="8" t="s">
        <v>1741</v>
      </c>
      <c r="E8" s="8">
        <v>99.0</v>
      </c>
      <c r="F8" s="8">
        <v>5.0</v>
      </c>
      <c r="G8" s="8">
        <v>2.0</v>
      </c>
      <c r="H8" s="8">
        <v>1.0</v>
      </c>
      <c r="I8" s="8">
        <f t="shared" si="1"/>
        <v>107</v>
      </c>
      <c r="J8" s="8"/>
      <c r="K8" s="8">
        <v>5.0</v>
      </c>
      <c r="L8" s="8"/>
      <c r="M8" s="9" t="s">
        <v>1742</v>
      </c>
    </row>
    <row r="9">
      <c r="A9" s="8" t="s">
        <v>1739</v>
      </c>
      <c r="B9" s="7" t="s">
        <v>193</v>
      </c>
      <c r="C9" s="8" t="s">
        <v>1740</v>
      </c>
      <c r="D9" s="8" t="s">
        <v>1741</v>
      </c>
      <c r="E9" s="8">
        <v>99.0</v>
      </c>
      <c r="F9" s="8">
        <v>5.0</v>
      </c>
      <c r="G9" s="8">
        <v>2.0</v>
      </c>
      <c r="H9" s="8">
        <v>1.0</v>
      </c>
      <c r="I9" s="8">
        <f t="shared" si="1"/>
        <v>107</v>
      </c>
      <c r="J9" s="8"/>
      <c r="K9" s="8">
        <v>5.0</v>
      </c>
      <c r="L9" s="8"/>
      <c r="M9" s="9" t="s">
        <v>1742</v>
      </c>
    </row>
    <row r="10">
      <c r="A10" s="8" t="s">
        <v>1739</v>
      </c>
      <c r="B10" s="7" t="s">
        <v>195</v>
      </c>
      <c r="C10" s="8" t="s">
        <v>1740</v>
      </c>
      <c r="D10" s="8" t="s">
        <v>1741</v>
      </c>
      <c r="E10" s="8">
        <v>99.0</v>
      </c>
      <c r="F10" s="8">
        <v>5.0</v>
      </c>
      <c r="G10" s="8">
        <v>2.0</v>
      </c>
      <c r="H10" s="8">
        <v>1.0</v>
      </c>
      <c r="I10" s="8">
        <f t="shared" si="1"/>
        <v>107</v>
      </c>
      <c r="J10" s="8"/>
      <c r="K10" s="8">
        <v>5.0</v>
      </c>
      <c r="L10" s="8"/>
      <c r="M10" s="9" t="s">
        <v>1742</v>
      </c>
    </row>
    <row r="11">
      <c r="A11" s="8" t="s">
        <v>1739</v>
      </c>
      <c r="B11" s="7" t="s">
        <v>197</v>
      </c>
      <c r="C11" s="8" t="s">
        <v>1740</v>
      </c>
      <c r="D11" s="8" t="s">
        <v>1741</v>
      </c>
      <c r="E11" s="8">
        <v>99.0</v>
      </c>
      <c r="F11" s="8">
        <v>5.0</v>
      </c>
      <c r="G11" s="8">
        <v>2.0</v>
      </c>
      <c r="H11" s="8">
        <v>1.0</v>
      </c>
      <c r="I11" s="8">
        <f t="shared" si="1"/>
        <v>107</v>
      </c>
      <c r="J11" s="8"/>
      <c r="K11" s="8">
        <v>5.0</v>
      </c>
      <c r="L11" s="8"/>
      <c r="M11" s="9" t="s">
        <v>1742</v>
      </c>
    </row>
    <row r="12">
      <c r="A12" s="8" t="s">
        <v>1739</v>
      </c>
      <c r="B12" s="7" t="s">
        <v>199</v>
      </c>
      <c r="C12" s="8" t="s">
        <v>1740</v>
      </c>
      <c r="D12" s="8" t="s">
        <v>1741</v>
      </c>
      <c r="E12" s="8">
        <v>99.0</v>
      </c>
      <c r="F12" s="8">
        <v>5.0</v>
      </c>
      <c r="G12" s="8">
        <v>2.0</v>
      </c>
      <c r="H12" s="8">
        <v>1.0</v>
      </c>
      <c r="I12" s="8">
        <f t="shared" si="1"/>
        <v>107</v>
      </c>
      <c r="J12" s="8"/>
      <c r="K12" s="8">
        <v>5.0</v>
      </c>
      <c r="L12" s="8"/>
      <c r="M12" s="9" t="s">
        <v>1742</v>
      </c>
    </row>
    <row r="13">
      <c r="A13" s="8" t="s">
        <v>1739</v>
      </c>
      <c r="B13" s="7" t="s">
        <v>201</v>
      </c>
      <c r="C13" s="8" t="s">
        <v>1740</v>
      </c>
      <c r="D13" s="8" t="s">
        <v>1741</v>
      </c>
      <c r="E13" s="8">
        <v>99.0</v>
      </c>
      <c r="F13" s="8">
        <v>5.0</v>
      </c>
      <c r="G13" s="8">
        <v>2.0</v>
      </c>
      <c r="H13" s="8">
        <v>1.0</v>
      </c>
      <c r="I13" s="8">
        <f t="shared" si="1"/>
        <v>107</v>
      </c>
      <c r="J13" s="8"/>
      <c r="K13" s="8">
        <v>5.0</v>
      </c>
      <c r="L13" s="8"/>
      <c r="M13" s="9" t="s">
        <v>1742</v>
      </c>
    </row>
    <row r="14">
      <c r="A14" s="8" t="s">
        <v>1739</v>
      </c>
      <c r="B14" s="7" t="s">
        <v>203</v>
      </c>
      <c r="C14" s="8" t="s">
        <v>1743</v>
      </c>
      <c r="D14" s="8" t="s">
        <v>1741</v>
      </c>
      <c r="E14" s="8">
        <v>99.0</v>
      </c>
      <c r="F14" s="8">
        <v>5.0</v>
      </c>
      <c r="G14" s="8">
        <v>2.0</v>
      </c>
      <c r="H14" s="8">
        <v>1.0</v>
      </c>
      <c r="I14" s="8">
        <f t="shared" si="1"/>
        <v>107</v>
      </c>
      <c r="J14" s="8"/>
      <c r="K14" s="8">
        <v>5.0</v>
      </c>
      <c r="L14" s="8"/>
      <c r="M14" s="9"/>
    </row>
    <row r="15">
      <c r="A15" s="8" t="s">
        <v>1739</v>
      </c>
      <c r="B15" s="7" t="s">
        <v>205</v>
      </c>
      <c r="C15" s="8" t="s">
        <v>1743</v>
      </c>
      <c r="D15" s="8" t="s">
        <v>1741</v>
      </c>
      <c r="E15" s="8">
        <v>99.0</v>
      </c>
      <c r="F15" s="8">
        <v>5.0</v>
      </c>
      <c r="G15" s="8">
        <v>2.0</v>
      </c>
      <c r="H15" s="8">
        <v>1.0</v>
      </c>
      <c r="I15" s="8">
        <f t="shared" si="1"/>
        <v>107</v>
      </c>
      <c r="J15" s="8"/>
      <c r="K15" s="8">
        <v>5.0</v>
      </c>
      <c r="L15" s="8"/>
      <c r="M15" s="9"/>
    </row>
    <row r="16">
      <c r="A16" s="8" t="s">
        <v>1739</v>
      </c>
      <c r="B16" s="7" t="s">
        <v>207</v>
      </c>
      <c r="C16" s="8" t="s">
        <v>1743</v>
      </c>
      <c r="D16" s="8" t="s">
        <v>1741</v>
      </c>
      <c r="E16" s="8">
        <v>99.0</v>
      </c>
      <c r="F16" s="8">
        <v>5.0</v>
      </c>
      <c r="G16" s="8">
        <v>2.0</v>
      </c>
      <c r="H16" s="8">
        <v>1.0</v>
      </c>
      <c r="I16" s="8">
        <f t="shared" si="1"/>
        <v>107</v>
      </c>
      <c r="J16" s="8"/>
      <c r="K16" s="8">
        <v>5.0</v>
      </c>
      <c r="L16" s="8"/>
      <c r="M16" s="9"/>
    </row>
    <row r="17">
      <c r="A17" s="8" t="s">
        <v>1739</v>
      </c>
      <c r="B17" s="7" t="s">
        <v>209</v>
      </c>
      <c r="C17" s="8" t="s">
        <v>1743</v>
      </c>
      <c r="D17" s="8" t="s">
        <v>1741</v>
      </c>
      <c r="E17" s="8">
        <v>99.0</v>
      </c>
      <c r="F17" s="8">
        <v>5.0</v>
      </c>
      <c r="G17" s="8">
        <v>2.0</v>
      </c>
      <c r="H17" s="8">
        <v>1.0</v>
      </c>
      <c r="I17" s="8">
        <f t="shared" si="1"/>
        <v>107</v>
      </c>
      <c r="J17" s="8"/>
      <c r="K17" s="8">
        <v>5.0</v>
      </c>
      <c r="L17" s="8"/>
      <c r="M17" s="9"/>
    </row>
    <row r="18">
      <c r="A18" s="8" t="s">
        <v>1739</v>
      </c>
      <c r="B18" s="7" t="s">
        <v>211</v>
      </c>
      <c r="C18" s="8" t="s">
        <v>1743</v>
      </c>
      <c r="D18" s="8" t="s">
        <v>1741</v>
      </c>
      <c r="E18" s="8">
        <v>99.0</v>
      </c>
      <c r="F18" s="8">
        <v>5.0</v>
      </c>
      <c r="G18" s="8">
        <v>2.0</v>
      </c>
      <c r="H18" s="8">
        <v>1.0</v>
      </c>
      <c r="I18" s="8">
        <f t="shared" si="1"/>
        <v>107</v>
      </c>
      <c r="J18" s="8"/>
      <c r="K18" s="8">
        <v>5.0</v>
      </c>
      <c r="L18" s="8"/>
      <c r="M18" s="9"/>
    </row>
    <row r="19">
      <c r="A19" s="8" t="s">
        <v>1739</v>
      </c>
      <c r="B19" s="7" t="s">
        <v>213</v>
      </c>
      <c r="C19" s="8" t="s">
        <v>1743</v>
      </c>
      <c r="D19" s="8" t="s">
        <v>1741</v>
      </c>
      <c r="E19" s="8">
        <v>99.0</v>
      </c>
      <c r="F19" s="8">
        <v>5.0</v>
      </c>
      <c r="G19" s="8">
        <v>2.0</v>
      </c>
      <c r="H19" s="8">
        <v>1.0</v>
      </c>
      <c r="I19" s="8">
        <f t="shared" si="1"/>
        <v>107</v>
      </c>
      <c r="J19" s="8"/>
      <c r="K19" s="8">
        <v>5.0</v>
      </c>
      <c r="L19" s="8"/>
      <c r="M19" s="9"/>
    </row>
    <row r="20" ht="15.75" customHeight="1">
      <c r="A20" s="8" t="s">
        <v>1739</v>
      </c>
      <c r="B20" s="7" t="s">
        <v>216</v>
      </c>
      <c r="C20" s="8" t="s">
        <v>1740</v>
      </c>
      <c r="D20" s="8" t="s">
        <v>1741</v>
      </c>
      <c r="E20" s="8">
        <v>99.0</v>
      </c>
      <c r="F20" s="8">
        <v>5.0</v>
      </c>
      <c r="G20" s="8">
        <v>2.0</v>
      </c>
      <c r="H20" s="8">
        <v>1.0</v>
      </c>
      <c r="I20" s="8">
        <f t="shared" si="1"/>
        <v>107</v>
      </c>
      <c r="J20" s="8"/>
      <c r="K20" s="8">
        <v>5.0</v>
      </c>
      <c r="L20" s="8"/>
      <c r="M20" s="9" t="s">
        <v>1742</v>
      </c>
    </row>
    <row r="21" ht="15.75" customHeight="1">
      <c r="A21" s="8" t="s">
        <v>1739</v>
      </c>
      <c r="B21" s="7" t="s">
        <v>219</v>
      </c>
      <c r="C21" s="8" t="s">
        <v>1740</v>
      </c>
      <c r="D21" s="8" t="s">
        <v>1741</v>
      </c>
      <c r="E21" s="8">
        <v>99.0</v>
      </c>
      <c r="F21" s="8">
        <v>5.0</v>
      </c>
      <c r="G21" s="8">
        <v>2.0</v>
      </c>
      <c r="H21" s="8">
        <v>1.0</v>
      </c>
      <c r="I21" s="8">
        <f t="shared" si="1"/>
        <v>107</v>
      </c>
      <c r="J21" s="8"/>
      <c r="K21" s="8">
        <v>5.0</v>
      </c>
      <c r="L21" s="8"/>
      <c r="M21" s="9" t="s">
        <v>1742</v>
      </c>
    </row>
    <row r="22" ht="15.75" customHeight="1">
      <c r="A22" s="8" t="s">
        <v>1739</v>
      </c>
      <c r="B22" s="7" t="s">
        <v>222</v>
      </c>
      <c r="C22" s="8" t="s">
        <v>1740</v>
      </c>
      <c r="D22" s="8" t="s">
        <v>1741</v>
      </c>
      <c r="E22" s="8">
        <v>99.0</v>
      </c>
      <c r="F22" s="8">
        <v>5.0</v>
      </c>
      <c r="G22" s="8">
        <v>2.0</v>
      </c>
      <c r="H22" s="8">
        <v>1.0</v>
      </c>
      <c r="I22" s="8">
        <f t="shared" si="1"/>
        <v>107</v>
      </c>
      <c r="J22" s="8"/>
      <c r="K22" s="8">
        <v>5.0</v>
      </c>
      <c r="L22" s="8"/>
      <c r="M22" s="9" t="s">
        <v>1742</v>
      </c>
    </row>
    <row r="23" ht="15.75" customHeight="1">
      <c r="A23" s="8" t="s">
        <v>1739</v>
      </c>
      <c r="B23" s="7" t="s">
        <v>225</v>
      </c>
      <c r="C23" s="8" t="s">
        <v>1740</v>
      </c>
      <c r="D23" s="8" t="s">
        <v>1741</v>
      </c>
      <c r="E23" s="8">
        <v>99.0</v>
      </c>
      <c r="F23" s="8">
        <v>5.0</v>
      </c>
      <c r="G23" s="8">
        <v>2.0</v>
      </c>
      <c r="H23" s="8">
        <v>1.0</v>
      </c>
      <c r="I23" s="8">
        <f t="shared" si="1"/>
        <v>107</v>
      </c>
      <c r="J23" s="8"/>
      <c r="K23" s="8">
        <v>5.0</v>
      </c>
      <c r="L23" s="8"/>
      <c r="M23" s="9" t="s">
        <v>1742</v>
      </c>
    </row>
    <row r="24" ht="15.75" customHeight="1">
      <c r="A24" s="8" t="s">
        <v>1739</v>
      </c>
      <c r="B24" s="7" t="s">
        <v>228</v>
      </c>
      <c r="C24" s="8" t="s">
        <v>1740</v>
      </c>
      <c r="D24" s="8" t="s">
        <v>1741</v>
      </c>
      <c r="E24" s="8">
        <v>99.0</v>
      </c>
      <c r="F24" s="8">
        <v>5.0</v>
      </c>
      <c r="G24" s="8">
        <v>2.0</v>
      </c>
      <c r="H24" s="8">
        <v>1.0</v>
      </c>
      <c r="I24" s="8">
        <f t="shared" si="1"/>
        <v>107</v>
      </c>
      <c r="J24" s="8"/>
      <c r="K24" s="8">
        <v>5.0</v>
      </c>
      <c r="L24" s="8"/>
      <c r="M24" s="9" t="s">
        <v>1742</v>
      </c>
    </row>
    <row r="25" ht="15.75" customHeight="1">
      <c r="A25" s="8" t="s">
        <v>1739</v>
      </c>
      <c r="B25" s="7" t="s">
        <v>230</v>
      </c>
      <c r="C25" s="8" t="s">
        <v>1740</v>
      </c>
      <c r="D25" s="8" t="s">
        <v>1741</v>
      </c>
      <c r="E25" s="8">
        <v>99.0</v>
      </c>
      <c r="F25" s="8">
        <v>5.0</v>
      </c>
      <c r="G25" s="8">
        <v>2.0</v>
      </c>
      <c r="H25" s="8">
        <v>1.0</v>
      </c>
      <c r="I25" s="8">
        <f t="shared" si="1"/>
        <v>107</v>
      </c>
      <c r="J25" s="8"/>
      <c r="K25" s="8">
        <v>5.0</v>
      </c>
      <c r="L25" s="8"/>
      <c r="M25" s="9"/>
    </row>
    <row r="26" ht="15.75" customHeight="1">
      <c r="A26" s="8" t="s">
        <v>1739</v>
      </c>
      <c r="B26" s="7" t="s">
        <v>232</v>
      </c>
      <c r="C26" s="8" t="s">
        <v>1740</v>
      </c>
      <c r="D26" s="8" t="s">
        <v>1741</v>
      </c>
      <c r="E26" s="8">
        <v>99.0</v>
      </c>
      <c r="F26" s="8">
        <v>5.0</v>
      </c>
      <c r="G26" s="8">
        <v>2.0</v>
      </c>
      <c r="H26" s="8">
        <v>1.0</v>
      </c>
      <c r="I26" s="8">
        <f t="shared" si="1"/>
        <v>107</v>
      </c>
      <c r="J26" s="8"/>
      <c r="K26" s="8">
        <v>5.0</v>
      </c>
      <c r="L26" s="8"/>
      <c r="M26" s="9" t="s">
        <v>1742</v>
      </c>
    </row>
    <row r="27" ht="15.75" customHeight="1">
      <c r="A27" s="8" t="s">
        <v>1739</v>
      </c>
      <c r="B27" s="7" t="s">
        <v>234</v>
      </c>
      <c r="C27" s="8" t="s">
        <v>1740</v>
      </c>
      <c r="D27" s="8" t="s">
        <v>1741</v>
      </c>
      <c r="E27" s="8">
        <v>99.0</v>
      </c>
      <c r="F27" s="8">
        <v>5.0</v>
      </c>
      <c r="G27" s="8">
        <v>2.0</v>
      </c>
      <c r="H27" s="8">
        <v>1.0</v>
      </c>
      <c r="I27" s="8">
        <f t="shared" si="1"/>
        <v>107</v>
      </c>
      <c r="J27" s="8"/>
      <c r="K27" s="8">
        <v>5.0</v>
      </c>
      <c r="L27" s="8"/>
      <c r="M27" s="9" t="s">
        <v>1742</v>
      </c>
    </row>
    <row r="28" ht="15.75" customHeight="1">
      <c r="A28" s="8" t="s">
        <v>1739</v>
      </c>
      <c r="B28" s="7" t="s">
        <v>236</v>
      </c>
      <c r="C28" s="8" t="s">
        <v>1740</v>
      </c>
      <c r="D28" s="8" t="s">
        <v>1741</v>
      </c>
      <c r="E28" s="8">
        <v>99.0</v>
      </c>
      <c r="F28" s="8">
        <v>5.0</v>
      </c>
      <c r="G28" s="8">
        <v>2.0</v>
      </c>
      <c r="H28" s="8">
        <v>1.0</v>
      </c>
      <c r="I28" s="8">
        <f t="shared" si="1"/>
        <v>107</v>
      </c>
      <c r="J28" s="8"/>
      <c r="K28" s="8">
        <v>5.0</v>
      </c>
      <c r="L28" s="8"/>
      <c r="M28" s="9" t="s">
        <v>1742</v>
      </c>
    </row>
    <row r="29" ht="15.75" customHeight="1">
      <c r="A29" s="8" t="s">
        <v>1739</v>
      </c>
      <c r="B29" s="7" t="s">
        <v>1200</v>
      </c>
      <c r="C29" s="8" t="s">
        <v>1740</v>
      </c>
      <c r="D29" s="8" t="s">
        <v>1741</v>
      </c>
      <c r="E29" s="8">
        <v>99.0</v>
      </c>
      <c r="F29" s="8">
        <v>5.0</v>
      </c>
      <c r="G29" s="8">
        <v>2.0</v>
      </c>
      <c r="H29" s="8">
        <v>1.0</v>
      </c>
      <c r="I29" s="8">
        <f t="shared" si="1"/>
        <v>107</v>
      </c>
      <c r="J29" s="8"/>
      <c r="K29" s="8">
        <v>5.0</v>
      </c>
      <c r="L29" s="8"/>
      <c r="M29" s="9" t="s">
        <v>1742</v>
      </c>
    </row>
    <row r="30" ht="15.75" customHeight="1">
      <c r="A30" s="8" t="s">
        <v>1739</v>
      </c>
      <c r="B30" s="7" t="s">
        <v>1202</v>
      </c>
      <c r="C30" s="8" t="s">
        <v>1740</v>
      </c>
      <c r="D30" s="8" t="s">
        <v>1741</v>
      </c>
      <c r="E30" s="8">
        <v>99.0</v>
      </c>
      <c r="F30" s="8">
        <v>5.0</v>
      </c>
      <c r="G30" s="8">
        <v>2.0</v>
      </c>
      <c r="H30" s="8">
        <v>1.0</v>
      </c>
      <c r="I30" s="8">
        <f t="shared" si="1"/>
        <v>107</v>
      </c>
      <c r="J30" s="8"/>
      <c r="K30" s="8">
        <v>5.0</v>
      </c>
      <c r="L30" s="8"/>
      <c r="M30" s="9" t="s">
        <v>1742</v>
      </c>
    </row>
    <row r="31" ht="15.75" customHeight="1">
      <c r="A31" s="8" t="s">
        <v>1739</v>
      </c>
      <c r="B31" s="7" t="s">
        <v>238</v>
      </c>
      <c r="C31" s="8" t="s">
        <v>1740</v>
      </c>
      <c r="D31" s="8" t="s">
        <v>1741</v>
      </c>
      <c r="E31" s="8"/>
      <c r="F31" s="8"/>
      <c r="G31" s="8"/>
      <c r="H31" s="8"/>
      <c r="I31" s="8">
        <f t="shared" si="1"/>
        <v>0</v>
      </c>
      <c r="J31" s="8"/>
      <c r="K31" s="8">
        <v>5.0</v>
      </c>
      <c r="L31" s="8"/>
      <c r="M31" s="9"/>
    </row>
    <row r="32" ht="15.75" customHeight="1">
      <c r="A32" s="8" t="s">
        <v>1739</v>
      </c>
      <c r="B32" s="7" t="s">
        <v>240</v>
      </c>
      <c r="C32" s="8" t="s">
        <v>1740</v>
      </c>
      <c r="D32" s="8" t="s">
        <v>1741</v>
      </c>
      <c r="E32" s="8">
        <v>99.0</v>
      </c>
      <c r="F32" s="8">
        <v>5.0</v>
      </c>
      <c r="G32" s="8">
        <v>2.0</v>
      </c>
      <c r="H32" s="8">
        <v>1.0</v>
      </c>
      <c r="I32" s="8">
        <f t="shared" si="1"/>
        <v>107</v>
      </c>
      <c r="J32" s="8"/>
      <c r="K32" s="8">
        <v>5.0</v>
      </c>
      <c r="L32" s="8"/>
      <c r="M32" s="9" t="s">
        <v>1742</v>
      </c>
    </row>
    <row r="33" ht="15.75" customHeight="1">
      <c r="A33" s="8" t="s">
        <v>1739</v>
      </c>
      <c r="B33" s="7" t="s">
        <v>242</v>
      </c>
      <c r="C33" s="8" t="s">
        <v>1740</v>
      </c>
      <c r="D33" s="8" t="s">
        <v>1741</v>
      </c>
      <c r="E33" s="8">
        <v>99.0</v>
      </c>
      <c r="F33" s="8">
        <v>5.0</v>
      </c>
      <c r="G33" s="8">
        <v>2.0</v>
      </c>
      <c r="H33" s="8">
        <v>1.0</v>
      </c>
      <c r="I33" s="8">
        <f t="shared" si="1"/>
        <v>107</v>
      </c>
      <c r="J33" s="8"/>
      <c r="K33" s="8">
        <v>5.0</v>
      </c>
      <c r="L33" s="8"/>
      <c r="M33" s="9"/>
    </row>
    <row r="34" ht="15.75" customHeight="1">
      <c r="A34" s="8" t="s">
        <v>1739</v>
      </c>
      <c r="B34" s="7" t="s">
        <v>244</v>
      </c>
      <c r="C34" s="8" t="s">
        <v>1740</v>
      </c>
      <c r="D34" s="8" t="s">
        <v>1741</v>
      </c>
      <c r="E34" s="8">
        <v>99.0</v>
      </c>
      <c r="F34" s="8">
        <v>5.0</v>
      </c>
      <c r="G34" s="8">
        <v>2.0</v>
      </c>
      <c r="H34" s="8">
        <v>1.0</v>
      </c>
      <c r="I34" s="8">
        <f t="shared" si="1"/>
        <v>107</v>
      </c>
      <c r="J34" s="8"/>
      <c r="K34" s="8">
        <v>5.0</v>
      </c>
      <c r="L34" s="8"/>
      <c r="M34" s="9"/>
    </row>
    <row r="35" ht="15.75" customHeight="1">
      <c r="A35" s="8" t="s">
        <v>1739</v>
      </c>
      <c r="B35" s="7" t="s">
        <v>246</v>
      </c>
      <c r="C35" s="8" t="s">
        <v>1740</v>
      </c>
      <c r="D35" s="8" t="s">
        <v>1741</v>
      </c>
      <c r="E35" s="8">
        <v>99.0</v>
      </c>
      <c r="F35" s="8">
        <v>5.0</v>
      </c>
      <c r="G35" s="8">
        <v>2.0</v>
      </c>
      <c r="H35" s="8">
        <v>1.0</v>
      </c>
      <c r="I35" s="8">
        <f t="shared" si="1"/>
        <v>107</v>
      </c>
      <c r="J35" s="8"/>
      <c r="K35" s="8">
        <v>5.0</v>
      </c>
      <c r="L35" s="8"/>
      <c r="M35" s="9"/>
    </row>
    <row r="36" ht="15.75" customHeight="1">
      <c r="A36" s="8" t="s">
        <v>1739</v>
      </c>
      <c r="B36" s="7" t="s">
        <v>248</v>
      </c>
      <c r="C36" s="8" t="s">
        <v>1740</v>
      </c>
      <c r="D36" s="8" t="s">
        <v>1741</v>
      </c>
      <c r="E36" s="8">
        <v>99.0</v>
      </c>
      <c r="F36" s="8">
        <v>5.0</v>
      </c>
      <c r="G36" s="8">
        <v>2.0</v>
      </c>
      <c r="H36" s="8">
        <v>1.0</v>
      </c>
      <c r="I36" s="8">
        <f t="shared" si="1"/>
        <v>107</v>
      </c>
      <c r="J36" s="8"/>
      <c r="K36" s="8">
        <v>5.0</v>
      </c>
      <c r="L36" s="8"/>
      <c r="M36" s="9"/>
    </row>
    <row r="37" ht="15.75" customHeight="1">
      <c r="A37" s="8" t="s">
        <v>1739</v>
      </c>
      <c r="B37" s="7" t="s">
        <v>250</v>
      </c>
      <c r="C37" s="8" t="s">
        <v>1740</v>
      </c>
      <c r="D37" s="8" t="s">
        <v>1741</v>
      </c>
      <c r="E37" s="8">
        <v>99.0</v>
      </c>
      <c r="F37" s="8">
        <v>5.0</v>
      </c>
      <c r="G37" s="8">
        <v>2.0</v>
      </c>
      <c r="H37" s="8">
        <v>1.0</v>
      </c>
      <c r="I37" s="8">
        <f t="shared" si="1"/>
        <v>107</v>
      </c>
      <c r="J37" s="8"/>
      <c r="K37" s="8">
        <v>5.0</v>
      </c>
      <c r="L37" s="8"/>
      <c r="M37" s="9"/>
    </row>
    <row r="38" ht="15.75" customHeight="1">
      <c r="A38" s="8" t="s">
        <v>1739</v>
      </c>
      <c r="B38" s="7" t="s">
        <v>252</v>
      </c>
      <c r="C38" s="8" t="s">
        <v>1740</v>
      </c>
      <c r="D38" s="8"/>
      <c r="E38" s="8">
        <v>99.0</v>
      </c>
      <c r="F38" s="8">
        <v>5.0</v>
      </c>
      <c r="G38" s="8">
        <v>2.0</v>
      </c>
      <c r="H38" s="8">
        <v>1.0</v>
      </c>
      <c r="I38" s="8">
        <f t="shared" si="1"/>
        <v>107</v>
      </c>
      <c r="J38" s="8"/>
      <c r="K38" s="8">
        <v>5.0</v>
      </c>
      <c r="L38" s="8"/>
      <c r="M38" s="9"/>
    </row>
    <row r="39" ht="15.75" customHeight="1">
      <c r="A39" s="8" t="s">
        <v>1739</v>
      </c>
      <c r="B39" s="7" t="s">
        <v>254</v>
      </c>
      <c r="C39" s="8" t="s">
        <v>1740</v>
      </c>
      <c r="D39" s="8"/>
      <c r="E39" s="8">
        <v>99.0</v>
      </c>
      <c r="F39" s="8">
        <v>5.0</v>
      </c>
      <c r="G39" s="8">
        <v>2.0</v>
      </c>
      <c r="H39" s="8">
        <v>1.0</v>
      </c>
      <c r="I39" s="8">
        <f t="shared" si="1"/>
        <v>107</v>
      </c>
      <c r="J39" s="8"/>
      <c r="K39" s="8">
        <v>5.0</v>
      </c>
      <c r="L39" s="8"/>
      <c r="M39" s="9"/>
    </row>
    <row r="40" ht="15.75" customHeight="1">
      <c r="A40" s="8" t="s">
        <v>1739</v>
      </c>
      <c r="B40" s="7" t="s">
        <v>272</v>
      </c>
      <c r="C40" s="8" t="s">
        <v>1740</v>
      </c>
      <c r="D40" s="8"/>
      <c r="E40" s="8">
        <v>99.0</v>
      </c>
      <c r="F40" s="8">
        <v>5.0</v>
      </c>
      <c r="G40" s="8">
        <v>2.0</v>
      </c>
      <c r="H40" s="8">
        <v>1.0</v>
      </c>
      <c r="I40" s="8">
        <f t="shared" si="1"/>
        <v>107</v>
      </c>
      <c r="J40" s="8"/>
      <c r="K40" s="8">
        <v>5.0</v>
      </c>
      <c r="L40" s="8"/>
      <c r="M40" s="9" t="s">
        <v>1742</v>
      </c>
    </row>
    <row r="41" ht="15.75" customHeight="1">
      <c r="A41" s="8" t="s">
        <v>1739</v>
      </c>
      <c r="B41" s="7" t="s">
        <v>273</v>
      </c>
      <c r="C41" s="8" t="s">
        <v>1740</v>
      </c>
      <c r="D41" s="8"/>
      <c r="E41" s="8">
        <v>99.0</v>
      </c>
      <c r="F41" s="8">
        <v>5.0</v>
      </c>
      <c r="G41" s="8">
        <v>2.0</v>
      </c>
      <c r="H41" s="8">
        <v>1.0</v>
      </c>
      <c r="I41" s="8">
        <f t="shared" si="1"/>
        <v>107</v>
      </c>
      <c r="J41" s="8"/>
      <c r="K41" s="8">
        <v>5.0</v>
      </c>
      <c r="L41" s="8"/>
      <c r="M41" s="9" t="s">
        <v>1742</v>
      </c>
    </row>
    <row r="42" ht="15.75" customHeight="1">
      <c r="A42" s="8" t="s">
        <v>1739</v>
      </c>
      <c r="B42" s="7" t="s">
        <v>283</v>
      </c>
      <c r="C42" s="8" t="s">
        <v>1740</v>
      </c>
      <c r="D42" s="8"/>
      <c r="E42" s="8">
        <v>99.0</v>
      </c>
      <c r="F42" s="8">
        <v>5.0</v>
      </c>
      <c r="G42" s="8">
        <v>2.0</v>
      </c>
      <c r="H42" s="8">
        <v>1.0</v>
      </c>
      <c r="I42" s="8">
        <f t="shared" si="1"/>
        <v>107</v>
      </c>
      <c r="J42" s="8"/>
      <c r="K42" s="8">
        <v>5.0</v>
      </c>
      <c r="L42" s="8"/>
      <c r="M42" s="9" t="s">
        <v>1742</v>
      </c>
    </row>
    <row r="43" ht="15.75" customHeight="1">
      <c r="A43" s="8" t="s">
        <v>1739</v>
      </c>
      <c r="B43" s="7" t="s">
        <v>281</v>
      </c>
      <c r="C43" s="8" t="s">
        <v>1740</v>
      </c>
      <c r="D43" s="8"/>
      <c r="E43" s="8">
        <v>99.0</v>
      </c>
      <c r="F43" s="8">
        <v>5.0</v>
      </c>
      <c r="G43" s="8">
        <v>2.0</v>
      </c>
      <c r="H43" s="8">
        <v>1.0</v>
      </c>
      <c r="I43" s="8">
        <f t="shared" si="1"/>
        <v>107</v>
      </c>
      <c r="J43" s="8"/>
      <c r="K43" s="8">
        <v>5.0</v>
      </c>
      <c r="L43" s="8"/>
      <c r="M43" s="9" t="s">
        <v>1742</v>
      </c>
    </row>
    <row r="44" ht="15.75" customHeight="1">
      <c r="A44" s="8" t="s">
        <v>1739</v>
      </c>
      <c r="B44" s="7" t="s">
        <v>286</v>
      </c>
      <c r="C44" s="8" t="s">
        <v>1740</v>
      </c>
      <c r="D44" s="8"/>
      <c r="E44" s="8">
        <v>99.0</v>
      </c>
      <c r="F44" s="8">
        <v>5.0</v>
      </c>
      <c r="G44" s="8">
        <v>2.0</v>
      </c>
      <c r="H44" s="8">
        <v>1.0</v>
      </c>
      <c r="I44" s="8">
        <f t="shared" si="1"/>
        <v>107</v>
      </c>
      <c r="J44" s="8"/>
      <c r="K44" s="8">
        <v>5.0</v>
      </c>
      <c r="L44" s="8"/>
      <c r="M44" s="9" t="s">
        <v>1742</v>
      </c>
    </row>
    <row r="45" ht="15.75" customHeight="1">
      <c r="A45" s="8" t="s">
        <v>1739</v>
      </c>
      <c r="B45" s="7" t="s">
        <v>288</v>
      </c>
      <c r="C45" s="8" t="s">
        <v>1740</v>
      </c>
      <c r="D45" s="8"/>
      <c r="E45" s="8">
        <v>99.0</v>
      </c>
      <c r="F45" s="8">
        <v>5.0</v>
      </c>
      <c r="G45" s="8">
        <v>2.0</v>
      </c>
      <c r="H45" s="8">
        <v>1.0</v>
      </c>
      <c r="I45" s="8">
        <f t="shared" si="1"/>
        <v>107</v>
      </c>
      <c r="J45" s="8"/>
      <c r="K45" s="8">
        <v>5.0</v>
      </c>
      <c r="L45" s="8"/>
      <c r="M45" s="9" t="s">
        <v>1742</v>
      </c>
    </row>
    <row r="46" ht="15.75" customHeight="1">
      <c r="A46" s="8" t="s">
        <v>1739</v>
      </c>
      <c r="B46" s="7" t="s">
        <v>265</v>
      </c>
      <c r="C46" s="8" t="s">
        <v>1740</v>
      </c>
      <c r="D46" s="8"/>
      <c r="E46" s="8">
        <v>99.0</v>
      </c>
      <c r="F46" s="8">
        <v>5.0</v>
      </c>
      <c r="G46" s="8">
        <v>2.0</v>
      </c>
      <c r="H46" s="8">
        <v>1.0</v>
      </c>
      <c r="I46" s="8">
        <f t="shared" si="1"/>
        <v>107</v>
      </c>
      <c r="J46" s="8"/>
      <c r="K46" s="8">
        <v>5.0</v>
      </c>
      <c r="L46" s="8"/>
      <c r="M46" s="9" t="s">
        <v>1744</v>
      </c>
    </row>
    <row r="47" ht="15.75" customHeight="1">
      <c r="A47" s="8" t="s">
        <v>1739</v>
      </c>
      <c r="B47" s="7" t="s">
        <v>291</v>
      </c>
      <c r="C47" s="8" t="s">
        <v>1740</v>
      </c>
      <c r="D47" s="8"/>
      <c r="E47" s="8">
        <v>99.0</v>
      </c>
      <c r="F47" s="8">
        <v>5.0</v>
      </c>
      <c r="G47" s="8">
        <v>2.0</v>
      </c>
      <c r="H47" s="8">
        <v>1.0</v>
      </c>
      <c r="I47" s="8">
        <f t="shared" si="1"/>
        <v>107</v>
      </c>
      <c r="J47" s="8"/>
      <c r="K47" s="8">
        <v>5.0</v>
      </c>
      <c r="L47" s="8"/>
      <c r="M47" s="9" t="s">
        <v>1742</v>
      </c>
    </row>
    <row r="48" ht="15.75" customHeight="1">
      <c r="A48" s="8" t="s">
        <v>1739</v>
      </c>
      <c r="B48" s="7" t="s">
        <v>293</v>
      </c>
      <c r="C48" s="8" t="s">
        <v>1740</v>
      </c>
      <c r="D48" s="8"/>
      <c r="E48" s="8">
        <v>99.0</v>
      </c>
      <c r="F48" s="8">
        <v>5.0</v>
      </c>
      <c r="G48" s="8">
        <v>2.0</v>
      </c>
      <c r="H48" s="8">
        <v>1.0</v>
      </c>
      <c r="I48" s="8">
        <f t="shared" si="1"/>
        <v>107</v>
      </c>
      <c r="J48" s="8"/>
      <c r="K48" s="8">
        <v>5.0</v>
      </c>
      <c r="L48" s="8"/>
      <c r="M48" s="9" t="s">
        <v>1742</v>
      </c>
    </row>
    <row r="49" ht="15.75" customHeight="1">
      <c r="A49" s="8" t="s">
        <v>1739</v>
      </c>
      <c r="B49" s="7" t="s">
        <v>257</v>
      </c>
      <c r="C49" s="8" t="s">
        <v>1740</v>
      </c>
      <c r="D49" s="8"/>
      <c r="E49" s="8">
        <v>99.0</v>
      </c>
      <c r="F49" s="8">
        <v>5.0</v>
      </c>
      <c r="G49" s="8">
        <v>2.0</v>
      </c>
      <c r="H49" s="8">
        <v>1.0</v>
      </c>
      <c r="I49" s="8">
        <f t="shared" si="1"/>
        <v>107</v>
      </c>
      <c r="J49" s="8"/>
      <c r="K49" s="8">
        <v>5.0</v>
      </c>
      <c r="L49" s="8"/>
      <c r="M49" s="9" t="s">
        <v>1742</v>
      </c>
    </row>
    <row r="50" ht="15.75" customHeight="1">
      <c r="A50" s="8" t="s">
        <v>1739</v>
      </c>
      <c r="B50" s="7" t="s">
        <v>259</v>
      </c>
      <c r="C50" s="8" t="s">
        <v>1740</v>
      </c>
      <c r="D50" s="8"/>
      <c r="E50" s="8">
        <v>99.0</v>
      </c>
      <c r="F50" s="8">
        <v>5.0</v>
      </c>
      <c r="G50" s="8">
        <v>2.0</v>
      </c>
      <c r="H50" s="8">
        <v>1.0</v>
      </c>
      <c r="I50" s="8">
        <f t="shared" si="1"/>
        <v>107</v>
      </c>
      <c r="J50" s="8"/>
      <c r="K50" s="8">
        <v>5.0</v>
      </c>
      <c r="L50" s="8"/>
      <c r="M50" s="9" t="s">
        <v>1742</v>
      </c>
    </row>
    <row r="51" ht="15.75" customHeight="1">
      <c r="A51" s="8" t="s">
        <v>1739</v>
      </c>
      <c r="B51" s="7" t="s">
        <v>263</v>
      </c>
      <c r="C51" s="8" t="s">
        <v>1740</v>
      </c>
      <c r="D51" s="8"/>
      <c r="E51" s="8">
        <v>99.0</v>
      </c>
      <c r="F51" s="8">
        <v>5.0</v>
      </c>
      <c r="G51" s="8">
        <v>2.0</v>
      </c>
      <c r="H51" s="8">
        <v>1.0</v>
      </c>
      <c r="I51" s="8">
        <f t="shared" si="1"/>
        <v>107</v>
      </c>
      <c r="J51" s="8"/>
      <c r="K51" s="8">
        <v>5.0</v>
      </c>
      <c r="L51" s="8"/>
      <c r="M51" s="9" t="s">
        <v>1742</v>
      </c>
    </row>
    <row r="52" ht="15.75" customHeight="1">
      <c r="A52" s="8" t="s">
        <v>1739</v>
      </c>
      <c r="B52" s="7" t="s">
        <v>1207</v>
      </c>
      <c r="C52" s="8" t="s">
        <v>1740</v>
      </c>
      <c r="D52" s="8"/>
      <c r="E52" s="8">
        <v>99.0</v>
      </c>
      <c r="F52" s="8">
        <v>5.0</v>
      </c>
      <c r="G52" s="8">
        <v>2.0</v>
      </c>
      <c r="H52" s="8">
        <v>1.0</v>
      </c>
      <c r="I52" s="8">
        <f t="shared" si="1"/>
        <v>107</v>
      </c>
      <c r="J52" s="8"/>
      <c r="K52" s="8">
        <v>5.0</v>
      </c>
      <c r="L52" s="8"/>
      <c r="M52" s="9" t="s">
        <v>1742</v>
      </c>
    </row>
    <row r="53" ht="15.75" customHeight="1">
      <c r="A53" s="8" t="s">
        <v>1739</v>
      </c>
      <c r="B53" s="7" t="s">
        <v>267</v>
      </c>
      <c r="C53" s="8" t="s">
        <v>1740</v>
      </c>
      <c r="D53" s="8"/>
      <c r="E53" s="8">
        <v>99.0</v>
      </c>
      <c r="F53" s="8">
        <v>5.0</v>
      </c>
      <c r="G53" s="8">
        <v>2.0</v>
      </c>
      <c r="H53" s="8">
        <v>1.0</v>
      </c>
      <c r="I53" s="8">
        <f t="shared" si="1"/>
        <v>107</v>
      </c>
      <c r="J53" s="8"/>
      <c r="K53" s="8">
        <v>5.0</v>
      </c>
      <c r="L53" s="8"/>
      <c r="M53" s="9" t="s">
        <v>1742</v>
      </c>
    </row>
    <row r="54" ht="15.75" customHeight="1">
      <c r="A54" s="8" t="s">
        <v>1739</v>
      </c>
      <c r="B54" s="7" t="s">
        <v>305</v>
      </c>
      <c r="C54" s="8" t="s">
        <v>1740</v>
      </c>
      <c r="D54" s="8"/>
      <c r="E54" s="8">
        <v>99.0</v>
      </c>
      <c r="F54" s="8">
        <v>5.0</v>
      </c>
      <c r="G54" s="8">
        <v>2.0</v>
      </c>
      <c r="H54" s="8">
        <v>1.0</v>
      </c>
      <c r="I54" s="8">
        <f t="shared" si="1"/>
        <v>107</v>
      </c>
      <c r="J54" s="8"/>
      <c r="K54" s="8">
        <v>5.0</v>
      </c>
      <c r="L54" s="8"/>
      <c r="M54" s="9" t="s">
        <v>1742</v>
      </c>
    </row>
    <row r="55" ht="15.75" customHeight="1">
      <c r="A55" s="8" t="s">
        <v>1739</v>
      </c>
      <c r="B55" s="7" t="s">
        <v>307</v>
      </c>
      <c r="C55" s="8" t="s">
        <v>1740</v>
      </c>
      <c r="D55" s="8"/>
      <c r="E55" s="8">
        <v>99.0</v>
      </c>
      <c r="F55" s="8">
        <v>5.0</v>
      </c>
      <c r="G55" s="8">
        <v>2.0</v>
      </c>
      <c r="H55" s="8">
        <v>1.0</v>
      </c>
      <c r="I55" s="8">
        <f t="shared" si="1"/>
        <v>107</v>
      </c>
      <c r="J55" s="8"/>
      <c r="K55" s="8">
        <v>5.0</v>
      </c>
      <c r="L55" s="8"/>
      <c r="M55" s="9" t="s">
        <v>1744</v>
      </c>
    </row>
    <row r="56" ht="15.75" customHeight="1">
      <c r="A56" s="8" t="s">
        <v>1739</v>
      </c>
      <c r="B56" s="7" t="s">
        <v>309</v>
      </c>
      <c r="C56" s="8" t="s">
        <v>1740</v>
      </c>
      <c r="D56" s="8"/>
      <c r="E56" s="8">
        <v>99.0</v>
      </c>
      <c r="F56" s="8">
        <v>5.0</v>
      </c>
      <c r="G56" s="8">
        <v>2.0</v>
      </c>
      <c r="H56" s="8">
        <v>1.0</v>
      </c>
      <c r="I56" s="8">
        <f t="shared" si="1"/>
        <v>107</v>
      </c>
      <c r="J56" s="8"/>
      <c r="K56" s="8">
        <v>5.0</v>
      </c>
      <c r="L56" s="8"/>
      <c r="M56" s="9" t="s">
        <v>1744</v>
      </c>
    </row>
    <row r="57" ht="15.75" customHeight="1">
      <c r="A57" s="8" t="s">
        <v>1739</v>
      </c>
      <c r="B57" s="7" t="s">
        <v>311</v>
      </c>
      <c r="C57" s="8" t="s">
        <v>1740</v>
      </c>
      <c r="D57" s="8"/>
      <c r="E57" s="8">
        <v>99.0</v>
      </c>
      <c r="F57" s="8">
        <v>5.0</v>
      </c>
      <c r="G57" s="8">
        <v>2.0</v>
      </c>
      <c r="H57" s="8">
        <v>1.0</v>
      </c>
      <c r="I57" s="8">
        <f t="shared" si="1"/>
        <v>107</v>
      </c>
      <c r="J57" s="8"/>
      <c r="K57" s="8">
        <v>5.0</v>
      </c>
      <c r="L57" s="8"/>
      <c r="M57" s="9" t="s">
        <v>1742</v>
      </c>
    </row>
    <row r="58" ht="15.75" customHeight="1">
      <c r="A58" s="8" t="s">
        <v>1739</v>
      </c>
      <c r="B58" s="7" t="s">
        <v>313</v>
      </c>
      <c r="C58" s="8" t="s">
        <v>1740</v>
      </c>
      <c r="D58" s="8"/>
      <c r="E58" s="8">
        <v>99.0</v>
      </c>
      <c r="F58" s="8">
        <v>5.0</v>
      </c>
      <c r="G58" s="8">
        <v>2.0</v>
      </c>
      <c r="H58" s="8">
        <v>1.0</v>
      </c>
      <c r="I58" s="8">
        <f t="shared" si="1"/>
        <v>107</v>
      </c>
      <c r="J58" s="8"/>
      <c r="K58" s="8">
        <v>5.0</v>
      </c>
      <c r="L58" s="8"/>
      <c r="M58" s="9" t="s">
        <v>1742</v>
      </c>
    </row>
    <row r="59" ht="15.75" customHeight="1">
      <c r="A59" s="8" t="s">
        <v>1739</v>
      </c>
      <c r="B59" s="7" t="s">
        <v>261</v>
      </c>
      <c r="C59" s="8" t="s">
        <v>1740</v>
      </c>
      <c r="D59" s="8"/>
      <c r="E59" s="8">
        <v>99.0</v>
      </c>
      <c r="F59" s="8">
        <v>5.0</v>
      </c>
      <c r="G59" s="8">
        <v>2.0</v>
      </c>
      <c r="H59" s="8">
        <v>1.0</v>
      </c>
      <c r="I59" s="8">
        <f t="shared" si="1"/>
        <v>107</v>
      </c>
      <c r="J59" s="8"/>
      <c r="K59" s="8">
        <v>5.0</v>
      </c>
      <c r="L59" s="8"/>
      <c r="M59" s="9" t="s">
        <v>1744</v>
      </c>
    </row>
    <row r="60" ht="15.75" customHeight="1">
      <c r="A60" s="8" t="s">
        <v>1739</v>
      </c>
      <c r="B60" s="7" t="s">
        <v>316</v>
      </c>
      <c r="C60" s="8" t="s">
        <v>1740</v>
      </c>
      <c r="D60" s="8"/>
      <c r="E60" s="8">
        <v>99.0</v>
      </c>
      <c r="F60" s="8">
        <v>5.0</v>
      </c>
      <c r="G60" s="8">
        <v>2.0</v>
      </c>
      <c r="H60" s="8">
        <v>1.0</v>
      </c>
      <c r="I60" s="8">
        <f t="shared" si="1"/>
        <v>107</v>
      </c>
      <c r="J60" s="8"/>
      <c r="K60" s="8">
        <v>5.0</v>
      </c>
      <c r="L60" s="8"/>
      <c r="M60" s="9" t="s">
        <v>1742</v>
      </c>
    </row>
    <row r="61" ht="15.75" customHeight="1">
      <c r="A61" s="8" t="s">
        <v>1739</v>
      </c>
      <c r="B61" s="7" t="s">
        <v>269</v>
      </c>
      <c r="C61" s="8" t="s">
        <v>1740</v>
      </c>
      <c r="D61" s="8"/>
      <c r="E61" s="8">
        <v>99.0</v>
      </c>
      <c r="F61" s="8">
        <v>5.0</v>
      </c>
      <c r="G61" s="8">
        <v>2.0</v>
      </c>
      <c r="H61" s="8">
        <v>1.0</v>
      </c>
      <c r="I61" s="8">
        <f t="shared" si="1"/>
        <v>107</v>
      </c>
      <c r="J61" s="8"/>
      <c r="K61" s="8">
        <v>5.0</v>
      </c>
      <c r="L61" s="8"/>
      <c r="M61" s="9" t="s">
        <v>1742</v>
      </c>
    </row>
    <row r="62" ht="15.75" customHeight="1">
      <c r="A62" s="8" t="s">
        <v>1739</v>
      </c>
      <c r="B62" s="7" t="s">
        <v>319</v>
      </c>
      <c r="C62" s="8" t="s">
        <v>1740</v>
      </c>
      <c r="D62" s="8"/>
      <c r="E62" s="8">
        <v>99.0</v>
      </c>
      <c r="F62" s="8">
        <v>5.0</v>
      </c>
      <c r="G62" s="8">
        <v>2.0</v>
      </c>
      <c r="H62" s="8">
        <v>1.0</v>
      </c>
      <c r="I62" s="8">
        <f t="shared" si="1"/>
        <v>107</v>
      </c>
      <c r="J62" s="8"/>
      <c r="K62" s="8">
        <v>5.0</v>
      </c>
      <c r="L62" s="8"/>
      <c r="M62" s="9" t="s">
        <v>1744</v>
      </c>
    </row>
    <row r="63" ht="15.75" customHeight="1">
      <c r="A63" s="8" t="s">
        <v>1739</v>
      </c>
      <c r="B63" s="7" t="s">
        <v>321</v>
      </c>
      <c r="C63" s="8" t="s">
        <v>1740</v>
      </c>
      <c r="D63" s="8"/>
      <c r="E63" s="8">
        <v>99.0</v>
      </c>
      <c r="F63" s="8">
        <v>5.0</v>
      </c>
      <c r="G63" s="8">
        <v>2.0</v>
      </c>
      <c r="H63" s="8">
        <v>1.0</v>
      </c>
      <c r="I63" s="8">
        <f t="shared" si="1"/>
        <v>107</v>
      </c>
      <c r="J63" s="8"/>
      <c r="K63" s="8">
        <v>5.0</v>
      </c>
      <c r="L63" s="8"/>
      <c r="M63" s="9" t="s">
        <v>1742</v>
      </c>
    </row>
    <row r="64" ht="15.75" customHeight="1">
      <c r="A64" s="8" t="s">
        <v>1739</v>
      </c>
      <c r="B64" s="7" t="s">
        <v>1226</v>
      </c>
      <c r="C64" s="8" t="s">
        <v>1740</v>
      </c>
      <c r="D64" s="8"/>
      <c r="E64" s="8">
        <v>99.0</v>
      </c>
      <c r="F64" s="8">
        <v>5.0</v>
      </c>
      <c r="G64" s="8">
        <v>2.0</v>
      </c>
      <c r="H64" s="8">
        <v>1.0</v>
      </c>
      <c r="I64" s="8">
        <f t="shared" si="1"/>
        <v>107</v>
      </c>
      <c r="J64" s="8"/>
      <c r="K64" s="8">
        <v>5.0</v>
      </c>
      <c r="L64" s="8"/>
      <c r="M64" s="9" t="s">
        <v>1742</v>
      </c>
    </row>
    <row r="65" ht="15.75" customHeight="1">
      <c r="A65" s="8" t="s">
        <v>1739</v>
      </c>
      <c r="B65" s="7" t="s">
        <v>333</v>
      </c>
      <c r="C65" s="8" t="s">
        <v>1740</v>
      </c>
      <c r="D65" s="8"/>
      <c r="E65" s="8">
        <v>99.0</v>
      </c>
      <c r="F65" s="8">
        <v>5.0</v>
      </c>
      <c r="G65" s="8">
        <v>2.0</v>
      </c>
      <c r="H65" s="8">
        <v>1.0</v>
      </c>
      <c r="I65" s="8">
        <f t="shared" si="1"/>
        <v>107</v>
      </c>
      <c r="J65" s="8"/>
      <c r="K65" s="8">
        <v>5.0</v>
      </c>
      <c r="L65" s="8"/>
      <c r="M65" s="9" t="s">
        <v>1744</v>
      </c>
    </row>
    <row r="66" ht="15.75" customHeight="1">
      <c r="A66" s="8" t="s">
        <v>1739</v>
      </c>
      <c r="B66" s="7" t="s">
        <v>524</v>
      </c>
      <c r="C66" s="8" t="s">
        <v>1740</v>
      </c>
      <c r="D66" s="8"/>
      <c r="E66" s="8"/>
      <c r="F66" s="8"/>
      <c r="G66" s="8"/>
      <c r="H66" s="8"/>
      <c r="I66" s="8">
        <f t="shared" si="1"/>
        <v>0</v>
      </c>
      <c r="J66" s="8"/>
      <c r="K66" s="8">
        <v>5.0</v>
      </c>
      <c r="L66" s="8"/>
      <c r="M66" s="9"/>
    </row>
    <row r="67" ht="15.75" customHeight="1">
      <c r="A67" s="8" t="s">
        <v>1739</v>
      </c>
      <c r="B67" s="7" t="s">
        <v>391</v>
      </c>
      <c r="C67" s="8" t="s">
        <v>1740</v>
      </c>
      <c r="D67" s="8"/>
      <c r="E67" s="8"/>
      <c r="F67" s="8"/>
      <c r="G67" s="8"/>
      <c r="H67" s="8"/>
      <c r="I67" s="8">
        <f t="shared" si="1"/>
        <v>0</v>
      </c>
      <c r="J67" s="8"/>
      <c r="K67" s="8">
        <v>5.0</v>
      </c>
      <c r="L67" s="8"/>
      <c r="M67" s="9"/>
    </row>
    <row r="68" ht="15.75" customHeight="1">
      <c r="A68" s="8" t="s">
        <v>1739</v>
      </c>
      <c r="B68" s="7" t="s">
        <v>1304</v>
      </c>
      <c r="C68" s="8" t="s">
        <v>1740</v>
      </c>
      <c r="D68" s="8"/>
      <c r="E68" s="8">
        <v>99.0</v>
      </c>
      <c r="F68" s="8">
        <v>5.0</v>
      </c>
      <c r="G68" s="8">
        <v>2.0</v>
      </c>
      <c r="H68" s="8">
        <v>1.0</v>
      </c>
      <c r="I68" s="8">
        <f t="shared" si="1"/>
        <v>107</v>
      </c>
      <c r="J68" s="8"/>
      <c r="K68" s="8">
        <v>5.0</v>
      </c>
      <c r="L68" s="8"/>
      <c r="M68" s="9" t="s">
        <v>1744</v>
      </c>
    </row>
    <row r="69" ht="15.75" customHeight="1">
      <c r="A69" s="8" t="s">
        <v>1739</v>
      </c>
      <c r="B69" s="7" t="s">
        <v>353</v>
      </c>
      <c r="C69" s="8" t="s">
        <v>1740</v>
      </c>
      <c r="D69" s="8"/>
      <c r="E69" s="8">
        <v>60.0</v>
      </c>
      <c r="F69" s="8">
        <v>5.0</v>
      </c>
      <c r="G69" s="8">
        <v>2.0</v>
      </c>
      <c r="H69" s="8">
        <v>1.0</v>
      </c>
      <c r="I69" s="8">
        <f t="shared" si="1"/>
        <v>68</v>
      </c>
      <c r="J69" s="8"/>
      <c r="K69" s="8">
        <v>5.0</v>
      </c>
      <c r="L69" s="8"/>
      <c r="M69" s="9"/>
    </row>
    <row r="70" ht="15.75" customHeight="1">
      <c r="A70" s="8" t="s">
        <v>1739</v>
      </c>
      <c r="B70" s="7" t="s">
        <v>534</v>
      </c>
      <c r="C70" s="8" t="s">
        <v>1740</v>
      </c>
      <c r="D70" s="8"/>
      <c r="E70" s="8"/>
      <c r="F70" s="8"/>
      <c r="G70" s="8"/>
      <c r="H70" s="8"/>
      <c r="I70" s="8"/>
      <c r="J70" s="8"/>
      <c r="K70" s="8">
        <v>5.0</v>
      </c>
      <c r="L70" s="8"/>
      <c r="M70" s="9"/>
    </row>
    <row r="71" ht="15.75" customHeight="1">
      <c r="A71" s="8" t="s">
        <v>1739</v>
      </c>
      <c r="B71" s="7" t="s">
        <v>536</v>
      </c>
      <c r="C71" s="8" t="s">
        <v>1740</v>
      </c>
      <c r="D71" s="8"/>
      <c r="E71" s="8"/>
      <c r="F71" s="8"/>
      <c r="G71" s="8"/>
      <c r="H71" s="8"/>
      <c r="I71" s="8"/>
      <c r="J71" s="8"/>
      <c r="K71" s="8">
        <v>5.0</v>
      </c>
      <c r="L71" s="8"/>
      <c r="M71" s="9"/>
    </row>
    <row r="72" ht="15.75" customHeight="1">
      <c r="A72" s="8" t="s">
        <v>1739</v>
      </c>
      <c r="B72" s="7" t="s">
        <v>354</v>
      </c>
      <c r="C72" s="8" t="s">
        <v>1740</v>
      </c>
      <c r="D72" s="8"/>
      <c r="E72" s="8"/>
      <c r="F72" s="8"/>
      <c r="G72" s="8"/>
      <c r="H72" s="8"/>
      <c r="I72" s="8"/>
      <c r="J72" s="8"/>
      <c r="K72" s="8">
        <v>5.0</v>
      </c>
      <c r="L72" s="8"/>
      <c r="M72" s="9"/>
    </row>
    <row r="73" ht="15.75" customHeight="1">
      <c r="A73" s="8" t="s">
        <v>1739</v>
      </c>
      <c r="B73" s="7" t="s">
        <v>358</v>
      </c>
      <c r="C73" s="8" t="s">
        <v>1740</v>
      </c>
      <c r="D73" s="8"/>
      <c r="E73" s="8"/>
      <c r="F73" s="8"/>
      <c r="G73" s="8"/>
      <c r="H73" s="8"/>
      <c r="I73" s="8"/>
      <c r="J73" s="8"/>
      <c r="K73" s="8">
        <v>5.0</v>
      </c>
      <c r="L73" s="8"/>
      <c r="M73" s="9"/>
    </row>
    <row r="74" ht="15.75" customHeight="1">
      <c r="A74" s="8" t="s">
        <v>1739</v>
      </c>
      <c r="B74" s="7" t="s">
        <v>355</v>
      </c>
      <c r="C74" s="8" t="s">
        <v>1740</v>
      </c>
      <c r="D74" s="8"/>
      <c r="E74" s="8">
        <v>60.0</v>
      </c>
      <c r="F74" s="8">
        <v>5.0</v>
      </c>
      <c r="G74" s="8">
        <v>2.0</v>
      </c>
      <c r="H74" s="8">
        <v>1.0</v>
      </c>
      <c r="I74" s="8">
        <f>ROUND(E74 + F74 + G74 + H74, 2)</f>
        <v>68</v>
      </c>
      <c r="J74" s="8"/>
      <c r="K74" s="8">
        <v>5.0</v>
      </c>
      <c r="L74" s="8"/>
      <c r="M74" s="9"/>
    </row>
    <row r="75" ht="15.75" customHeight="1">
      <c r="A75" s="8" t="s">
        <v>1739</v>
      </c>
      <c r="B75" s="7" t="s">
        <v>541</v>
      </c>
      <c r="C75" s="8" t="s">
        <v>1740</v>
      </c>
      <c r="D75" s="8"/>
      <c r="E75" s="8"/>
      <c r="F75" s="8"/>
      <c r="G75" s="8"/>
      <c r="H75" s="8"/>
      <c r="I75" s="8"/>
      <c r="J75" s="8"/>
      <c r="K75" s="8">
        <v>5.0</v>
      </c>
      <c r="L75" s="8"/>
      <c r="M75" s="9"/>
    </row>
    <row r="76" ht="15.75" customHeight="1">
      <c r="A76" s="8" t="s">
        <v>1739</v>
      </c>
      <c r="B76" s="7" t="s">
        <v>356</v>
      </c>
      <c r="C76" s="8" t="s">
        <v>1740</v>
      </c>
      <c r="D76" s="8"/>
      <c r="E76" s="8">
        <v>60.0</v>
      </c>
      <c r="F76" s="8">
        <v>5.0</v>
      </c>
      <c r="G76" s="8">
        <v>2.0</v>
      </c>
      <c r="H76" s="8">
        <v>1.0</v>
      </c>
      <c r="I76" s="8">
        <f t="shared" ref="I76:I103" si="2">ROUND(E76 + F76 + G76 + H76, 2)</f>
        <v>68</v>
      </c>
      <c r="J76" s="8"/>
      <c r="K76" s="8">
        <v>5.0</v>
      </c>
      <c r="L76" s="8"/>
      <c r="M76" s="9"/>
    </row>
    <row r="77" ht="15.75" customHeight="1">
      <c r="A77" s="8" t="s">
        <v>1739</v>
      </c>
      <c r="B77" s="7" t="s">
        <v>359</v>
      </c>
      <c r="C77" s="8" t="s">
        <v>1740</v>
      </c>
      <c r="D77" s="8"/>
      <c r="E77" s="8"/>
      <c r="F77" s="8"/>
      <c r="G77" s="8"/>
      <c r="H77" s="8"/>
      <c r="I77" s="8">
        <f t="shared" si="2"/>
        <v>0</v>
      </c>
      <c r="J77" s="8"/>
      <c r="K77" s="8">
        <v>5.0</v>
      </c>
      <c r="L77" s="8"/>
      <c r="M77" s="9"/>
    </row>
    <row r="78" ht="15.75" customHeight="1">
      <c r="A78" s="8" t="s">
        <v>1739</v>
      </c>
      <c r="B78" s="7" t="s">
        <v>361</v>
      </c>
      <c r="C78" s="8" t="s">
        <v>1740</v>
      </c>
      <c r="D78" s="8"/>
      <c r="E78" s="8"/>
      <c r="F78" s="8"/>
      <c r="G78" s="8"/>
      <c r="H78" s="8"/>
      <c r="I78" s="8">
        <f t="shared" si="2"/>
        <v>0</v>
      </c>
      <c r="J78" s="8"/>
      <c r="K78" s="8">
        <v>5.0</v>
      </c>
      <c r="L78" s="8"/>
      <c r="M78" s="9"/>
    </row>
    <row r="79" ht="15.75" customHeight="1">
      <c r="A79" s="8" t="s">
        <v>1739</v>
      </c>
      <c r="B79" s="7" t="s">
        <v>363</v>
      </c>
      <c r="C79" s="8" t="s">
        <v>1745</v>
      </c>
      <c r="D79" s="8"/>
      <c r="E79" s="8">
        <v>100.0</v>
      </c>
      <c r="F79" s="8">
        <v>2.0</v>
      </c>
      <c r="G79" s="8">
        <v>1.0</v>
      </c>
      <c r="H79" s="8">
        <v>1.0</v>
      </c>
      <c r="I79" s="8">
        <f t="shared" si="2"/>
        <v>104</v>
      </c>
      <c r="J79" s="8"/>
      <c r="K79" s="8">
        <v>5.0</v>
      </c>
      <c r="L79" s="8"/>
      <c r="M79" s="9" t="s">
        <v>1742</v>
      </c>
    </row>
    <row r="80" ht="15.75" customHeight="1">
      <c r="A80" s="8" t="s">
        <v>1739</v>
      </c>
      <c r="B80" s="7" t="s">
        <v>365</v>
      </c>
      <c r="C80" s="8" t="s">
        <v>1740</v>
      </c>
      <c r="D80" s="8"/>
      <c r="E80" s="8"/>
      <c r="F80" s="8"/>
      <c r="G80" s="8"/>
      <c r="H80" s="8"/>
      <c r="I80" s="8">
        <f t="shared" si="2"/>
        <v>0</v>
      </c>
      <c r="J80" s="8"/>
      <c r="K80" s="8">
        <v>5.0</v>
      </c>
      <c r="L80" s="8"/>
      <c r="M80" s="9"/>
    </row>
    <row r="81" ht="15.75" customHeight="1">
      <c r="A81" s="8" t="s">
        <v>1739</v>
      </c>
      <c r="B81" s="7" t="s">
        <v>367</v>
      </c>
      <c r="C81" s="8" t="s">
        <v>1740</v>
      </c>
      <c r="D81" s="8"/>
      <c r="E81" s="8"/>
      <c r="F81" s="8"/>
      <c r="G81" s="8"/>
      <c r="H81" s="8"/>
      <c r="I81" s="8">
        <f t="shared" si="2"/>
        <v>0</v>
      </c>
      <c r="J81" s="8"/>
      <c r="K81" s="8">
        <v>5.0</v>
      </c>
      <c r="L81" s="8"/>
      <c r="M81" s="9"/>
    </row>
    <row r="82" ht="15.75" customHeight="1">
      <c r="A82" s="8" t="s">
        <v>1739</v>
      </c>
      <c r="B82" s="7" t="s">
        <v>335</v>
      </c>
      <c r="C82" s="8" t="s">
        <v>1740</v>
      </c>
      <c r="D82" s="8"/>
      <c r="E82" s="8">
        <v>99.0</v>
      </c>
      <c r="F82" s="8">
        <v>5.0</v>
      </c>
      <c r="G82" s="8">
        <v>2.0</v>
      </c>
      <c r="H82" s="8">
        <v>1.0</v>
      </c>
      <c r="I82" s="8">
        <f t="shared" si="2"/>
        <v>107</v>
      </c>
      <c r="J82" s="8"/>
      <c r="K82" s="8">
        <v>5.0</v>
      </c>
      <c r="L82" s="8"/>
      <c r="M82" s="9" t="s">
        <v>1746</v>
      </c>
    </row>
    <row r="83" ht="15.75" customHeight="1">
      <c r="A83" s="8" t="s">
        <v>1739</v>
      </c>
      <c r="B83" s="7" t="s">
        <v>338</v>
      </c>
      <c r="C83" s="8" t="s">
        <v>1740</v>
      </c>
      <c r="D83" s="8"/>
      <c r="E83" s="8">
        <v>99.0</v>
      </c>
      <c r="F83" s="8">
        <v>5.0</v>
      </c>
      <c r="G83" s="8">
        <v>2.0</v>
      </c>
      <c r="H83" s="8">
        <v>1.0</v>
      </c>
      <c r="I83" s="8">
        <f t="shared" si="2"/>
        <v>107</v>
      </c>
      <c r="J83" s="8"/>
      <c r="K83" s="8">
        <v>5.0</v>
      </c>
      <c r="L83" s="8"/>
      <c r="M83" s="9" t="s">
        <v>1746</v>
      </c>
    </row>
    <row r="84" ht="15.75" customHeight="1">
      <c r="A84" s="8" t="s">
        <v>1739</v>
      </c>
      <c r="B84" s="7" t="s">
        <v>368</v>
      </c>
      <c r="C84" s="8" t="s">
        <v>1740</v>
      </c>
      <c r="D84" s="8"/>
      <c r="E84" s="8"/>
      <c r="F84" s="8"/>
      <c r="G84" s="8"/>
      <c r="H84" s="8"/>
      <c r="I84" s="8">
        <f t="shared" si="2"/>
        <v>0</v>
      </c>
      <c r="J84" s="8"/>
      <c r="K84" s="8">
        <v>5.0</v>
      </c>
      <c r="L84" s="8"/>
      <c r="M84" s="9"/>
    </row>
    <row r="85" ht="15.75" customHeight="1">
      <c r="A85" s="8" t="s">
        <v>1739</v>
      </c>
      <c r="B85" s="7" t="s">
        <v>1310</v>
      </c>
      <c r="C85" s="8" t="s">
        <v>1740</v>
      </c>
      <c r="D85" s="8"/>
      <c r="E85" s="8">
        <v>99.0</v>
      </c>
      <c r="F85" s="8">
        <v>5.0</v>
      </c>
      <c r="G85" s="8">
        <v>2.0</v>
      </c>
      <c r="H85" s="8">
        <v>1.0</v>
      </c>
      <c r="I85" s="8">
        <f t="shared" si="2"/>
        <v>107</v>
      </c>
      <c r="J85" s="8"/>
      <c r="K85" s="8">
        <v>5.0</v>
      </c>
      <c r="L85" s="8"/>
      <c r="M85" s="9" t="s">
        <v>1746</v>
      </c>
    </row>
    <row r="86" ht="15.75" customHeight="1">
      <c r="A86" s="8" t="s">
        <v>1739</v>
      </c>
      <c r="B86" s="7" t="s">
        <v>369</v>
      </c>
      <c r="C86" s="8" t="s">
        <v>1740</v>
      </c>
      <c r="D86" s="8"/>
      <c r="E86" s="8"/>
      <c r="F86" s="8"/>
      <c r="G86" s="8"/>
      <c r="H86" s="8"/>
      <c r="I86" s="8">
        <f t="shared" si="2"/>
        <v>0</v>
      </c>
      <c r="J86" s="8"/>
      <c r="K86" s="8">
        <v>5.0</v>
      </c>
      <c r="L86" s="8"/>
      <c r="M86" s="9"/>
    </row>
    <row r="87" ht="15.75" customHeight="1">
      <c r="A87" s="8" t="s">
        <v>1739</v>
      </c>
      <c r="B87" s="7" t="s">
        <v>372</v>
      </c>
      <c r="C87" s="8" t="s">
        <v>1740</v>
      </c>
      <c r="D87" s="8"/>
      <c r="E87" s="8"/>
      <c r="F87" s="8"/>
      <c r="G87" s="8"/>
      <c r="H87" s="8"/>
      <c r="I87" s="8">
        <f t="shared" si="2"/>
        <v>0</v>
      </c>
      <c r="J87" s="8"/>
      <c r="K87" s="8">
        <v>5.0</v>
      </c>
      <c r="L87" s="8"/>
      <c r="M87" s="9"/>
    </row>
    <row r="88" ht="15.75" customHeight="1">
      <c r="A88" s="8" t="s">
        <v>1739</v>
      </c>
      <c r="B88" s="7" t="s">
        <v>374</v>
      </c>
      <c r="C88" s="8" t="s">
        <v>1740</v>
      </c>
      <c r="D88" s="8" t="s">
        <v>1747</v>
      </c>
      <c r="E88" s="8">
        <v>83.0</v>
      </c>
      <c r="F88" s="8">
        <v>2.0</v>
      </c>
      <c r="G88" s="8">
        <v>1.0</v>
      </c>
      <c r="H88" s="8">
        <v>1.0</v>
      </c>
      <c r="I88" s="8">
        <f t="shared" si="2"/>
        <v>87</v>
      </c>
      <c r="J88" s="8">
        <v>6505.0</v>
      </c>
      <c r="K88" s="8">
        <v>5.0</v>
      </c>
      <c r="L88" s="8"/>
      <c r="M88" s="9" t="s">
        <v>1742</v>
      </c>
    </row>
    <row r="89" ht="15.75" customHeight="1">
      <c r="A89" s="8" t="s">
        <v>1739</v>
      </c>
      <c r="B89" s="7" t="s">
        <v>377</v>
      </c>
      <c r="C89" s="8" t="s">
        <v>1748</v>
      </c>
      <c r="D89" s="8" t="s">
        <v>1749</v>
      </c>
      <c r="E89" s="8">
        <v>83.0</v>
      </c>
      <c r="F89" s="8">
        <v>2.0</v>
      </c>
      <c r="G89" s="8">
        <v>1.0</v>
      </c>
      <c r="H89" s="8">
        <v>1.0</v>
      </c>
      <c r="I89" s="8">
        <f t="shared" si="2"/>
        <v>87</v>
      </c>
      <c r="J89" s="8">
        <v>6505.0</v>
      </c>
      <c r="K89" s="8">
        <v>5.0</v>
      </c>
      <c r="L89" s="8"/>
      <c r="M89" s="9" t="s">
        <v>1742</v>
      </c>
    </row>
    <row r="90" ht="15.75" customHeight="1">
      <c r="A90" s="8" t="s">
        <v>1739</v>
      </c>
      <c r="B90" s="7" t="s">
        <v>460</v>
      </c>
      <c r="C90" s="8" t="s">
        <v>1750</v>
      </c>
      <c r="D90" s="8" t="s">
        <v>1749</v>
      </c>
      <c r="E90" s="8">
        <v>83.0</v>
      </c>
      <c r="F90" s="8">
        <v>2.0</v>
      </c>
      <c r="G90" s="8">
        <v>1.0</v>
      </c>
      <c r="H90" s="8">
        <v>1.0</v>
      </c>
      <c r="I90" s="8">
        <f t="shared" si="2"/>
        <v>87</v>
      </c>
      <c r="J90" s="8">
        <v>6505.0</v>
      </c>
      <c r="K90" s="8">
        <v>5.0</v>
      </c>
      <c r="L90" s="8"/>
      <c r="M90" s="9" t="s">
        <v>1742</v>
      </c>
    </row>
    <row r="91" ht="15.75" customHeight="1">
      <c r="A91" s="8" t="s">
        <v>1739</v>
      </c>
      <c r="B91" s="7" t="s">
        <v>520</v>
      </c>
      <c r="C91" s="8" t="s">
        <v>1740</v>
      </c>
      <c r="D91" s="8" t="s">
        <v>1747</v>
      </c>
      <c r="E91" s="8">
        <v>83.0</v>
      </c>
      <c r="F91" s="8">
        <v>2.0</v>
      </c>
      <c r="G91" s="8">
        <v>1.0</v>
      </c>
      <c r="H91" s="8">
        <v>1.0</v>
      </c>
      <c r="I91" s="8">
        <f t="shared" si="2"/>
        <v>87</v>
      </c>
      <c r="J91" s="8">
        <v>6505.0</v>
      </c>
      <c r="K91" s="8">
        <v>5.0</v>
      </c>
      <c r="L91" s="8"/>
      <c r="M91" s="9" t="s">
        <v>1742</v>
      </c>
    </row>
    <row r="92" ht="15.75" customHeight="1">
      <c r="A92" s="8" t="s">
        <v>1739</v>
      </c>
      <c r="B92" s="7" t="s">
        <v>376</v>
      </c>
      <c r="C92" s="8" t="s">
        <v>1740</v>
      </c>
      <c r="D92" s="8" t="s">
        <v>1747</v>
      </c>
      <c r="E92" s="8">
        <v>83.0</v>
      </c>
      <c r="F92" s="8">
        <v>2.0</v>
      </c>
      <c r="G92" s="8">
        <v>1.0</v>
      </c>
      <c r="H92" s="8">
        <v>1.0</v>
      </c>
      <c r="I92" s="8">
        <f t="shared" si="2"/>
        <v>87</v>
      </c>
      <c r="J92" s="8">
        <v>6505.0</v>
      </c>
      <c r="K92" s="8">
        <v>5.0</v>
      </c>
      <c r="L92" s="8"/>
      <c r="M92" s="9" t="s">
        <v>1742</v>
      </c>
    </row>
    <row r="93" ht="15.75" customHeight="1">
      <c r="A93" s="8" t="s">
        <v>1739</v>
      </c>
      <c r="B93" s="7" t="s">
        <v>378</v>
      </c>
      <c r="C93" s="8" t="s">
        <v>1751</v>
      </c>
      <c r="D93" s="8" t="s">
        <v>1749</v>
      </c>
      <c r="E93" s="8">
        <v>83.0</v>
      </c>
      <c r="F93" s="8">
        <v>2.0</v>
      </c>
      <c r="G93" s="8">
        <v>1.0</v>
      </c>
      <c r="H93" s="8">
        <v>1.0</v>
      </c>
      <c r="I93" s="8">
        <f t="shared" si="2"/>
        <v>87</v>
      </c>
      <c r="J93" s="8">
        <v>6505.0</v>
      </c>
      <c r="K93" s="8">
        <v>5.0</v>
      </c>
      <c r="L93" s="8"/>
      <c r="M93" s="9" t="s">
        <v>1742</v>
      </c>
    </row>
    <row r="94" ht="15.75" customHeight="1">
      <c r="A94" s="8" t="s">
        <v>1739</v>
      </c>
      <c r="B94" s="7" t="s">
        <v>379</v>
      </c>
      <c r="C94" s="8" t="s">
        <v>1752</v>
      </c>
      <c r="D94" s="8" t="s">
        <v>1749</v>
      </c>
      <c r="E94" s="8">
        <v>83.0</v>
      </c>
      <c r="F94" s="8">
        <v>2.0</v>
      </c>
      <c r="G94" s="8">
        <v>1.0</v>
      </c>
      <c r="H94" s="8">
        <v>1.0</v>
      </c>
      <c r="I94" s="8">
        <f t="shared" si="2"/>
        <v>87</v>
      </c>
      <c r="J94" s="8">
        <v>6505.0</v>
      </c>
      <c r="K94" s="8">
        <v>5.0</v>
      </c>
      <c r="L94" s="8"/>
      <c r="M94" s="9" t="s">
        <v>1742</v>
      </c>
    </row>
    <row r="95" ht="15.75" customHeight="1">
      <c r="A95" s="8" t="s">
        <v>1739</v>
      </c>
      <c r="B95" s="7" t="s">
        <v>380</v>
      </c>
      <c r="C95" s="8" t="s">
        <v>1740</v>
      </c>
      <c r="D95" s="8" t="s">
        <v>1747</v>
      </c>
      <c r="E95" s="8">
        <v>83.0</v>
      </c>
      <c r="F95" s="8">
        <v>2.0</v>
      </c>
      <c r="G95" s="8">
        <v>1.0</v>
      </c>
      <c r="H95" s="8">
        <v>1.0</v>
      </c>
      <c r="I95" s="8">
        <f t="shared" si="2"/>
        <v>87</v>
      </c>
      <c r="J95" s="8">
        <v>6505.0</v>
      </c>
      <c r="K95" s="8">
        <v>5.0</v>
      </c>
      <c r="L95" s="8"/>
      <c r="M95" s="9" t="s">
        <v>1742</v>
      </c>
    </row>
    <row r="96" ht="15.75" customHeight="1">
      <c r="A96" s="8" t="s">
        <v>1739</v>
      </c>
      <c r="B96" s="7" t="s">
        <v>381</v>
      </c>
      <c r="C96" s="8" t="s">
        <v>1740</v>
      </c>
      <c r="D96" s="8" t="s">
        <v>1747</v>
      </c>
      <c r="E96" s="8">
        <v>83.0</v>
      </c>
      <c r="F96" s="8">
        <v>2.0</v>
      </c>
      <c r="G96" s="8">
        <v>1.0</v>
      </c>
      <c r="H96" s="8">
        <v>1.0</v>
      </c>
      <c r="I96" s="8">
        <f t="shared" si="2"/>
        <v>87</v>
      </c>
      <c r="J96" s="8">
        <v>6505.0</v>
      </c>
      <c r="K96" s="8">
        <v>5.0</v>
      </c>
      <c r="L96" s="8"/>
      <c r="M96" s="9" t="s">
        <v>1742</v>
      </c>
    </row>
    <row r="97" ht="15.75" customHeight="1">
      <c r="A97" s="8" t="s">
        <v>1739</v>
      </c>
      <c r="B97" s="7" t="s">
        <v>382</v>
      </c>
      <c r="C97" s="8" t="s">
        <v>1753</v>
      </c>
      <c r="D97" s="8" t="s">
        <v>1749</v>
      </c>
      <c r="E97" s="8">
        <v>83.0</v>
      </c>
      <c r="F97" s="8">
        <v>2.0</v>
      </c>
      <c r="G97" s="8">
        <v>1.0</v>
      </c>
      <c r="H97" s="8">
        <v>1.0</v>
      </c>
      <c r="I97" s="8">
        <f t="shared" si="2"/>
        <v>87</v>
      </c>
      <c r="J97" s="8">
        <v>6505.0</v>
      </c>
      <c r="K97" s="8">
        <v>5.0</v>
      </c>
      <c r="L97" s="8"/>
      <c r="M97" s="9" t="s">
        <v>1742</v>
      </c>
    </row>
    <row r="98" ht="15.75" customHeight="1">
      <c r="A98" s="8" t="s">
        <v>1739</v>
      </c>
      <c r="B98" s="7" t="s">
        <v>383</v>
      </c>
      <c r="C98" s="8" t="s">
        <v>1754</v>
      </c>
      <c r="D98" s="8" t="s">
        <v>1749</v>
      </c>
      <c r="E98" s="8">
        <v>83.0</v>
      </c>
      <c r="F98" s="8">
        <v>2.0</v>
      </c>
      <c r="G98" s="8">
        <v>1.0</v>
      </c>
      <c r="H98" s="8">
        <v>1.0</v>
      </c>
      <c r="I98" s="8">
        <f t="shared" si="2"/>
        <v>87</v>
      </c>
      <c r="J98" s="8">
        <v>6505.0</v>
      </c>
      <c r="K98" s="8">
        <v>5.0</v>
      </c>
      <c r="L98" s="8"/>
      <c r="M98" s="9" t="s">
        <v>1742</v>
      </c>
    </row>
    <row r="99" ht="15.75" customHeight="1">
      <c r="A99" s="8" t="s">
        <v>1739</v>
      </c>
      <c r="B99" s="7" t="s">
        <v>384</v>
      </c>
      <c r="C99" s="8" t="s">
        <v>1740</v>
      </c>
      <c r="D99" s="8" t="s">
        <v>1747</v>
      </c>
      <c r="E99" s="8">
        <v>83.0</v>
      </c>
      <c r="F99" s="8">
        <v>2.0</v>
      </c>
      <c r="G99" s="8">
        <v>1.0</v>
      </c>
      <c r="H99" s="8">
        <v>1.0</v>
      </c>
      <c r="I99" s="8">
        <f t="shared" si="2"/>
        <v>87</v>
      </c>
      <c r="J99" s="8">
        <v>6505.0</v>
      </c>
      <c r="K99" s="8">
        <v>5.0</v>
      </c>
      <c r="L99" s="8"/>
      <c r="M99" s="9" t="s">
        <v>1742</v>
      </c>
    </row>
    <row r="100" ht="15.75" customHeight="1">
      <c r="A100" s="8" t="s">
        <v>1739</v>
      </c>
      <c r="B100" s="7" t="s">
        <v>546</v>
      </c>
      <c r="C100" s="8" t="s">
        <v>1740</v>
      </c>
      <c r="D100" s="8" t="s">
        <v>1747</v>
      </c>
      <c r="E100" s="8">
        <v>83.0</v>
      </c>
      <c r="F100" s="8">
        <v>2.0</v>
      </c>
      <c r="G100" s="8">
        <v>1.0</v>
      </c>
      <c r="H100" s="8">
        <v>1.0</v>
      </c>
      <c r="I100" s="8">
        <f t="shared" si="2"/>
        <v>87</v>
      </c>
      <c r="J100" s="8">
        <v>6505.0</v>
      </c>
      <c r="K100" s="8">
        <v>5.0</v>
      </c>
      <c r="L100" s="8"/>
      <c r="M100" s="9" t="s">
        <v>1742</v>
      </c>
    </row>
    <row r="101" ht="15.75" customHeight="1">
      <c r="A101" s="8" t="s">
        <v>1739</v>
      </c>
      <c r="B101" s="7" t="s">
        <v>137</v>
      </c>
      <c r="C101" s="8" t="s">
        <v>1740</v>
      </c>
      <c r="D101" s="8" t="s">
        <v>1747</v>
      </c>
      <c r="E101" s="8">
        <v>83.0</v>
      </c>
      <c r="F101" s="8">
        <v>2.0</v>
      </c>
      <c r="G101" s="8">
        <v>1.0</v>
      </c>
      <c r="H101" s="8">
        <v>1.0</v>
      </c>
      <c r="I101" s="8">
        <f t="shared" si="2"/>
        <v>87</v>
      </c>
      <c r="J101" s="8">
        <v>6505.0</v>
      </c>
      <c r="K101" s="8">
        <v>5.0</v>
      </c>
      <c r="L101" s="8"/>
      <c r="M101" s="9" t="s">
        <v>1742</v>
      </c>
    </row>
    <row r="102" ht="15.75" customHeight="1">
      <c r="A102" s="8" t="s">
        <v>1739</v>
      </c>
      <c r="B102" s="7" t="s">
        <v>385</v>
      </c>
      <c r="C102" s="8" t="s">
        <v>1740</v>
      </c>
      <c r="D102" s="8" t="s">
        <v>1747</v>
      </c>
      <c r="E102" s="8">
        <v>83.0</v>
      </c>
      <c r="F102" s="8">
        <v>2.0</v>
      </c>
      <c r="G102" s="8">
        <v>1.0</v>
      </c>
      <c r="H102" s="8">
        <v>1.0</v>
      </c>
      <c r="I102" s="8">
        <f t="shared" si="2"/>
        <v>87</v>
      </c>
      <c r="J102" s="8">
        <v>6505.0</v>
      </c>
      <c r="K102" s="8">
        <v>5.0</v>
      </c>
      <c r="L102" s="8"/>
      <c r="M102" s="9" t="s">
        <v>1742</v>
      </c>
    </row>
    <row r="103" ht="15.75" customHeight="1">
      <c r="A103" s="8" t="s">
        <v>1739</v>
      </c>
      <c r="B103" s="7" t="s">
        <v>16</v>
      </c>
      <c r="C103" s="8" t="s">
        <v>1755</v>
      </c>
      <c r="D103" s="8" t="s">
        <v>1749</v>
      </c>
      <c r="E103" s="8">
        <v>83.0</v>
      </c>
      <c r="F103" s="8">
        <v>2.0</v>
      </c>
      <c r="G103" s="8">
        <v>1.0</v>
      </c>
      <c r="H103" s="8">
        <v>1.0</v>
      </c>
      <c r="I103" s="8">
        <f t="shared" si="2"/>
        <v>87</v>
      </c>
      <c r="J103" s="8">
        <v>6505.0</v>
      </c>
      <c r="K103" s="8">
        <v>5.0</v>
      </c>
      <c r="L103" s="8"/>
      <c r="M103" s="9" t="s">
        <v>1742</v>
      </c>
    </row>
    <row r="104" ht="15.75" customHeight="1">
      <c r="A104" s="8" t="s">
        <v>1739</v>
      </c>
      <c r="B104" s="7" t="s">
        <v>548</v>
      </c>
      <c r="C104" s="8" t="s">
        <v>1740</v>
      </c>
      <c r="D104" s="8"/>
      <c r="E104" s="8"/>
      <c r="F104" s="8"/>
      <c r="G104" s="8"/>
      <c r="H104" s="8"/>
      <c r="I104" s="8"/>
      <c r="J104" s="8"/>
      <c r="K104" s="8">
        <v>5.0</v>
      </c>
      <c r="L104" s="8"/>
      <c r="M104" s="9"/>
    </row>
    <row r="105" ht="15.75" customHeight="1">
      <c r="A105" s="8" t="s">
        <v>1739</v>
      </c>
      <c r="B105" s="7" t="s">
        <v>551</v>
      </c>
      <c r="C105" s="8" t="s">
        <v>1740</v>
      </c>
      <c r="D105" s="8"/>
      <c r="E105" s="8"/>
      <c r="F105" s="8"/>
      <c r="G105" s="8"/>
      <c r="H105" s="8"/>
      <c r="I105" s="8"/>
      <c r="J105" s="8"/>
      <c r="K105" s="8">
        <v>5.0</v>
      </c>
      <c r="L105" s="8"/>
      <c r="M105" s="9"/>
    </row>
    <row r="106" ht="15.75" customHeight="1">
      <c r="A106" s="8" t="s">
        <v>1739</v>
      </c>
      <c r="B106" s="7" t="s">
        <v>553</v>
      </c>
      <c r="C106" s="8" t="s">
        <v>1740</v>
      </c>
      <c r="D106" s="8"/>
      <c r="E106" s="8"/>
      <c r="F106" s="8"/>
      <c r="G106" s="8"/>
      <c r="H106" s="8"/>
      <c r="I106" s="8"/>
      <c r="J106" s="8"/>
      <c r="K106" s="8">
        <v>5.0</v>
      </c>
      <c r="L106" s="8"/>
      <c r="M106" s="9"/>
    </row>
    <row r="107" ht="15.75" customHeight="1">
      <c r="A107" s="8" t="s">
        <v>1739</v>
      </c>
      <c r="B107" s="7" t="s">
        <v>555</v>
      </c>
      <c r="C107" s="8" t="s">
        <v>1740</v>
      </c>
      <c r="D107" s="8"/>
      <c r="E107" s="8"/>
      <c r="F107" s="8"/>
      <c r="G107" s="8"/>
      <c r="H107" s="8"/>
      <c r="I107" s="8"/>
      <c r="J107" s="8"/>
      <c r="K107" s="8">
        <v>5.0</v>
      </c>
      <c r="L107" s="8"/>
      <c r="M107" s="9"/>
    </row>
    <row r="108" ht="15.75" customHeight="1">
      <c r="A108" s="8" t="s">
        <v>1739</v>
      </c>
      <c r="B108" s="7" t="s">
        <v>557</v>
      </c>
      <c r="C108" s="8" t="s">
        <v>1740</v>
      </c>
      <c r="D108" s="8"/>
      <c r="E108" s="8"/>
      <c r="F108" s="8"/>
      <c r="G108" s="8"/>
      <c r="H108" s="8"/>
      <c r="I108" s="8"/>
      <c r="J108" s="8"/>
      <c r="K108" s="8">
        <v>5.0</v>
      </c>
      <c r="L108" s="8"/>
      <c r="M108" s="9"/>
    </row>
    <row r="109" ht="15.75" customHeight="1">
      <c r="A109" s="8" t="s">
        <v>1739</v>
      </c>
      <c r="B109" s="7" t="s">
        <v>559</v>
      </c>
      <c r="C109" s="8" t="s">
        <v>1740</v>
      </c>
      <c r="D109" s="8"/>
      <c r="E109" s="8"/>
      <c r="F109" s="8"/>
      <c r="G109" s="8"/>
      <c r="H109" s="8"/>
      <c r="I109" s="8"/>
      <c r="J109" s="8"/>
      <c r="K109" s="8">
        <v>5.0</v>
      </c>
      <c r="L109" s="8"/>
      <c r="M109" s="9"/>
    </row>
    <row r="110" ht="15.75" customHeight="1">
      <c r="A110" s="8" t="s">
        <v>1739</v>
      </c>
      <c r="B110" s="7" t="s">
        <v>561</v>
      </c>
      <c r="C110" s="8" t="s">
        <v>1740</v>
      </c>
      <c r="D110" s="8"/>
      <c r="E110" s="8"/>
      <c r="F110" s="8"/>
      <c r="G110" s="8"/>
      <c r="H110" s="8"/>
      <c r="I110" s="8"/>
      <c r="J110" s="8"/>
      <c r="K110" s="8">
        <v>5.0</v>
      </c>
      <c r="L110" s="8"/>
      <c r="M110" s="9"/>
    </row>
    <row r="111" ht="15.75" customHeight="1">
      <c r="A111" s="8" t="s">
        <v>1739</v>
      </c>
      <c r="B111" s="7" t="s">
        <v>563</v>
      </c>
      <c r="C111" s="8" t="s">
        <v>1740</v>
      </c>
      <c r="D111" s="8"/>
      <c r="E111" s="8"/>
      <c r="F111" s="8"/>
      <c r="G111" s="8"/>
      <c r="H111" s="8"/>
      <c r="I111" s="8"/>
      <c r="J111" s="8"/>
      <c r="K111" s="8">
        <v>5.0</v>
      </c>
      <c r="L111" s="8"/>
      <c r="M111" s="9"/>
    </row>
    <row r="112" ht="15.75" customHeight="1">
      <c r="A112" s="8" t="s">
        <v>1739</v>
      </c>
      <c r="B112" s="7" t="s">
        <v>565</v>
      </c>
      <c r="C112" s="8" t="s">
        <v>1740</v>
      </c>
      <c r="D112" s="8"/>
      <c r="E112" s="8"/>
      <c r="F112" s="8"/>
      <c r="G112" s="8"/>
      <c r="H112" s="8"/>
      <c r="I112" s="8"/>
      <c r="J112" s="8"/>
      <c r="K112" s="8">
        <v>5.0</v>
      </c>
      <c r="L112" s="8"/>
      <c r="M112" s="9"/>
    </row>
    <row r="113" ht="15.75" customHeight="1">
      <c r="A113" s="8" t="s">
        <v>1739</v>
      </c>
      <c r="B113" s="7" t="s">
        <v>567</v>
      </c>
      <c r="C113" s="8" t="s">
        <v>1740</v>
      </c>
      <c r="D113" s="8"/>
      <c r="E113" s="8"/>
      <c r="F113" s="8"/>
      <c r="G113" s="8"/>
      <c r="H113" s="8"/>
      <c r="I113" s="8"/>
      <c r="J113" s="8"/>
      <c r="K113" s="8">
        <v>5.0</v>
      </c>
      <c r="L113" s="8"/>
      <c r="M113" s="9"/>
    </row>
    <row r="114" ht="15.75" customHeight="1">
      <c r="A114" s="8" t="s">
        <v>1739</v>
      </c>
      <c r="B114" s="7" t="s">
        <v>569</v>
      </c>
      <c r="C114" s="8" t="s">
        <v>1740</v>
      </c>
      <c r="D114" s="8"/>
      <c r="E114" s="8"/>
      <c r="F114" s="8"/>
      <c r="G114" s="8"/>
      <c r="H114" s="8"/>
      <c r="I114" s="8"/>
      <c r="J114" s="8"/>
      <c r="K114" s="8">
        <v>5.0</v>
      </c>
      <c r="L114" s="8"/>
      <c r="M114" s="9"/>
    </row>
    <row r="115" ht="15.75" customHeight="1">
      <c r="A115" s="8" t="s">
        <v>1739</v>
      </c>
      <c r="B115" s="7" t="s">
        <v>571</v>
      </c>
      <c r="C115" s="8" t="s">
        <v>1740</v>
      </c>
      <c r="D115" s="8"/>
      <c r="E115" s="8"/>
      <c r="F115" s="8"/>
      <c r="G115" s="8"/>
      <c r="H115" s="8"/>
      <c r="I115" s="8"/>
      <c r="J115" s="8"/>
      <c r="K115" s="8">
        <v>5.0</v>
      </c>
      <c r="L115" s="8"/>
      <c r="M115" s="9"/>
    </row>
    <row r="116" ht="15.75" customHeight="1">
      <c r="A116" s="8" t="s">
        <v>1739</v>
      </c>
      <c r="B116" s="7" t="s">
        <v>573</v>
      </c>
      <c r="C116" s="8" t="s">
        <v>1740</v>
      </c>
      <c r="D116" s="8"/>
      <c r="E116" s="8"/>
      <c r="F116" s="8"/>
      <c r="G116" s="8"/>
      <c r="H116" s="8"/>
      <c r="I116" s="8"/>
      <c r="J116" s="8"/>
      <c r="K116" s="8">
        <v>5.0</v>
      </c>
      <c r="L116" s="8"/>
      <c r="M116" s="9"/>
    </row>
    <row r="117" ht="15.75" customHeight="1">
      <c r="A117" s="8" t="s">
        <v>1739</v>
      </c>
      <c r="B117" s="7" t="s">
        <v>575</v>
      </c>
      <c r="C117" s="8" t="s">
        <v>1740</v>
      </c>
      <c r="D117" s="8"/>
      <c r="E117" s="8"/>
      <c r="F117" s="8"/>
      <c r="G117" s="8"/>
      <c r="H117" s="8"/>
      <c r="I117" s="8"/>
      <c r="J117" s="8"/>
      <c r="K117" s="8">
        <v>5.0</v>
      </c>
      <c r="L117" s="8"/>
      <c r="M117" s="9"/>
    </row>
    <row r="118" ht="15.75" customHeight="1">
      <c r="A118" s="8" t="s">
        <v>1739</v>
      </c>
      <c r="B118" s="7" t="s">
        <v>577</v>
      </c>
      <c r="C118" s="8" t="s">
        <v>1740</v>
      </c>
      <c r="D118" s="8"/>
      <c r="E118" s="8"/>
      <c r="F118" s="8"/>
      <c r="G118" s="8"/>
      <c r="H118" s="8"/>
      <c r="I118" s="8"/>
      <c r="J118" s="8"/>
      <c r="K118" s="8">
        <v>5.0</v>
      </c>
      <c r="L118" s="8"/>
      <c r="M118" s="9"/>
    </row>
    <row r="119" ht="15.75" customHeight="1">
      <c r="A119" s="8" t="s">
        <v>1739</v>
      </c>
      <c r="B119" s="7" t="s">
        <v>580</v>
      </c>
      <c r="C119" s="8" t="s">
        <v>1740</v>
      </c>
      <c r="D119" s="8"/>
      <c r="E119" s="8"/>
      <c r="F119" s="8"/>
      <c r="G119" s="8"/>
      <c r="H119" s="8"/>
      <c r="I119" s="8"/>
      <c r="J119" s="8"/>
      <c r="K119" s="8">
        <v>5.0</v>
      </c>
      <c r="L119" s="8"/>
      <c r="M119" s="9"/>
    </row>
    <row r="120" ht="15.75" customHeight="1">
      <c r="A120" s="8" t="s">
        <v>1739</v>
      </c>
      <c r="B120" s="7" t="s">
        <v>582</v>
      </c>
      <c r="C120" s="8" t="s">
        <v>1740</v>
      </c>
      <c r="D120" s="8"/>
      <c r="E120" s="8"/>
      <c r="F120" s="8"/>
      <c r="G120" s="8"/>
      <c r="H120" s="8"/>
      <c r="I120" s="8"/>
      <c r="J120" s="8"/>
      <c r="K120" s="8">
        <v>5.0</v>
      </c>
      <c r="L120" s="8"/>
      <c r="M120" s="9"/>
    </row>
    <row r="121" ht="15.75" customHeight="1">
      <c r="A121" s="8" t="s">
        <v>1739</v>
      </c>
      <c r="B121" s="7" t="s">
        <v>584</v>
      </c>
      <c r="C121" s="8" t="s">
        <v>1740</v>
      </c>
      <c r="D121" s="8"/>
      <c r="E121" s="8"/>
      <c r="F121" s="8"/>
      <c r="G121" s="8"/>
      <c r="H121" s="8"/>
      <c r="I121" s="8"/>
      <c r="J121" s="8"/>
      <c r="K121" s="8">
        <v>5.0</v>
      </c>
      <c r="L121" s="8"/>
      <c r="M121" s="9"/>
    </row>
    <row r="122" ht="15.75" customHeight="1">
      <c r="A122" s="8" t="s">
        <v>1739</v>
      </c>
      <c r="B122" s="7" t="s">
        <v>586</v>
      </c>
      <c r="C122" s="8" t="s">
        <v>1740</v>
      </c>
      <c r="D122" s="8"/>
      <c r="E122" s="8"/>
      <c r="F122" s="8"/>
      <c r="G122" s="8"/>
      <c r="H122" s="8"/>
      <c r="I122" s="8"/>
      <c r="J122" s="8"/>
      <c r="K122" s="8">
        <v>5.0</v>
      </c>
      <c r="L122" s="8"/>
      <c r="M122" s="9"/>
    </row>
    <row r="123" ht="15.75" customHeight="1">
      <c r="A123" s="8" t="s">
        <v>1739</v>
      </c>
      <c r="B123" s="7" t="s">
        <v>588</v>
      </c>
      <c r="C123" s="8" t="s">
        <v>1740</v>
      </c>
      <c r="D123" s="8"/>
      <c r="E123" s="8"/>
      <c r="F123" s="8"/>
      <c r="G123" s="8"/>
      <c r="H123" s="8"/>
      <c r="I123" s="8"/>
      <c r="J123" s="8"/>
      <c r="K123" s="8">
        <v>5.0</v>
      </c>
      <c r="L123" s="8"/>
      <c r="M123" s="9"/>
    </row>
    <row r="124" ht="15.75" customHeight="1">
      <c r="A124" s="8" t="s">
        <v>1739</v>
      </c>
      <c r="B124" s="7" t="s">
        <v>591</v>
      </c>
      <c r="C124" s="8" t="s">
        <v>1740</v>
      </c>
      <c r="D124" s="8"/>
      <c r="E124" s="8"/>
      <c r="F124" s="8"/>
      <c r="G124" s="8"/>
      <c r="H124" s="8"/>
      <c r="I124" s="8"/>
      <c r="J124" s="8"/>
      <c r="K124" s="8">
        <v>5.0</v>
      </c>
      <c r="L124" s="8"/>
      <c r="M124" s="9"/>
    </row>
    <row r="125" ht="15.75" customHeight="1">
      <c r="A125" s="8" t="s">
        <v>1739</v>
      </c>
      <c r="B125" s="7" t="s">
        <v>594</v>
      </c>
      <c r="C125" s="8" t="s">
        <v>1740</v>
      </c>
      <c r="D125" s="8"/>
      <c r="E125" s="8"/>
      <c r="F125" s="8"/>
      <c r="G125" s="8"/>
      <c r="H125" s="8"/>
      <c r="I125" s="8"/>
      <c r="J125" s="8"/>
      <c r="K125" s="8">
        <v>5.0</v>
      </c>
      <c r="L125" s="8"/>
      <c r="M125" s="9"/>
    </row>
    <row r="126" ht="15.75" customHeight="1">
      <c r="A126" s="8" t="s">
        <v>1739</v>
      </c>
      <c r="B126" s="7" t="s">
        <v>1396</v>
      </c>
      <c r="C126" s="8" t="s">
        <v>1740</v>
      </c>
      <c r="D126" s="8"/>
      <c r="E126" s="8"/>
      <c r="F126" s="8"/>
      <c r="G126" s="8"/>
      <c r="H126" s="8"/>
      <c r="I126" s="8"/>
      <c r="J126" s="8"/>
      <c r="K126" s="8">
        <v>5.0</v>
      </c>
      <c r="L126" s="8"/>
      <c r="M126" s="9"/>
    </row>
    <row r="127" ht="15.75" customHeight="1">
      <c r="A127" s="8" t="s">
        <v>1739</v>
      </c>
      <c r="B127" s="7" t="s">
        <v>393</v>
      </c>
      <c r="C127" s="8" t="s">
        <v>1756</v>
      </c>
      <c r="D127" s="8" t="s">
        <v>1749</v>
      </c>
      <c r="E127" s="8"/>
      <c r="F127" s="8"/>
      <c r="G127" s="8"/>
      <c r="H127" s="8"/>
      <c r="I127" s="8">
        <f t="shared" ref="I127:I130" si="3">ROUND(E127 + F127 + G127 + H127, 2)</f>
        <v>0</v>
      </c>
      <c r="J127" s="8"/>
      <c r="K127" s="8">
        <v>5.0</v>
      </c>
      <c r="L127" s="8"/>
      <c r="M127" s="9"/>
    </row>
    <row r="128" ht="15.75" customHeight="1">
      <c r="A128" s="8" t="s">
        <v>1739</v>
      </c>
      <c r="B128" s="7" t="s">
        <v>396</v>
      </c>
      <c r="C128" s="8" t="s">
        <v>1757</v>
      </c>
      <c r="D128" s="8" t="s">
        <v>1749</v>
      </c>
      <c r="E128" s="8"/>
      <c r="F128" s="8"/>
      <c r="G128" s="8"/>
      <c r="H128" s="8"/>
      <c r="I128" s="8">
        <f t="shared" si="3"/>
        <v>0</v>
      </c>
      <c r="J128" s="8"/>
      <c r="K128" s="8">
        <v>5.0</v>
      </c>
      <c r="L128" s="8"/>
      <c r="M128" s="9"/>
    </row>
    <row r="129" ht="15.75" customHeight="1">
      <c r="A129" s="8" t="s">
        <v>1739</v>
      </c>
      <c r="B129" s="7" t="s">
        <v>400</v>
      </c>
      <c r="C129" s="8" t="s">
        <v>1758</v>
      </c>
      <c r="D129" s="8" t="s">
        <v>1749</v>
      </c>
      <c r="E129" s="8"/>
      <c r="F129" s="8"/>
      <c r="G129" s="8"/>
      <c r="H129" s="8"/>
      <c r="I129" s="8">
        <f t="shared" si="3"/>
        <v>0</v>
      </c>
      <c r="J129" s="8"/>
      <c r="K129" s="8">
        <v>5.0</v>
      </c>
      <c r="L129" s="8"/>
      <c r="M129" s="9"/>
    </row>
    <row r="130" ht="15.75" customHeight="1">
      <c r="A130" s="8" t="s">
        <v>1739</v>
      </c>
      <c r="B130" s="7" t="s">
        <v>403</v>
      </c>
      <c r="C130" s="8" t="s">
        <v>1759</v>
      </c>
      <c r="D130" s="8" t="s">
        <v>1749</v>
      </c>
      <c r="E130" s="8"/>
      <c r="F130" s="8"/>
      <c r="G130" s="8"/>
      <c r="H130" s="8"/>
      <c r="I130" s="8">
        <f t="shared" si="3"/>
        <v>0</v>
      </c>
      <c r="J130" s="8"/>
      <c r="K130" s="8">
        <v>5.0</v>
      </c>
      <c r="L130" s="8"/>
      <c r="M130" s="9"/>
    </row>
    <row r="131" ht="15.75" customHeight="1">
      <c r="A131" s="8" t="s">
        <v>1739</v>
      </c>
      <c r="B131" s="7" t="s">
        <v>600</v>
      </c>
      <c r="C131" s="8" t="s">
        <v>1740</v>
      </c>
      <c r="D131" s="8" t="s">
        <v>1749</v>
      </c>
      <c r="E131" s="8"/>
      <c r="F131" s="8"/>
      <c r="G131" s="8"/>
      <c r="H131" s="8"/>
      <c r="I131" s="8"/>
      <c r="J131" s="8"/>
      <c r="K131" s="8">
        <v>5.0</v>
      </c>
      <c r="L131" s="8"/>
      <c r="M131" s="9"/>
    </row>
    <row r="132" ht="15.75" customHeight="1">
      <c r="A132" s="8" t="s">
        <v>1739</v>
      </c>
      <c r="B132" s="7" t="s">
        <v>602</v>
      </c>
      <c r="C132" s="8" t="s">
        <v>1740</v>
      </c>
      <c r="D132" s="8" t="s">
        <v>1749</v>
      </c>
      <c r="E132" s="8"/>
      <c r="F132" s="8"/>
      <c r="G132" s="8"/>
      <c r="H132" s="8"/>
      <c r="I132" s="8"/>
      <c r="J132" s="8"/>
      <c r="K132" s="8">
        <v>5.0</v>
      </c>
      <c r="L132" s="8"/>
      <c r="M132" s="9"/>
    </row>
    <row r="133" ht="15.75" customHeight="1">
      <c r="A133" s="8" t="s">
        <v>1739</v>
      </c>
      <c r="B133" s="7" t="s">
        <v>605</v>
      </c>
      <c r="C133" s="8" t="s">
        <v>1740</v>
      </c>
      <c r="D133" s="8" t="s">
        <v>1749</v>
      </c>
      <c r="E133" s="8"/>
      <c r="F133" s="8"/>
      <c r="G133" s="8"/>
      <c r="H133" s="8"/>
      <c r="I133" s="8"/>
      <c r="J133" s="8"/>
      <c r="K133" s="8">
        <v>5.0</v>
      </c>
      <c r="L133" s="8"/>
      <c r="M133" s="9"/>
    </row>
    <row r="134" ht="15.75" customHeight="1">
      <c r="A134" s="8" t="s">
        <v>1739</v>
      </c>
      <c r="B134" s="7" t="s">
        <v>607</v>
      </c>
      <c r="C134" s="8" t="s">
        <v>1740</v>
      </c>
      <c r="D134" s="8" t="s">
        <v>1749</v>
      </c>
      <c r="E134" s="8"/>
      <c r="F134" s="8"/>
      <c r="G134" s="8"/>
      <c r="H134" s="8"/>
      <c r="I134" s="8"/>
      <c r="J134" s="8"/>
      <c r="K134" s="8">
        <v>5.0</v>
      </c>
      <c r="L134" s="8"/>
      <c r="M134" s="9"/>
    </row>
    <row r="135" ht="15.75" customHeight="1">
      <c r="A135" s="8" t="s">
        <v>1739</v>
      </c>
      <c r="B135" s="7" t="s">
        <v>610</v>
      </c>
      <c r="C135" s="8" t="s">
        <v>1740</v>
      </c>
      <c r="D135" s="8" t="s">
        <v>1749</v>
      </c>
      <c r="E135" s="8"/>
      <c r="F135" s="8"/>
      <c r="G135" s="8"/>
      <c r="H135" s="8"/>
      <c r="I135" s="8"/>
      <c r="J135" s="8"/>
      <c r="K135" s="8">
        <v>5.0</v>
      </c>
      <c r="L135" s="8"/>
      <c r="M135" s="9" t="s">
        <v>1742</v>
      </c>
    </row>
    <row r="136" ht="15.75" customHeight="1">
      <c r="A136" s="8" t="s">
        <v>1739</v>
      </c>
      <c r="B136" s="7" t="s">
        <v>613</v>
      </c>
      <c r="C136" s="8" t="s">
        <v>1740</v>
      </c>
      <c r="D136" s="8" t="s">
        <v>1749</v>
      </c>
      <c r="E136" s="8"/>
      <c r="F136" s="8"/>
      <c r="G136" s="8"/>
      <c r="H136" s="8"/>
      <c r="I136" s="8"/>
      <c r="J136" s="8"/>
      <c r="K136" s="8">
        <v>5.0</v>
      </c>
      <c r="L136" s="8"/>
      <c r="M136" s="9"/>
    </row>
    <row r="137" ht="15.75" customHeight="1">
      <c r="A137" s="8" t="s">
        <v>1739</v>
      </c>
      <c r="B137" s="7" t="s">
        <v>387</v>
      </c>
      <c r="C137" s="8" t="s">
        <v>1740</v>
      </c>
      <c r="D137" s="8" t="s">
        <v>1749</v>
      </c>
      <c r="E137" s="8"/>
      <c r="F137" s="8"/>
      <c r="G137" s="8"/>
      <c r="H137" s="8"/>
      <c r="I137" s="8">
        <f t="shared" ref="I137:I181" si="4">ROUND(E137 + F137 + G137 + H137, 2)</f>
        <v>0</v>
      </c>
      <c r="J137" s="8"/>
      <c r="K137" s="8">
        <v>5.0</v>
      </c>
      <c r="L137" s="8"/>
      <c r="M137" s="9"/>
    </row>
    <row r="138" ht="15.75" customHeight="1">
      <c r="A138" s="8" t="s">
        <v>1739</v>
      </c>
      <c r="B138" s="7" t="s">
        <v>389</v>
      </c>
      <c r="C138" s="8" t="s">
        <v>1740</v>
      </c>
      <c r="D138" s="8" t="s">
        <v>1749</v>
      </c>
      <c r="E138" s="8"/>
      <c r="F138" s="8"/>
      <c r="G138" s="8"/>
      <c r="H138" s="8"/>
      <c r="I138" s="8">
        <f t="shared" si="4"/>
        <v>0</v>
      </c>
      <c r="J138" s="8"/>
      <c r="K138" s="8">
        <v>5.0</v>
      </c>
      <c r="L138" s="8"/>
      <c r="M138" s="9"/>
    </row>
    <row r="139" ht="15.75" customHeight="1">
      <c r="A139" s="8" t="s">
        <v>1760</v>
      </c>
      <c r="B139" s="7" t="s">
        <v>1761</v>
      </c>
      <c r="C139" s="8" t="s">
        <v>1762</v>
      </c>
      <c r="D139" s="8" t="s">
        <v>1763</v>
      </c>
      <c r="E139" s="8">
        <v>25.0</v>
      </c>
      <c r="F139" s="8">
        <v>0.0</v>
      </c>
      <c r="G139" s="8">
        <v>0.0</v>
      </c>
      <c r="H139" s="8">
        <v>3.0</v>
      </c>
      <c r="I139" s="8">
        <f t="shared" si="4"/>
        <v>28</v>
      </c>
      <c r="J139" s="8">
        <v>392330.0</v>
      </c>
      <c r="K139" s="8">
        <v>18.0</v>
      </c>
      <c r="L139" s="8" t="s">
        <v>1764</v>
      </c>
      <c r="M139" s="9" t="s">
        <v>1742</v>
      </c>
    </row>
    <row r="140" ht="15.75" customHeight="1">
      <c r="A140" s="8" t="s">
        <v>1760</v>
      </c>
      <c r="B140" s="7" t="s">
        <v>1765</v>
      </c>
      <c r="C140" s="8" t="s">
        <v>1766</v>
      </c>
      <c r="D140" s="8" t="s">
        <v>1763</v>
      </c>
      <c r="E140" s="8">
        <v>29.0</v>
      </c>
      <c r="F140" s="8">
        <v>0.0</v>
      </c>
      <c r="G140" s="8">
        <v>0.0</v>
      </c>
      <c r="H140" s="8">
        <v>3.0</v>
      </c>
      <c r="I140" s="8">
        <f t="shared" si="4"/>
        <v>32</v>
      </c>
      <c r="J140" s="8">
        <v>392330.0</v>
      </c>
      <c r="K140" s="8">
        <v>18.0</v>
      </c>
      <c r="L140" s="8" t="s">
        <v>1764</v>
      </c>
      <c r="M140" s="9" t="s">
        <v>1742</v>
      </c>
    </row>
    <row r="141" ht="15.75" customHeight="1">
      <c r="A141" s="8" t="s">
        <v>1760</v>
      </c>
      <c r="B141" s="7" t="s">
        <v>1767</v>
      </c>
      <c r="C141" s="8" t="s">
        <v>1768</v>
      </c>
      <c r="D141" s="8" t="s">
        <v>1763</v>
      </c>
      <c r="E141" s="8">
        <v>39.0</v>
      </c>
      <c r="F141" s="8">
        <v>0.0</v>
      </c>
      <c r="G141" s="8">
        <v>0.0</v>
      </c>
      <c r="H141" s="8">
        <v>3.0</v>
      </c>
      <c r="I141" s="8">
        <f t="shared" si="4"/>
        <v>42</v>
      </c>
      <c r="J141" s="8">
        <v>392330.0</v>
      </c>
      <c r="K141" s="8">
        <v>18.0</v>
      </c>
      <c r="L141" s="8" t="s">
        <v>1764</v>
      </c>
      <c r="M141" s="9" t="s">
        <v>1742</v>
      </c>
    </row>
    <row r="142" ht="15.75" customHeight="1">
      <c r="A142" s="8" t="s">
        <v>1760</v>
      </c>
      <c r="B142" s="7" t="s">
        <v>1769</v>
      </c>
      <c r="C142" s="8" t="s">
        <v>1770</v>
      </c>
      <c r="D142" s="8" t="s">
        <v>1763</v>
      </c>
      <c r="E142" s="8">
        <v>53.0</v>
      </c>
      <c r="F142" s="8">
        <v>0.0</v>
      </c>
      <c r="G142" s="8">
        <v>0.0</v>
      </c>
      <c r="H142" s="8">
        <v>3.0</v>
      </c>
      <c r="I142" s="8">
        <f t="shared" si="4"/>
        <v>56</v>
      </c>
      <c r="J142" s="8">
        <v>392330.0</v>
      </c>
      <c r="K142" s="8">
        <v>18.0</v>
      </c>
      <c r="L142" s="8" t="s">
        <v>1764</v>
      </c>
      <c r="M142" s="9" t="s">
        <v>1742</v>
      </c>
    </row>
    <row r="143" ht="15.75" customHeight="1">
      <c r="A143" s="8" t="s">
        <v>1760</v>
      </c>
      <c r="B143" s="7" t="s">
        <v>1771</v>
      </c>
      <c r="C143" s="8" t="s">
        <v>1772</v>
      </c>
      <c r="D143" s="8" t="s">
        <v>1763</v>
      </c>
      <c r="E143" s="8">
        <v>74.0</v>
      </c>
      <c r="F143" s="8">
        <v>0.0</v>
      </c>
      <c r="G143" s="8">
        <v>0.0</v>
      </c>
      <c r="H143" s="8">
        <v>3.0</v>
      </c>
      <c r="I143" s="8">
        <f t="shared" si="4"/>
        <v>77</v>
      </c>
      <c r="J143" s="8">
        <v>392330.0</v>
      </c>
      <c r="K143" s="8">
        <v>18.0</v>
      </c>
      <c r="L143" s="8" t="s">
        <v>1764</v>
      </c>
      <c r="M143" s="9" t="s">
        <v>1742</v>
      </c>
    </row>
    <row r="144" ht="15.75" customHeight="1">
      <c r="A144" s="8" t="s">
        <v>1760</v>
      </c>
      <c r="B144" s="7" t="s">
        <v>1773</v>
      </c>
      <c r="C144" s="8" t="s">
        <v>1774</v>
      </c>
      <c r="D144" s="8" t="s">
        <v>1763</v>
      </c>
      <c r="E144" s="8">
        <v>111.0</v>
      </c>
      <c r="F144" s="8">
        <v>0.0</v>
      </c>
      <c r="G144" s="8">
        <v>0.0</v>
      </c>
      <c r="H144" s="8">
        <v>3.0</v>
      </c>
      <c r="I144" s="8">
        <f t="shared" si="4"/>
        <v>114</v>
      </c>
      <c r="J144" s="8">
        <v>392330.0</v>
      </c>
      <c r="K144" s="8">
        <v>18.0</v>
      </c>
      <c r="L144" s="8" t="s">
        <v>1764</v>
      </c>
      <c r="M144" s="9" t="s">
        <v>1742</v>
      </c>
    </row>
    <row r="145" ht="15.75" customHeight="1">
      <c r="A145" s="8" t="s">
        <v>1775</v>
      </c>
      <c r="B145" s="7" t="s">
        <v>1776</v>
      </c>
      <c r="C145" s="8" t="s">
        <v>1740</v>
      </c>
      <c r="D145" s="8"/>
      <c r="E145" s="8">
        <v>15.34</v>
      </c>
      <c r="F145" s="8">
        <v>0.0</v>
      </c>
      <c r="G145" s="8">
        <v>0.0</v>
      </c>
      <c r="H145" s="8">
        <v>3.0</v>
      </c>
      <c r="I145" s="8">
        <f t="shared" si="4"/>
        <v>18.34</v>
      </c>
      <c r="J145" s="8"/>
      <c r="K145" s="8"/>
      <c r="L145" s="8"/>
      <c r="M145" s="9" t="s">
        <v>1742</v>
      </c>
    </row>
    <row r="146" ht="15.75" customHeight="1">
      <c r="A146" s="8" t="s">
        <v>1775</v>
      </c>
      <c r="B146" s="7" t="s">
        <v>1777</v>
      </c>
      <c r="C146" s="8" t="s">
        <v>1740</v>
      </c>
      <c r="D146" s="8"/>
      <c r="E146" s="8">
        <v>8.26</v>
      </c>
      <c r="F146" s="8">
        <v>0.0</v>
      </c>
      <c r="G146" s="8">
        <v>0.0</v>
      </c>
      <c r="H146" s="8">
        <v>3.0</v>
      </c>
      <c r="I146" s="8">
        <f t="shared" si="4"/>
        <v>11.26</v>
      </c>
      <c r="J146" s="8"/>
      <c r="K146" s="8"/>
      <c r="L146" s="8"/>
      <c r="M146" s="9" t="s">
        <v>1742</v>
      </c>
    </row>
    <row r="147" ht="15.75" customHeight="1">
      <c r="A147" s="8" t="s">
        <v>1775</v>
      </c>
      <c r="B147" s="7" t="s">
        <v>1778</v>
      </c>
      <c r="C147" s="8" t="s">
        <v>1740</v>
      </c>
      <c r="D147" s="8"/>
      <c r="E147" s="8">
        <v>9.44</v>
      </c>
      <c r="F147" s="8">
        <v>0.0</v>
      </c>
      <c r="G147" s="8">
        <v>0.0</v>
      </c>
      <c r="H147" s="8">
        <v>3.0</v>
      </c>
      <c r="I147" s="8">
        <f t="shared" si="4"/>
        <v>12.44</v>
      </c>
      <c r="J147" s="8"/>
      <c r="K147" s="8"/>
      <c r="L147" s="8"/>
      <c r="M147" s="9" t="s">
        <v>1742</v>
      </c>
    </row>
    <row r="148" ht="15.75" customHeight="1">
      <c r="A148" s="8" t="s">
        <v>1775</v>
      </c>
      <c r="B148" s="7" t="s">
        <v>1779</v>
      </c>
      <c r="C148" s="8" t="s">
        <v>1740</v>
      </c>
      <c r="D148" s="8"/>
      <c r="E148" s="8">
        <v>35.4944</v>
      </c>
      <c r="F148" s="8">
        <v>0.0</v>
      </c>
      <c r="G148" s="8">
        <v>0.0</v>
      </c>
      <c r="H148" s="8">
        <v>3.0</v>
      </c>
      <c r="I148" s="8">
        <f t="shared" si="4"/>
        <v>38.49</v>
      </c>
      <c r="J148" s="8"/>
      <c r="K148" s="8"/>
      <c r="L148" s="8"/>
      <c r="M148" s="9" t="s">
        <v>1742</v>
      </c>
    </row>
    <row r="149" ht="15.75" customHeight="1">
      <c r="A149" s="8" t="s">
        <v>1775</v>
      </c>
      <c r="B149" s="7" t="s">
        <v>1780</v>
      </c>
      <c r="C149" s="8" t="s">
        <v>1740</v>
      </c>
      <c r="D149" s="8"/>
      <c r="E149" s="8">
        <v>84.9954</v>
      </c>
      <c r="F149" s="8">
        <v>0.0</v>
      </c>
      <c r="G149" s="8">
        <v>0.0</v>
      </c>
      <c r="H149" s="8">
        <v>3.0</v>
      </c>
      <c r="I149" s="8">
        <f t="shared" si="4"/>
        <v>88</v>
      </c>
      <c r="J149" s="8"/>
      <c r="K149" s="8"/>
      <c r="L149" s="8"/>
      <c r="M149" s="9" t="s">
        <v>1742</v>
      </c>
    </row>
    <row r="150" ht="15.75" customHeight="1">
      <c r="A150" s="8" t="s">
        <v>1775</v>
      </c>
      <c r="B150" s="7" t="s">
        <v>1781</v>
      </c>
      <c r="C150" s="8" t="s">
        <v>1740</v>
      </c>
      <c r="D150" s="8"/>
      <c r="E150" s="8">
        <v>150.0016</v>
      </c>
      <c r="F150" s="8">
        <v>0.0</v>
      </c>
      <c r="G150" s="8">
        <v>0.0</v>
      </c>
      <c r="H150" s="8">
        <v>3.0</v>
      </c>
      <c r="I150" s="8">
        <f t="shared" si="4"/>
        <v>153</v>
      </c>
      <c r="J150" s="8"/>
      <c r="K150" s="8"/>
      <c r="L150" s="8"/>
      <c r="M150" s="9" t="s">
        <v>1742</v>
      </c>
    </row>
    <row r="151" ht="15.75" customHeight="1">
      <c r="A151" s="8" t="s">
        <v>1775</v>
      </c>
      <c r="B151" s="7" t="s">
        <v>1782</v>
      </c>
      <c r="C151" s="8" t="s">
        <v>1740</v>
      </c>
      <c r="D151" s="8"/>
      <c r="E151" s="8">
        <v>0.0</v>
      </c>
      <c r="F151" s="8">
        <v>0.0</v>
      </c>
      <c r="G151" s="8">
        <v>0.0</v>
      </c>
      <c r="H151" s="8">
        <v>3.0</v>
      </c>
      <c r="I151" s="8">
        <f t="shared" si="4"/>
        <v>3</v>
      </c>
      <c r="J151" s="8"/>
      <c r="K151" s="8"/>
      <c r="L151" s="8"/>
      <c r="M151" s="9" t="s">
        <v>1742</v>
      </c>
    </row>
    <row r="152" ht="15.75" customHeight="1">
      <c r="A152" s="8" t="s">
        <v>1775</v>
      </c>
      <c r="B152" s="7" t="s">
        <v>1783</v>
      </c>
      <c r="C152" s="8" t="s">
        <v>1740</v>
      </c>
      <c r="D152" s="8"/>
      <c r="E152" s="8">
        <v>0.0</v>
      </c>
      <c r="F152" s="8">
        <v>0.0</v>
      </c>
      <c r="G152" s="8">
        <v>0.0</v>
      </c>
      <c r="H152" s="8">
        <v>3.0</v>
      </c>
      <c r="I152" s="8">
        <f t="shared" si="4"/>
        <v>3</v>
      </c>
      <c r="J152" s="8"/>
      <c r="K152" s="8"/>
      <c r="L152" s="8"/>
      <c r="M152" s="9" t="s">
        <v>1742</v>
      </c>
    </row>
    <row r="153" ht="15.75" customHeight="1">
      <c r="A153" s="8" t="s">
        <v>1775</v>
      </c>
      <c r="B153" s="7" t="s">
        <v>1784</v>
      </c>
      <c r="C153" s="8" t="s">
        <v>1740</v>
      </c>
      <c r="D153" s="8"/>
      <c r="E153" s="8">
        <v>0.0</v>
      </c>
      <c r="F153" s="8">
        <v>0.0</v>
      </c>
      <c r="G153" s="8">
        <v>0.0</v>
      </c>
      <c r="H153" s="8">
        <v>3.0</v>
      </c>
      <c r="I153" s="8">
        <f t="shared" si="4"/>
        <v>3</v>
      </c>
      <c r="J153" s="8"/>
      <c r="K153" s="8"/>
      <c r="L153" s="8"/>
      <c r="M153" s="9" t="s">
        <v>1742</v>
      </c>
    </row>
    <row r="154" ht="15.75" customHeight="1">
      <c r="A154" s="8" t="s">
        <v>1775</v>
      </c>
      <c r="B154" s="7" t="s">
        <v>1785</v>
      </c>
      <c r="C154" s="8" t="s">
        <v>1740</v>
      </c>
      <c r="D154" s="8"/>
      <c r="E154" s="8">
        <v>41.9962</v>
      </c>
      <c r="F154" s="8">
        <v>0.0</v>
      </c>
      <c r="G154" s="8">
        <v>0.0</v>
      </c>
      <c r="H154" s="8">
        <v>3.0</v>
      </c>
      <c r="I154" s="8">
        <f t="shared" si="4"/>
        <v>45</v>
      </c>
      <c r="J154" s="8"/>
      <c r="K154" s="8"/>
      <c r="L154" s="8"/>
      <c r="M154" s="9" t="s">
        <v>1742</v>
      </c>
    </row>
    <row r="155" ht="15.75" customHeight="1">
      <c r="A155" s="8" t="s">
        <v>1775</v>
      </c>
      <c r="B155" s="7" t="s">
        <v>1786</v>
      </c>
      <c r="C155" s="8" t="s">
        <v>1740</v>
      </c>
      <c r="D155" s="8"/>
      <c r="E155" s="8">
        <v>64.9944</v>
      </c>
      <c r="F155" s="8">
        <v>0.0</v>
      </c>
      <c r="G155" s="8">
        <v>0.0</v>
      </c>
      <c r="H155" s="8">
        <v>3.0</v>
      </c>
      <c r="I155" s="8">
        <f t="shared" si="4"/>
        <v>67.99</v>
      </c>
      <c r="J155" s="8"/>
      <c r="K155" s="8"/>
      <c r="L155" s="8"/>
      <c r="M155" s="9" t="s">
        <v>1742</v>
      </c>
    </row>
    <row r="156" ht="15.75" customHeight="1">
      <c r="A156" s="8" t="s">
        <v>1775</v>
      </c>
      <c r="B156" s="7" t="s">
        <v>1787</v>
      </c>
      <c r="C156" s="8" t="s">
        <v>1740</v>
      </c>
      <c r="D156" s="8"/>
      <c r="E156" s="8">
        <v>22.9982</v>
      </c>
      <c r="F156" s="8">
        <v>0.0</v>
      </c>
      <c r="G156" s="8">
        <v>0.0</v>
      </c>
      <c r="H156" s="8">
        <v>3.0</v>
      </c>
      <c r="I156" s="8">
        <f t="shared" si="4"/>
        <v>26</v>
      </c>
      <c r="J156" s="8"/>
      <c r="K156" s="8"/>
      <c r="L156" s="8"/>
      <c r="M156" s="9" t="s">
        <v>1742</v>
      </c>
    </row>
    <row r="157" ht="15.75" customHeight="1">
      <c r="A157" s="8" t="s">
        <v>1775</v>
      </c>
      <c r="B157" s="7" t="s">
        <v>1788</v>
      </c>
      <c r="C157" s="8" t="s">
        <v>1740</v>
      </c>
      <c r="D157" s="8"/>
      <c r="E157" s="8">
        <v>54.5042</v>
      </c>
      <c r="F157" s="8">
        <v>0.0</v>
      </c>
      <c r="G157" s="8">
        <v>0.0</v>
      </c>
      <c r="H157" s="8">
        <v>3.0</v>
      </c>
      <c r="I157" s="8">
        <f t="shared" si="4"/>
        <v>57.5</v>
      </c>
      <c r="J157" s="8"/>
      <c r="K157" s="8"/>
      <c r="L157" s="8"/>
      <c r="M157" s="9" t="s">
        <v>1742</v>
      </c>
    </row>
    <row r="158" ht="15.75" customHeight="1">
      <c r="A158" s="8" t="s">
        <v>1775</v>
      </c>
      <c r="B158" s="7" t="s">
        <v>1789</v>
      </c>
      <c r="C158" s="8" t="s">
        <v>1740</v>
      </c>
      <c r="D158" s="8"/>
      <c r="E158" s="8">
        <v>84.9954</v>
      </c>
      <c r="F158" s="8">
        <v>0.0</v>
      </c>
      <c r="G158" s="8">
        <v>0.0</v>
      </c>
      <c r="H158" s="8">
        <v>3.0</v>
      </c>
      <c r="I158" s="8">
        <f t="shared" si="4"/>
        <v>88</v>
      </c>
      <c r="J158" s="8"/>
      <c r="K158" s="8"/>
      <c r="L158" s="8"/>
      <c r="M158" s="9" t="s">
        <v>1742</v>
      </c>
    </row>
    <row r="159" ht="15.75" customHeight="1">
      <c r="A159" s="8" t="s">
        <v>1775</v>
      </c>
      <c r="B159" s="7" t="s">
        <v>1790</v>
      </c>
      <c r="C159" s="8" t="s">
        <v>1740</v>
      </c>
      <c r="D159" s="8"/>
      <c r="E159" s="8">
        <v>25.4998</v>
      </c>
      <c r="F159" s="8">
        <v>0.0</v>
      </c>
      <c r="G159" s="8">
        <v>0.0</v>
      </c>
      <c r="H159" s="8">
        <v>3.0</v>
      </c>
      <c r="I159" s="8">
        <f t="shared" si="4"/>
        <v>28.5</v>
      </c>
      <c r="J159" s="8"/>
      <c r="K159" s="8"/>
      <c r="L159" s="8"/>
      <c r="M159" s="9" t="s">
        <v>1742</v>
      </c>
    </row>
    <row r="160" ht="15.75" customHeight="1">
      <c r="A160" s="8" t="s">
        <v>1775</v>
      </c>
      <c r="B160" s="7" t="s">
        <v>1791</v>
      </c>
      <c r="C160" s="8" t="s">
        <v>1740</v>
      </c>
      <c r="D160" s="8"/>
      <c r="E160" s="8">
        <v>12.98</v>
      </c>
      <c r="F160" s="8">
        <v>0.0</v>
      </c>
      <c r="G160" s="8">
        <v>0.0</v>
      </c>
      <c r="H160" s="8">
        <v>3.0</v>
      </c>
      <c r="I160" s="8">
        <f t="shared" si="4"/>
        <v>15.98</v>
      </c>
      <c r="J160" s="8"/>
      <c r="K160" s="8"/>
      <c r="L160" s="8"/>
      <c r="M160" s="9" t="s">
        <v>1742</v>
      </c>
    </row>
    <row r="161" ht="15.75" customHeight="1">
      <c r="A161" s="8" t="s">
        <v>1775</v>
      </c>
      <c r="B161" s="7" t="s">
        <v>1792</v>
      </c>
      <c r="C161" s="8" t="s">
        <v>1740</v>
      </c>
      <c r="D161" s="8"/>
      <c r="E161" s="8">
        <v>21.24</v>
      </c>
      <c r="F161" s="8">
        <v>0.0</v>
      </c>
      <c r="G161" s="8">
        <v>0.0</v>
      </c>
      <c r="H161" s="8">
        <v>3.0</v>
      </c>
      <c r="I161" s="8">
        <f t="shared" si="4"/>
        <v>24.24</v>
      </c>
      <c r="J161" s="8"/>
      <c r="K161" s="8"/>
      <c r="L161" s="8"/>
      <c r="M161" s="9" t="s">
        <v>1742</v>
      </c>
    </row>
    <row r="162" ht="15.75" customHeight="1">
      <c r="A162" s="8" t="s">
        <v>1775</v>
      </c>
      <c r="B162" s="7" t="s">
        <v>1793</v>
      </c>
      <c r="C162" s="8" t="s">
        <v>1740</v>
      </c>
      <c r="D162" s="8"/>
      <c r="E162" s="8">
        <v>42.48</v>
      </c>
      <c r="F162" s="8">
        <v>0.0</v>
      </c>
      <c r="G162" s="8">
        <v>0.0</v>
      </c>
      <c r="H162" s="8">
        <v>3.0</v>
      </c>
      <c r="I162" s="8">
        <f t="shared" si="4"/>
        <v>45.48</v>
      </c>
      <c r="J162" s="8"/>
      <c r="K162" s="8"/>
      <c r="L162" s="8"/>
      <c r="M162" s="9" t="s">
        <v>1742</v>
      </c>
    </row>
    <row r="163" ht="15.75" customHeight="1">
      <c r="A163" s="8" t="s">
        <v>1775</v>
      </c>
      <c r="B163" s="7" t="s">
        <v>1794</v>
      </c>
      <c r="C163" s="8" t="s">
        <v>1740</v>
      </c>
      <c r="D163" s="8"/>
      <c r="E163" s="8">
        <v>49.56</v>
      </c>
      <c r="F163" s="8">
        <v>0.0</v>
      </c>
      <c r="G163" s="8">
        <v>0.0</v>
      </c>
      <c r="H163" s="8">
        <v>3.0</v>
      </c>
      <c r="I163" s="8">
        <f t="shared" si="4"/>
        <v>52.56</v>
      </c>
      <c r="J163" s="8"/>
      <c r="K163" s="8"/>
      <c r="L163" s="8"/>
      <c r="M163" s="9" t="s">
        <v>1742</v>
      </c>
    </row>
    <row r="164" ht="15.75" customHeight="1">
      <c r="A164" s="8" t="s">
        <v>1775</v>
      </c>
      <c r="B164" s="7" t="s">
        <v>1795</v>
      </c>
      <c r="C164" s="8" t="s">
        <v>1740</v>
      </c>
      <c r="D164" s="8"/>
      <c r="E164" s="8">
        <v>27.14</v>
      </c>
      <c r="F164" s="8">
        <v>0.0</v>
      </c>
      <c r="G164" s="8">
        <v>0.0</v>
      </c>
      <c r="H164" s="8">
        <v>3.0</v>
      </c>
      <c r="I164" s="8">
        <f t="shared" si="4"/>
        <v>30.14</v>
      </c>
      <c r="J164" s="8"/>
      <c r="K164" s="8"/>
      <c r="L164" s="8"/>
      <c r="M164" s="9" t="s">
        <v>1742</v>
      </c>
    </row>
    <row r="165" ht="15.75" customHeight="1">
      <c r="A165" s="8" t="s">
        <v>1775</v>
      </c>
      <c r="B165" s="7" t="s">
        <v>1796</v>
      </c>
      <c r="C165" s="8" t="s">
        <v>1740</v>
      </c>
      <c r="D165" s="8"/>
      <c r="E165" s="8">
        <v>0.0</v>
      </c>
      <c r="F165" s="8">
        <v>0.0</v>
      </c>
      <c r="G165" s="8">
        <v>0.0</v>
      </c>
      <c r="H165" s="8">
        <v>3.0</v>
      </c>
      <c r="I165" s="8">
        <f t="shared" si="4"/>
        <v>3</v>
      </c>
      <c r="J165" s="8"/>
      <c r="K165" s="8"/>
      <c r="L165" s="8"/>
      <c r="M165" s="9" t="s">
        <v>1742</v>
      </c>
    </row>
    <row r="166" ht="15.75" customHeight="1">
      <c r="A166" s="8" t="s">
        <v>1775</v>
      </c>
      <c r="B166" s="7" t="s">
        <v>1797</v>
      </c>
      <c r="C166" s="8" t="s">
        <v>1740</v>
      </c>
      <c r="D166" s="8"/>
      <c r="E166" s="8">
        <v>0.0</v>
      </c>
      <c r="F166" s="8">
        <v>0.0</v>
      </c>
      <c r="G166" s="8">
        <v>0.0</v>
      </c>
      <c r="H166" s="8">
        <v>3.0</v>
      </c>
      <c r="I166" s="8">
        <f t="shared" si="4"/>
        <v>3</v>
      </c>
      <c r="J166" s="8"/>
      <c r="K166" s="8"/>
      <c r="L166" s="8"/>
      <c r="M166" s="9" t="s">
        <v>1742</v>
      </c>
    </row>
    <row r="167" ht="15.75" customHeight="1">
      <c r="A167" s="8" t="s">
        <v>1775</v>
      </c>
      <c r="B167" s="7" t="s">
        <v>1798</v>
      </c>
      <c r="C167" s="8" t="s">
        <v>1740</v>
      </c>
      <c r="D167" s="8"/>
      <c r="E167" s="8">
        <v>0.0</v>
      </c>
      <c r="F167" s="8">
        <v>0.0</v>
      </c>
      <c r="G167" s="8">
        <v>0.0</v>
      </c>
      <c r="H167" s="8">
        <v>3.0</v>
      </c>
      <c r="I167" s="8">
        <f t="shared" si="4"/>
        <v>3</v>
      </c>
      <c r="J167" s="8"/>
      <c r="K167" s="8"/>
      <c r="L167" s="8"/>
      <c r="M167" s="9" t="s">
        <v>1742</v>
      </c>
    </row>
    <row r="168" ht="15.75" customHeight="1">
      <c r="A168" s="8" t="s">
        <v>1775</v>
      </c>
      <c r="B168" s="7" t="s">
        <v>1799</v>
      </c>
      <c r="C168" s="8" t="s">
        <v>1740</v>
      </c>
      <c r="D168" s="8"/>
      <c r="E168" s="8">
        <v>0.0</v>
      </c>
      <c r="F168" s="8">
        <v>0.0</v>
      </c>
      <c r="G168" s="8">
        <v>0.0</v>
      </c>
      <c r="H168" s="8">
        <v>3.0</v>
      </c>
      <c r="I168" s="8">
        <f t="shared" si="4"/>
        <v>3</v>
      </c>
      <c r="J168" s="8"/>
      <c r="K168" s="8"/>
      <c r="L168" s="8"/>
      <c r="M168" s="9" t="s">
        <v>1742</v>
      </c>
    </row>
    <row r="169" ht="15.75" customHeight="1">
      <c r="A169" s="8" t="s">
        <v>1775</v>
      </c>
      <c r="B169" s="7" t="s">
        <v>1800</v>
      </c>
      <c r="C169" s="8" t="s">
        <v>1801</v>
      </c>
      <c r="D169" s="8" t="s">
        <v>1763</v>
      </c>
      <c r="E169" s="8">
        <v>33.5002</v>
      </c>
      <c r="F169" s="8">
        <v>0.0</v>
      </c>
      <c r="G169" s="8">
        <v>0.0</v>
      </c>
      <c r="H169" s="8">
        <v>3.0</v>
      </c>
      <c r="I169" s="8">
        <f t="shared" si="4"/>
        <v>36.5</v>
      </c>
      <c r="J169" s="8">
        <v>392410.0</v>
      </c>
      <c r="K169" s="8">
        <v>18.0</v>
      </c>
      <c r="L169" s="8" t="s">
        <v>1764</v>
      </c>
      <c r="M169" s="9" t="s">
        <v>1742</v>
      </c>
    </row>
    <row r="170" ht="15.75" customHeight="1">
      <c r="A170" s="8" t="s">
        <v>1775</v>
      </c>
      <c r="B170" s="7" t="s">
        <v>1802</v>
      </c>
      <c r="C170" s="8" t="s">
        <v>1803</v>
      </c>
      <c r="D170" s="8" t="s">
        <v>1763</v>
      </c>
      <c r="E170" s="8">
        <v>50.504</v>
      </c>
      <c r="F170" s="8">
        <v>0.0</v>
      </c>
      <c r="G170" s="8">
        <v>0.0</v>
      </c>
      <c r="H170" s="8">
        <v>3.0</v>
      </c>
      <c r="I170" s="8">
        <f t="shared" si="4"/>
        <v>53.5</v>
      </c>
      <c r="J170" s="8">
        <v>392410.0</v>
      </c>
      <c r="K170" s="8">
        <v>18.0</v>
      </c>
      <c r="L170" s="8" t="s">
        <v>1764</v>
      </c>
      <c r="M170" s="9" t="s">
        <v>1742</v>
      </c>
    </row>
    <row r="171" ht="15.75" customHeight="1">
      <c r="A171" s="8" t="s">
        <v>1775</v>
      </c>
      <c r="B171" s="7" t="s">
        <v>1804</v>
      </c>
      <c r="C171" s="8" t="s">
        <v>1805</v>
      </c>
      <c r="D171" s="8" t="s">
        <v>1763</v>
      </c>
      <c r="E171" s="8">
        <v>81.50259999999999</v>
      </c>
      <c r="F171" s="8">
        <v>0.0</v>
      </c>
      <c r="G171" s="8">
        <v>0.0</v>
      </c>
      <c r="H171" s="8">
        <v>3.0</v>
      </c>
      <c r="I171" s="8">
        <f t="shared" si="4"/>
        <v>84.5</v>
      </c>
      <c r="J171" s="8">
        <v>392410.0</v>
      </c>
      <c r="K171" s="8">
        <v>18.0</v>
      </c>
      <c r="L171" s="8" t="s">
        <v>1764</v>
      </c>
      <c r="M171" s="9" t="s">
        <v>1742</v>
      </c>
    </row>
    <row r="172" ht="15.75" customHeight="1">
      <c r="A172" s="8" t="s">
        <v>1775</v>
      </c>
      <c r="B172" s="7" t="s">
        <v>1806</v>
      </c>
      <c r="C172" s="8" t="s">
        <v>1807</v>
      </c>
      <c r="D172" s="8" t="s">
        <v>1763</v>
      </c>
      <c r="E172" s="8">
        <v>20.4966</v>
      </c>
      <c r="F172" s="8">
        <v>0.0</v>
      </c>
      <c r="G172" s="8">
        <v>0.0</v>
      </c>
      <c r="H172" s="8">
        <v>3.0</v>
      </c>
      <c r="I172" s="8">
        <f t="shared" si="4"/>
        <v>23.5</v>
      </c>
      <c r="J172" s="8">
        <v>392410.0</v>
      </c>
      <c r="K172" s="8">
        <v>18.0</v>
      </c>
      <c r="L172" s="8" t="s">
        <v>1764</v>
      </c>
      <c r="M172" s="9" t="s">
        <v>1742</v>
      </c>
    </row>
    <row r="173" ht="15.75" customHeight="1">
      <c r="A173" s="8" t="s">
        <v>1775</v>
      </c>
      <c r="B173" s="7" t="s">
        <v>1808</v>
      </c>
      <c r="C173" s="8" t="s">
        <v>1740</v>
      </c>
      <c r="D173" s="8"/>
      <c r="E173" s="8">
        <v>0.0</v>
      </c>
      <c r="F173" s="8">
        <v>0.0</v>
      </c>
      <c r="G173" s="8">
        <v>0.0</v>
      </c>
      <c r="H173" s="8">
        <v>3.0</v>
      </c>
      <c r="I173" s="8">
        <f t="shared" si="4"/>
        <v>3</v>
      </c>
      <c r="J173" s="8"/>
      <c r="K173" s="8"/>
      <c r="L173" s="8"/>
      <c r="M173" s="9" t="s">
        <v>1742</v>
      </c>
    </row>
    <row r="174" ht="15.75" customHeight="1">
      <c r="A174" s="8" t="s">
        <v>1775</v>
      </c>
      <c r="B174" s="7" t="s">
        <v>1809</v>
      </c>
      <c r="C174" s="8" t="s">
        <v>1740</v>
      </c>
      <c r="D174" s="8"/>
      <c r="E174" s="8">
        <v>0.0</v>
      </c>
      <c r="F174" s="8">
        <v>0.0</v>
      </c>
      <c r="G174" s="8">
        <v>0.0</v>
      </c>
      <c r="H174" s="8">
        <v>3.0</v>
      </c>
      <c r="I174" s="8">
        <f t="shared" si="4"/>
        <v>3</v>
      </c>
      <c r="J174" s="8"/>
      <c r="K174" s="8"/>
      <c r="L174" s="8"/>
      <c r="M174" s="9" t="s">
        <v>1742</v>
      </c>
    </row>
    <row r="175" ht="15.75" customHeight="1">
      <c r="A175" s="8" t="s">
        <v>1775</v>
      </c>
      <c r="B175" s="7" t="s">
        <v>1810</v>
      </c>
      <c r="C175" s="8" t="s">
        <v>1740</v>
      </c>
      <c r="D175" s="8"/>
      <c r="E175" s="8">
        <v>0.0</v>
      </c>
      <c r="F175" s="8">
        <v>0.0</v>
      </c>
      <c r="G175" s="8">
        <v>0.0</v>
      </c>
      <c r="H175" s="8">
        <v>3.0</v>
      </c>
      <c r="I175" s="8">
        <f t="shared" si="4"/>
        <v>3</v>
      </c>
      <c r="J175" s="8"/>
      <c r="K175" s="8"/>
      <c r="L175" s="8"/>
      <c r="M175" s="9" t="s">
        <v>1742</v>
      </c>
    </row>
    <row r="176" ht="15.75" customHeight="1">
      <c r="A176" s="8" t="s">
        <v>1775</v>
      </c>
      <c r="B176" s="7" t="s">
        <v>1811</v>
      </c>
      <c r="C176" s="8" t="s">
        <v>1740</v>
      </c>
      <c r="D176" s="8"/>
      <c r="E176" s="8">
        <v>0.0</v>
      </c>
      <c r="F176" s="8">
        <v>0.0</v>
      </c>
      <c r="G176" s="8">
        <v>0.0</v>
      </c>
      <c r="H176" s="8">
        <v>3.0</v>
      </c>
      <c r="I176" s="8">
        <f t="shared" si="4"/>
        <v>3</v>
      </c>
      <c r="J176" s="8"/>
      <c r="K176" s="8"/>
      <c r="L176" s="8"/>
      <c r="M176" s="9" t="s">
        <v>1742</v>
      </c>
    </row>
    <row r="177" ht="15.75" customHeight="1">
      <c r="A177" s="8" t="s">
        <v>1775</v>
      </c>
      <c r="B177" s="7" t="s">
        <v>1812</v>
      </c>
      <c r="C177" s="8" t="s">
        <v>1740</v>
      </c>
      <c r="D177" s="8"/>
      <c r="E177" s="8">
        <v>0.0</v>
      </c>
      <c r="F177" s="8">
        <v>0.0</v>
      </c>
      <c r="G177" s="8">
        <v>0.0</v>
      </c>
      <c r="H177" s="8">
        <v>3.0</v>
      </c>
      <c r="I177" s="8">
        <f t="shared" si="4"/>
        <v>3</v>
      </c>
      <c r="J177" s="8"/>
      <c r="K177" s="8"/>
      <c r="L177" s="8"/>
      <c r="M177" s="9" t="s">
        <v>1742</v>
      </c>
    </row>
    <row r="178" ht="15.75" customHeight="1">
      <c r="A178" s="8" t="s">
        <v>1775</v>
      </c>
      <c r="B178" s="7" t="s">
        <v>1813</v>
      </c>
      <c r="C178" s="8" t="s">
        <v>1740</v>
      </c>
      <c r="D178" s="8"/>
      <c r="E178" s="8">
        <v>0.0</v>
      </c>
      <c r="F178" s="8">
        <v>0.0</v>
      </c>
      <c r="G178" s="8">
        <v>0.0</v>
      </c>
      <c r="H178" s="8">
        <v>3.0</v>
      </c>
      <c r="I178" s="8">
        <f t="shared" si="4"/>
        <v>3</v>
      </c>
      <c r="J178" s="8"/>
      <c r="K178" s="8"/>
      <c r="L178" s="8"/>
      <c r="M178" s="9" t="s">
        <v>1742</v>
      </c>
    </row>
    <row r="179" ht="15.75" customHeight="1">
      <c r="A179" s="8" t="s">
        <v>1775</v>
      </c>
      <c r="B179" s="7" t="s">
        <v>1814</v>
      </c>
      <c r="C179" s="8" t="s">
        <v>1740</v>
      </c>
      <c r="D179" s="8"/>
      <c r="E179" s="8">
        <v>0.0</v>
      </c>
      <c r="F179" s="8">
        <v>0.0</v>
      </c>
      <c r="G179" s="8">
        <v>0.0</v>
      </c>
      <c r="H179" s="8">
        <v>3.0</v>
      </c>
      <c r="I179" s="8">
        <f t="shared" si="4"/>
        <v>3</v>
      </c>
      <c r="J179" s="8"/>
      <c r="K179" s="8"/>
      <c r="L179" s="8"/>
      <c r="M179" s="9" t="s">
        <v>1742</v>
      </c>
    </row>
    <row r="180" ht="15.75" customHeight="1">
      <c r="A180" s="8" t="s">
        <v>1740</v>
      </c>
      <c r="B180" s="7" t="s">
        <v>1815</v>
      </c>
      <c r="C180" s="8" t="s">
        <v>1740</v>
      </c>
      <c r="D180" s="8"/>
      <c r="E180" s="8">
        <v>30.0</v>
      </c>
      <c r="F180" s="8">
        <v>0.0</v>
      </c>
      <c r="G180" s="8">
        <v>0.0</v>
      </c>
      <c r="H180" s="8">
        <v>1.0</v>
      </c>
      <c r="I180" s="8">
        <f t="shared" si="4"/>
        <v>31</v>
      </c>
      <c r="J180" s="8"/>
      <c r="K180" s="8"/>
      <c r="L180" s="8"/>
      <c r="M180" s="9" t="s">
        <v>1742</v>
      </c>
    </row>
    <row r="181" ht="15.75" customHeight="1">
      <c r="A181" s="8" t="s">
        <v>1816</v>
      </c>
      <c r="B181" s="7" t="s">
        <v>1817</v>
      </c>
      <c r="C181" s="8" t="s">
        <v>1818</v>
      </c>
      <c r="D181" s="8"/>
      <c r="E181" s="8">
        <v>185.0</v>
      </c>
      <c r="F181" s="8">
        <v>12.0</v>
      </c>
      <c r="G181" s="8">
        <v>2.0</v>
      </c>
      <c r="H181" s="8">
        <v>3.0</v>
      </c>
      <c r="I181" s="8">
        <f t="shared" si="4"/>
        <v>202</v>
      </c>
      <c r="J181" s="8"/>
      <c r="K181" s="8"/>
      <c r="L181" s="8"/>
      <c r="M181" s="9" t="s">
        <v>1742</v>
      </c>
    </row>
    <row r="182" ht="15.75" customHeight="1">
      <c r="A182" s="8" t="s">
        <v>1819</v>
      </c>
      <c r="B182" s="7" t="s">
        <v>25</v>
      </c>
      <c r="C182" s="8" t="s">
        <v>1740</v>
      </c>
      <c r="D182" s="8"/>
      <c r="E182" s="8"/>
      <c r="F182" s="8"/>
      <c r="G182" s="8"/>
      <c r="H182" s="8"/>
      <c r="I182" s="8"/>
      <c r="J182" s="8"/>
      <c r="K182" s="8">
        <v>5.0</v>
      </c>
      <c r="L182" s="8"/>
      <c r="M182" s="9"/>
    </row>
    <row r="183" ht="15.75" customHeight="1">
      <c r="A183" s="8" t="s">
        <v>1819</v>
      </c>
      <c r="B183" s="7" t="s">
        <v>28</v>
      </c>
      <c r="C183" s="8" t="s">
        <v>1740</v>
      </c>
      <c r="D183" s="8"/>
      <c r="E183" s="8"/>
      <c r="F183" s="8"/>
      <c r="G183" s="8"/>
      <c r="H183" s="8"/>
      <c r="I183" s="8"/>
      <c r="J183" s="8"/>
      <c r="K183" s="8">
        <v>5.0</v>
      </c>
      <c r="L183" s="8"/>
      <c r="M183" s="9"/>
    </row>
    <row r="184" ht="15.75" customHeight="1">
      <c r="A184" s="8" t="s">
        <v>1819</v>
      </c>
      <c r="B184" s="7" t="s">
        <v>31</v>
      </c>
      <c r="C184" s="8" t="s">
        <v>1740</v>
      </c>
      <c r="D184" s="8"/>
      <c r="E184" s="8"/>
      <c r="F184" s="8"/>
      <c r="G184" s="8"/>
      <c r="H184" s="8"/>
      <c r="I184" s="8"/>
      <c r="J184" s="8"/>
      <c r="K184" s="8">
        <v>5.0</v>
      </c>
      <c r="L184" s="8"/>
      <c r="M184" s="9"/>
    </row>
    <row r="185" ht="15.75" customHeight="1">
      <c r="A185" s="8" t="s">
        <v>1819</v>
      </c>
      <c r="B185" s="7" t="s">
        <v>34</v>
      </c>
      <c r="C185" s="8" t="s">
        <v>1740</v>
      </c>
      <c r="D185" s="8"/>
      <c r="E185" s="8"/>
      <c r="F185" s="8"/>
      <c r="G185" s="8"/>
      <c r="H185" s="8"/>
      <c r="I185" s="8"/>
      <c r="J185" s="8"/>
      <c r="K185" s="8">
        <v>5.0</v>
      </c>
      <c r="L185" s="8"/>
      <c r="M185" s="9"/>
    </row>
    <row r="186" ht="15.75" customHeight="1">
      <c r="A186" s="8" t="s">
        <v>1819</v>
      </c>
      <c r="B186" s="7" t="s">
        <v>1820</v>
      </c>
      <c r="C186" s="8" t="s">
        <v>1740</v>
      </c>
      <c r="D186" s="8"/>
      <c r="E186" s="8"/>
      <c r="F186" s="8"/>
      <c r="G186" s="8"/>
      <c r="H186" s="8"/>
      <c r="I186" s="8"/>
      <c r="J186" s="8"/>
      <c r="K186" s="8">
        <v>5.0</v>
      </c>
      <c r="L186" s="8"/>
      <c r="M186" s="9"/>
    </row>
    <row r="187" ht="15.75" customHeight="1">
      <c r="A187" s="8" t="s">
        <v>1819</v>
      </c>
      <c r="B187" s="7" t="s">
        <v>1821</v>
      </c>
      <c r="C187" s="8" t="s">
        <v>1740</v>
      </c>
      <c r="D187" s="8"/>
      <c r="E187" s="8"/>
      <c r="F187" s="8"/>
      <c r="G187" s="8"/>
      <c r="H187" s="8"/>
      <c r="I187" s="8"/>
      <c r="J187" s="8"/>
      <c r="K187" s="8">
        <v>5.0</v>
      </c>
      <c r="L187" s="8"/>
      <c r="M187" s="9"/>
    </row>
    <row r="188" ht="15.75" customHeight="1">
      <c r="A188" s="8" t="s">
        <v>1819</v>
      </c>
      <c r="B188" s="7" t="s">
        <v>1822</v>
      </c>
      <c r="C188" s="8" t="s">
        <v>1740</v>
      </c>
      <c r="D188" s="8"/>
      <c r="E188" s="8"/>
      <c r="F188" s="8"/>
      <c r="G188" s="8"/>
      <c r="H188" s="8"/>
      <c r="I188" s="8"/>
      <c r="J188" s="8"/>
      <c r="K188" s="8">
        <v>5.0</v>
      </c>
      <c r="L188" s="8"/>
      <c r="M188" s="9"/>
    </row>
    <row r="189" ht="15.75" customHeight="1">
      <c r="A189" s="8" t="s">
        <v>1819</v>
      </c>
      <c r="B189" s="7" t="s">
        <v>1823</v>
      </c>
      <c r="C189" s="8" t="s">
        <v>1740</v>
      </c>
      <c r="D189" s="8"/>
      <c r="E189" s="8"/>
      <c r="F189" s="8"/>
      <c r="G189" s="8"/>
      <c r="H189" s="8"/>
      <c r="I189" s="8"/>
      <c r="J189" s="8"/>
      <c r="K189" s="8">
        <v>5.0</v>
      </c>
      <c r="L189" s="8"/>
      <c r="M189" s="9"/>
    </row>
    <row r="190" ht="15.75" customHeight="1">
      <c r="A190" s="8" t="s">
        <v>1824</v>
      </c>
      <c r="B190" s="7" t="s">
        <v>141</v>
      </c>
      <c r="C190" s="8" t="s">
        <v>1740</v>
      </c>
      <c r="D190" s="8"/>
      <c r="E190" s="8"/>
      <c r="F190" s="8"/>
      <c r="G190" s="8"/>
      <c r="H190" s="8"/>
      <c r="I190" s="8"/>
      <c r="J190" s="8"/>
      <c r="K190" s="8">
        <v>5.0</v>
      </c>
      <c r="L190" s="8"/>
      <c r="M190" s="9"/>
    </row>
    <row r="191" ht="15.75" customHeight="1">
      <c r="A191" s="8" t="s">
        <v>1824</v>
      </c>
      <c r="B191" s="7" t="s">
        <v>143</v>
      </c>
      <c r="C191" s="8" t="s">
        <v>1740</v>
      </c>
      <c r="D191" s="8"/>
      <c r="E191" s="8"/>
      <c r="F191" s="8"/>
      <c r="G191" s="8"/>
      <c r="H191" s="8"/>
      <c r="I191" s="8"/>
      <c r="J191" s="8"/>
      <c r="K191" s="8">
        <v>5.0</v>
      </c>
      <c r="L191" s="8"/>
      <c r="M191" s="9"/>
    </row>
    <row r="192" ht="15.75" customHeight="1">
      <c r="A192" s="8" t="s">
        <v>1824</v>
      </c>
      <c r="B192" s="7" t="s">
        <v>145</v>
      </c>
      <c r="C192" s="8" t="s">
        <v>1740</v>
      </c>
      <c r="D192" s="8"/>
      <c r="E192" s="8"/>
      <c r="F192" s="8"/>
      <c r="G192" s="8"/>
      <c r="H192" s="8"/>
      <c r="I192" s="8"/>
      <c r="J192" s="8"/>
      <c r="K192" s="8">
        <v>5.0</v>
      </c>
      <c r="L192" s="8"/>
      <c r="M192" s="9"/>
    </row>
    <row r="193" ht="15.75" customHeight="1">
      <c r="A193" s="8" t="s">
        <v>1824</v>
      </c>
      <c r="B193" s="7" t="s">
        <v>147</v>
      </c>
      <c r="C193" s="8" t="s">
        <v>1740</v>
      </c>
      <c r="D193" s="8"/>
      <c r="E193" s="8"/>
      <c r="F193" s="8"/>
      <c r="G193" s="8"/>
      <c r="H193" s="8"/>
      <c r="I193" s="8"/>
      <c r="J193" s="8"/>
      <c r="K193" s="8">
        <v>5.0</v>
      </c>
      <c r="L193" s="8"/>
      <c r="M193" s="9"/>
    </row>
    <row r="194" ht="15.75" customHeight="1">
      <c r="A194" s="8" t="s">
        <v>1824</v>
      </c>
      <c r="B194" s="7" t="s">
        <v>149</v>
      </c>
      <c r="C194" s="8" t="s">
        <v>1740</v>
      </c>
      <c r="D194" s="8"/>
      <c r="E194" s="8"/>
      <c r="F194" s="8"/>
      <c r="G194" s="8"/>
      <c r="H194" s="8"/>
      <c r="I194" s="8"/>
      <c r="J194" s="8"/>
      <c r="K194" s="8">
        <v>5.0</v>
      </c>
      <c r="L194" s="8"/>
      <c r="M194" s="9"/>
    </row>
    <row r="195" ht="15.75" customHeight="1">
      <c r="A195" s="8" t="s">
        <v>1824</v>
      </c>
      <c r="B195" s="7" t="s">
        <v>151</v>
      </c>
      <c r="C195" s="8" t="s">
        <v>1740</v>
      </c>
      <c r="D195" s="8"/>
      <c r="E195" s="8"/>
      <c r="F195" s="8"/>
      <c r="G195" s="8"/>
      <c r="H195" s="8"/>
      <c r="I195" s="8"/>
      <c r="J195" s="8"/>
      <c r="K195" s="8">
        <v>5.0</v>
      </c>
      <c r="L195" s="8"/>
      <c r="M195" s="9"/>
    </row>
    <row r="196" ht="15.75" customHeight="1">
      <c r="A196" s="8" t="s">
        <v>1824</v>
      </c>
      <c r="B196" s="7" t="s">
        <v>153</v>
      </c>
      <c r="C196" s="8" t="s">
        <v>1740</v>
      </c>
      <c r="D196" s="8"/>
      <c r="E196" s="8"/>
      <c r="F196" s="8"/>
      <c r="G196" s="8"/>
      <c r="H196" s="8"/>
      <c r="I196" s="8"/>
      <c r="J196" s="8"/>
      <c r="K196" s="8">
        <v>5.0</v>
      </c>
      <c r="L196" s="8"/>
      <c r="M196" s="9"/>
    </row>
    <row r="197" ht="15.75" customHeight="1">
      <c r="A197" s="8" t="s">
        <v>1824</v>
      </c>
      <c r="B197" s="7" t="s">
        <v>155</v>
      </c>
      <c r="C197" s="8" t="s">
        <v>1740</v>
      </c>
      <c r="D197" s="8"/>
      <c r="E197" s="8"/>
      <c r="F197" s="8"/>
      <c r="G197" s="8"/>
      <c r="H197" s="8"/>
      <c r="I197" s="8"/>
      <c r="J197" s="8"/>
      <c r="K197" s="8">
        <v>5.0</v>
      </c>
      <c r="L197" s="8"/>
      <c r="M197" s="9"/>
    </row>
    <row r="198" ht="15.75" customHeight="1">
      <c r="A198" s="8" t="s">
        <v>1824</v>
      </c>
      <c r="B198" s="7" t="s">
        <v>157</v>
      </c>
      <c r="C198" s="8" t="s">
        <v>1740</v>
      </c>
      <c r="D198" s="8"/>
      <c r="E198" s="8"/>
      <c r="F198" s="8"/>
      <c r="G198" s="8"/>
      <c r="H198" s="8"/>
      <c r="I198" s="8"/>
      <c r="J198" s="8"/>
      <c r="K198" s="8">
        <v>5.0</v>
      </c>
      <c r="L198" s="8"/>
      <c r="M198" s="9"/>
    </row>
    <row r="199" ht="15.75" customHeight="1">
      <c r="A199" s="8" t="s">
        <v>1824</v>
      </c>
      <c r="B199" s="7" t="s">
        <v>159</v>
      </c>
      <c r="C199" s="8" t="s">
        <v>1740</v>
      </c>
      <c r="D199" s="8"/>
      <c r="E199" s="8"/>
      <c r="F199" s="8"/>
      <c r="G199" s="8"/>
      <c r="H199" s="8"/>
      <c r="I199" s="8"/>
      <c r="J199" s="8"/>
      <c r="K199" s="8">
        <v>5.0</v>
      </c>
      <c r="L199" s="8"/>
      <c r="M199" s="9"/>
    </row>
    <row r="200" ht="15.75" customHeight="1">
      <c r="A200" s="8" t="s">
        <v>1825</v>
      </c>
      <c r="B200" s="7" t="s">
        <v>1826</v>
      </c>
      <c r="C200" s="8" t="s">
        <v>1740</v>
      </c>
      <c r="D200" s="8"/>
      <c r="E200" s="8">
        <v>11.0</v>
      </c>
      <c r="F200" s="8"/>
      <c r="G200" s="8"/>
      <c r="H200" s="8"/>
      <c r="I200" s="8"/>
      <c r="J200" s="8"/>
      <c r="K200" s="8">
        <v>5.0</v>
      </c>
      <c r="L200" s="8"/>
      <c r="M200" s="9"/>
    </row>
    <row r="201" ht="15.75" customHeight="1">
      <c r="A201" s="8" t="s">
        <v>1825</v>
      </c>
      <c r="B201" s="7" t="s">
        <v>1827</v>
      </c>
      <c r="C201" s="8" t="s">
        <v>1740</v>
      </c>
      <c r="D201" s="8"/>
      <c r="E201" s="8">
        <v>11.0</v>
      </c>
      <c r="F201" s="8"/>
      <c r="G201" s="8"/>
      <c r="H201" s="8"/>
      <c r="I201" s="8"/>
      <c r="J201" s="8"/>
      <c r="K201" s="8">
        <v>5.0</v>
      </c>
      <c r="L201" s="8"/>
      <c r="M201" s="9"/>
    </row>
    <row r="202" ht="15.75" customHeight="1">
      <c r="A202" s="8" t="s">
        <v>1825</v>
      </c>
      <c r="B202" s="7" t="s">
        <v>1828</v>
      </c>
      <c r="C202" s="8" t="s">
        <v>1740</v>
      </c>
      <c r="D202" s="8"/>
      <c r="E202" s="8">
        <v>11.0</v>
      </c>
      <c r="F202" s="8"/>
      <c r="G202" s="8"/>
      <c r="H202" s="8"/>
      <c r="I202" s="8"/>
      <c r="J202" s="8"/>
      <c r="K202" s="8">
        <v>5.0</v>
      </c>
      <c r="L202" s="8"/>
      <c r="M202" s="9"/>
    </row>
    <row r="203" ht="15.75" customHeight="1">
      <c r="A203" s="8" t="s">
        <v>1825</v>
      </c>
      <c r="B203" s="7" t="s">
        <v>1829</v>
      </c>
      <c r="C203" s="8" t="s">
        <v>1740</v>
      </c>
      <c r="D203" s="8"/>
      <c r="E203" s="8">
        <v>11.0</v>
      </c>
      <c r="F203" s="8"/>
      <c r="G203" s="8"/>
      <c r="H203" s="8"/>
      <c r="I203" s="8"/>
      <c r="J203" s="8"/>
      <c r="K203" s="8">
        <v>5.0</v>
      </c>
      <c r="L203" s="8"/>
      <c r="M203" s="9"/>
    </row>
    <row r="204" ht="15.75" customHeight="1">
      <c r="A204" s="8" t="s">
        <v>1825</v>
      </c>
      <c r="B204" s="7" t="s">
        <v>1830</v>
      </c>
      <c r="C204" s="8" t="s">
        <v>1740</v>
      </c>
      <c r="D204" s="8"/>
      <c r="E204" s="8">
        <v>11.0</v>
      </c>
      <c r="F204" s="8"/>
      <c r="G204" s="8"/>
      <c r="H204" s="8"/>
      <c r="I204" s="8"/>
      <c r="J204" s="8"/>
      <c r="K204" s="8">
        <v>5.0</v>
      </c>
      <c r="L204" s="8"/>
      <c r="M204" s="9"/>
    </row>
    <row r="205" ht="15.75" customHeight="1">
      <c r="A205" s="8" t="s">
        <v>1825</v>
      </c>
      <c r="B205" s="7" t="s">
        <v>1831</v>
      </c>
      <c r="C205" s="8" t="s">
        <v>1740</v>
      </c>
      <c r="D205" s="8"/>
      <c r="E205" s="8">
        <v>11.0</v>
      </c>
      <c r="F205" s="8"/>
      <c r="G205" s="8"/>
      <c r="H205" s="8"/>
      <c r="I205" s="8"/>
      <c r="J205" s="8"/>
      <c r="K205" s="8">
        <v>5.0</v>
      </c>
      <c r="L205" s="8"/>
      <c r="M205" s="9"/>
    </row>
    <row r="206" ht="15.75" customHeight="1">
      <c r="A206" s="8" t="s">
        <v>1824</v>
      </c>
      <c r="B206" s="7" t="s">
        <v>161</v>
      </c>
      <c r="C206" s="8" t="s">
        <v>1740</v>
      </c>
      <c r="D206" s="8"/>
      <c r="E206" s="8"/>
      <c r="F206" s="8"/>
      <c r="G206" s="8"/>
      <c r="H206" s="8"/>
      <c r="I206" s="8"/>
      <c r="J206" s="8"/>
      <c r="K206" s="8">
        <v>5.0</v>
      </c>
      <c r="L206" s="8"/>
      <c r="M206" s="9"/>
    </row>
    <row r="207" ht="15.75" customHeight="1">
      <c r="A207" s="8" t="s">
        <v>1824</v>
      </c>
      <c r="B207" s="7" t="s">
        <v>162</v>
      </c>
      <c r="C207" s="8" t="s">
        <v>1740</v>
      </c>
      <c r="D207" s="8"/>
      <c r="E207" s="8"/>
      <c r="F207" s="8"/>
      <c r="G207" s="8"/>
      <c r="H207" s="8"/>
      <c r="I207" s="8"/>
      <c r="J207" s="8"/>
      <c r="K207" s="8">
        <v>5.0</v>
      </c>
      <c r="L207" s="8"/>
      <c r="M207" s="9"/>
    </row>
    <row r="208" ht="15.75" customHeight="1">
      <c r="A208" s="8" t="s">
        <v>1824</v>
      </c>
      <c r="B208" s="7" t="s">
        <v>163</v>
      </c>
      <c r="C208" s="8" t="s">
        <v>1740</v>
      </c>
      <c r="D208" s="8"/>
      <c r="E208" s="8"/>
      <c r="F208" s="8"/>
      <c r="G208" s="8"/>
      <c r="H208" s="8"/>
      <c r="I208" s="8"/>
      <c r="J208" s="8"/>
      <c r="K208" s="8">
        <v>5.0</v>
      </c>
      <c r="L208" s="8"/>
      <c r="M208" s="9"/>
    </row>
    <row r="209" ht="15.75" customHeight="1">
      <c r="A209" s="8" t="s">
        <v>1824</v>
      </c>
      <c r="B209" s="7" t="s">
        <v>164</v>
      </c>
      <c r="C209" s="8" t="s">
        <v>1740</v>
      </c>
      <c r="D209" s="8"/>
      <c r="E209" s="8"/>
      <c r="F209" s="8"/>
      <c r="G209" s="8"/>
      <c r="H209" s="8"/>
      <c r="I209" s="8"/>
      <c r="J209" s="8"/>
      <c r="K209" s="8">
        <v>5.0</v>
      </c>
      <c r="L209" s="8"/>
      <c r="M209" s="9"/>
    </row>
    <row r="210" ht="15.75" customHeight="1">
      <c r="A210" s="8" t="s">
        <v>1824</v>
      </c>
      <c r="B210" s="7" t="s">
        <v>165</v>
      </c>
      <c r="C210" s="8" t="s">
        <v>1740</v>
      </c>
      <c r="D210" s="8"/>
      <c r="E210" s="8"/>
      <c r="F210" s="8"/>
      <c r="G210" s="8"/>
      <c r="H210" s="8"/>
      <c r="I210" s="8"/>
      <c r="J210" s="8"/>
      <c r="K210" s="8">
        <v>5.0</v>
      </c>
      <c r="L210" s="8"/>
      <c r="M210" s="9"/>
    </row>
    <row r="211" ht="15.75" customHeight="1">
      <c r="A211" s="8" t="s">
        <v>1824</v>
      </c>
      <c r="B211" s="7" t="s">
        <v>166</v>
      </c>
      <c r="C211" s="8" t="s">
        <v>1740</v>
      </c>
      <c r="D211" s="8"/>
      <c r="E211" s="8"/>
      <c r="F211" s="8"/>
      <c r="G211" s="8"/>
      <c r="H211" s="8"/>
      <c r="I211" s="8"/>
      <c r="J211" s="8"/>
      <c r="K211" s="8">
        <v>5.0</v>
      </c>
      <c r="L211" s="8"/>
      <c r="M211" s="9"/>
    </row>
    <row r="212" ht="15.75" customHeight="1">
      <c r="A212" s="8" t="s">
        <v>1760</v>
      </c>
      <c r="B212" s="7" t="s">
        <v>1832</v>
      </c>
      <c r="C212" s="8" t="s">
        <v>1740</v>
      </c>
      <c r="D212" s="8"/>
      <c r="E212" s="8"/>
      <c r="F212" s="8"/>
      <c r="G212" s="8"/>
      <c r="H212" s="8"/>
      <c r="I212" s="8"/>
      <c r="J212" s="8"/>
      <c r="K212" s="8"/>
      <c r="L212" s="8"/>
      <c r="M212" s="9"/>
    </row>
    <row r="213" ht="15.75" customHeight="1">
      <c r="A213" s="8" t="s">
        <v>1760</v>
      </c>
      <c r="B213" s="7" t="s">
        <v>1833</v>
      </c>
      <c r="C213" s="8" t="s">
        <v>1740</v>
      </c>
      <c r="D213" s="8"/>
      <c r="E213" s="8"/>
      <c r="F213" s="8"/>
      <c r="G213" s="8"/>
      <c r="H213" s="8"/>
      <c r="I213" s="8"/>
      <c r="J213" s="8"/>
      <c r="K213" s="8"/>
      <c r="L213" s="8"/>
      <c r="M213" s="9"/>
    </row>
    <row r="214" ht="15.75" customHeight="1">
      <c r="A214" s="8" t="s">
        <v>1834</v>
      </c>
      <c r="B214" s="7" t="s">
        <v>472</v>
      </c>
      <c r="C214" s="8" t="s">
        <v>1740</v>
      </c>
      <c r="D214" s="8"/>
      <c r="E214" s="8"/>
      <c r="F214" s="8"/>
      <c r="G214" s="8"/>
      <c r="H214" s="8"/>
      <c r="I214" s="8"/>
      <c r="J214" s="8"/>
      <c r="K214" s="8">
        <v>5.0</v>
      </c>
      <c r="L214" s="8"/>
      <c r="M214" s="9"/>
    </row>
    <row r="215" ht="15.75" customHeight="1">
      <c r="A215" s="8" t="s">
        <v>1834</v>
      </c>
      <c r="B215" s="7" t="s">
        <v>474</v>
      </c>
      <c r="C215" s="8" t="s">
        <v>1740</v>
      </c>
      <c r="D215" s="8"/>
      <c r="E215" s="8"/>
      <c r="F215" s="8"/>
      <c r="G215" s="8"/>
      <c r="H215" s="8"/>
      <c r="I215" s="8"/>
      <c r="J215" s="8"/>
      <c r="K215" s="8">
        <v>5.0</v>
      </c>
      <c r="L215" s="8"/>
      <c r="M215" s="9"/>
    </row>
    <row r="216" ht="15.75" customHeight="1">
      <c r="A216" s="8" t="s">
        <v>1834</v>
      </c>
      <c r="B216" s="7" t="s">
        <v>476</v>
      </c>
      <c r="C216" s="8" t="s">
        <v>1740</v>
      </c>
      <c r="D216" s="8"/>
      <c r="E216" s="8"/>
      <c r="F216" s="8"/>
      <c r="G216" s="8"/>
      <c r="H216" s="8"/>
      <c r="I216" s="8"/>
      <c r="J216" s="8"/>
      <c r="K216" s="8">
        <v>5.0</v>
      </c>
      <c r="L216" s="8"/>
      <c r="M216" s="9"/>
    </row>
    <row r="217" ht="15.75" customHeight="1">
      <c r="A217" s="8" t="s">
        <v>1834</v>
      </c>
      <c r="B217" s="7" t="s">
        <v>478</v>
      </c>
      <c r="C217" s="8" t="s">
        <v>1740</v>
      </c>
      <c r="D217" s="8"/>
      <c r="E217" s="8"/>
      <c r="F217" s="8"/>
      <c r="G217" s="8"/>
      <c r="H217" s="8"/>
      <c r="I217" s="8"/>
      <c r="J217" s="8"/>
      <c r="K217" s="8">
        <v>5.0</v>
      </c>
      <c r="L217" s="8"/>
      <c r="M217" s="9"/>
    </row>
    <row r="218" ht="15.75" customHeight="1">
      <c r="A218" s="8" t="s">
        <v>1834</v>
      </c>
      <c r="B218" s="7" t="s">
        <v>480</v>
      </c>
      <c r="C218" s="8" t="s">
        <v>1740</v>
      </c>
      <c r="D218" s="8"/>
      <c r="E218" s="8"/>
      <c r="F218" s="8"/>
      <c r="G218" s="8"/>
      <c r="H218" s="8"/>
      <c r="I218" s="8"/>
      <c r="J218" s="8"/>
      <c r="K218" s="8">
        <v>5.0</v>
      </c>
      <c r="L218" s="8"/>
      <c r="M218" s="9"/>
    </row>
    <row r="219" ht="15.75" customHeight="1">
      <c r="A219" s="8" t="s">
        <v>1760</v>
      </c>
      <c r="B219" s="7" t="s">
        <v>1835</v>
      </c>
      <c r="C219" s="8" t="s">
        <v>1740</v>
      </c>
      <c r="D219" s="8"/>
      <c r="E219" s="8"/>
      <c r="F219" s="8"/>
      <c r="G219" s="8"/>
      <c r="H219" s="8"/>
      <c r="I219" s="8"/>
      <c r="J219" s="8"/>
      <c r="K219" s="8"/>
      <c r="L219" s="8"/>
      <c r="M219" s="9"/>
    </row>
    <row r="220" ht="15.75" customHeight="1">
      <c r="A220" s="8" t="s">
        <v>1760</v>
      </c>
      <c r="B220" s="7" t="s">
        <v>1836</v>
      </c>
      <c r="C220" s="8" t="s">
        <v>1740</v>
      </c>
      <c r="D220" s="8"/>
      <c r="E220" s="8"/>
      <c r="F220" s="8"/>
      <c r="G220" s="8"/>
      <c r="H220" s="8"/>
      <c r="I220" s="8"/>
      <c r="J220" s="8"/>
      <c r="K220" s="8"/>
      <c r="L220" s="8"/>
      <c r="M220" s="9"/>
    </row>
    <row r="221" ht="15.75" customHeight="1">
      <c r="A221" s="8" t="s">
        <v>1760</v>
      </c>
      <c r="B221" s="7" t="s">
        <v>1837</v>
      </c>
      <c r="C221" s="8" t="s">
        <v>1740</v>
      </c>
      <c r="D221" s="8"/>
      <c r="E221" s="8"/>
      <c r="F221" s="8"/>
      <c r="G221" s="8"/>
      <c r="H221" s="8"/>
      <c r="I221" s="8"/>
      <c r="J221" s="8"/>
      <c r="K221" s="8"/>
      <c r="L221" s="8"/>
      <c r="M221" s="9"/>
    </row>
    <row r="222" ht="15.75" customHeight="1">
      <c r="A222" s="8" t="s">
        <v>1760</v>
      </c>
      <c r="B222" s="7" t="s">
        <v>1838</v>
      </c>
      <c r="C222" s="8" t="s">
        <v>1740</v>
      </c>
      <c r="D222" s="8"/>
      <c r="E222" s="8"/>
      <c r="F222" s="8"/>
      <c r="G222" s="8"/>
      <c r="H222" s="8"/>
      <c r="I222" s="8"/>
      <c r="J222" s="8"/>
      <c r="K222" s="8"/>
      <c r="L222" s="8"/>
      <c r="M222" s="9"/>
    </row>
    <row r="223" ht="15.75" customHeight="1">
      <c r="A223" s="8" t="s">
        <v>1760</v>
      </c>
      <c r="B223" s="7" t="s">
        <v>1839</v>
      </c>
      <c r="C223" s="8" t="s">
        <v>1740</v>
      </c>
      <c r="D223" s="8"/>
      <c r="E223" s="8"/>
      <c r="F223" s="8"/>
      <c r="G223" s="8"/>
      <c r="H223" s="8"/>
      <c r="I223" s="8"/>
      <c r="J223" s="8"/>
      <c r="K223" s="8"/>
      <c r="L223" s="8"/>
      <c r="M223" s="9"/>
    </row>
    <row r="224" ht="15.75" customHeight="1">
      <c r="A224" s="8" t="s">
        <v>1760</v>
      </c>
      <c r="B224" s="7" t="s">
        <v>1840</v>
      </c>
      <c r="C224" s="8" t="s">
        <v>1740</v>
      </c>
      <c r="D224" s="8"/>
      <c r="E224" s="8"/>
      <c r="F224" s="8"/>
      <c r="G224" s="8"/>
      <c r="H224" s="8"/>
      <c r="I224" s="8"/>
      <c r="J224" s="8"/>
      <c r="K224" s="8"/>
      <c r="L224" s="8"/>
      <c r="M224" s="9"/>
    </row>
    <row r="225" ht="15.75" customHeight="1">
      <c r="A225" s="8" t="s">
        <v>1841</v>
      </c>
      <c r="B225" s="7" t="s">
        <v>140</v>
      </c>
      <c r="C225" s="8" t="s">
        <v>1740</v>
      </c>
      <c r="D225" s="8"/>
      <c r="E225" s="8"/>
      <c r="F225" s="8"/>
      <c r="G225" s="8"/>
      <c r="H225" s="8"/>
      <c r="I225" s="8"/>
      <c r="J225" s="8"/>
      <c r="K225" s="8">
        <v>5.0</v>
      </c>
      <c r="L225" s="8"/>
      <c r="M225" s="9"/>
    </row>
    <row r="226" ht="15.75" customHeight="1">
      <c r="A226" s="8" t="s">
        <v>1841</v>
      </c>
      <c r="B226" s="7" t="s">
        <v>505</v>
      </c>
      <c r="C226" s="8" t="s">
        <v>1740</v>
      </c>
      <c r="D226" s="8"/>
      <c r="E226" s="8"/>
      <c r="F226" s="8"/>
      <c r="G226" s="8"/>
      <c r="H226" s="8"/>
      <c r="I226" s="8"/>
      <c r="J226" s="8"/>
      <c r="K226" s="8">
        <v>5.0</v>
      </c>
      <c r="L226" s="8"/>
      <c r="M226" s="9"/>
    </row>
    <row r="227" ht="15.75" customHeight="1">
      <c r="A227" s="8" t="s">
        <v>1841</v>
      </c>
      <c r="B227" s="7" t="s">
        <v>508</v>
      </c>
      <c r="C227" s="8" t="s">
        <v>1740</v>
      </c>
      <c r="D227" s="8"/>
      <c r="E227" s="8"/>
      <c r="F227" s="8"/>
      <c r="G227" s="8"/>
      <c r="H227" s="8"/>
      <c r="I227" s="8"/>
      <c r="J227" s="8"/>
      <c r="K227" s="8">
        <v>5.0</v>
      </c>
      <c r="L227" s="8"/>
      <c r="M227" s="9"/>
    </row>
    <row r="228" ht="15.75" customHeight="1">
      <c r="A228" s="8" t="s">
        <v>1841</v>
      </c>
      <c r="B228" s="7" t="s">
        <v>511</v>
      </c>
      <c r="C228" s="8" t="s">
        <v>1740</v>
      </c>
      <c r="D228" s="8"/>
      <c r="E228" s="8"/>
      <c r="F228" s="8"/>
      <c r="G228" s="8"/>
      <c r="H228" s="8"/>
      <c r="I228" s="8"/>
      <c r="J228" s="8"/>
      <c r="K228" s="8">
        <v>5.0</v>
      </c>
      <c r="L228" s="8"/>
      <c r="M228" s="9"/>
    </row>
    <row r="229" ht="15.75" customHeight="1">
      <c r="A229" s="8" t="s">
        <v>1841</v>
      </c>
      <c r="B229" s="7" t="s">
        <v>11</v>
      </c>
      <c r="C229" s="8" t="s">
        <v>1740</v>
      </c>
      <c r="D229" s="8"/>
      <c r="E229" s="8"/>
      <c r="F229" s="8"/>
      <c r="G229" s="8"/>
      <c r="H229" s="8"/>
      <c r="I229" s="8"/>
      <c r="J229" s="8"/>
      <c r="K229" s="8">
        <v>5.0</v>
      </c>
      <c r="L229" s="8"/>
      <c r="M229" s="9"/>
    </row>
    <row r="230" ht="15.75" customHeight="1">
      <c r="A230" s="8" t="s">
        <v>1841</v>
      </c>
      <c r="B230" s="7" t="s">
        <v>514</v>
      </c>
      <c r="C230" s="8" t="s">
        <v>1740</v>
      </c>
      <c r="D230" s="8"/>
      <c r="E230" s="8"/>
      <c r="F230" s="8"/>
      <c r="G230" s="8"/>
      <c r="H230" s="8"/>
      <c r="I230" s="8"/>
      <c r="J230" s="8"/>
      <c r="K230" s="8">
        <v>5.0</v>
      </c>
      <c r="L230" s="8"/>
      <c r="M230" s="9"/>
    </row>
    <row r="231" ht="15.75" customHeight="1">
      <c r="A231" s="8" t="s">
        <v>1841</v>
      </c>
      <c r="B231" s="7" t="s">
        <v>133</v>
      </c>
      <c r="C231" s="8" t="s">
        <v>1740</v>
      </c>
      <c r="D231" s="8"/>
      <c r="E231" s="8"/>
      <c r="F231" s="8"/>
      <c r="G231" s="8"/>
      <c r="H231" s="8"/>
      <c r="I231" s="8"/>
      <c r="J231" s="8"/>
      <c r="K231" s="8">
        <v>5.0</v>
      </c>
      <c r="L231" s="8"/>
      <c r="M231" s="9"/>
    </row>
    <row r="232" ht="15.75" customHeight="1">
      <c r="A232" s="8" t="s">
        <v>1841</v>
      </c>
      <c r="B232" s="7" t="s">
        <v>350</v>
      </c>
      <c r="C232" s="8" t="s">
        <v>1740</v>
      </c>
      <c r="D232" s="8"/>
      <c r="E232" s="8"/>
      <c r="F232" s="8"/>
      <c r="G232" s="8"/>
      <c r="H232" s="8"/>
      <c r="I232" s="8"/>
      <c r="J232" s="8"/>
      <c r="K232" s="8">
        <v>5.0</v>
      </c>
      <c r="L232" s="8"/>
      <c r="M232" s="9"/>
    </row>
    <row r="233" ht="15.75" customHeight="1">
      <c r="A233" s="8" t="s">
        <v>1824</v>
      </c>
      <c r="B233" s="7" t="s">
        <v>800</v>
      </c>
      <c r="C233" s="8" t="s">
        <v>1740</v>
      </c>
      <c r="D233" s="8"/>
      <c r="E233" s="8"/>
      <c r="F233" s="8"/>
      <c r="G233" s="8"/>
      <c r="H233" s="8"/>
      <c r="I233" s="8"/>
      <c r="J233" s="8"/>
      <c r="K233" s="8">
        <v>5.0</v>
      </c>
      <c r="L233" s="8"/>
      <c r="M233" s="9"/>
    </row>
    <row r="234" ht="15.75" customHeight="1">
      <c r="A234" s="8" t="s">
        <v>1824</v>
      </c>
      <c r="B234" s="7" t="s">
        <v>802</v>
      </c>
      <c r="C234" s="8" t="s">
        <v>1740</v>
      </c>
      <c r="D234" s="8"/>
      <c r="E234" s="8"/>
      <c r="F234" s="8"/>
      <c r="G234" s="8"/>
      <c r="H234" s="8"/>
      <c r="I234" s="8"/>
      <c r="J234" s="8"/>
      <c r="K234" s="8">
        <v>5.0</v>
      </c>
      <c r="L234" s="8"/>
      <c r="M234" s="9"/>
    </row>
    <row r="235" ht="15.75" customHeight="1">
      <c r="A235" s="8" t="s">
        <v>1824</v>
      </c>
      <c r="B235" s="7" t="s">
        <v>135</v>
      </c>
      <c r="C235" s="8" t="s">
        <v>1740</v>
      </c>
      <c r="D235" s="8"/>
      <c r="E235" s="8"/>
      <c r="F235" s="8"/>
      <c r="G235" s="8"/>
      <c r="H235" s="8"/>
      <c r="I235" s="8"/>
      <c r="J235" s="8"/>
      <c r="K235" s="8">
        <v>5.0</v>
      </c>
      <c r="L235" s="8"/>
      <c r="M235" s="9"/>
    </row>
    <row r="236" ht="15.75" customHeight="1">
      <c r="A236" s="8" t="s">
        <v>1775</v>
      </c>
      <c r="B236" s="7" t="s">
        <v>1842</v>
      </c>
      <c r="C236" s="8" t="s">
        <v>1740</v>
      </c>
      <c r="D236" s="8"/>
      <c r="E236" s="8"/>
      <c r="F236" s="8"/>
      <c r="G236" s="8"/>
      <c r="H236" s="8"/>
      <c r="I236" s="8"/>
      <c r="J236" s="8"/>
      <c r="K236" s="8"/>
      <c r="L236" s="8"/>
      <c r="M236" s="9"/>
    </row>
    <row r="237" ht="15.75" customHeight="1">
      <c r="A237" s="8" t="s">
        <v>1775</v>
      </c>
      <c r="B237" s="7" t="s">
        <v>1843</v>
      </c>
      <c r="C237" s="8" t="s">
        <v>1740</v>
      </c>
      <c r="D237" s="8"/>
      <c r="E237" s="8"/>
      <c r="F237" s="8"/>
      <c r="G237" s="8"/>
      <c r="H237" s="8"/>
      <c r="I237" s="8"/>
      <c r="J237" s="8"/>
      <c r="K237" s="8"/>
      <c r="L237" s="8"/>
      <c r="M237" s="9"/>
    </row>
    <row r="238" ht="15.75" customHeight="1">
      <c r="A238" s="8" t="s">
        <v>1775</v>
      </c>
      <c r="B238" s="7" t="s">
        <v>1844</v>
      </c>
      <c r="C238" s="8" t="s">
        <v>1740</v>
      </c>
      <c r="D238" s="8"/>
      <c r="E238" s="8"/>
      <c r="F238" s="8"/>
      <c r="G238" s="8"/>
      <c r="H238" s="8"/>
      <c r="I238" s="8"/>
      <c r="J238" s="8"/>
      <c r="K238" s="8"/>
      <c r="L238" s="8"/>
      <c r="M238" s="9"/>
    </row>
    <row r="239" ht="15.75" customHeight="1">
      <c r="A239" s="8" t="s">
        <v>1775</v>
      </c>
      <c r="B239" s="7" t="s">
        <v>1776</v>
      </c>
      <c r="C239" s="8" t="s">
        <v>1740</v>
      </c>
      <c r="D239" s="8"/>
      <c r="E239" s="8"/>
      <c r="F239" s="8"/>
      <c r="G239" s="8"/>
      <c r="H239" s="8"/>
      <c r="I239" s="8"/>
      <c r="J239" s="8"/>
      <c r="K239" s="8"/>
      <c r="L239" s="8"/>
      <c r="M239" s="9"/>
    </row>
    <row r="240" ht="15.75" customHeight="1">
      <c r="A240" s="8" t="s">
        <v>1775</v>
      </c>
      <c r="B240" s="7" t="s">
        <v>1777</v>
      </c>
      <c r="C240" s="8" t="s">
        <v>1740</v>
      </c>
      <c r="D240" s="8"/>
      <c r="E240" s="8"/>
      <c r="F240" s="8"/>
      <c r="G240" s="8"/>
      <c r="H240" s="8"/>
      <c r="I240" s="8"/>
      <c r="J240" s="8"/>
      <c r="K240" s="8"/>
      <c r="L240" s="8"/>
      <c r="M240" s="9"/>
    </row>
    <row r="241" ht="15.75" customHeight="1">
      <c r="A241" s="8" t="s">
        <v>1775</v>
      </c>
      <c r="B241" s="7" t="s">
        <v>1778</v>
      </c>
      <c r="C241" s="8" t="s">
        <v>1740</v>
      </c>
      <c r="D241" s="8"/>
      <c r="E241" s="8"/>
      <c r="F241" s="8"/>
      <c r="G241" s="8"/>
      <c r="H241" s="8"/>
      <c r="I241" s="8"/>
      <c r="J241" s="8"/>
      <c r="K241" s="8"/>
      <c r="L241" s="8"/>
      <c r="M241" s="9"/>
    </row>
    <row r="242" ht="15.75" customHeight="1">
      <c r="A242" s="8" t="s">
        <v>1834</v>
      </c>
      <c r="B242" s="7" t="s">
        <v>1067</v>
      </c>
      <c r="C242" s="8" t="s">
        <v>1740</v>
      </c>
      <c r="D242" s="8"/>
      <c r="E242" s="8"/>
      <c r="F242" s="8"/>
      <c r="G242" s="8"/>
      <c r="H242" s="8"/>
      <c r="I242" s="8"/>
      <c r="J242" s="8"/>
      <c r="K242" s="8">
        <v>5.0</v>
      </c>
      <c r="L242" s="8"/>
      <c r="M242" s="9"/>
    </row>
    <row r="243" ht="15.75" customHeight="1">
      <c r="A243" s="8" t="s">
        <v>1834</v>
      </c>
      <c r="B243" s="7" t="s">
        <v>1068</v>
      </c>
      <c r="C243" s="8" t="s">
        <v>1740</v>
      </c>
      <c r="D243" s="8"/>
      <c r="E243" s="8"/>
      <c r="F243" s="8"/>
      <c r="G243" s="8"/>
      <c r="H243" s="8"/>
      <c r="I243" s="8"/>
      <c r="J243" s="8"/>
      <c r="K243" s="8">
        <v>5.0</v>
      </c>
      <c r="L243" s="8"/>
      <c r="M243" s="9"/>
    </row>
    <row r="244" ht="15.75" customHeight="1">
      <c r="A244" s="8" t="s">
        <v>1834</v>
      </c>
      <c r="B244" s="7" t="s">
        <v>1069</v>
      </c>
      <c r="C244" s="8" t="s">
        <v>1740</v>
      </c>
      <c r="D244" s="8"/>
      <c r="E244" s="8"/>
      <c r="F244" s="8"/>
      <c r="G244" s="8"/>
      <c r="H244" s="8"/>
      <c r="I244" s="8"/>
      <c r="J244" s="8"/>
      <c r="K244" s="8">
        <v>5.0</v>
      </c>
      <c r="L244" s="8"/>
      <c r="M244" s="9"/>
    </row>
    <row r="245" ht="15.75" customHeight="1">
      <c r="A245" s="8" t="s">
        <v>1834</v>
      </c>
      <c r="B245" s="7" t="s">
        <v>1070</v>
      </c>
      <c r="C245" s="8" t="s">
        <v>1740</v>
      </c>
      <c r="D245" s="8"/>
      <c r="E245" s="8"/>
      <c r="F245" s="8"/>
      <c r="G245" s="8"/>
      <c r="H245" s="8"/>
      <c r="I245" s="8"/>
      <c r="J245" s="8"/>
      <c r="K245" s="8">
        <v>5.0</v>
      </c>
      <c r="L245" s="8"/>
      <c r="M245" s="9"/>
    </row>
    <row r="246" ht="15.75" customHeight="1">
      <c r="A246" s="8" t="s">
        <v>1834</v>
      </c>
      <c r="B246" s="7" t="s">
        <v>1072</v>
      </c>
      <c r="C246" s="8" t="s">
        <v>1740</v>
      </c>
      <c r="D246" s="8"/>
      <c r="E246" s="8"/>
      <c r="F246" s="8"/>
      <c r="G246" s="8"/>
      <c r="H246" s="8"/>
      <c r="I246" s="8"/>
      <c r="J246" s="8"/>
      <c r="K246" s="8">
        <v>5.0</v>
      </c>
      <c r="L246" s="8"/>
      <c r="M246" s="9"/>
    </row>
    <row r="247" ht="15.75" customHeight="1">
      <c r="A247" s="8" t="s">
        <v>1834</v>
      </c>
      <c r="B247" s="7" t="s">
        <v>1073</v>
      </c>
      <c r="C247" s="8" t="s">
        <v>1740</v>
      </c>
      <c r="D247" s="8"/>
      <c r="E247" s="8"/>
      <c r="F247" s="8"/>
      <c r="G247" s="8"/>
      <c r="H247" s="8"/>
      <c r="I247" s="8"/>
      <c r="J247" s="8"/>
      <c r="K247" s="8">
        <v>5.0</v>
      </c>
      <c r="L247" s="8"/>
      <c r="M247" s="9"/>
    </row>
    <row r="248" ht="15.75" customHeight="1">
      <c r="A248" s="8" t="s">
        <v>1760</v>
      </c>
      <c r="B248" s="7" t="s">
        <v>1297</v>
      </c>
      <c r="C248" s="8" t="s">
        <v>1740</v>
      </c>
      <c r="D248" s="8"/>
      <c r="E248" s="8"/>
      <c r="F248" s="8"/>
      <c r="G248" s="8"/>
      <c r="H248" s="8"/>
      <c r="I248" s="8"/>
      <c r="J248" s="8"/>
      <c r="K248" s="8"/>
      <c r="L248" s="8"/>
      <c r="M248" s="9"/>
    </row>
    <row r="249" ht="15.75" customHeight="1">
      <c r="A249" s="8" t="s">
        <v>1760</v>
      </c>
      <c r="B249" s="7" t="s">
        <v>1300</v>
      </c>
      <c r="C249" s="8" t="s">
        <v>1740</v>
      </c>
      <c r="D249" s="8"/>
      <c r="E249" s="8"/>
      <c r="F249" s="8"/>
      <c r="G249" s="8"/>
      <c r="H249" s="8"/>
      <c r="I249" s="8"/>
      <c r="J249" s="8"/>
      <c r="K249" s="8"/>
      <c r="L249" s="8"/>
      <c r="M249" s="9"/>
    </row>
    <row r="250" ht="15.75" customHeight="1">
      <c r="A250" s="8" t="s">
        <v>1760</v>
      </c>
      <c r="B250" s="7" t="s">
        <v>347</v>
      </c>
      <c r="C250" s="8" t="s">
        <v>1740</v>
      </c>
      <c r="D250" s="8"/>
      <c r="E250" s="8"/>
      <c r="F250" s="8"/>
      <c r="G250" s="8"/>
      <c r="H250" s="8"/>
      <c r="I250" s="8"/>
      <c r="J250" s="8"/>
      <c r="K250" s="8"/>
      <c r="L250" s="8"/>
      <c r="M250" s="9"/>
    </row>
    <row r="251" ht="15.75" customHeight="1">
      <c r="A251" s="8" t="s">
        <v>1824</v>
      </c>
      <c r="B251" s="7" t="s">
        <v>462</v>
      </c>
      <c r="C251" s="8" t="s">
        <v>1740</v>
      </c>
      <c r="D251" s="8"/>
      <c r="E251" s="8"/>
      <c r="F251" s="8"/>
      <c r="G251" s="8"/>
      <c r="H251" s="8"/>
      <c r="I251" s="8"/>
      <c r="J251" s="8"/>
      <c r="K251" s="8">
        <v>5.0</v>
      </c>
      <c r="L251" s="8"/>
      <c r="M251" s="9"/>
    </row>
    <row r="252" ht="15.75" customHeight="1">
      <c r="A252" s="8" t="s">
        <v>1824</v>
      </c>
      <c r="B252" s="7" t="s">
        <v>617</v>
      </c>
      <c r="C252" s="8" t="s">
        <v>1740</v>
      </c>
      <c r="D252" s="8"/>
      <c r="E252" s="8"/>
      <c r="F252" s="8"/>
      <c r="G252" s="8"/>
      <c r="H252" s="8"/>
      <c r="I252" s="8"/>
      <c r="J252" s="8"/>
      <c r="K252" s="8">
        <v>5.0</v>
      </c>
      <c r="L252" s="8"/>
      <c r="M252" s="9"/>
    </row>
    <row r="253" ht="15.75" customHeight="1">
      <c r="A253" s="8" t="s">
        <v>1824</v>
      </c>
      <c r="B253" s="7" t="s">
        <v>620</v>
      </c>
      <c r="C253" s="8" t="s">
        <v>1740</v>
      </c>
      <c r="D253" s="8"/>
      <c r="E253" s="8"/>
      <c r="F253" s="8"/>
      <c r="G253" s="8"/>
      <c r="H253" s="8"/>
      <c r="I253" s="8"/>
      <c r="J253" s="8"/>
      <c r="K253" s="8">
        <v>5.0</v>
      </c>
      <c r="L253" s="8"/>
      <c r="M253" s="9"/>
    </row>
    <row r="254" ht="15.75" customHeight="1">
      <c r="A254" s="8" t="s">
        <v>1825</v>
      </c>
      <c r="B254" s="7" t="s">
        <v>1845</v>
      </c>
      <c r="C254" s="8" t="s">
        <v>1740</v>
      </c>
      <c r="D254" s="8"/>
      <c r="E254" s="8"/>
      <c r="F254" s="8"/>
      <c r="G254" s="8"/>
      <c r="H254" s="8"/>
      <c r="I254" s="8"/>
      <c r="J254" s="8"/>
      <c r="K254" s="8">
        <v>5.0</v>
      </c>
      <c r="L254" s="8"/>
      <c r="M254" s="9"/>
    </row>
    <row r="255" ht="15.75" customHeight="1">
      <c r="A255" s="8" t="s">
        <v>1825</v>
      </c>
      <c r="B255" s="7" t="s">
        <v>1846</v>
      </c>
      <c r="C255" s="8" t="s">
        <v>1740</v>
      </c>
      <c r="D255" s="8"/>
      <c r="E255" s="8"/>
      <c r="F255" s="8"/>
      <c r="G255" s="8"/>
      <c r="H255" s="8"/>
      <c r="I255" s="8"/>
      <c r="J255" s="8"/>
      <c r="K255" s="8">
        <v>5.0</v>
      </c>
      <c r="L255" s="8"/>
      <c r="M255" s="9"/>
    </row>
    <row r="256" ht="15.75" customHeight="1">
      <c r="A256" s="8" t="s">
        <v>1825</v>
      </c>
      <c r="B256" s="7" t="s">
        <v>1847</v>
      </c>
      <c r="C256" s="8" t="s">
        <v>1740</v>
      </c>
      <c r="D256" s="8"/>
      <c r="E256" s="8"/>
      <c r="F256" s="8"/>
      <c r="G256" s="8"/>
      <c r="H256" s="8"/>
      <c r="I256" s="8"/>
      <c r="J256" s="8"/>
      <c r="K256" s="8">
        <v>5.0</v>
      </c>
      <c r="L256" s="8"/>
      <c r="M256" s="9"/>
    </row>
    <row r="257" ht="15.75" customHeight="1">
      <c r="A257" s="8" t="s">
        <v>1825</v>
      </c>
      <c r="B257" s="7" t="s">
        <v>1848</v>
      </c>
      <c r="C257" s="8" t="s">
        <v>1740</v>
      </c>
      <c r="D257" s="8"/>
      <c r="E257" s="8"/>
      <c r="F257" s="8"/>
      <c r="G257" s="8"/>
      <c r="H257" s="8"/>
      <c r="I257" s="8"/>
      <c r="J257" s="8"/>
      <c r="K257" s="8">
        <v>5.0</v>
      </c>
      <c r="L257" s="8"/>
      <c r="M257" s="9"/>
    </row>
    <row r="258" ht="15.75" customHeight="1">
      <c r="A258" s="8" t="s">
        <v>1825</v>
      </c>
      <c r="B258" s="7" t="s">
        <v>1849</v>
      </c>
      <c r="C258" s="8" t="s">
        <v>1740</v>
      </c>
      <c r="D258" s="8"/>
      <c r="E258" s="8"/>
      <c r="F258" s="8"/>
      <c r="G258" s="8"/>
      <c r="H258" s="8"/>
      <c r="I258" s="8"/>
      <c r="J258" s="8"/>
      <c r="K258" s="8">
        <v>5.0</v>
      </c>
      <c r="L258" s="8"/>
      <c r="M258" s="9"/>
    </row>
    <row r="259" ht="15.75" customHeight="1">
      <c r="A259" s="8" t="s">
        <v>1739</v>
      </c>
      <c r="B259" s="7" t="s">
        <v>1354</v>
      </c>
      <c r="C259" s="8" t="s">
        <v>1740</v>
      </c>
      <c r="D259" s="8"/>
      <c r="E259" s="8"/>
      <c r="F259" s="8"/>
      <c r="G259" s="8"/>
      <c r="H259" s="8"/>
      <c r="I259" s="8"/>
      <c r="J259" s="8"/>
      <c r="K259" s="8">
        <v>5.0</v>
      </c>
      <c r="L259" s="8"/>
      <c r="M259" s="9"/>
    </row>
    <row r="260" ht="15.75" customHeight="1">
      <c r="A260" s="8" t="s">
        <v>1739</v>
      </c>
      <c r="B260" s="7" t="s">
        <v>271</v>
      </c>
      <c r="C260" s="8" t="s">
        <v>1740</v>
      </c>
      <c r="D260" s="8"/>
      <c r="E260" s="8"/>
      <c r="F260" s="8"/>
      <c r="G260" s="8"/>
      <c r="H260" s="8"/>
      <c r="I260" s="8"/>
      <c r="J260" s="8"/>
      <c r="K260" s="8">
        <v>5.0</v>
      </c>
      <c r="L260" s="8"/>
      <c r="M260" s="9"/>
    </row>
    <row r="261" ht="15.75" customHeight="1">
      <c r="A261" s="8" t="s">
        <v>1739</v>
      </c>
      <c r="B261" s="7" t="s">
        <v>275</v>
      </c>
      <c r="C261" s="8" t="s">
        <v>1740</v>
      </c>
      <c r="D261" s="8"/>
      <c r="E261" s="8"/>
      <c r="F261" s="8"/>
      <c r="G261" s="8"/>
      <c r="H261" s="8"/>
      <c r="I261" s="8"/>
      <c r="J261" s="8"/>
      <c r="K261" s="8">
        <v>5.0</v>
      </c>
      <c r="L261" s="8"/>
      <c r="M261" s="9"/>
    </row>
    <row r="262" ht="15.75" customHeight="1">
      <c r="A262" s="8" t="s">
        <v>1739</v>
      </c>
      <c r="B262" s="7" t="s">
        <v>277</v>
      </c>
      <c r="C262" s="8" t="s">
        <v>1740</v>
      </c>
      <c r="D262" s="8"/>
      <c r="E262" s="8"/>
      <c r="F262" s="8"/>
      <c r="G262" s="8"/>
      <c r="H262" s="8"/>
      <c r="I262" s="8"/>
      <c r="J262" s="8"/>
      <c r="K262" s="8">
        <v>5.0</v>
      </c>
      <c r="L262" s="8"/>
      <c r="M262" s="9"/>
    </row>
    <row r="263" ht="15.75" customHeight="1">
      <c r="A263" s="8" t="s">
        <v>1739</v>
      </c>
      <c r="B263" s="7" t="s">
        <v>279</v>
      </c>
      <c r="C263" s="8" t="s">
        <v>1740</v>
      </c>
      <c r="D263" s="8"/>
      <c r="E263" s="8"/>
      <c r="F263" s="8"/>
      <c r="G263" s="8"/>
      <c r="H263" s="8"/>
      <c r="I263" s="8"/>
      <c r="J263" s="8"/>
      <c r="K263" s="8">
        <v>5.0</v>
      </c>
      <c r="L263" s="8"/>
      <c r="M263" s="9"/>
    </row>
    <row r="264" ht="15.75" customHeight="1">
      <c r="A264" s="8" t="s">
        <v>1739</v>
      </c>
      <c r="B264" s="7" t="s">
        <v>296</v>
      </c>
      <c r="C264" s="8" t="s">
        <v>1740</v>
      </c>
      <c r="D264" s="8"/>
      <c r="E264" s="8"/>
      <c r="F264" s="8"/>
      <c r="G264" s="8"/>
      <c r="H264" s="8"/>
      <c r="I264" s="8"/>
      <c r="J264" s="8"/>
      <c r="K264" s="8">
        <v>5.0</v>
      </c>
      <c r="L264" s="8"/>
      <c r="M264" s="9"/>
    </row>
    <row r="265" ht="15.75" customHeight="1">
      <c r="A265" s="8" t="s">
        <v>1739</v>
      </c>
      <c r="B265" s="7" t="s">
        <v>332</v>
      </c>
      <c r="C265" s="8" t="s">
        <v>1740</v>
      </c>
      <c r="D265" s="8"/>
      <c r="E265" s="8"/>
      <c r="F265" s="8"/>
      <c r="G265" s="8"/>
      <c r="H265" s="8"/>
      <c r="I265" s="8"/>
      <c r="J265" s="8"/>
      <c r="K265" s="8">
        <v>5.0</v>
      </c>
      <c r="L265" s="8"/>
      <c r="M265" s="9"/>
    </row>
    <row r="266" ht="15.75" customHeight="1">
      <c r="A266" s="8" t="s">
        <v>1739</v>
      </c>
      <c r="B266" s="7" t="s">
        <v>333</v>
      </c>
      <c r="C266" s="8" t="s">
        <v>1740</v>
      </c>
      <c r="D266" s="8"/>
      <c r="E266" s="8"/>
      <c r="F266" s="8"/>
      <c r="G266" s="8"/>
      <c r="H266" s="8"/>
      <c r="I266" s="8"/>
      <c r="J266" s="8"/>
      <c r="K266" s="8">
        <v>5.0</v>
      </c>
      <c r="L266" s="8"/>
      <c r="M266" s="9"/>
    </row>
    <row r="267" ht="15.75" customHeight="1">
      <c r="A267" s="8" t="s">
        <v>1739</v>
      </c>
      <c r="B267" s="7" t="s">
        <v>351</v>
      </c>
      <c r="C267" s="8" t="s">
        <v>1740</v>
      </c>
      <c r="D267" s="8"/>
      <c r="E267" s="8"/>
      <c r="F267" s="8"/>
      <c r="G267" s="8"/>
      <c r="H267" s="8"/>
      <c r="I267" s="8"/>
      <c r="J267" s="8"/>
      <c r="K267" s="8">
        <v>5.0</v>
      </c>
      <c r="L267" s="8"/>
      <c r="M267" s="9"/>
    </row>
    <row r="268" ht="15.75" customHeight="1">
      <c r="A268" s="8" t="s">
        <v>1824</v>
      </c>
      <c r="B268" s="7" t="s">
        <v>469</v>
      </c>
      <c r="C268" s="8" t="s">
        <v>1740</v>
      </c>
      <c r="D268" s="8"/>
      <c r="E268" s="8"/>
      <c r="F268" s="8"/>
      <c r="G268" s="8"/>
      <c r="H268" s="8"/>
      <c r="I268" s="8"/>
      <c r="J268" s="8"/>
      <c r="K268" s="8">
        <v>5.0</v>
      </c>
      <c r="L268" s="8"/>
      <c r="M268" s="9"/>
    </row>
    <row r="269" ht="15.75" customHeight="1">
      <c r="A269" s="8" t="s">
        <v>1824</v>
      </c>
      <c r="B269" s="7" t="s">
        <v>650</v>
      </c>
      <c r="C269" s="8" t="s">
        <v>1740</v>
      </c>
      <c r="D269" s="8"/>
      <c r="E269" s="8"/>
      <c r="F269" s="8"/>
      <c r="G269" s="8"/>
      <c r="H269" s="8"/>
      <c r="I269" s="8"/>
      <c r="J269" s="8"/>
      <c r="K269" s="8">
        <v>5.0</v>
      </c>
      <c r="L269" s="8"/>
      <c r="M269" s="9"/>
    </row>
    <row r="270" ht="15.75" customHeight="1">
      <c r="A270" s="8" t="s">
        <v>1824</v>
      </c>
      <c r="B270" s="7" t="s">
        <v>804</v>
      </c>
      <c r="C270" s="8" t="s">
        <v>1740</v>
      </c>
      <c r="D270" s="8"/>
      <c r="E270" s="8"/>
      <c r="F270" s="8"/>
      <c r="G270" s="8"/>
      <c r="H270" s="8"/>
      <c r="I270" s="8"/>
      <c r="J270" s="8"/>
      <c r="K270" s="8">
        <v>5.0</v>
      </c>
      <c r="L270" s="8"/>
      <c r="M270" s="9"/>
    </row>
    <row r="271" ht="15.75" customHeight="1">
      <c r="A271" s="8" t="s">
        <v>1824</v>
      </c>
      <c r="B271" s="7" t="s">
        <v>805</v>
      </c>
      <c r="C271" s="8" t="s">
        <v>1740</v>
      </c>
      <c r="D271" s="8"/>
      <c r="E271" s="8"/>
      <c r="F271" s="8"/>
      <c r="G271" s="8"/>
      <c r="H271" s="8"/>
      <c r="I271" s="8"/>
      <c r="J271" s="8"/>
      <c r="K271" s="8">
        <v>5.0</v>
      </c>
      <c r="L271" s="8"/>
      <c r="M271" s="9"/>
    </row>
    <row r="272" ht="15.75" customHeight="1">
      <c r="A272" s="8" t="s">
        <v>1824</v>
      </c>
      <c r="B272" s="7" t="s">
        <v>806</v>
      </c>
      <c r="C272" s="8" t="s">
        <v>1740</v>
      </c>
      <c r="D272" s="8"/>
      <c r="E272" s="8"/>
      <c r="F272" s="8"/>
      <c r="G272" s="8"/>
      <c r="H272" s="8"/>
      <c r="I272" s="8"/>
      <c r="J272" s="8"/>
      <c r="K272" s="8">
        <v>5.0</v>
      </c>
      <c r="L272" s="8"/>
      <c r="M272" s="9"/>
    </row>
    <row r="273" ht="15.75" customHeight="1">
      <c r="A273" s="8" t="s">
        <v>1775</v>
      </c>
      <c r="B273" s="7" t="s">
        <v>1850</v>
      </c>
      <c r="C273" s="8" t="s">
        <v>1740</v>
      </c>
      <c r="D273" s="8"/>
      <c r="E273" s="8"/>
      <c r="F273" s="8"/>
      <c r="G273" s="8"/>
      <c r="H273" s="8"/>
      <c r="I273" s="8"/>
      <c r="J273" s="8"/>
      <c r="K273" s="8"/>
      <c r="L273" s="8"/>
      <c r="M273" s="9"/>
    </row>
    <row r="274" ht="15.75" customHeight="1">
      <c r="A274" s="8" t="s">
        <v>1775</v>
      </c>
      <c r="B274" s="7" t="s">
        <v>1799</v>
      </c>
      <c r="C274" s="8" t="s">
        <v>1740</v>
      </c>
      <c r="D274" s="8"/>
      <c r="E274" s="8"/>
      <c r="F274" s="8"/>
      <c r="G274" s="8"/>
      <c r="H274" s="8"/>
      <c r="I274" s="8"/>
      <c r="J274" s="8"/>
      <c r="K274" s="8"/>
      <c r="L274" s="8"/>
      <c r="M274" s="9"/>
    </row>
    <row r="275" ht="15.75" customHeight="1">
      <c r="A275" s="8" t="s">
        <v>1739</v>
      </c>
      <c r="B275" s="7" t="s">
        <v>1065</v>
      </c>
      <c r="C275" s="8" t="s">
        <v>1740</v>
      </c>
      <c r="D275" s="8"/>
      <c r="E275" s="8"/>
      <c r="F275" s="8"/>
      <c r="G275" s="8"/>
      <c r="H275" s="8"/>
      <c r="I275" s="8"/>
      <c r="J275" s="8"/>
      <c r="K275" s="8">
        <v>5.0</v>
      </c>
      <c r="L275" s="8"/>
      <c r="M275" s="9"/>
    </row>
    <row r="276" ht="15.75" customHeight="1">
      <c r="A276" s="8" t="s">
        <v>1739</v>
      </c>
      <c r="B276" s="7" t="s">
        <v>1157</v>
      </c>
      <c r="C276" s="8" t="s">
        <v>1740</v>
      </c>
      <c r="D276" s="8"/>
      <c r="E276" s="8"/>
      <c r="F276" s="8"/>
      <c r="G276" s="8"/>
      <c r="H276" s="8"/>
      <c r="I276" s="8"/>
      <c r="J276" s="8"/>
      <c r="K276" s="8">
        <v>5.0</v>
      </c>
      <c r="L276" s="8"/>
      <c r="M276" s="9"/>
    </row>
    <row r="277" ht="15.75" customHeight="1">
      <c r="A277" s="8" t="s">
        <v>1825</v>
      </c>
      <c r="B277" s="7" t="s">
        <v>1851</v>
      </c>
      <c r="C277" s="8" t="s">
        <v>1740</v>
      </c>
      <c r="D277" s="8"/>
      <c r="E277" s="8"/>
      <c r="F277" s="8"/>
      <c r="G277" s="8"/>
      <c r="H277" s="8"/>
      <c r="I277" s="8"/>
      <c r="J277" s="8"/>
      <c r="K277" s="8">
        <v>5.0</v>
      </c>
      <c r="L277" s="8"/>
      <c r="M277" s="9"/>
    </row>
    <row r="278" ht="15.75" customHeight="1">
      <c r="A278" s="8" t="s">
        <v>1739</v>
      </c>
      <c r="B278" s="7" t="s">
        <v>471</v>
      </c>
      <c r="C278" s="8" t="s">
        <v>1740</v>
      </c>
      <c r="D278" s="8"/>
      <c r="E278" s="8"/>
      <c r="F278" s="8"/>
      <c r="G278" s="8"/>
      <c r="H278" s="8"/>
      <c r="I278" s="8"/>
      <c r="J278" s="8"/>
      <c r="K278" s="8">
        <v>5.0</v>
      </c>
      <c r="L278" s="8"/>
      <c r="M278" s="9"/>
    </row>
    <row r="279" ht="15.75" customHeight="1">
      <c r="A279" s="8" t="s">
        <v>1819</v>
      </c>
      <c r="B279" s="7" t="s">
        <v>652</v>
      </c>
      <c r="C279" s="8"/>
      <c r="D279" s="8"/>
      <c r="E279" s="8"/>
      <c r="F279" s="8"/>
      <c r="G279" s="8"/>
      <c r="H279" s="8"/>
      <c r="I279" s="8"/>
      <c r="J279" s="8"/>
      <c r="K279" s="8">
        <v>5.0</v>
      </c>
      <c r="L279" s="8"/>
      <c r="M279" s="9"/>
    </row>
    <row r="280" ht="15.75" customHeight="1">
      <c r="A280" s="8" t="s">
        <v>1819</v>
      </c>
      <c r="B280" s="7" t="s">
        <v>654</v>
      </c>
      <c r="C280" s="8"/>
      <c r="D280" s="8"/>
      <c r="E280" s="8"/>
      <c r="F280" s="8"/>
      <c r="G280" s="8"/>
      <c r="H280" s="8"/>
      <c r="I280" s="8"/>
      <c r="J280" s="8"/>
      <c r="K280" s="8">
        <v>5.0</v>
      </c>
      <c r="L280" s="8"/>
      <c r="M280" s="9"/>
    </row>
    <row r="281" ht="15.75" customHeight="1">
      <c r="A281" s="8" t="s">
        <v>1819</v>
      </c>
      <c r="B281" s="7" t="s">
        <v>656</v>
      </c>
      <c r="C281" s="8"/>
      <c r="D281" s="8"/>
      <c r="E281" s="8"/>
      <c r="F281" s="8"/>
      <c r="G281" s="8"/>
      <c r="H281" s="8"/>
      <c r="I281" s="8"/>
      <c r="J281" s="8"/>
      <c r="K281" s="8">
        <v>5.0</v>
      </c>
      <c r="L281" s="8"/>
      <c r="M281" s="9"/>
    </row>
    <row r="282" ht="15.75" customHeight="1">
      <c r="A282" s="8" t="s">
        <v>1819</v>
      </c>
      <c r="B282" s="7" t="s">
        <v>658</v>
      </c>
      <c r="C282" s="8"/>
      <c r="D282" s="8"/>
      <c r="E282" s="8"/>
      <c r="F282" s="8"/>
      <c r="G282" s="8"/>
      <c r="H282" s="8"/>
      <c r="I282" s="8"/>
      <c r="J282" s="8"/>
      <c r="K282" s="8">
        <v>5.0</v>
      </c>
      <c r="L282" s="8"/>
      <c r="M282" s="9"/>
    </row>
    <row r="283" ht="15.75" customHeight="1">
      <c r="A283" s="8" t="s">
        <v>1819</v>
      </c>
      <c r="B283" s="7" t="s">
        <v>660</v>
      </c>
      <c r="C283" s="8"/>
      <c r="D283" s="8"/>
      <c r="E283" s="8"/>
      <c r="F283" s="8"/>
      <c r="G283" s="8"/>
      <c r="H283" s="8"/>
      <c r="I283" s="8"/>
      <c r="J283" s="8"/>
      <c r="K283" s="8">
        <v>5.0</v>
      </c>
      <c r="L283" s="8"/>
      <c r="M283" s="9"/>
    </row>
    <row r="284" ht="15.75" customHeight="1">
      <c r="A284" s="8" t="s">
        <v>1819</v>
      </c>
      <c r="B284" s="7" t="s">
        <v>662</v>
      </c>
      <c r="C284" s="8"/>
      <c r="D284" s="8"/>
      <c r="E284" s="8"/>
      <c r="F284" s="8"/>
      <c r="G284" s="8"/>
      <c r="H284" s="8"/>
      <c r="I284" s="8"/>
      <c r="J284" s="8"/>
      <c r="K284" s="8">
        <v>5.0</v>
      </c>
      <c r="L284" s="8"/>
      <c r="M284" s="9"/>
    </row>
    <row r="285" ht="15.75" customHeight="1">
      <c r="A285" s="8" t="s">
        <v>1819</v>
      </c>
      <c r="B285" s="7" t="s">
        <v>664</v>
      </c>
      <c r="C285" s="8"/>
      <c r="D285" s="8"/>
      <c r="E285" s="8"/>
      <c r="F285" s="8"/>
      <c r="G285" s="8"/>
      <c r="H285" s="8"/>
      <c r="I285" s="8"/>
      <c r="J285" s="8"/>
      <c r="K285" s="8">
        <v>5.0</v>
      </c>
      <c r="L285" s="8"/>
      <c r="M285" s="9"/>
    </row>
    <row r="286" ht="15.75" customHeight="1">
      <c r="A286" s="8" t="s">
        <v>1819</v>
      </c>
      <c r="B286" s="7" t="s">
        <v>666</v>
      </c>
      <c r="C286" s="8"/>
      <c r="D286" s="8"/>
      <c r="E286" s="8"/>
      <c r="F286" s="8"/>
      <c r="G286" s="8"/>
      <c r="H286" s="8"/>
      <c r="I286" s="8"/>
      <c r="J286" s="8"/>
      <c r="K286" s="8">
        <v>5.0</v>
      </c>
      <c r="L286" s="8"/>
      <c r="M286" s="9"/>
    </row>
    <row r="287" ht="15.75" customHeight="1">
      <c r="A287" s="8" t="s">
        <v>1819</v>
      </c>
      <c r="B287" s="7" t="s">
        <v>668</v>
      </c>
      <c r="C287" s="8"/>
      <c r="D287" s="8"/>
      <c r="E287" s="8"/>
      <c r="F287" s="8"/>
      <c r="G287" s="8"/>
      <c r="H287" s="8"/>
      <c r="I287" s="8"/>
      <c r="J287" s="8"/>
      <c r="K287" s="8">
        <v>5.0</v>
      </c>
      <c r="L287" s="8"/>
      <c r="M287" s="9"/>
    </row>
    <row r="288" ht="15.75" customHeight="1">
      <c r="A288" s="8" t="s">
        <v>1819</v>
      </c>
      <c r="B288" s="7" t="s">
        <v>670</v>
      </c>
      <c r="C288" s="8"/>
      <c r="D288" s="8"/>
      <c r="E288" s="8"/>
      <c r="F288" s="8"/>
      <c r="G288" s="8"/>
      <c r="H288" s="8"/>
      <c r="I288" s="8"/>
      <c r="J288" s="8"/>
      <c r="K288" s="8">
        <v>5.0</v>
      </c>
      <c r="L288" s="8"/>
      <c r="M288" s="9"/>
    </row>
    <row r="289" ht="15.75" customHeight="1">
      <c r="A289" s="8" t="s">
        <v>1819</v>
      </c>
      <c r="B289" s="7" t="s">
        <v>672</v>
      </c>
      <c r="C289" s="8"/>
      <c r="D289" s="8"/>
      <c r="E289" s="8"/>
      <c r="F289" s="8"/>
      <c r="G289" s="8"/>
      <c r="H289" s="8"/>
      <c r="I289" s="8"/>
      <c r="J289" s="8"/>
      <c r="K289" s="8">
        <v>5.0</v>
      </c>
      <c r="L289" s="8"/>
      <c r="M289" s="9"/>
    </row>
    <row r="290" ht="15.75" customHeight="1">
      <c r="A290" s="8" t="s">
        <v>1819</v>
      </c>
      <c r="B290" s="7" t="s">
        <v>675</v>
      </c>
      <c r="C290" s="8"/>
      <c r="D290" s="8"/>
      <c r="E290" s="8"/>
      <c r="F290" s="8"/>
      <c r="G290" s="8"/>
      <c r="H290" s="8"/>
      <c r="I290" s="8"/>
      <c r="J290" s="8"/>
      <c r="K290" s="8">
        <v>5.0</v>
      </c>
      <c r="L290" s="8"/>
      <c r="M290" s="9"/>
    </row>
    <row r="291" ht="15.75" customHeight="1">
      <c r="A291" s="8" t="s">
        <v>1819</v>
      </c>
      <c r="B291" s="7" t="s">
        <v>677</v>
      </c>
      <c r="C291" s="8"/>
      <c r="D291" s="8"/>
      <c r="E291" s="8"/>
      <c r="F291" s="8"/>
      <c r="G291" s="8"/>
      <c r="H291" s="8"/>
      <c r="I291" s="8"/>
      <c r="J291" s="8"/>
      <c r="K291" s="8">
        <v>5.0</v>
      </c>
      <c r="L291" s="8"/>
      <c r="M291" s="9"/>
    </row>
    <row r="292" ht="15.75" customHeight="1">
      <c r="A292" s="8" t="s">
        <v>1819</v>
      </c>
      <c r="B292" s="7" t="s">
        <v>679</v>
      </c>
      <c r="C292" s="8"/>
      <c r="D292" s="8"/>
      <c r="E292" s="8"/>
      <c r="F292" s="8"/>
      <c r="G292" s="8"/>
      <c r="H292" s="8"/>
      <c r="I292" s="8"/>
      <c r="J292" s="8"/>
      <c r="K292" s="8">
        <v>5.0</v>
      </c>
      <c r="L292" s="8"/>
      <c r="M292" s="9"/>
    </row>
    <row r="293" ht="15.75" customHeight="1">
      <c r="A293" s="8" t="s">
        <v>1819</v>
      </c>
      <c r="B293" s="7" t="s">
        <v>681</v>
      </c>
      <c r="C293" s="8"/>
      <c r="D293" s="8"/>
      <c r="E293" s="8"/>
      <c r="F293" s="8"/>
      <c r="G293" s="8"/>
      <c r="H293" s="8"/>
      <c r="I293" s="8"/>
      <c r="J293" s="8"/>
      <c r="K293" s="8">
        <v>5.0</v>
      </c>
      <c r="L293" s="8"/>
      <c r="M293" s="9"/>
    </row>
    <row r="294" ht="15.75" customHeight="1">
      <c r="A294" s="8" t="s">
        <v>1819</v>
      </c>
      <c r="B294" s="7" t="s">
        <v>683</v>
      </c>
      <c r="C294" s="8"/>
      <c r="D294" s="8"/>
      <c r="E294" s="8"/>
      <c r="F294" s="8"/>
      <c r="G294" s="8"/>
      <c r="H294" s="8"/>
      <c r="I294" s="8"/>
      <c r="J294" s="8"/>
      <c r="K294" s="8">
        <v>5.0</v>
      </c>
      <c r="L294" s="8"/>
      <c r="M294" s="9"/>
    </row>
    <row r="295" ht="15.75" customHeight="1">
      <c r="A295" s="8" t="s">
        <v>1819</v>
      </c>
      <c r="B295" s="7" t="s">
        <v>685</v>
      </c>
      <c r="C295" s="8"/>
      <c r="D295" s="8"/>
      <c r="E295" s="8"/>
      <c r="F295" s="8"/>
      <c r="G295" s="8"/>
      <c r="H295" s="8"/>
      <c r="I295" s="8"/>
      <c r="J295" s="8"/>
      <c r="K295" s="8">
        <v>5.0</v>
      </c>
      <c r="L295" s="8"/>
      <c r="M295" s="9"/>
    </row>
    <row r="296" ht="15.75" customHeight="1">
      <c r="A296" s="8" t="s">
        <v>1819</v>
      </c>
      <c r="B296" s="7" t="s">
        <v>687</v>
      </c>
      <c r="C296" s="8"/>
      <c r="D296" s="8"/>
      <c r="E296" s="8"/>
      <c r="F296" s="8"/>
      <c r="G296" s="8"/>
      <c r="H296" s="8"/>
      <c r="I296" s="8"/>
      <c r="J296" s="8"/>
      <c r="K296" s="8">
        <v>5.0</v>
      </c>
      <c r="L296" s="8"/>
      <c r="M296" s="9"/>
    </row>
    <row r="297" ht="15.75" customHeight="1">
      <c r="A297" s="8" t="s">
        <v>1819</v>
      </c>
      <c r="B297" s="7" t="s">
        <v>689</v>
      </c>
      <c r="C297" s="8"/>
      <c r="D297" s="8"/>
      <c r="E297" s="8"/>
      <c r="F297" s="8"/>
      <c r="G297" s="8"/>
      <c r="H297" s="8"/>
      <c r="I297" s="8"/>
      <c r="J297" s="8"/>
      <c r="K297" s="8">
        <v>5.0</v>
      </c>
      <c r="L297" s="8"/>
      <c r="M297" s="9"/>
    </row>
    <row r="298" ht="15.75" customHeight="1">
      <c r="A298" s="8" t="s">
        <v>1819</v>
      </c>
      <c r="B298" s="7" t="s">
        <v>691</v>
      </c>
      <c r="C298" s="8"/>
      <c r="D298" s="8"/>
      <c r="E298" s="8"/>
      <c r="F298" s="8"/>
      <c r="G298" s="8"/>
      <c r="H298" s="8"/>
      <c r="I298" s="8"/>
      <c r="J298" s="8"/>
      <c r="K298" s="8">
        <v>5.0</v>
      </c>
      <c r="L298" s="8"/>
      <c r="M298" s="9"/>
    </row>
    <row r="299" ht="15.75" customHeight="1">
      <c r="A299" s="8" t="s">
        <v>1819</v>
      </c>
      <c r="B299" s="7" t="s">
        <v>693</v>
      </c>
      <c r="C299" s="8"/>
      <c r="D299" s="8"/>
      <c r="E299" s="8"/>
      <c r="F299" s="8"/>
      <c r="G299" s="8"/>
      <c r="H299" s="8"/>
      <c r="I299" s="8"/>
      <c r="J299" s="8"/>
      <c r="K299" s="8">
        <v>5.0</v>
      </c>
      <c r="L299" s="8"/>
      <c r="M299" s="9"/>
    </row>
    <row r="300" ht="15.75" customHeight="1">
      <c r="A300" s="8" t="s">
        <v>1819</v>
      </c>
      <c r="B300" s="7" t="s">
        <v>695</v>
      </c>
      <c r="C300" s="8"/>
      <c r="D300" s="8"/>
      <c r="E300" s="8"/>
      <c r="F300" s="8"/>
      <c r="G300" s="8"/>
      <c r="H300" s="8"/>
      <c r="I300" s="8"/>
      <c r="J300" s="8"/>
      <c r="K300" s="8">
        <v>5.0</v>
      </c>
      <c r="L300" s="8"/>
      <c r="M300" s="9"/>
    </row>
    <row r="301" ht="15.75" customHeight="1">
      <c r="A301" s="8" t="s">
        <v>1819</v>
      </c>
      <c r="B301" s="7" t="s">
        <v>697</v>
      </c>
      <c r="C301" s="8"/>
      <c r="D301" s="8"/>
      <c r="E301" s="8"/>
      <c r="F301" s="8"/>
      <c r="G301" s="8"/>
      <c r="H301" s="8"/>
      <c r="I301" s="8"/>
      <c r="J301" s="8"/>
      <c r="K301" s="8">
        <v>5.0</v>
      </c>
      <c r="L301" s="8"/>
      <c r="M301" s="9"/>
    </row>
    <row r="302" ht="15.75" customHeight="1">
      <c r="A302" s="8" t="s">
        <v>1819</v>
      </c>
      <c r="B302" s="7" t="s">
        <v>699</v>
      </c>
      <c r="C302" s="8"/>
      <c r="D302" s="8"/>
      <c r="E302" s="8"/>
      <c r="F302" s="8"/>
      <c r="G302" s="8"/>
      <c r="H302" s="8"/>
      <c r="I302" s="8"/>
      <c r="J302" s="8"/>
      <c r="K302" s="8">
        <v>5.0</v>
      </c>
      <c r="L302" s="8"/>
      <c r="M302" s="9"/>
    </row>
    <row r="303" ht="15.75" customHeight="1">
      <c r="A303" s="8" t="s">
        <v>1819</v>
      </c>
      <c r="B303" s="7" t="s">
        <v>701</v>
      </c>
      <c r="C303" s="8"/>
      <c r="D303" s="8"/>
      <c r="E303" s="8"/>
      <c r="F303" s="8"/>
      <c r="G303" s="8"/>
      <c r="H303" s="8"/>
      <c r="I303" s="8"/>
      <c r="J303" s="8"/>
      <c r="K303" s="8">
        <v>5.0</v>
      </c>
      <c r="L303" s="8"/>
      <c r="M303" s="9"/>
    </row>
    <row r="304" ht="15.75" customHeight="1">
      <c r="A304" s="8" t="s">
        <v>1819</v>
      </c>
      <c r="B304" s="7" t="s">
        <v>703</v>
      </c>
      <c r="C304" s="8"/>
      <c r="D304" s="8"/>
      <c r="E304" s="8"/>
      <c r="F304" s="8"/>
      <c r="G304" s="8"/>
      <c r="H304" s="8"/>
      <c r="I304" s="8"/>
      <c r="J304" s="8"/>
      <c r="K304" s="8">
        <v>5.0</v>
      </c>
      <c r="L304" s="8"/>
      <c r="M304" s="9"/>
    </row>
    <row r="305" ht="15.75" customHeight="1">
      <c r="A305" s="8" t="s">
        <v>1819</v>
      </c>
      <c r="B305" s="7" t="s">
        <v>705</v>
      </c>
      <c r="C305" s="8"/>
      <c r="D305" s="8"/>
      <c r="E305" s="8"/>
      <c r="F305" s="8"/>
      <c r="G305" s="8"/>
      <c r="H305" s="8"/>
      <c r="I305" s="8"/>
      <c r="J305" s="8"/>
      <c r="K305" s="8">
        <v>5.0</v>
      </c>
      <c r="L305" s="8"/>
      <c r="M305" s="9"/>
    </row>
    <row r="306" ht="15.75" customHeight="1">
      <c r="A306" s="8" t="s">
        <v>1819</v>
      </c>
      <c r="B306" s="7" t="s">
        <v>707</v>
      </c>
      <c r="C306" s="8"/>
      <c r="D306" s="8"/>
      <c r="E306" s="8"/>
      <c r="F306" s="8"/>
      <c r="G306" s="8"/>
      <c r="H306" s="8"/>
      <c r="I306" s="8"/>
      <c r="J306" s="8"/>
      <c r="K306" s="8">
        <v>5.0</v>
      </c>
      <c r="L306" s="8"/>
      <c r="M306" s="9"/>
    </row>
    <row r="307" ht="15.75" customHeight="1">
      <c r="A307" s="8" t="s">
        <v>1819</v>
      </c>
      <c r="B307" s="7" t="s">
        <v>709</v>
      </c>
      <c r="C307" s="8"/>
      <c r="D307" s="8"/>
      <c r="E307" s="8"/>
      <c r="F307" s="8"/>
      <c r="G307" s="8"/>
      <c r="H307" s="8"/>
      <c r="I307" s="8"/>
      <c r="J307" s="8"/>
      <c r="K307" s="8">
        <v>5.0</v>
      </c>
      <c r="L307" s="8"/>
      <c r="M307" s="9"/>
    </row>
    <row r="308" ht="15.75" customHeight="1">
      <c r="A308" s="8" t="s">
        <v>1819</v>
      </c>
      <c r="B308" s="7" t="s">
        <v>711</v>
      </c>
      <c r="C308" s="8"/>
      <c r="D308" s="8"/>
      <c r="E308" s="8"/>
      <c r="F308" s="8"/>
      <c r="G308" s="8"/>
      <c r="H308" s="8"/>
      <c r="I308" s="8"/>
      <c r="J308" s="8"/>
      <c r="K308" s="8">
        <v>5.0</v>
      </c>
      <c r="L308" s="8"/>
      <c r="M308" s="9"/>
    </row>
    <row r="309" ht="15.75" customHeight="1">
      <c r="A309" s="8" t="s">
        <v>1819</v>
      </c>
      <c r="B309" s="7" t="s">
        <v>713</v>
      </c>
      <c r="C309" s="8"/>
      <c r="D309" s="8"/>
      <c r="E309" s="8"/>
      <c r="F309" s="8"/>
      <c r="G309" s="8"/>
      <c r="H309" s="8"/>
      <c r="I309" s="8"/>
      <c r="J309" s="8"/>
      <c r="K309" s="8">
        <v>5.0</v>
      </c>
      <c r="L309" s="8"/>
      <c r="M309" s="9"/>
    </row>
    <row r="310" ht="15.75" customHeight="1">
      <c r="A310" s="8" t="s">
        <v>1819</v>
      </c>
      <c r="B310" s="7" t="s">
        <v>715</v>
      </c>
      <c r="C310" s="8"/>
      <c r="D310" s="8"/>
      <c r="E310" s="8"/>
      <c r="F310" s="8"/>
      <c r="G310" s="8"/>
      <c r="H310" s="8"/>
      <c r="I310" s="8"/>
      <c r="J310" s="8"/>
      <c r="K310" s="8">
        <v>5.0</v>
      </c>
      <c r="L310" s="8"/>
      <c r="M310" s="9"/>
    </row>
    <row r="311" ht="15.75" customHeight="1">
      <c r="A311" s="8" t="s">
        <v>1819</v>
      </c>
      <c r="B311" s="7" t="s">
        <v>717</v>
      </c>
      <c r="C311" s="8"/>
      <c r="D311" s="8"/>
      <c r="E311" s="8"/>
      <c r="F311" s="8"/>
      <c r="G311" s="8"/>
      <c r="H311" s="8"/>
      <c r="I311" s="8"/>
      <c r="J311" s="8"/>
      <c r="K311" s="8">
        <v>5.0</v>
      </c>
      <c r="L311" s="8"/>
      <c r="M311" s="9"/>
    </row>
    <row r="312" ht="15.75" customHeight="1">
      <c r="A312" s="8" t="s">
        <v>1819</v>
      </c>
      <c r="B312" s="7" t="s">
        <v>720</v>
      </c>
      <c r="C312" s="8"/>
      <c r="D312" s="8"/>
      <c r="E312" s="8"/>
      <c r="F312" s="8"/>
      <c r="G312" s="8"/>
      <c r="H312" s="8"/>
      <c r="I312" s="8"/>
      <c r="J312" s="8"/>
      <c r="K312" s="8">
        <v>5.0</v>
      </c>
      <c r="L312" s="8"/>
      <c r="M312" s="9"/>
    </row>
    <row r="313" ht="15.75" customHeight="1">
      <c r="A313" s="8" t="s">
        <v>1819</v>
      </c>
      <c r="B313" s="7" t="s">
        <v>723</v>
      </c>
      <c r="C313" s="8"/>
      <c r="D313" s="8"/>
      <c r="E313" s="8"/>
      <c r="F313" s="8"/>
      <c r="G313" s="8"/>
      <c r="H313" s="8"/>
      <c r="I313" s="8"/>
      <c r="J313" s="8"/>
      <c r="K313" s="8">
        <v>5.0</v>
      </c>
      <c r="L313" s="8"/>
      <c r="M313" s="9"/>
    </row>
    <row r="314" ht="15.75" customHeight="1">
      <c r="A314" s="8" t="s">
        <v>1819</v>
      </c>
      <c r="B314" s="7" t="s">
        <v>726</v>
      </c>
      <c r="C314" s="8"/>
      <c r="D314" s="8"/>
      <c r="E314" s="8"/>
      <c r="F314" s="8"/>
      <c r="G314" s="8"/>
      <c r="H314" s="8"/>
      <c r="I314" s="8"/>
      <c r="J314" s="8"/>
      <c r="K314" s="8">
        <v>5.0</v>
      </c>
      <c r="L314" s="8"/>
      <c r="M314" s="9"/>
    </row>
    <row r="315" ht="15.75" customHeight="1">
      <c r="A315" s="8" t="s">
        <v>1819</v>
      </c>
      <c r="B315" s="7" t="s">
        <v>729</v>
      </c>
      <c r="C315" s="8"/>
      <c r="D315" s="8"/>
      <c r="E315" s="8"/>
      <c r="F315" s="8"/>
      <c r="G315" s="8"/>
      <c r="H315" s="8"/>
      <c r="I315" s="8"/>
      <c r="J315" s="8"/>
      <c r="K315" s="8">
        <v>5.0</v>
      </c>
      <c r="L315" s="8"/>
      <c r="M315" s="9"/>
    </row>
    <row r="316" ht="15.75" customHeight="1">
      <c r="A316" s="8" t="s">
        <v>1819</v>
      </c>
      <c r="B316" s="7" t="s">
        <v>732</v>
      </c>
      <c r="C316" s="8"/>
      <c r="D316" s="8"/>
      <c r="E316" s="8"/>
      <c r="F316" s="8"/>
      <c r="G316" s="8"/>
      <c r="H316" s="8"/>
      <c r="I316" s="8"/>
      <c r="J316" s="8"/>
      <c r="K316" s="8">
        <v>5.0</v>
      </c>
      <c r="L316" s="8"/>
      <c r="M316" s="9"/>
    </row>
    <row r="317" ht="15.75" customHeight="1">
      <c r="A317" s="8" t="s">
        <v>1819</v>
      </c>
      <c r="B317" s="7" t="s">
        <v>735</v>
      </c>
      <c r="C317" s="8"/>
      <c r="D317" s="8"/>
      <c r="E317" s="8"/>
      <c r="F317" s="8"/>
      <c r="G317" s="8"/>
      <c r="H317" s="8"/>
      <c r="I317" s="8"/>
      <c r="J317" s="8"/>
      <c r="K317" s="8">
        <v>5.0</v>
      </c>
      <c r="L317" s="8"/>
      <c r="M317" s="9"/>
    </row>
    <row r="318" ht="15.75" customHeight="1">
      <c r="A318" s="8" t="s">
        <v>1819</v>
      </c>
      <c r="B318" s="7" t="s">
        <v>738</v>
      </c>
      <c r="C318" s="8"/>
      <c r="D318" s="8"/>
      <c r="E318" s="8"/>
      <c r="F318" s="8"/>
      <c r="G318" s="8"/>
      <c r="H318" s="8"/>
      <c r="I318" s="8"/>
      <c r="J318" s="8"/>
      <c r="K318" s="8">
        <v>5.0</v>
      </c>
      <c r="L318" s="8"/>
      <c r="M318" s="9"/>
    </row>
    <row r="319" ht="15.75" customHeight="1">
      <c r="A319" s="8" t="s">
        <v>1819</v>
      </c>
      <c r="B319" s="7" t="s">
        <v>741</v>
      </c>
      <c r="C319" s="8"/>
      <c r="D319" s="8"/>
      <c r="E319" s="8"/>
      <c r="F319" s="8"/>
      <c r="G319" s="8"/>
      <c r="H319" s="8"/>
      <c r="I319" s="8"/>
      <c r="J319" s="8"/>
      <c r="K319" s="8">
        <v>5.0</v>
      </c>
      <c r="L319" s="8"/>
      <c r="M319" s="9"/>
    </row>
    <row r="320" ht="15.75" customHeight="1">
      <c r="A320" s="8" t="s">
        <v>1819</v>
      </c>
      <c r="B320" s="7" t="s">
        <v>743</v>
      </c>
      <c r="C320" s="8"/>
      <c r="D320" s="8"/>
      <c r="E320" s="8"/>
      <c r="F320" s="8"/>
      <c r="G320" s="8"/>
      <c r="H320" s="8"/>
      <c r="I320" s="8"/>
      <c r="J320" s="8"/>
      <c r="K320" s="8">
        <v>5.0</v>
      </c>
      <c r="L320" s="8"/>
      <c r="M320" s="9"/>
    </row>
    <row r="321" ht="15.75" customHeight="1">
      <c r="A321" s="8" t="s">
        <v>1819</v>
      </c>
      <c r="B321" s="7" t="s">
        <v>745</v>
      </c>
      <c r="C321" s="8"/>
      <c r="D321" s="8"/>
      <c r="E321" s="8"/>
      <c r="F321" s="8"/>
      <c r="G321" s="8"/>
      <c r="H321" s="8"/>
      <c r="I321" s="8"/>
      <c r="J321" s="8"/>
      <c r="K321" s="8">
        <v>5.0</v>
      </c>
      <c r="L321" s="8"/>
      <c r="M321" s="9"/>
    </row>
    <row r="322" ht="15.75" customHeight="1">
      <c r="A322" s="8" t="s">
        <v>1819</v>
      </c>
      <c r="B322" s="7" t="s">
        <v>747</v>
      </c>
      <c r="C322" s="8"/>
      <c r="D322" s="8"/>
      <c r="E322" s="8"/>
      <c r="F322" s="8"/>
      <c r="G322" s="8"/>
      <c r="H322" s="8"/>
      <c r="I322" s="8"/>
      <c r="J322" s="8"/>
      <c r="K322" s="8">
        <v>5.0</v>
      </c>
      <c r="L322" s="8"/>
      <c r="M322" s="9"/>
    </row>
    <row r="323" ht="15.75" customHeight="1">
      <c r="A323" s="8" t="s">
        <v>1819</v>
      </c>
      <c r="B323" s="7" t="s">
        <v>749</v>
      </c>
      <c r="C323" s="8"/>
      <c r="D323" s="8"/>
      <c r="E323" s="8"/>
      <c r="F323" s="8"/>
      <c r="G323" s="8"/>
      <c r="H323" s="8"/>
      <c r="I323" s="8"/>
      <c r="J323" s="8"/>
      <c r="K323" s="8">
        <v>5.0</v>
      </c>
      <c r="L323" s="8"/>
      <c r="M323" s="9"/>
    </row>
    <row r="324" ht="15.75" customHeight="1">
      <c r="A324" s="8" t="s">
        <v>1819</v>
      </c>
      <c r="B324" s="7" t="s">
        <v>751</v>
      </c>
      <c r="C324" s="8"/>
      <c r="D324" s="8"/>
      <c r="E324" s="8"/>
      <c r="F324" s="8"/>
      <c r="G324" s="8"/>
      <c r="H324" s="8"/>
      <c r="I324" s="8"/>
      <c r="J324" s="8"/>
      <c r="K324" s="8">
        <v>5.0</v>
      </c>
      <c r="L324" s="8"/>
      <c r="M324" s="9"/>
    </row>
    <row r="325" ht="15.75" customHeight="1">
      <c r="A325" s="8" t="s">
        <v>1819</v>
      </c>
      <c r="B325" s="7" t="s">
        <v>753</v>
      </c>
      <c r="C325" s="8"/>
      <c r="D325" s="8"/>
      <c r="E325" s="8"/>
      <c r="F325" s="8"/>
      <c r="G325" s="8"/>
      <c r="H325" s="8"/>
      <c r="I325" s="8"/>
      <c r="J325" s="8"/>
      <c r="K325" s="8">
        <v>5.0</v>
      </c>
      <c r="L325" s="8"/>
      <c r="M325" s="9"/>
    </row>
    <row r="326" ht="15.75" customHeight="1">
      <c r="A326" s="8" t="s">
        <v>1819</v>
      </c>
      <c r="B326" s="7" t="s">
        <v>755</v>
      </c>
      <c r="C326" s="8"/>
      <c r="D326" s="8"/>
      <c r="E326" s="8"/>
      <c r="F326" s="8"/>
      <c r="G326" s="8"/>
      <c r="H326" s="8"/>
      <c r="I326" s="8"/>
      <c r="J326" s="8"/>
      <c r="K326" s="8">
        <v>5.0</v>
      </c>
      <c r="L326" s="8"/>
      <c r="M326" s="9"/>
    </row>
    <row r="327" ht="15.75" customHeight="1">
      <c r="A327" s="8" t="s">
        <v>1819</v>
      </c>
      <c r="B327" s="7" t="s">
        <v>757</v>
      </c>
      <c r="C327" s="8"/>
      <c r="D327" s="8"/>
      <c r="E327" s="8"/>
      <c r="F327" s="8"/>
      <c r="G327" s="8"/>
      <c r="H327" s="8"/>
      <c r="I327" s="8"/>
      <c r="J327" s="8"/>
      <c r="K327" s="8">
        <v>5.0</v>
      </c>
      <c r="L327" s="8"/>
      <c r="M327" s="9"/>
    </row>
    <row r="328" ht="15.75" customHeight="1">
      <c r="A328" s="8" t="s">
        <v>1819</v>
      </c>
      <c r="B328" s="7" t="s">
        <v>760</v>
      </c>
      <c r="C328" s="8"/>
      <c r="D328" s="8"/>
      <c r="E328" s="8"/>
      <c r="F328" s="8"/>
      <c r="G328" s="8"/>
      <c r="H328" s="8"/>
      <c r="I328" s="8"/>
      <c r="J328" s="8"/>
      <c r="K328" s="8">
        <v>5.0</v>
      </c>
      <c r="L328" s="8"/>
      <c r="M328" s="9"/>
    </row>
    <row r="329" ht="15.75" customHeight="1">
      <c r="A329" s="8" t="s">
        <v>1819</v>
      </c>
      <c r="B329" s="7" t="s">
        <v>763</v>
      </c>
      <c r="C329" s="8"/>
      <c r="D329" s="8"/>
      <c r="E329" s="8"/>
      <c r="F329" s="8"/>
      <c r="G329" s="8"/>
      <c r="H329" s="8"/>
      <c r="I329" s="8"/>
      <c r="J329" s="8"/>
      <c r="K329" s="8">
        <v>5.0</v>
      </c>
      <c r="L329" s="8"/>
      <c r="M329" s="9"/>
    </row>
    <row r="330" ht="15.75" customHeight="1">
      <c r="A330" s="8" t="s">
        <v>1819</v>
      </c>
      <c r="B330" s="7" t="s">
        <v>766</v>
      </c>
      <c r="C330" s="8"/>
      <c r="D330" s="8"/>
      <c r="E330" s="8"/>
      <c r="F330" s="8"/>
      <c r="G330" s="8"/>
      <c r="H330" s="8"/>
      <c r="I330" s="8"/>
      <c r="J330" s="8"/>
      <c r="K330" s="8">
        <v>5.0</v>
      </c>
      <c r="L330" s="8"/>
      <c r="M330" s="9"/>
    </row>
    <row r="331" ht="15.75" customHeight="1">
      <c r="A331" s="8" t="s">
        <v>1819</v>
      </c>
      <c r="B331" s="7" t="s">
        <v>769</v>
      </c>
      <c r="C331" s="8"/>
      <c r="D331" s="8"/>
      <c r="E331" s="8"/>
      <c r="F331" s="8"/>
      <c r="G331" s="8"/>
      <c r="H331" s="8"/>
      <c r="I331" s="8"/>
      <c r="J331" s="8"/>
      <c r="K331" s="8">
        <v>5.0</v>
      </c>
      <c r="L331" s="8"/>
      <c r="M331" s="9"/>
    </row>
    <row r="332" ht="15.75" customHeight="1">
      <c r="A332" s="8" t="s">
        <v>1819</v>
      </c>
      <c r="B332" s="7" t="s">
        <v>772</v>
      </c>
      <c r="C332" s="8"/>
      <c r="D332" s="8"/>
      <c r="E332" s="8"/>
      <c r="F332" s="8"/>
      <c r="G332" s="8"/>
      <c r="H332" s="8"/>
      <c r="I332" s="8"/>
      <c r="J332" s="8"/>
      <c r="K332" s="8">
        <v>5.0</v>
      </c>
      <c r="L332" s="8"/>
      <c r="M332" s="9"/>
    </row>
    <row r="333" ht="15.75" customHeight="1">
      <c r="A333" s="8" t="s">
        <v>1819</v>
      </c>
      <c r="B333" s="7" t="s">
        <v>775</v>
      </c>
      <c r="C333" s="8"/>
      <c r="D333" s="8"/>
      <c r="E333" s="8"/>
      <c r="F333" s="8"/>
      <c r="G333" s="8"/>
      <c r="H333" s="8"/>
      <c r="I333" s="8"/>
      <c r="J333" s="8"/>
      <c r="K333" s="8">
        <v>5.0</v>
      </c>
      <c r="L333" s="8"/>
      <c r="M333" s="9"/>
    </row>
    <row r="334" ht="15.75" customHeight="1">
      <c r="A334" s="8" t="s">
        <v>1819</v>
      </c>
      <c r="B334" s="7" t="s">
        <v>778</v>
      </c>
      <c r="C334" s="8"/>
      <c r="D334" s="8"/>
      <c r="E334" s="8"/>
      <c r="F334" s="8"/>
      <c r="G334" s="8"/>
      <c r="H334" s="8"/>
      <c r="I334" s="8"/>
      <c r="J334" s="8"/>
      <c r="K334" s="8">
        <v>5.0</v>
      </c>
      <c r="L334" s="8"/>
      <c r="M334" s="9"/>
    </row>
    <row r="335" ht="15.75" customHeight="1">
      <c r="A335" s="8" t="s">
        <v>1819</v>
      </c>
      <c r="B335" s="7" t="s">
        <v>781</v>
      </c>
      <c r="C335" s="8"/>
      <c r="D335" s="8"/>
      <c r="E335" s="8"/>
      <c r="F335" s="8"/>
      <c r="G335" s="8"/>
      <c r="H335" s="8"/>
      <c r="I335" s="8"/>
      <c r="J335" s="8"/>
      <c r="K335" s="8">
        <v>5.0</v>
      </c>
      <c r="L335" s="8"/>
      <c r="M335" s="9"/>
    </row>
    <row r="336" ht="15.75" customHeight="1">
      <c r="A336" s="8" t="s">
        <v>1819</v>
      </c>
      <c r="B336" s="7" t="s">
        <v>783</v>
      </c>
      <c r="C336" s="8"/>
      <c r="D336" s="8"/>
      <c r="E336" s="8"/>
      <c r="F336" s="8"/>
      <c r="G336" s="8"/>
      <c r="H336" s="8"/>
      <c r="I336" s="8"/>
      <c r="J336" s="8"/>
      <c r="K336" s="8">
        <v>5.0</v>
      </c>
      <c r="L336" s="8"/>
      <c r="M336" s="9"/>
    </row>
    <row r="337" ht="15.75" customHeight="1">
      <c r="A337" s="8" t="s">
        <v>1819</v>
      </c>
      <c r="B337" s="7" t="s">
        <v>785</v>
      </c>
      <c r="C337" s="8"/>
      <c r="D337" s="8"/>
      <c r="E337" s="8"/>
      <c r="F337" s="8"/>
      <c r="G337" s="8"/>
      <c r="H337" s="8"/>
      <c r="I337" s="8"/>
      <c r="J337" s="8"/>
      <c r="K337" s="8">
        <v>5.0</v>
      </c>
      <c r="L337" s="8"/>
      <c r="M337" s="9"/>
    </row>
    <row r="338" ht="15.75" customHeight="1">
      <c r="A338" s="8" t="s">
        <v>1819</v>
      </c>
      <c r="B338" s="7" t="s">
        <v>787</v>
      </c>
      <c r="C338" s="8"/>
      <c r="D338" s="8"/>
      <c r="E338" s="8"/>
      <c r="F338" s="8"/>
      <c r="G338" s="8"/>
      <c r="H338" s="8"/>
      <c r="I338" s="8"/>
      <c r="J338" s="8"/>
      <c r="K338" s="8">
        <v>5.0</v>
      </c>
      <c r="L338" s="8"/>
      <c r="M338" s="9"/>
    </row>
    <row r="339" ht="15.75" customHeight="1">
      <c r="A339" s="8" t="s">
        <v>1819</v>
      </c>
      <c r="B339" s="7" t="s">
        <v>789</v>
      </c>
      <c r="C339" s="8"/>
      <c r="D339" s="8"/>
      <c r="E339" s="8"/>
      <c r="F339" s="8"/>
      <c r="G339" s="8"/>
      <c r="H339" s="8"/>
      <c r="I339" s="8"/>
      <c r="J339" s="8"/>
      <c r="K339" s="8">
        <v>5.0</v>
      </c>
      <c r="L339" s="8"/>
      <c r="M339" s="9"/>
    </row>
    <row r="340" ht="15.75" customHeight="1">
      <c r="A340" s="8" t="s">
        <v>1819</v>
      </c>
      <c r="B340" s="7" t="s">
        <v>791</v>
      </c>
      <c r="C340" s="8"/>
      <c r="D340" s="8"/>
      <c r="E340" s="8"/>
      <c r="F340" s="8"/>
      <c r="G340" s="8"/>
      <c r="H340" s="8"/>
      <c r="I340" s="8"/>
      <c r="J340" s="8"/>
      <c r="K340" s="8">
        <v>5.0</v>
      </c>
      <c r="L340" s="8"/>
      <c r="M340" s="9"/>
    </row>
    <row r="341" ht="15.75" customHeight="1">
      <c r="A341" s="8" t="s">
        <v>1819</v>
      </c>
      <c r="B341" s="7" t="s">
        <v>793</v>
      </c>
      <c r="C341" s="8"/>
      <c r="D341" s="8"/>
      <c r="E341" s="8"/>
      <c r="F341" s="8"/>
      <c r="G341" s="8"/>
      <c r="H341" s="8"/>
      <c r="I341" s="8"/>
      <c r="J341" s="8"/>
      <c r="K341" s="8">
        <v>5.0</v>
      </c>
      <c r="L341" s="8"/>
      <c r="M341" s="9"/>
    </row>
    <row r="342" ht="15.75" customHeight="1">
      <c r="A342" s="8" t="s">
        <v>1819</v>
      </c>
      <c r="B342" s="7" t="s">
        <v>795</v>
      </c>
      <c r="C342" s="8"/>
      <c r="D342" s="8"/>
      <c r="E342" s="8"/>
      <c r="F342" s="8"/>
      <c r="G342" s="8"/>
      <c r="H342" s="8"/>
      <c r="I342" s="8"/>
      <c r="J342" s="8"/>
      <c r="K342" s="8">
        <v>5.0</v>
      </c>
      <c r="L342" s="8"/>
      <c r="M342" s="9"/>
    </row>
    <row r="343" ht="15.75" customHeight="1">
      <c r="A343" s="8" t="s">
        <v>1819</v>
      </c>
      <c r="B343" s="7" t="s">
        <v>797</v>
      </c>
      <c r="C343" s="8"/>
      <c r="D343" s="8"/>
      <c r="E343" s="8"/>
      <c r="F343" s="8"/>
      <c r="G343" s="8"/>
      <c r="H343" s="8"/>
      <c r="I343" s="8"/>
      <c r="J343" s="8"/>
      <c r="K343" s="8">
        <v>5.0</v>
      </c>
      <c r="L343" s="8"/>
      <c r="M343" s="9"/>
    </row>
    <row r="344" ht="15.75" customHeight="1">
      <c r="A344" s="8" t="s">
        <v>1819</v>
      </c>
      <c r="B344" s="7" t="s">
        <v>638</v>
      </c>
      <c r="C344" s="8"/>
      <c r="D344" s="8"/>
      <c r="E344" s="8"/>
      <c r="F344" s="8"/>
      <c r="G344" s="8"/>
      <c r="H344" s="8"/>
      <c r="I344" s="8"/>
      <c r="J344" s="8"/>
      <c r="K344" s="8">
        <v>5.0</v>
      </c>
      <c r="L344" s="8"/>
      <c r="M344" s="9"/>
    </row>
    <row r="345" ht="15.75" customHeight="1">
      <c r="A345" s="8" t="s">
        <v>1819</v>
      </c>
      <c r="B345" s="7" t="s">
        <v>641</v>
      </c>
      <c r="C345" s="8"/>
      <c r="D345" s="8"/>
      <c r="E345" s="8"/>
      <c r="F345" s="8"/>
      <c r="G345" s="8"/>
      <c r="H345" s="8"/>
      <c r="I345" s="8"/>
      <c r="J345" s="8"/>
      <c r="K345" s="8">
        <v>5.0</v>
      </c>
      <c r="L345" s="8"/>
      <c r="M345" s="9"/>
    </row>
    <row r="346" ht="15.75" customHeight="1">
      <c r="A346" s="8" t="s">
        <v>1819</v>
      </c>
      <c r="B346" s="7" t="s">
        <v>644</v>
      </c>
      <c r="C346" s="8"/>
      <c r="D346" s="8"/>
      <c r="E346" s="8"/>
      <c r="F346" s="8"/>
      <c r="G346" s="8"/>
      <c r="H346" s="8"/>
      <c r="I346" s="8"/>
      <c r="J346" s="8"/>
      <c r="K346" s="8">
        <v>5.0</v>
      </c>
      <c r="L346" s="8"/>
      <c r="M346" s="9"/>
    </row>
    <row r="347" ht="15.75" customHeight="1">
      <c r="A347" s="8" t="s">
        <v>1819</v>
      </c>
      <c r="B347" s="7" t="s">
        <v>647</v>
      </c>
      <c r="C347" s="8"/>
      <c r="D347" s="8"/>
      <c r="E347" s="8"/>
      <c r="F347" s="8"/>
      <c r="G347" s="8"/>
      <c r="H347" s="8"/>
      <c r="I347" s="8"/>
      <c r="J347" s="8"/>
      <c r="K347" s="8">
        <v>5.0</v>
      </c>
      <c r="L347" s="8"/>
      <c r="M347" s="9"/>
    </row>
    <row r="348" ht="15.75" customHeight="1">
      <c r="A348" s="8" t="s">
        <v>1825</v>
      </c>
      <c r="B348" s="7" t="s">
        <v>636</v>
      </c>
      <c r="C348" s="8"/>
      <c r="D348" s="8"/>
      <c r="E348" s="8"/>
      <c r="F348" s="8"/>
      <c r="G348" s="8"/>
      <c r="H348" s="8"/>
      <c r="I348" s="8"/>
      <c r="J348" s="8"/>
      <c r="K348" s="8">
        <v>5.0</v>
      </c>
      <c r="L348" s="8"/>
      <c r="M348" s="9"/>
    </row>
    <row r="349" ht="15.75" customHeight="1">
      <c r="A349" s="8" t="s">
        <v>1852</v>
      </c>
      <c r="B349" s="7" t="s">
        <v>1593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9"/>
    </row>
    <row r="350" ht="15.75" customHeight="1">
      <c r="A350" s="8" t="s">
        <v>1852</v>
      </c>
      <c r="B350" s="7" t="s">
        <v>1595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9"/>
    </row>
    <row r="351" ht="15.75" customHeight="1">
      <c r="A351" s="8" t="s">
        <v>1739</v>
      </c>
      <c r="B351" s="7" t="s">
        <v>1600</v>
      </c>
      <c r="C351" s="8"/>
      <c r="D351" s="8"/>
      <c r="E351" s="8"/>
      <c r="F351" s="8"/>
      <c r="G351" s="8"/>
      <c r="H351" s="8"/>
      <c r="I351" s="8"/>
      <c r="J351" s="8"/>
      <c r="K351" s="8">
        <v>5.0</v>
      </c>
      <c r="L351" s="8"/>
      <c r="M351" s="9"/>
    </row>
    <row r="352" ht="15.75" customHeight="1">
      <c r="A352" s="8" t="s">
        <v>1739</v>
      </c>
      <c r="B352" s="7" t="s">
        <v>20</v>
      </c>
      <c r="C352" s="8"/>
      <c r="D352" s="8"/>
      <c r="E352" s="8"/>
      <c r="F352" s="8"/>
      <c r="G352" s="8"/>
      <c r="H352" s="8"/>
      <c r="I352" s="8"/>
      <c r="J352" s="8"/>
      <c r="K352" s="8">
        <v>5.0</v>
      </c>
      <c r="L352" s="8"/>
      <c r="M352" s="9"/>
    </row>
    <row r="353" ht="15.7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9"/>
    </row>
    <row r="354" ht="15.7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9"/>
    </row>
    <row r="355" ht="15.7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9"/>
    </row>
    <row r="356" ht="15.7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9"/>
    </row>
    <row r="357" ht="15.7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</row>
    <row r="358" ht="15.7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9"/>
    </row>
    <row r="359" ht="15.7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9"/>
    </row>
    <row r="360" ht="15.7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9"/>
    </row>
    <row r="361" ht="15.7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9"/>
    </row>
    <row r="362" ht="15.7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/>
    </row>
    <row r="363" ht="15.7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9"/>
    </row>
    <row r="364" ht="15.7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9"/>
    </row>
    <row r="365" ht="15.7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9"/>
    </row>
    <row r="366" ht="15.7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9"/>
    </row>
    <row r="367" ht="15.7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9"/>
    </row>
    <row r="368" ht="15.7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9"/>
    </row>
    <row r="369" ht="15.7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9"/>
    </row>
    <row r="370" ht="15.7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9"/>
    </row>
    <row r="371" ht="15.7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9"/>
    </row>
    <row r="372" ht="15.7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9"/>
    </row>
    <row r="373" ht="15.7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9"/>
    </row>
    <row r="374" ht="15.7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9"/>
    </row>
    <row r="375" ht="15.7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9"/>
    </row>
    <row r="376" ht="15.7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9"/>
    </row>
    <row r="377" ht="15.7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9"/>
    </row>
    <row r="378" ht="15.7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9"/>
    </row>
    <row r="379" ht="15.7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9"/>
    </row>
    <row r="380" ht="15.7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9"/>
    </row>
    <row r="381" ht="15.7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9"/>
    </row>
    <row r="382" ht="15.7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9"/>
    </row>
    <row r="383" ht="15.7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</row>
    <row r="384" ht="15.7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9"/>
    </row>
    <row r="385" ht="15.7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9"/>
    </row>
    <row r="386" ht="15.7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9"/>
    </row>
    <row r="387" ht="15.7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9"/>
    </row>
    <row r="388" ht="15.7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9"/>
    </row>
    <row r="389" ht="15.7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9"/>
    </row>
    <row r="390" ht="15.7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9"/>
    </row>
    <row r="391" ht="15.7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</row>
    <row r="392" ht="15.7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</row>
    <row r="393" ht="15.7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</row>
    <row r="394" ht="15.7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</row>
    <row r="395" ht="15.7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</row>
    <row r="396" ht="15.7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</row>
    <row r="397" ht="15.7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</row>
    <row r="398" ht="15.7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</row>
    <row r="399" ht="15.7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</row>
    <row r="400" ht="15.7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</row>
    <row r="401" ht="15.7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</row>
    <row r="402" ht="15.7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</row>
    <row r="403" ht="15.7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</row>
    <row r="404" ht="15.7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</row>
    <row r="405" ht="15.7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</row>
    <row r="406" ht="15.7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</row>
    <row r="407" ht="15.7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</row>
    <row r="408" ht="15.7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</row>
    <row r="409" ht="15.7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</row>
    <row r="410" ht="15.7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</row>
    <row r="411" ht="15.7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</row>
    <row r="412" ht="15.7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</row>
    <row r="413" ht="15.7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</row>
    <row r="414" ht="15.7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</row>
    <row r="415" ht="15.7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</row>
    <row r="416" ht="15.7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</row>
    <row r="417" ht="15.7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</row>
    <row r="418" ht="15.7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</row>
    <row r="419" ht="15.7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</row>
    <row r="420" ht="15.7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</row>
    <row r="421" ht="15.7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</row>
    <row r="422" ht="15.7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</row>
    <row r="423" ht="15.7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</row>
    <row r="424" ht="15.7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</row>
    <row r="425" ht="15.7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</row>
    <row r="426" ht="15.7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</row>
    <row r="427" ht="15.7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</row>
    <row r="428" ht="15.7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</row>
    <row r="429" ht="15.7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</row>
    <row r="430" ht="15.7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</row>
    <row r="431" ht="15.7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</row>
    <row r="432" ht="15.7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</row>
    <row r="433" ht="15.7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</row>
    <row r="434" ht="15.7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</row>
    <row r="435" ht="15.7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</row>
    <row r="436" ht="15.7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</row>
    <row r="437" ht="15.7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</row>
    <row r="438" ht="15.7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</row>
    <row r="439" ht="15.7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</row>
    <row r="440" ht="15.7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</row>
    <row r="441" ht="15.7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</row>
    <row r="442" ht="15.7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</row>
    <row r="443" ht="15.7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</row>
    <row r="444" ht="15.7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</row>
    <row r="445" ht="15.7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</row>
    <row r="446" ht="15.7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</row>
    <row r="447" ht="15.7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</row>
    <row r="448" ht="15.7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</row>
    <row r="449" ht="15.7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</row>
    <row r="450" ht="15.7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</row>
    <row r="451" ht="15.7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</row>
    <row r="452" ht="15.7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</row>
    <row r="453" ht="15.7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</row>
    <row r="454" ht="15.7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</row>
    <row r="455" ht="15.7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</row>
    <row r="456" ht="15.7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</row>
    <row r="457" ht="15.7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</row>
    <row r="458" ht="15.7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</row>
    <row r="459" ht="15.7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</row>
    <row r="460" ht="15.7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</row>
    <row r="461" ht="15.7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</row>
    <row r="462" ht="15.7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</row>
    <row r="463" ht="15.7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</row>
    <row r="464" ht="15.7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</row>
    <row r="465" ht="15.7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</row>
    <row r="466" ht="15.7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</row>
    <row r="467" ht="15.7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</row>
    <row r="468" ht="15.7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</row>
    <row r="469" ht="15.7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</row>
    <row r="470" ht="15.7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</row>
    <row r="471" ht="15.7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</row>
    <row r="472" ht="15.7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</row>
    <row r="473" ht="15.7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</row>
    <row r="474" ht="15.7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</row>
    <row r="475" ht="15.7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</row>
    <row r="476" ht="15.7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</row>
    <row r="477" ht="15.7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</row>
    <row r="478" ht="15.7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</row>
    <row r="479" ht="15.7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</row>
    <row r="480" ht="15.7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</row>
    <row r="481" ht="15.7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</row>
    <row r="482" ht="15.7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</row>
    <row r="483" ht="15.7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</row>
    <row r="484" ht="15.7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</row>
    <row r="485" ht="15.7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</row>
    <row r="486" ht="15.7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</row>
    <row r="487" ht="15.7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</row>
    <row r="488" ht="15.7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</row>
    <row r="489" ht="15.7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</row>
    <row r="490" ht="15.7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</row>
    <row r="491" ht="15.7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</row>
    <row r="492" ht="15.7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</row>
    <row r="493" ht="15.7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</row>
    <row r="494" ht="15.7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</row>
    <row r="495" ht="15.7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</row>
    <row r="496" ht="15.7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</row>
    <row r="497" ht="15.7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</row>
    <row r="498" ht="15.7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</row>
    <row r="499" ht="15.7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</row>
    <row r="500" ht="15.7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</row>
    <row r="501" ht="15.7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</row>
    <row r="502" ht="15.7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</row>
    <row r="503" ht="15.7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</row>
    <row r="504" ht="15.7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</row>
    <row r="505" ht="15.7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</row>
    <row r="506" ht="15.7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</row>
    <row r="507" ht="15.7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</row>
    <row r="508" ht="15.7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</row>
    <row r="509" ht="15.7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</row>
    <row r="510" ht="15.7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</row>
    <row r="511" ht="15.7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</row>
    <row r="512" ht="15.7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</row>
    <row r="513" ht="15.7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</row>
    <row r="514" ht="15.7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</row>
    <row r="515" ht="15.7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</row>
    <row r="516" ht="15.7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</row>
    <row r="517" ht="15.7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</row>
    <row r="518" ht="15.7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</row>
    <row r="519" ht="15.7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</row>
    <row r="520" ht="15.7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</row>
    <row r="521" ht="15.7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</row>
    <row r="522" ht="15.7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</row>
    <row r="523" ht="15.7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</row>
    <row r="524" ht="15.7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</row>
    <row r="525" ht="15.7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</row>
    <row r="526" ht="15.7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</row>
    <row r="527" ht="15.7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</row>
    <row r="528" ht="15.7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</row>
    <row r="529" ht="15.7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</row>
    <row r="530" ht="15.7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</row>
    <row r="531" ht="15.7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</row>
    <row r="532" ht="15.7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</row>
    <row r="533" ht="15.7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</row>
    <row r="534" ht="15.7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</row>
    <row r="535" ht="15.7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</row>
    <row r="536" ht="15.7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</row>
    <row r="537" ht="15.7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</row>
    <row r="538" ht="15.7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</row>
    <row r="539" ht="15.7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</row>
    <row r="540" ht="15.7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</row>
    <row r="541" ht="15.7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</row>
    <row r="542" ht="15.7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</row>
    <row r="543" ht="15.7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</row>
    <row r="544" ht="15.7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</row>
    <row r="545" ht="15.7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</row>
    <row r="546" ht="15.7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</row>
    <row r="547" ht="15.7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</row>
    <row r="548" ht="15.7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</row>
    <row r="549" ht="15.7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</row>
    <row r="550" ht="15.7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</row>
    <row r="551" ht="15.7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</row>
    <row r="552" ht="15.7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</row>
    <row r="553" ht="15.7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</row>
    <row r="554" ht="15.7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</row>
    <row r="555" ht="15.7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</row>
    <row r="556" ht="15.7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</row>
    <row r="557" ht="15.7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</row>
    <row r="558" ht="15.7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</row>
    <row r="559" ht="15.7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</row>
    <row r="560" ht="15.7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</row>
    <row r="561" ht="15.7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</row>
    <row r="562" ht="15.7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</row>
    <row r="563" ht="15.7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</row>
    <row r="564" ht="15.7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</row>
    <row r="565" ht="15.7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</row>
    <row r="566" ht="15.7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</row>
    <row r="567" ht="15.7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</row>
    <row r="568" ht="15.7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</row>
    <row r="569" ht="15.7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</row>
    <row r="570" ht="15.7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</row>
    <row r="571" ht="15.7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</row>
    <row r="572" ht="15.7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</row>
    <row r="573" ht="15.7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</row>
    <row r="574" ht="15.7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</row>
    <row r="575" ht="15.7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</row>
    <row r="576" ht="15.7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</row>
    <row r="577" ht="15.7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</row>
    <row r="578" ht="15.7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</row>
    <row r="579" ht="15.7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</row>
    <row r="580" ht="15.7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</row>
    <row r="581" ht="15.7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</row>
    <row r="582" ht="15.7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</row>
    <row r="583" ht="15.7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</row>
    <row r="584" ht="15.7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</row>
    <row r="585" ht="15.7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</row>
    <row r="586" ht="15.7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</row>
    <row r="587" ht="15.7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</row>
    <row r="588" ht="15.7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</row>
    <row r="589" ht="15.7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</row>
    <row r="590" ht="15.7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</row>
    <row r="591" ht="15.7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</row>
    <row r="592" ht="15.7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</row>
    <row r="593" ht="15.7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</row>
    <row r="594" ht="15.7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</row>
    <row r="595" ht="15.7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</row>
    <row r="596" ht="15.7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</row>
    <row r="597" ht="15.7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</row>
    <row r="598" ht="15.7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</row>
    <row r="599" ht="15.7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</row>
    <row r="600" ht="15.7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</row>
    <row r="601" ht="15.7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</row>
    <row r="602" ht="15.7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</row>
    <row r="603" ht="15.7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</row>
    <row r="604" ht="15.7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</row>
    <row r="605" ht="15.7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</row>
    <row r="606" ht="15.7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</row>
    <row r="607" ht="15.7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</row>
    <row r="608" ht="15.7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</row>
    <row r="609" ht="15.7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</row>
    <row r="610" ht="15.7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</row>
    <row r="611" ht="15.7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</row>
    <row r="612" ht="15.7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</row>
    <row r="613" ht="15.7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</row>
    <row r="614" ht="15.7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</row>
    <row r="615" ht="15.7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</row>
    <row r="616" ht="15.7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</row>
    <row r="617" ht="15.7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</row>
    <row r="618" ht="15.7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</row>
    <row r="619" ht="15.7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</row>
    <row r="620" ht="15.7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</row>
    <row r="621" ht="15.7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</row>
    <row r="622" ht="15.7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</row>
    <row r="623" ht="15.7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</row>
    <row r="624" ht="15.7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</row>
    <row r="625" ht="15.7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</row>
    <row r="626" ht="15.7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</row>
    <row r="627" ht="15.7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</row>
    <row r="628" ht="15.7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</row>
    <row r="629" ht="15.7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</row>
    <row r="630" ht="15.7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</row>
    <row r="631" ht="15.7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</row>
    <row r="632" ht="15.7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</row>
    <row r="633" ht="15.7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</row>
    <row r="634" ht="15.7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</row>
    <row r="635" ht="15.7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</row>
    <row r="636" ht="15.7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</row>
    <row r="637" ht="15.7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</row>
    <row r="638" ht="15.7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</row>
    <row r="639" ht="15.7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</row>
    <row r="640" ht="15.7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</row>
    <row r="641" ht="15.7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</row>
    <row r="642" ht="15.7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</row>
    <row r="643" ht="15.7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</row>
    <row r="644" ht="15.7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</row>
    <row r="645" ht="15.7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</row>
    <row r="646" ht="15.7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</row>
    <row r="647" ht="15.7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</row>
    <row r="648" ht="15.7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</row>
    <row r="649" ht="15.7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</row>
    <row r="650" ht="15.7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</row>
    <row r="651" ht="15.7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</row>
    <row r="652" ht="15.7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</row>
    <row r="653" ht="15.7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</row>
    <row r="654" ht="15.7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</row>
    <row r="655" ht="15.7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</row>
    <row r="656" ht="15.7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</row>
    <row r="657" ht="15.7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</row>
    <row r="658" ht="15.7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</row>
    <row r="659" ht="15.7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</row>
    <row r="660" ht="15.7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</row>
    <row r="661" ht="15.7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</row>
    <row r="662" ht="15.7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</row>
    <row r="663" ht="15.7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</row>
    <row r="664" ht="15.7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</row>
    <row r="665" ht="15.7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</row>
    <row r="666" ht="15.7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</row>
    <row r="667" ht="15.7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</row>
    <row r="668" ht="15.7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</row>
    <row r="669" ht="15.7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</row>
    <row r="670" ht="15.7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</row>
    <row r="671" ht="15.7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</row>
    <row r="672" ht="15.7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</row>
    <row r="673" ht="15.7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</row>
    <row r="674" ht="15.7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</row>
    <row r="675" ht="15.7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</row>
    <row r="676" ht="15.7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</row>
    <row r="677" ht="15.7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</row>
    <row r="678" ht="15.7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</row>
    <row r="679" ht="15.7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</row>
    <row r="680" ht="15.7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</row>
    <row r="681" ht="15.7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</row>
    <row r="682" ht="15.7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</row>
    <row r="683" ht="15.7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</row>
    <row r="684" ht="15.7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</row>
    <row r="685" ht="15.7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</row>
    <row r="686" ht="15.7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</row>
    <row r="687" ht="15.7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</row>
    <row r="688" ht="15.7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</row>
    <row r="689" ht="15.7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</row>
    <row r="690" ht="15.7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</row>
    <row r="691" ht="15.7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</row>
    <row r="692" ht="15.7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</row>
    <row r="693" ht="15.7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</row>
    <row r="694" ht="15.7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</row>
    <row r="695" ht="15.7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</row>
    <row r="696" ht="15.7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</row>
    <row r="697" ht="15.7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</row>
    <row r="698" ht="15.7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</row>
    <row r="699" ht="15.7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</row>
    <row r="700" ht="15.7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</row>
    <row r="701" ht="15.7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</row>
    <row r="702" ht="15.7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</row>
    <row r="703" ht="15.7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</row>
    <row r="704" ht="15.7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</row>
    <row r="705" ht="15.7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</row>
    <row r="706" ht="15.7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</row>
    <row r="707" ht="15.7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</row>
    <row r="708" ht="15.7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</row>
    <row r="709" ht="15.7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</row>
    <row r="710" ht="15.7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</row>
    <row r="711" ht="15.7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</row>
    <row r="712" ht="15.7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</row>
    <row r="713" ht="15.7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9"/>
    </row>
    <row r="714" ht="15.7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9"/>
    </row>
    <row r="715" ht="15.7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</row>
    <row r="716" ht="15.7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</row>
    <row r="717" ht="15.7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</row>
    <row r="718" ht="15.7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</row>
    <row r="719" ht="15.7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</row>
    <row r="720" ht="15.7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</row>
    <row r="721" ht="15.7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</row>
    <row r="722" ht="15.7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</row>
    <row r="723" ht="15.7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</row>
    <row r="724" ht="15.7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</row>
    <row r="725" ht="15.7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</row>
    <row r="726" ht="15.7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</row>
    <row r="727" ht="15.7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</row>
    <row r="728" ht="15.7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</row>
    <row r="729" ht="15.7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</row>
    <row r="730" ht="15.7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</row>
    <row r="731" ht="15.7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</row>
    <row r="732" ht="15.7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</row>
    <row r="733" ht="15.7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</row>
    <row r="734" ht="15.7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</row>
    <row r="735" ht="15.7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</row>
    <row r="736" ht="15.7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</row>
    <row r="737" ht="15.7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</row>
    <row r="738" ht="15.7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</row>
    <row r="739" ht="15.7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</row>
    <row r="740" ht="15.7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</row>
    <row r="741" ht="15.7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</row>
    <row r="742" ht="15.7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</row>
    <row r="743" ht="15.7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</row>
    <row r="744" ht="15.7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</row>
    <row r="745" ht="15.7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</row>
    <row r="746" ht="15.7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</row>
    <row r="747" ht="15.7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</row>
    <row r="748" ht="15.7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</row>
    <row r="749" ht="15.7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</row>
    <row r="750" ht="15.7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</row>
    <row r="751" ht="15.7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</row>
    <row r="752" ht="15.7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</row>
    <row r="753" ht="15.7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</row>
    <row r="754" ht="15.7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</row>
    <row r="755" ht="15.7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</row>
    <row r="756" ht="15.7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</row>
    <row r="757" ht="15.7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</row>
    <row r="758" ht="15.7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9"/>
    </row>
    <row r="759" ht="15.7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9"/>
    </row>
    <row r="760" ht="15.7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</row>
    <row r="761" ht="15.7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</row>
    <row r="762" ht="15.7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</row>
    <row r="763" ht="15.7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</row>
    <row r="764" ht="15.7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</row>
    <row r="765" ht="15.7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</row>
    <row r="766" ht="15.7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</row>
    <row r="767" ht="15.7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</row>
    <row r="768" ht="15.7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</row>
    <row r="769" ht="15.7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</row>
    <row r="770" ht="15.7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</row>
    <row r="771" ht="15.7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</row>
    <row r="772" ht="15.7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</row>
    <row r="773" ht="15.7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</row>
    <row r="774" ht="15.7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</row>
    <row r="775" ht="15.7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</row>
    <row r="776" ht="15.7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</row>
    <row r="777" ht="15.7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</row>
    <row r="778" ht="15.7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</row>
    <row r="779" ht="15.7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9"/>
    </row>
    <row r="780" ht="15.7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9"/>
    </row>
    <row r="781" ht="15.7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</row>
    <row r="782" ht="15.7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</row>
    <row r="783" ht="15.7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</row>
    <row r="784" ht="15.7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</row>
    <row r="785" ht="15.7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</row>
    <row r="786" ht="15.7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</row>
    <row r="787" ht="15.7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</row>
    <row r="788" ht="15.7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</row>
    <row r="789" ht="15.7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</row>
    <row r="790" ht="15.7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</row>
    <row r="791" ht="15.7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</row>
    <row r="792" ht="15.7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</row>
    <row r="793" ht="15.7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</row>
    <row r="794" ht="15.7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</row>
    <row r="795" ht="15.7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</row>
    <row r="796" ht="15.7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</row>
    <row r="797" ht="15.7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</row>
    <row r="798" ht="15.7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</row>
    <row r="799" ht="15.7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</row>
    <row r="800" ht="15.7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</row>
    <row r="801" ht="15.7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</row>
    <row r="802" ht="15.7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</row>
    <row r="803" ht="15.7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</row>
    <row r="804" ht="15.7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</row>
    <row r="805" ht="15.7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</row>
    <row r="806" ht="15.7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</row>
    <row r="807" ht="15.7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</row>
    <row r="808" ht="15.7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</row>
    <row r="809" ht="15.7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</row>
    <row r="810" ht="15.7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</row>
    <row r="811" ht="15.7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</row>
    <row r="812" ht="15.7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</row>
    <row r="813" ht="15.7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</row>
    <row r="814" ht="15.7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</row>
    <row r="815" ht="15.7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</row>
    <row r="816" ht="15.7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</row>
    <row r="817" ht="15.7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</row>
    <row r="818" ht="15.7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</row>
    <row r="819" ht="15.7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</row>
    <row r="820" ht="15.7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</row>
    <row r="821" ht="15.7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</row>
    <row r="822" ht="15.7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</row>
    <row r="823" ht="15.7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</row>
    <row r="824" ht="15.7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</row>
    <row r="825" ht="15.7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</row>
    <row r="826" ht="15.7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</row>
    <row r="827" ht="15.7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</row>
    <row r="828" ht="15.7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</row>
    <row r="829" ht="15.7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</row>
    <row r="830" ht="15.7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</row>
    <row r="831" ht="15.7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</row>
    <row r="832" ht="15.7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</row>
    <row r="833" ht="15.7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</row>
    <row r="834" ht="15.7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</row>
    <row r="835" ht="15.7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</row>
    <row r="836" ht="15.7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</row>
    <row r="837" ht="15.7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</row>
    <row r="838" ht="15.7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</row>
    <row r="839" ht="15.7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</row>
    <row r="840" ht="15.7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</row>
    <row r="841" ht="15.7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</row>
    <row r="842" ht="15.7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</row>
    <row r="843" ht="15.7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</row>
    <row r="844" ht="15.7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</row>
    <row r="845" ht="15.7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</row>
    <row r="846" ht="15.7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</row>
    <row r="847" ht="15.7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</row>
    <row r="848" ht="15.7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</row>
    <row r="849" ht="15.7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</row>
    <row r="850" ht="15.7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</row>
    <row r="851" ht="15.7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</row>
    <row r="852" ht="15.7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</row>
    <row r="853" ht="15.7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</row>
    <row r="854" ht="15.7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</row>
    <row r="855" ht="15.7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</row>
    <row r="856" ht="15.7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</row>
    <row r="857" ht="15.7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</row>
    <row r="858" ht="15.7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</row>
    <row r="859" ht="15.7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</row>
    <row r="860" ht="15.7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</row>
    <row r="861" ht="15.7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</row>
    <row r="862" ht="15.7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</row>
    <row r="863" ht="15.7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</row>
    <row r="864" ht="15.7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</row>
    <row r="865" ht="15.7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</row>
    <row r="866" ht="15.7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</row>
    <row r="867" ht="15.7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</row>
    <row r="868" ht="15.7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</row>
    <row r="869" ht="15.7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</row>
    <row r="870" ht="15.7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</row>
    <row r="871" ht="15.7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</row>
    <row r="872" ht="15.7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</row>
    <row r="873" ht="15.7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</row>
    <row r="874" ht="15.7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</row>
    <row r="875" ht="15.7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</row>
    <row r="876" ht="15.7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</row>
    <row r="877" ht="15.7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</row>
    <row r="878" ht="15.7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</row>
    <row r="879" ht="15.7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</row>
    <row r="880" ht="15.7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</row>
    <row r="881" ht="15.7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</row>
    <row r="882" ht="15.7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</row>
    <row r="883" ht="15.7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</row>
    <row r="884" ht="15.7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</row>
    <row r="885" ht="15.7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</row>
    <row r="886" ht="15.7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</row>
    <row r="887" ht="15.7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</row>
    <row r="888" ht="15.7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</row>
    <row r="889" ht="15.7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</row>
    <row r="890" ht="15.7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</row>
    <row r="891" ht="15.7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</row>
    <row r="892" ht="15.7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</row>
    <row r="893" ht="15.7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</row>
    <row r="894" ht="15.7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</row>
    <row r="895" ht="15.7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</row>
    <row r="896" ht="15.7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</row>
    <row r="897" ht="15.7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</row>
    <row r="898" ht="15.7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</row>
    <row r="899" ht="15.7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</row>
    <row r="900" ht="15.7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</row>
    <row r="901" ht="15.7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</row>
    <row r="902" ht="15.7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</row>
    <row r="903" ht="15.7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</row>
    <row r="904" ht="15.7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</row>
    <row r="905" ht="15.7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</row>
    <row r="906" ht="15.7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</row>
    <row r="907" ht="15.7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</row>
    <row r="908" ht="15.7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</row>
    <row r="909" ht="15.7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</row>
    <row r="910" ht="15.7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</row>
    <row r="911" ht="15.7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</row>
    <row r="912" ht="15.7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</row>
    <row r="913" ht="15.7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/>
    </row>
    <row r="914" ht="15.7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9"/>
    </row>
    <row r="915" ht="15.7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9"/>
    </row>
    <row r="916" ht="15.7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9"/>
    </row>
    <row r="917" ht="15.7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9"/>
    </row>
    <row r="918" ht="15.7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9"/>
    </row>
    <row r="919" ht="15.7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9"/>
    </row>
    <row r="920" ht="15.7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9"/>
    </row>
    <row r="921" ht="15.7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9"/>
    </row>
    <row r="922" ht="15.7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9"/>
    </row>
    <row r="923" ht="15.7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9"/>
    </row>
    <row r="924" ht="15.7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9"/>
    </row>
    <row r="925" ht="15.7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9"/>
    </row>
    <row r="926" ht="15.7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9"/>
    </row>
    <row r="927" ht="15.7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</row>
    <row r="928" ht="15.7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9"/>
    </row>
    <row r="929" ht="15.7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9"/>
    </row>
    <row r="930" ht="15.7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9"/>
    </row>
    <row r="931" ht="15.7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9"/>
    </row>
    <row r="932" ht="15.7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9"/>
    </row>
    <row r="933" ht="15.7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9"/>
    </row>
    <row r="934" ht="15.7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9"/>
    </row>
    <row r="935" ht="15.7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9"/>
    </row>
    <row r="936" ht="15.7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9"/>
    </row>
    <row r="937" ht="15.7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9"/>
    </row>
    <row r="938" ht="15.7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9"/>
    </row>
    <row r="939" ht="15.7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9"/>
    </row>
    <row r="940" ht="15.7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9"/>
    </row>
    <row r="941" ht="15.7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</row>
    <row r="942" ht="15.7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9"/>
    </row>
    <row r="943" ht="15.7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9"/>
    </row>
    <row r="944" ht="15.7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9"/>
    </row>
    <row r="945" ht="15.7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9"/>
    </row>
    <row r="946" ht="15.7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9"/>
    </row>
    <row r="947" ht="15.7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9"/>
    </row>
    <row r="948" ht="15.7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9"/>
    </row>
    <row r="949" ht="15.7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9"/>
    </row>
    <row r="950" ht="15.7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9"/>
    </row>
    <row r="951" ht="15.7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9"/>
    </row>
    <row r="952" ht="15.7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9"/>
    </row>
    <row r="953" ht="15.7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9"/>
    </row>
    <row r="954" ht="15.7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9"/>
    </row>
    <row r="955" ht="15.7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9"/>
    </row>
    <row r="956" ht="15.7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9"/>
    </row>
    <row r="957" ht="15.7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9"/>
    </row>
    <row r="958" ht="15.7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9"/>
    </row>
    <row r="959" ht="15.7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9"/>
    </row>
    <row r="960" ht="15.7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9"/>
    </row>
    <row r="961" ht="15.7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9"/>
    </row>
    <row r="962" ht="15.7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9"/>
    </row>
    <row r="963" ht="15.7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9"/>
    </row>
    <row r="964" ht="15.7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9"/>
    </row>
    <row r="965" ht="15.7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9"/>
    </row>
    <row r="966" ht="15.7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9"/>
    </row>
    <row r="967" ht="15.7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9"/>
    </row>
    <row r="968" ht="15.7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9"/>
    </row>
    <row r="969" ht="15.7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9"/>
    </row>
    <row r="970" ht="15.7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9"/>
    </row>
    <row r="971" ht="15.7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9"/>
    </row>
    <row r="972" ht="15.7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9"/>
    </row>
    <row r="973" ht="15.7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9"/>
    </row>
    <row r="974" ht="15.7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9"/>
    </row>
    <row r="975" ht="15.7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9"/>
    </row>
    <row r="976" ht="15.7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9"/>
    </row>
    <row r="977" ht="15.7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9"/>
    </row>
    <row r="978" ht="15.7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9"/>
    </row>
    <row r="979" ht="15.7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9"/>
    </row>
    <row r="980" ht="15.7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9"/>
    </row>
    <row r="981" ht="15.7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9"/>
    </row>
    <row r="982" ht="15.7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9"/>
    </row>
    <row r="983" ht="15.7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9"/>
    </row>
    <row r="984" ht="15.7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9"/>
    </row>
    <row r="985" ht="15.7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9"/>
    </row>
    <row r="986" ht="15.7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9"/>
    </row>
    <row r="987" ht="15.7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9"/>
    </row>
  </sheetData>
  <autoFilter ref="$A$1:$AA$352"/>
  <dataValidations>
    <dataValidation type="list" allowBlank="1" sqref="M2:M352">
      <formula1>"Active,Inactive,Discontinued"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CC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8.14"/>
    <col customWidth="1" min="3" max="3" width="10.0"/>
    <col customWidth="1" min="4" max="4" width="15.86"/>
    <col customWidth="1" min="5" max="5" width="7.14"/>
    <col customWidth="1" min="6" max="6" width="8.29"/>
    <col customWidth="1" min="7" max="7" width="7.57"/>
    <col customWidth="1" min="8" max="8" width="12.14"/>
    <col customWidth="1" min="9" max="26" width="8.71"/>
  </cols>
  <sheetData>
    <row r="1">
      <c r="A1" s="3" t="s">
        <v>3</v>
      </c>
      <c r="B1" s="3" t="s">
        <v>1727</v>
      </c>
      <c r="C1" s="3" t="s">
        <v>1853</v>
      </c>
      <c r="D1" s="3" t="s">
        <v>1854</v>
      </c>
      <c r="E1" s="3" t="s">
        <v>1855</v>
      </c>
      <c r="F1" s="3" t="s">
        <v>1856</v>
      </c>
      <c r="G1" s="3" t="s">
        <v>1857</v>
      </c>
      <c r="H1" s="3" t="s">
        <v>1858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179</v>
      </c>
      <c r="B2" s="7" t="s">
        <v>179</v>
      </c>
      <c r="C2" s="8">
        <v>1.0</v>
      </c>
      <c r="D2" s="8">
        <v>2.0</v>
      </c>
      <c r="E2" s="8">
        <v>25.0</v>
      </c>
      <c r="F2" s="8">
        <v>25.0</v>
      </c>
      <c r="G2" s="8">
        <v>3.0</v>
      </c>
      <c r="H2" s="8">
        <v>0.5</v>
      </c>
    </row>
    <row r="3">
      <c r="A3" s="7" t="s">
        <v>181</v>
      </c>
      <c r="B3" s="7" t="s">
        <v>181</v>
      </c>
      <c r="C3" s="8">
        <v>1.0</v>
      </c>
      <c r="D3" s="8">
        <v>2.0</v>
      </c>
      <c r="E3" s="8">
        <v>25.0</v>
      </c>
      <c r="F3" s="8">
        <v>25.0</v>
      </c>
      <c r="G3" s="8">
        <v>3.0</v>
      </c>
      <c r="H3" s="8">
        <v>0.5</v>
      </c>
    </row>
    <row r="4">
      <c r="A4" s="7" t="s">
        <v>183</v>
      </c>
      <c r="B4" s="7" t="s">
        <v>183</v>
      </c>
      <c r="C4" s="8">
        <v>1.0</v>
      </c>
      <c r="D4" s="8">
        <v>2.0</v>
      </c>
      <c r="E4" s="8">
        <v>25.0</v>
      </c>
      <c r="F4" s="8">
        <v>25.0</v>
      </c>
      <c r="G4" s="8">
        <v>3.0</v>
      </c>
      <c r="H4" s="8">
        <v>0.5</v>
      </c>
    </row>
    <row r="5">
      <c r="A5" s="7" t="s">
        <v>185</v>
      </c>
      <c r="B5" s="7" t="s">
        <v>185</v>
      </c>
      <c r="C5" s="8">
        <v>1.0</v>
      </c>
      <c r="D5" s="8">
        <v>2.0</v>
      </c>
      <c r="E5" s="8">
        <v>25.0</v>
      </c>
      <c r="F5" s="8">
        <v>25.0</v>
      </c>
      <c r="G5" s="8">
        <v>3.0</v>
      </c>
      <c r="H5" s="8">
        <v>0.5</v>
      </c>
    </row>
    <row r="6">
      <c r="A6" s="7" t="s">
        <v>187</v>
      </c>
      <c r="B6" s="7" t="s">
        <v>187</v>
      </c>
      <c r="C6" s="8">
        <v>1.0</v>
      </c>
      <c r="D6" s="8">
        <v>2.0</v>
      </c>
      <c r="E6" s="8">
        <v>25.0</v>
      </c>
      <c r="F6" s="8">
        <v>25.0</v>
      </c>
      <c r="G6" s="8">
        <v>3.0</v>
      </c>
      <c r="H6" s="8">
        <v>0.5</v>
      </c>
    </row>
    <row r="7">
      <c r="A7" s="7" t="s">
        <v>189</v>
      </c>
      <c r="B7" s="7" t="s">
        <v>189</v>
      </c>
      <c r="C7" s="8">
        <v>1.0</v>
      </c>
      <c r="D7" s="8">
        <v>2.0</v>
      </c>
      <c r="E7" s="8">
        <v>25.0</v>
      </c>
      <c r="F7" s="8">
        <v>25.0</v>
      </c>
      <c r="G7" s="8">
        <v>3.0</v>
      </c>
      <c r="H7" s="8">
        <v>0.5</v>
      </c>
    </row>
    <row r="8">
      <c r="A8" s="7" t="s">
        <v>191</v>
      </c>
      <c r="B8" s="7" t="s">
        <v>191</v>
      </c>
      <c r="C8" s="8">
        <v>1.0</v>
      </c>
      <c r="D8" s="8">
        <v>2.0</v>
      </c>
      <c r="E8" s="8">
        <v>25.0</v>
      </c>
      <c r="F8" s="8">
        <v>25.0</v>
      </c>
      <c r="G8" s="8">
        <v>3.0</v>
      </c>
      <c r="H8" s="8">
        <v>0.5</v>
      </c>
    </row>
    <row r="9">
      <c r="A9" s="7" t="s">
        <v>193</v>
      </c>
      <c r="B9" s="7" t="s">
        <v>193</v>
      </c>
      <c r="C9" s="8">
        <v>1.0</v>
      </c>
      <c r="D9" s="8">
        <v>2.0</v>
      </c>
      <c r="E9" s="8">
        <v>25.0</v>
      </c>
      <c r="F9" s="8">
        <v>25.0</v>
      </c>
      <c r="G9" s="8">
        <v>3.0</v>
      </c>
      <c r="H9" s="8">
        <v>0.5</v>
      </c>
    </row>
    <row r="10">
      <c r="A10" s="7" t="s">
        <v>195</v>
      </c>
      <c r="B10" s="7" t="s">
        <v>195</v>
      </c>
      <c r="C10" s="8">
        <v>1.0</v>
      </c>
      <c r="D10" s="8">
        <v>2.0</v>
      </c>
      <c r="E10" s="8">
        <v>25.0</v>
      </c>
      <c r="F10" s="8">
        <v>25.0</v>
      </c>
      <c r="G10" s="8">
        <v>3.0</v>
      </c>
      <c r="H10" s="8">
        <v>0.5</v>
      </c>
    </row>
    <row r="11">
      <c r="A11" s="7" t="s">
        <v>197</v>
      </c>
      <c r="B11" s="7" t="s">
        <v>197</v>
      </c>
      <c r="C11" s="8">
        <v>1.0</v>
      </c>
      <c r="D11" s="8">
        <v>2.0</v>
      </c>
      <c r="E11" s="8">
        <v>25.0</v>
      </c>
      <c r="F11" s="8">
        <v>25.0</v>
      </c>
      <c r="G11" s="8">
        <v>3.0</v>
      </c>
      <c r="H11" s="8">
        <v>0.5</v>
      </c>
    </row>
    <row r="12">
      <c r="A12" s="7" t="s">
        <v>199</v>
      </c>
      <c r="B12" s="7" t="s">
        <v>199</v>
      </c>
      <c r="C12" s="8">
        <v>1.0</v>
      </c>
      <c r="D12" s="8">
        <v>2.0</v>
      </c>
      <c r="E12" s="8">
        <v>25.0</v>
      </c>
      <c r="F12" s="8">
        <v>25.0</v>
      </c>
      <c r="G12" s="8">
        <v>3.0</v>
      </c>
      <c r="H12" s="8">
        <v>0.5</v>
      </c>
    </row>
    <row r="13">
      <c r="A13" s="7" t="s">
        <v>201</v>
      </c>
      <c r="B13" s="7" t="s">
        <v>201</v>
      </c>
      <c r="C13" s="8">
        <v>1.0</v>
      </c>
      <c r="D13" s="8">
        <v>2.0</v>
      </c>
      <c r="E13" s="8">
        <v>25.0</v>
      </c>
      <c r="F13" s="8">
        <v>25.0</v>
      </c>
      <c r="G13" s="8">
        <v>3.0</v>
      </c>
      <c r="H13" s="8">
        <v>0.5</v>
      </c>
    </row>
    <row r="14">
      <c r="A14" s="7" t="s">
        <v>203</v>
      </c>
      <c r="B14" s="7" t="s">
        <v>203</v>
      </c>
      <c r="C14" s="8">
        <v>1.0</v>
      </c>
      <c r="D14" s="8">
        <v>2.0</v>
      </c>
      <c r="E14" s="8">
        <v>25.0</v>
      </c>
      <c r="F14" s="8">
        <v>25.0</v>
      </c>
      <c r="G14" s="8">
        <v>3.0</v>
      </c>
      <c r="H14" s="8">
        <v>0.5</v>
      </c>
    </row>
    <row r="15">
      <c r="A15" s="7" t="s">
        <v>205</v>
      </c>
      <c r="B15" s="7" t="s">
        <v>205</v>
      </c>
      <c r="C15" s="8">
        <v>1.0</v>
      </c>
      <c r="D15" s="8">
        <v>2.0</v>
      </c>
      <c r="E15" s="8">
        <v>25.0</v>
      </c>
      <c r="F15" s="8">
        <v>25.0</v>
      </c>
      <c r="G15" s="8">
        <v>3.0</v>
      </c>
      <c r="H15" s="8">
        <v>0.5</v>
      </c>
    </row>
    <row r="16">
      <c r="A16" s="7" t="s">
        <v>207</v>
      </c>
      <c r="B16" s="7" t="s">
        <v>207</v>
      </c>
      <c r="C16" s="8">
        <v>1.0</v>
      </c>
      <c r="D16" s="8">
        <v>2.0</v>
      </c>
      <c r="E16" s="8">
        <v>25.0</v>
      </c>
      <c r="F16" s="8">
        <v>25.0</v>
      </c>
      <c r="G16" s="8">
        <v>3.0</v>
      </c>
      <c r="H16" s="8">
        <v>0.5</v>
      </c>
    </row>
    <row r="17">
      <c r="A17" s="7" t="s">
        <v>209</v>
      </c>
      <c r="B17" s="7" t="s">
        <v>209</v>
      </c>
      <c r="C17" s="8">
        <v>1.0</v>
      </c>
      <c r="D17" s="8">
        <v>2.0</v>
      </c>
      <c r="E17" s="8">
        <v>25.0</v>
      </c>
      <c r="F17" s="8">
        <v>25.0</v>
      </c>
      <c r="G17" s="8">
        <v>3.0</v>
      </c>
      <c r="H17" s="8">
        <v>0.5</v>
      </c>
    </row>
    <row r="18">
      <c r="A18" s="7" t="s">
        <v>211</v>
      </c>
      <c r="B18" s="7" t="s">
        <v>211</v>
      </c>
      <c r="C18" s="8">
        <v>1.0</v>
      </c>
      <c r="D18" s="8">
        <v>2.0</v>
      </c>
      <c r="E18" s="8">
        <v>25.0</v>
      </c>
      <c r="F18" s="8">
        <v>25.0</v>
      </c>
      <c r="G18" s="8">
        <v>3.0</v>
      </c>
      <c r="H18" s="8">
        <v>0.5</v>
      </c>
    </row>
    <row r="19" ht="15.75" customHeight="1">
      <c r="A19" s="7" t="s">
        <v>213</v>
      </c>
      <c r="B19" s="7" t="s">
        <v>213</v>
      </c>
      <c r="C19" s="8">
        <v>1.0</v>
      </c>
      <c r="D19" s="8">
        <v>2.0</v>
      </c>
      <c r="E19" s="8">
        <v>25.0</v>
      </c>
      <c r="F19" s="8">
        <v>25.0</v>
      </c>
      <c r="G19" s="8">
        <v>3.0</v>
      </c>
      <c r="H19" s="8">
        <v>0.5</v>
      </c>
    </row>
    <row r="20" ht="15.75" customHeight="1">
      <c r="A20" s="7" t="s">
        <v>216</v>
      </c>
      <c r="B20" s="7" t="s">
        <v>216</v>
      </c>
      <c r="C20" s="8">
        <v>1.0</v>
      </c>
      <c r="D20" s="8">
        <v>2.0</v>
      </c>
      <c r="E20" s="8">
        <v>25.0</v>
      </c>
      <c r="F20" s="8">
        <v>25.0</v>
      </c>
      <c r="G20" s="8">
        <v>3.0</v>
      </c>
      <c r="H20" s="8">
        <v>0.5</v>
      </c>
    </row>
    <row r="21" ht="15.75" customHeight="1">
      <c r="A21" s="7" t="s">
        <v>219</v>
      </c>
      <c r="B21" s="7" t="s">
        <v>219</v>
      </c>
      <c r="C21" s="8">
        <v>1.0</v>
      </c>
      <c r="D21" s="8">
        <v>2.0</v>
      </c>
      <c r="E21" s="8">
        <v>25.0</v>
      </c>
      <c r="F21" s="8">
        <v>25.0</v>
      </c>
      <c r="G21" s="8">
        <v>3.0</v>
      </c>
      <c r="H21" s="8">
        <v>0.5</v>
      </c>
    </row>
    <row r="22" ht="15.75" customHeight="1">
      <c r="A22" s="7" t="s">
        <v>222</v>
      </c>
      <c r="B22" s="7" t="s">
        <v>222</v>
      </c>
      <c r="C22" s="8">
        <v>1.0</v>
      </c>
      <c r="D22" s="8">
        <v>2.0</v>
      </c>
      <c r="E22" s="8">
        <v>25.0</v>
      </c>
      <c r="F22" s="8">
        <v>25.0</v>
      </c>
      <c r="G22" s="8">
        <v>3.0</v>
      </c>
      <c r="H22" s="8">
        <v>0.5</v>
      </c>
    </row>
    <row r="23" ht="15.75" customHeight="1">
      <c r="A23" s="7" t="s">
        <v>225</v>
      </c>
      <c r="B23" s="7" t="s">
        <v>225</v>
      </c>
      <c r="C23" s="8">
        <v>1.0</v>
      </c>
      <c r="D23" s="8">
        <v>2.0</v>
      </c>
      <c r="E23" s="8">
        <v>25.0</v>
      </c>
      <c r="F23" s="8">
        <v>25.0</v>
      </c>
      <c r="G23" s="8">
        <v>3.0</v>
      </c>
      <c r="H23" s="8">
        <v>0.5</v>
      </c>
    </row>
    <row r="24" ht="15.75" customHeight="1">
      <c r="A24" s="7" t="s">
        <v>228</v>
      </c>
      <c r="B24" s="7" t="s">
        <v>228</v>
      </c>
      <c r="C24" s="8">
        <v>1.0</v>
      </c>
      <c r="D24" s="8">
        <v>2.0</v>
      </c>
      <c r="E24" s="8">
        <v>25.0</v>
      </c>
      <c r="F24" s="8">
        <v>25.0</v>
      </c>
      <c r="G24" s="8">
        <v>3.0</v>
      </c>
      <c r="H24" s="8">
        <v>0.5</v>
      </c>
    </row>
    <row r="25" ht="15.75" customHeight="1">
      <c r="A25" s="7" t="s">
        <v>230</v>
      </c>
      <c r="B25" s="7" t="s">
        <v>230</v>
      </c>
      <c r="C25" s="8">
        <v>1.0</v>
      </c>
      <c r="D25" s="8">
        <v>2.0</v>
      </c>
      <c r="E25" s="8">
        <v>25.0</v>
      </c>
      <c r="F25" s="8">
        <v>25.0</v>
      </c>
      <c r="G25" s="8">
        <v>3.0</v>
      </c>
      <c r="H25" s="8">
        <v>0.5</v>
      </c>
    </row>
    <row r="26" ht="15.75" customHeight="1">
      <c r="A26" s="7" t="s">
        <v>232</v>
      </c>
      <c r="B26" s="7" t="s">
        <v>232</v>
      </c>
      <c r="C26" s="8">
        <v>1.0</v>
      </c>
      <c r="D26" s="8">
        <v>2.0</v>
      </c>
      <c r="E26" s="8">
        <v>25.0</v>
      </c>
      <c r="F26" s="8">
        <v>25.0</v>
      </c>
      <c r="G26" s="8">
        <v>3.0</v>
      </c>
      <c r="H26" s="8">
        <v>0.5</v>
      </c>
    </row>
    <row r="27" ht="15.75" customHeight="1">
      <c r="A27" s="7" t="s">
        <v>234</v>
      </c>
      <c r="B27" s="7" t="s">
        <v>234</v>
      </c>
      <c r="C27" s="8">
        <v>1.0</v>
      </c>
      <c r="D27" s="8">
        <v>2.0</v>
      </c>
      <c r="E27" s="8">
        <v>25.0</v>
      </c>
      <c r="F27" s="8">
        <v>25.0</v>
      </c>
      <c r="G27" s="8">
        <v>3.0</v>
      </c>
      <c r="H27" s="8">
        <v>0.5</v>
      </c>
    </row>
    <row r="28" ht="15.75" customHeight="1">
      <c r="A28" s="7" t="s">
        <v>236</v>
      </c>
      <c r="B28" s="7" t="s">
        <v>236</v>
      </c>
      <c r="C28" s="8">
        <v>1.0</v>
      </c>
      <c r="D28" s="8">
        <v>2.0</v>
      </c>
      <c r="E28" s="8">
        <v>25.0</v>
      </c>
      <c r="F28" s="8">
        <v>25.0</v>
      </c>
      <c r="G28" s="8">
        <v>3.0</v>
      </c>
      <c r="H28" s="8">
        <v>0.5</v>
      </c>
    </row>
    <row r="29" ht="15.75" customHeight="1">
      <c r="A29" s="7" t="s">
        <v>1200</v>
      </c>
      <c r="B29" s="7" t="s">
        <v>1200</v>
      </c>
      <c r="C29" s="8">
        <v>1.0</v>
      </c>
      <c r="D29" s="8">
        <v>2.0</v>
      </c>
      <c r="E29" s="8">
        <v>25.0</v>
      </c>
      <c r="F29" s="8">
        <v>25.0</v>
      </c>
      <c r="G29" s="8">
        <v>3.0</v>
      </c>
      <c r="H29" s="8">
        <v>0.5</v>
      </c>
    </row>
    <row r="30" ht="15.75" customHeight="1">
      <c r="A30" s="7" t="s">
        <v>1202</v>
      </c>
      <c r="B30" s="7" t="s">
        <v>1202</v>
      </c>
      <c r="C30" s="8">
        <v>1.0</v>
      </c>
      <c r="D30" s="8">
        <v>2.0</v>
      </c>
      <c r="E30" s="8">
        <v>25.0</v>
      </c>
      <c r="F30" s="8">
        <v>25.0</v>
      </c>
      <c r="G30" s="8">
        <v>3.0</v>
      </c>
      <c r="H30" s="8">
        <v>0.5</v>
      </c>
    </row>
    <row r="31" ht="15.75" customHeight="1">
      <c r="A31" s="7" t="s">
        <v>238</v>
      </c>
      <c r="B31" s="7" t="s">
        <v>238</v>
      </c>
      <c r="C31" s="8">
        <v>1.0</v>
      </c>
      <c r="D31" s="8">
        <v>2.0</v>
      </c>
      <c r="E31" s="8">
        <v>25.0</v>
      </c>
      <c r="F31" s="8">
        <v>25.0</v>
      </c>
      <c r="G31" s="8">
        <v>3.0</v>
      </c>
      <c r="H31" s="8">
        <v>0.5</v>
      </c>
    </row>
    <row r="32" ht="15.75" customHeight="1">
      <c r="A32" s="7" t="s">
        <v>240</v>
      </c>
      <c r="B32" s="7" t="s">
        <v>240</v>
      </c>
      <c r="C32" s="8">
        <v>1.0</v>
      </c>
      <c r="D32" s="8">
        <v>2.0</v>
      </c>
      <c r="E32" s="8">
        <v>25.0</v>
      </c>
      <c r="F32" s="8">
        <v>25.0</v>
      </c>
      <c r="G32" s="8">
        <v>3.0</v>
      </c>
      <c r="H32" s="8">
        <v>0.5</v>
      </c>
    </row>
    <row r="33" ht="15.75" customHeight="1">
      <c r="A33" s="7" t="s">
        <v>242</v>
      </c>
      <c r="B33" s="7" t="s">
        <v>242</v>
      </c>
      <c r="C33" s="8">
        <v>1.0</v>
      </c>
      <c r="D33" s="8">
        <v>2.0</v>
      </c>
      <c r="E33" s="8">
        <v>25.0</v>
      </c>
      <c r="F33" s="8">
        <v>25.0</v>
      </c>
      <c r="G33" s="8">
        <v>3.0</v>
      </c>
      <c r="H33" s="8">
        <v>0.5</v>
      </c>
    </row>
    <row r="34" ht="15.75" customHeight="1">
      <c r="A34" s="7" t="s">
        <v>244</v>
      </c>
      <c r="B34" s="7" t="s">
        <v>244</v>
      </c>
      <c r="C34" s="8">
        <v>1.0</v>
      </c>
      <c r="D34" s="8">
        <v>2.0</v>
      </c>
      <c r="E34" s="8">
        <v>25.0</v>
      </c>
      <c r="F34" s="8">
        <v>25.0</v>
      </c>
      <c r="G34" s="8">
        <v>3.0</v>
      </c>
      <c r="H34" s="8">
        <v>0.5</v>
      </c>
    </row>
    <row r="35" ht="15.75" customHeight="1">
      <c r="A35" s="7" t="s">
        <v>246</v>
      </c>
      <c r="B35" s="7" t="s">
        <v>246</v>
      </c>
      <c r="C35" s="8">
        <v>1.0</v>
      </c>
      <c r="D35" s="8">
        <v>2.0</v>
      </c>
      <c r="E35" s="8">
        <v>25.0</v>
      </c>
      <c r="F35" s="8">
        <v>25.0</v>
      </c>
      <c r="G35" s="8">
        <v>3.0</v>
      </c>
      <c r="H35" s="8">
        <v>0.5</v>
      </c>
    </row>
    <row r="36" ht="15.75" customHeight="1">
      <c r="A36" s="7" t="s">
        <v>248</v>
      </c>
      <c r="B36" s="7" t="s">
        <v>248</v>
      </c>
      <c r="C36" s="8">
        <v>1.0</v>
      </c>
      <c r="D36" s="8">
        <v>2.0</v>
      </c>
      <c r="E36" s="8">
        <v>25.0</v>
      </c>
      <c r="F36" s="8">
        <v>25.0</v>
      </c>
      <c r="G36" s="8">
        <v>3.0</v>
      </c>
      <c r="H36" s="8">
        <v>0.5</v>
      </c>
    </row>
    <row r="37" ht="15.75" customHeight="1">
      <c r="A37" s="7" t="s">
        <v>250</v>
      </c>
      <c r="B37" s="7" t="s">
        <v>250</v>
      </c>
      <c r="C37" s="8">
        <v>1.0</v>
      </c>
      <c r="D37" s="8">
        <v>2.0</v>
      </c>
      <c r="E37" s="8">
        <v>25.0</v>
      </c>
      <c r="F37" s="8">
        <v>25.0</v>
      </c>
      <c r="G37" s="8">
        <v>3.0</v>
      </c>
      <c r="H37" s="8">
        <v>0.5</v>
      </c>
    </row>
    <row r="38" ht="15.75" customHeight="1">
      <c r="A38" s="7" t="s">
        <v>252</v>
      </c>
      <c r="B38" s="7" t="s">
        <v>252</v>
      </c>
      <c r="C38" s="8">
        <v>1.0</v>
      </c>
      <c r="D38" s="8">
        <v>2.0</v>
      </c>
      <c r="E38" s="8">
        <v>25.0</v>
      </c>
      <c r="F38" s="8">
        <v>25.0</v>
      </c>
      <c r="G38" s="8">
        <v>3.0</v>
      </c>
      <c r="H38" s="8">
        <v>0.5</v>
      </c>
    </row>
    <row r="39" ht="15.75" customHeight="1">
      <c r="A39" s="7" t="s">
        <v>254</v>
      </c>
      <c r="B39" s="7" t="s">
        <v>254</v>
      </c>
      <c r="C39" s="8">
        <v>1.0</v>
      </c>
      <c r="D39" s="8">
        <v>2.0</v>
      </c>
      <c r="E39" s="8">
        <v>25.0</v>
      </c>
      <c r="F39" s="8">
        <v>25.0</v>
      </c>
      <c r="G39" s="8">
        <v>3.0</v>
      </c>
      <c r="H39" s="8">
        <v>0.5</v>
      </c>
    </row>
    <row r="40" ht="15.75" customHeight="1">
      <c r="A40" s="7" t="s">
        <v>272</v>
      </c>
      <c r="B40" s="7" t="s">
        <v>272</v>
      </c>
      <c r="C40" s="8">
        <v>1.0</v>
      </c>
      <c r="D40" s="8">
        <v>2.0</v>
      </c>
      <c r="E40" s="8">
        <v>25.0</v>
      </c>
      <c r="F40" s="8">
        <v>25.0</v>
      </c>
      <c r="G40" s="8">
        <v>3.0</v>
      </c>
      <c r="H40" s="8">
        <v>0.5</v>
      </c>
    </row>
    <row r="41" ht="15.75" customHeight="1">
      <c r="A41" s="7" t="s">
        <v>273</v>
      </c>
      <c r="B41" s="7" t="s">
        <v>273</v>
      </c>
      <c r="C41" s="8">
        <v>1.0</v>
      </c>
      <c r="D41" s="8">
        <v>2.0</v>
      </c>
      <c r="E41" s="8">
        <v>25.0</v>
      </c>
      <c r="F41" s="8">
        <v>25.0</v>
      </c>
      <c r="G41" s="8">
        <v>3.0</v>
      </c>
      <c r="H41" s="8">
        <v>0.5</v>
      </c>
    </row>
    <row r="42" ht="15.75" customHeight="1">
      <c r="A42" s="7" t="s">
        <v>283</v>
      </c>
      <c r="B42" s="7" t="s">
        <v>283</v>
      </c>
      <c r="C42" s="8">
        <v>1.0</v>
      </c>
      <c r="D42" s="8">
        <v>2.0</v>
      </c>
      <c r="E42" s="8">
        <v>25.0</v>
      </c>
      <c r="F42" s="8">
        <v>25.0</v>
      </c>
      <c r="G42" s="8">
        <v>3.0</v>
      </c>
      <c r="H42" s="8">
        <v>0.5</v>
      </c>
    </row>
    <row r="43" ht="15.75" customHeight="1">
      <c r="A43" s="7" t="s">
        <v>281</v>
      </c>
      <c r="B43" s="7" t="s">
        <v>281</v>
      </c>
      <c r="C43" s="8">
        <v>1.0</v>
      </c>
      <c r="D43" s="8">
        <v>2.0</v>
      </c>
      <c r="E43" s="8">
        <v>25.0</v>
      </c>
      <c r="F43" s="8">
        <v>25.0</v>
      </c>
      <c r="G43" s="8">
        <v>3.0</v>
      </c>
      <c r="H43" s="8">
        <v>0.5</v>
      </c>
    </row>
    <row r="44" ht="15.75" customHeight="1">
      <c r="A44" s="7" t="s">
        <v>286</v>
      </c>
      <c r="B44" s="7" t="s">
        <v>286</v>
      </c>
      <c r="C44" s="8">
        <v>1.0</v>
      </c>
      <c r="D44" s="8">
        <v>2.0</v>
      </c>
      <c r="E44" s="8">
        <v>25.0</v>
      </c>
      <c r="F44" s="8">
        <v>25.0</v>
      </c>
      <c r="G44" s="8">
        <v>3.0</v>
      </c>
      <c r="H44" s="8">
        <v>0.5</v>
      </c>
    </row>
    <row r="45" ht="15.75" customHeight="1">
      <c r="A45" s="7" t="s">
        <v>288</v>
      </c>
      <c r="B45" s="7" t="s">
        <v>288</v>
      </c>
      <c r="C45" s="8">
        <v>1.0</v>
      </c>
      <c r="D45" s="8">
        <v>2.0</v>
      </c>
      <c r="E45" s="8">
        <v>25.0</v>
      </c>
      <c r="F45" s="8">
        <v>25.0</v>
      </c>
      <c r="G45" s="8">
        <v>3.0</v>
      </c>
      <c r="H45" s="8">
        <v>0.5</v>
      </c>
    </row>
    <row r="46" ht="15.75" customHeight="1">
      <c r="A46" s="7" t="s">
        <v>265</v>
      </c>
      <c r="B46" s="7" t="s">
        <v>265</v>
      </c>
      <c r="C46" s="8">
        <v>1.0</v>
      </c>
      <c r="D46" s="8">
        <v>2.0</v>
      </c>
      <c r="E46" s="8">
        <v>25.0</v>
      </c>
      <c r="F46" s="8">
        <v>25.0</v>
      </c>
      <c r="G46" s="8">
        <v>3.0</v>
      </c>
      <c r="H46" s="8">
        <v>0.5</v>
      </c>
    </row>
    <row r="47" ht="15.75" customHeight="1">
      <c r="A47" s="7" t="s">
        <v>291</v>
      </c>
      <c r="B47" s="7" t="s">
        <v>291</v>
      </c>
      <c r="C47" s="8">
        <v>1.0</v>
      </c>
      <c r="D47" s="8">
        <v>2.0</v>
      </c>
      <c r="E47" s="8">
        <v>25.0</v>
      </c>
      <c r="F47" s="8">
        <v>25.0</v>
      </c>
      <c r="G47" s="8">
        <v>3.0</v>
      </c>
      <c r="H47" s="8">
        <v>0.5</v>
      </c>
    </row>
    <row r="48" ht="15.75" customHeight="1">
      <c r="A48" s="7" t="s">
        <v>293</v>
      </c>
      <c r="B48" s="7" t="s">
        <v>293</v>
      </c>
      <c r="C48" s="8">
        <v>1.0</v>
      </c>
      <c r="D48" s="8">
        <v>2.0</v>
      </c>
      <c r="E48" s="8">
        <v>25.0</v>
      </c>
      <c r="F48" s="8">
        <v>25.0</v>
      </c>
      <c r="G48" s="8">
        <v>3.0</v>
      </c>
      <c r="H48" s="8">
        <v>0.5</v>
      </c>
    </row>
    <row r="49" ht="15.75" customHeight="1">
      <c r="A49" s="7" t="s">
        <v>257</v>
      </c>
      <c r="B49" s="7" t="s">
        <v>257</v>
      </c>
      <c r="C49" s="8">
        <v>1.0</v>
      </c>
      <c r="D49" s="8">
        <v>2.0</v>
      </c>
      <c r="E49" s="8">
        <v>25.0</v>
      </c>
      <c r="F49" s="8">
        <v>25.0</v>
      </c>
      <c r="G49" s="8">
        <v>3.0</v>
      </c>
      <c r="H49" s="8">
        <v>0.5</v>
      </c>
    </row>
    <row r="50" ht="15.75" customHeight="1">
      <c r="A50" s="7" t="s">
        <v>259</v>
      </c>
      <c r="B50" s="7" t="s">
        <v>259</v>
      </c>
      <c r="C50" s="8">
        <v>1.0</v>
      </c>
      <c r="D50" s="8">
        <v>2.0</v>
      </c>
      <c r="E50" s="8">
        <v>25.0</v>
      </c>
      <c r="F50" s="8">
        <v>25.0</v>
      </c>
      <c r="G50" s="8">
        <v>3.0</v>
      </c>
      <c r="H50" s="8">
        <v>0.5</v>
      </c>
    </row>
    <row r="51" ht="15.75" customHeight="1">
      <c r="A51" s="7" t="s">
        <v>263</v>
      </c>
      <c r="B51" s="7" t="s">
        <v>263</v>
      </c>
      <c r="C51" s="8">
        <v>1.0</v>
      </c>
      <c r="D51" s="8">
        <v>2.0</v>
      </c>
      <c r="E51" s="8">
        <v>25.0</v>
      </c>
      <c r="F51" s="8">
        <v>25.0</v>
      </c>
      <c r="G51" s="8">
        <v>3.0</v>
      </c>
      <c r="H51" s="8">
        <v>0.5</v>
      </c>
    </row>
    <row r="52" ht="15.75" customHeight="1">
      <c r="A52" s="7" t="s">
        <v>1207</v>
      </c>
      <c r="B52" s="7" t="s">
        <v>1207</v>
      </c>
      <c r="C52" s="8">
        <v>1.0</v>
      </c>
      <c r="D52" s="8">
        <v>2.0</v>
      </c>
      <c r="E52" s="8">
        <v>25.0</v>
      </c>
      <c r="F52" s="8">
        <v>25.0</v>
      </c>
      <c r="G52" s="8">
        <v>3.0</v>
      </c>
      <c r="H52" s="8">
        <v>0.5</v>
      </c>
    </row>
    <row r="53" ht="15.75" customHeight="1">
      <c r="A53" s="7" t="s">
        <v>267</v>
      </c>
      <c r="B53" s="7" t="s">
        <v>267</v>
      </c>
      <c r="C53" s="8">
        <v>1.0</v>
      </c>
      <c r="D53" s="8">
        <v>2.0</v>
      </c>
      <c r="E53" s="8">
        <v>25.0</v>
      </c>
      <c r="F53" s="8">
        <v>25.0</v>
      </c>
      <c r="G53" s="8">
        <v>3.0</v>
      </c>
      <c r="H53" s="8">
        <v>0.5</v>
      </c>
    </row>
    <row r="54" ht="15.75" customHeight="1">
      <c r="A54" s="7" t="s">
        <v>305</v>
      </c>
      <c r="B54" s="7" t="s">
        <v>305</v>
      </c>
      <c r="C54" s="8">
        <v>1.0</v>
      </c>
      <c r="D54" s="8">
        <v>2.0</v>
      </c>
      <c r="E54" s="8">
        <v>25.0</v>
      </c>
      <c r="F54" s="8">
        <v>25.0</v>
      </c>
      <c r="G54" s="8">
        <v>3.0</v>
      </c>
      <c r="H54" s="8">
        <v>0.5</v>
      </c>
    </row>
    <row r="55" ht="15.75" customHeight="1">
      <c r="A55" s="7" t="s">
        <v>307</v>
      </c>
      <c r="B55" s="7" t="s">
        <v>307</v>
      </c>
      <c r="C55" s="8">
        <v>1.0</v>
      </c>
      <c r="D55" s="8">
        <v>2.0</v>
      </c>
      <c r="E55" s="8">
        <v>25.0</v>
      </c>
      <c r="F55" s="8">
        <v>25.0</v>
      </c>
      <c r="G55" s="8">
        <v>3.0</v>
      </c>
      <c r="H55" s="8">
        <v>0.5</v>
      </c>
    </row>
    <row r="56" ht="15.75" customHeight="1">
      <c r="A56" s="7" t="s">
        <v>309</v>
      </c>
      <c r="B56" s="7" t="s">
        <v>309</v>
      </c>
      <c r="C56" s="8">
        <v>1.0</v>
      </c>
      <c r="D56" s="8">
        <v>2.0</v>
      </c>
      <c r="E56" s="8">
        <v>25.0</v>
      </c>
      <c r="F56" s="8">
        <v>25.0</v>
      </c>
      <c r="G56" s="8">
        <v>3.0</v>
      </c>
      <c r="H56" s="8">
        <v>0.5</v>
      </c>
    </row>
    <row r="57" ht="15.75" customHeight="1">
      <c r="A57" s="7" t="s">
        <v>311</v>
      </c>
      <c r="B57" s="7" t="s">
        <v>311</v>
      </c>
      <c r="C57" s="8">
        <v>1.0</v>
      </c>
      <c r="D57" s="8">
        <v>2.0</v>
      </c>
      <c r="E57" s="8">
        <v>25.0</v>
      </c>
      <c r="F57" s="8">
        <v>25.0</v>
      </c>
      <c r="G57" s="8">
        <v>3.0</v>
      </c>
      <c r="H57" s="8">
        <v>0.5</v>
      </c>
    </row>
    <row r="58" ht="15.75" customHeight="1">
      <c r="A58" s="7" t="s">
        <v>313</v>
      </c>
      <c r="B58" s="7" t="s">
        <v>313</v>
      </c>
      <c r="C58" s="8">
        <v>1.0</v>
      </c>
      <c r="D58" s="8">
        <v>2.0</v>
      </c>
      <c r="E58" s="8">
        <v>25.0</v>
      </c>
      <c r="F58" s="8">
        <v>25.0</v>
      </c>
      <c r="G58" s="8">
        <v>3.0</v>
      </c>
      <c r="H58" s="8">
        <v>0.5</v>
      </c>
    </row>
    <row r="59" ht="15.75" customHeight="1">
      <c r="A59" s="7" t="s">
        <v>261</v>
      </c>
      <c r="B59" s="7" t="s">
        <v>261</v>
      </c>
      <c r="C59" s="8">
        <v>1.0</v>
      </c>
      <c r="D59" s="8">
        <v>2.0</v>
      </c>
      <c r="E59" s="8">
        <v>25.0</v>
      </c>
      <c r="F59" s="8">
        <v>25.0</v>
      </c>
      <c r="G59" s="8">
        <v>3.0</v>
      </c>
      <c r="H59" s="8">
        <v>0.5</v>
      </c>
    </row>
    <row r="60" ht="15.75" customHeight="1">
      <c r="A60" s="7" t="s">
        <v>316</v>
      </c>
      <c r="B60" s="7" t="s">
        <v>316</v>
      </c>
      <c r="C60" s="8">
        <v>1.0</v>
      </c>
      <c r="D60" s="8">
        <v>2.0</v>
      </c>
      <c r="E60" s="8">
        <v>25.0</v>
      </c>
      <c r="F60" s="8">
        <v>25.0</v>
      </c>
      <c r="G60" s="8">
        <v>3.0</v>
      </c>
      <c r="H60" s="8">
        <v>0.5</v>
      </c>
    </row>
    <row r="61" ht="15.75" customHeight="1">
      <c r="A61" s="7" t="s">
        <v>269</v>
      </c>
      <c r="B61" s="7" t="s">
        <v>269</v>
      </c>
      <c r="C61" s="8">
        <v>1.0</v>
      </c>
      <c r="D61" s="8">
        <v>2.0</v>
      </c>
      <c r="E61" s="8">
        <v>25.0</v>
      </c>
      <c r="F61" s="8">
        <v>25.0</v>
      </c>
      <c r="G61" s="8">
        <v>3.0</v>
      </c>
      <c r="H61" s="8">
        <v>0.5</v>
      </c>
    </row>
    <row r="62" ht="15.75" customHeight="1">
      <c r="A62" s="7" t="s">
        <v>319</v>
      </c>
      <c r="B62" s="7" t="s">
        <v>319</v>
      </c>
      <c r="C62" s="8">
        <v>1.0</v>
      </c>
      <c r="D62" s="8">
        <v>2.0</v>
      </c>
      <c r="E62" s="8">
        <v>25.0</v>
      </c>
      <c r="F62" s="8">
        <v>25.0</v>
      </c>
      <c r="G62" s="8">
        <v>3.0</v>
      </c>
      <c r="H62" s="8">
        <v>0.5</v>
      </c>
    </row>
    <row r="63" ht="15.75" customHeight="1">
      <c r="A63" s="7" t="s">
        <v>321</v>
      </c>
      <c r="B63" s="7" t="s">
        <v>321</v>
      </c>
      <c r="C63" s="8">
        <v>1.0</v>
      </c>
      <c r="D63" s="8">
        <v>2.0</v>
      </c>
      <c r="E63" s="8">
        <v>25.0</v>
      </c>
      <c r="F63" s="8">
        <v>25.0</v>
      </c>
      <c r="G63" s="8">
        <v>3.0</v>
      </c>
      <c r="H63" s="8">
        <v>0.5</v>
      </c>
    </row>
    <row r="64" ht="15.75" customHeight="1">
      <c r="A64" s="7" t="s">
        <v>333</v>
      </c>
      <c r="B64" s="7" t="s">
        <v>333</v>
      </c>
      <c r="C64" s="8">
        <v>1.0</v>
      </c>
      <c r="D64" s="8">
        <v>2.0</v>
      </c>
      <c r="E64" s="8">
        <v>25.0</v>
      </c>
      <c r="F64" s="8">
        <v>25.0</v>
      </c>
      <c r="G64" s="8">
        <v>3.0</v>
      </c>
      <c r="H64" s="8">
        <v>0.5</v>
      </c>
    </row>
    <row r="65" ht="15.75" customHeight="1">
      <c r="A65" s="7" t="s">
        <v>524</v>
      </c>
      <c r="B65" s="7" t="s">
        <v>524</v>
      </c>
      <c r="C65" s="8">
        <v>1.0</v>
      </c>
      <c r="D65" s="8">
        <v>2.0</v>
      </c>
      <c r="E65" s="8">
        <v>25.0</v>
      </c>
      <c r="F65" s="8">
        <v>25.0</v>
      </c>
      <c r="G65" s="8">
        <v>3.0</v>
      </c>
      <c r="H65" s="8">
        <v>0.5</v>
      </c>
    </row>
    <row r="66" ht="15.75" customHeight="1">
      <c r="A66" s="7" t="s">
        <v>391</v>
      </c>
      <c r="B66" s="7" t="s">
        <v>391</v>
      </c>
      <c r="C66" s="8">
        <v>1.0</v>
      </c>
      <c r="D66" s="8">
        <v>2.0</v>
      </c>
      <c r="E66" s="8">
        <v>25.0</v>
      </c>
      <c r="F66" s="8">
        <v>25.0</v>
      </c>
      <c r="G66" s="8">
        <v>3.0</v>
      </c>
      <c r="H66" s="8">
        <v>0.5</v>
      </c>
    </row>
    <row r="67" ht="15.75" customHeight="1">
      <c r="A67" s="7" t="s">
        <v>1304</v>
      </c>
      <c r="B67" s="7" t="s">
        <v>1304</v>
      </c>
      <c r="C67" s="8">
        <v>1.0</v>
      </c>
      <c r="D67" s="8">
        <v>2.0</v>
      </c>
      <c r="E67" s="8">
        <v>25.0</v>
      </c>
      <c r="F67" s="8">
        <v>25.0</v>
      </c>
      <c r="G67" s="8">
        <v>3.0</v>
      </c>
      <c r="H67" s="8">
        <v>0.5</v>
      </c>
    </row>
    <row r="68" ht="15.75" customHeight="1">
      <c r="A68" s="7" t="s">
        <v>353</v>
      </c>
      <c r="B68" s="7" t="s">
        <v>353</v>
      </c>
      <c r="C68" s="8">
        <v>1.0</v>
      </c>
      <c r="D68" s="8">
        <v>2.0</v>
      </c>
      <c r="E68" s="8">
        <v>25.0</v>
      </c>
      <c r="F68" s="8">
        <v>25.0</v>
      </c>
      <c r="G68" s="8">
        <v>3.0</v>
      </c>
      <c r="H68" s="8">
        <v>0.5</v>
      </c>
    </row>
    <row r="69" ht="15.75" customHeight="1">
      <c r="A69" s="7" t="s">
        <v>534</v>
      </c>
      <c r="B69" s="7" t="s">
        <v>534</v>
      </c>
      <c r="C69" s="8">
        <v>1.0</v>
      </c>
      <c r="D69" s="8">
        <v>2.0</v>
      </c>
      <c r="E69" s="8">
        <v>25.0</v>
      </c>
      <c r="F69" s="8">
        <v>25.0</v>
      </c>
      <c r="G69" s="8">
        <v>3.0</v>
      </c>
      <c r="H69" s="8">
        <v>0.5</v>
      </c>
    </row>
    <row r="70" ht="15.75" customHeight="1">
      <c r="A70" s="7" t="s">
        <v>536</v>
      </c>
      <c r="B70" s="7" t="s">
        <v>536</v>
      </c>
      <c r="C70" s="8">
        <v>1.0</v>
      </c>
      <c r="D70" s="8">
        <v>2.0</v>
      </c>
      <c r="E70" s="8">
        <v>25.0</v>
      </c>
      <c r="F70" s="8">
        <v>25.0</v>
      </c>
      <c r="G70" s="8">
        <v>3.0</v>
      </c>
      <c r="H70" s="8">
        <v>0.5</v>
      </c>
    </row>
    <row r="71" ht="15.75" customHeight="1">
      <c r="A71" s="7" t="s">
        <v>354</v>
      </c>
      <c r="B71" s="7" t="s">
        <v>354</v>
      </c>
      <c r="C71" s="8">
        <v>1.0</v>
      </c>
      <c r="D71" s="8">
        <v>2.0</v>
      </c>
      <c r="E71" s="8">
        <v>25.0</v>
      </c>
      <c r="F71" s="8">
        <v>25.0</v>
      </c>
      <c r="G71" s="8">
        <v>3.0</v>
      </c>
      <c r="H71" s="8">
        <v>0.5</v>
      </c>
    </row>
    <row r="72" ht="15.75" customHeight="1">
      <c r="A72" s="7" t="s">
        <v>358</v>
      </c>
      <c r="B72" s="7" t="s">
        <v>358</v>
      </c>
      <c r="C72" s="8">
        <v>1.0</v>
      </c>
      <c r="D72" s="8">
        <v>2.0</v>
      </c>
      <c r="E72" s="8">
        <v>25.0</v>
      </c>
      <c r="F72" s="8">
        <v>25.0</v>
      </c>
      <c r="G72" s="8">
        <v>3.0</v>
      </c>
      <c r="H72" s="8">
        <v>0.5</v>
      </c>
    </row>
    <row r="73" ht="15.75" customHeight="1">
      <c r="A73" s="7" t="s">
        <v>355</v>
      </c>
      <c r="B73" s="7" t="s">
        <v>355</v>
      </c>
      <c r="C73" s="8">
        <v>1.0</v>
      </c>
      <c r="D73" s="8">
        <v>2.0</v>
      </c>
      <c r="E73" s="8">
        <v>25.0</v>
      </c>
      <c r="F73" s="8">
        <v>25.0</v>
      </c>
      <c r="G73" s="8">
        <v>3.0</v>
      </c>
      <c r="H73" s="8">
        <v>0.5</v>
      </c>
    </row>
    <row r="74" ht="15.75" customHeight="1">
      <c r="A74" s="7" t="s">
        <v>541</v>
      </c>
      <c r="B74" s="7" t="s">
        <v>541</v>
      </c>
      <c r="C74" s="8">
        <v>1.0</v>
      </c>
      <c r="D74" s="8">
        <v>2.0</v>
      </c>
      <c r="E74" s="8">
        <v>25.0</v>
      </c>
      <c r="F74" s="8">
        <v>25.0</v>
      </c>
      <c r="G74" s="8">
        <v>3.0</v>
      </c>
      <c r="H74" s="8">
        <v>0.5</v>
      </c>
    </row>
    <row r="75" ht="15.75" customHeight="1">
      <c r="A75" s="7" t="s">
        <v>356</v>
      </c>
      <c r="B75" s="7" t="s">
        <v>356</v>
      </c>
      <c r="C75" s="8">
        <v>1.0</v>
      </c>
      <c r="D75" s="8">
        <v>2.0</v>
      </c>
      <c r="E75" s="8">
        <v>25.0</v>
      </c>
      <c r="F75" s="8">
        <v>25.0</v>
      </c>
      <c r="G75" s="8">
        <v>3.0</v>
      </c>
      <c r="H75" s="8">
        <v>0.5</v>
      </c>
    </row>
    <row r="76" ht="15.75" customHeight="1">
      <c r="A76" s="7" t="s">
        <v>359</v>
      </c>
      <c r="B76" s="7" t="s">
        <v>359</v>
      </c>
      <c r="C76" s="8">
        <v>1.0</v>
      </c>
      <c r="D76" s="8">
        <v>2.0</v>
      </c>
      <c r="E76" s="8">
        <v>25.0</v>
      </c>
      <c r="F76" s="8">
        <v>25.0</v>
      </c>
      <c r="G76" s="8">
        <v>3.0</v>
      </c>
      <c r="H76" s="8">
        <v>0.5</v>
      </c>
    </row>
    <row r="77" ht="15.75" customHeight="1">
      <c r="A77" s="7" t="s">
        <v>361</v>
      </c>
      <c r="B77" s="7" t="s">
        <v>361</v>
      </c>
      <c r="C77" s="8">
        <v>1.0</v>
      </c>
      <c r="D77" s="8">
        <v>2.0</v>
      </c>
      <c r="E77" s="8">
        <v>25.0</v>
      </c>
      <c r="F77" s="8">
        <v>25.0</v>
      </c>
      <c r="G77" s="8">
        <v>3.0</v>
      </c>
      <c r="H77" s="8">
        <v>0.5</v>
      </c>
    </row>
    <row r="78" ht="15.75" customHeight="1">
      <c r="A78" s="7" t="s">
        <v>1859</v>
      </c>
      <c r="B78" s="7" t="s">
        <v>363</v>
      </c>
      <c r="C78" s="8">
        <v>1.0</v>
      </c>
      <c r="D78" s="8">
        <v>2.0</v>
      </c>
      <c r="E78" s="8">
        <v>25.0</v>
      </c>
      <c r="F78" s="8">
        <v>25.0</v>
      </c>
      <c r="G78" s="8">
        <v>3.0</v>
      </c>
      <c r="H78" s="8">
        <v>0.5</v>
      </c>
    </row>
    <row r="79" ht="15.75" customHeight="1">
      <c r="A79" s="7" t="s">
        <v>363</v>
      </c>
      <c r="B79" s="7" t="s">
        <v>363</v>
      </c>
      <c r="C79" s="8">
        <v>1.0</v>
      </c>
      <c r="D79" s="8">
        <v>2.0</v>
      </c>
      <c r="E79" s="8">
        <v>25.0</v>
      </c>
      <c r="F79" s="8">
        <v>25.0</v>
      </c>
      <c r="G79" s="8">
        <v>3.0</v>
      </c>
      <c r="H79" s="8">
        <v>0.5</v>
      </c>
    </row>
    <row r="80" ht="15.75" customHeight="1">
      <c r="A80" s="7" t="s">
        <v>365</v>
      </c>
      <c r="B80" s="7" t="s">
        <v>365</v>
      </c>
      <c r="C80" s="8">
        <v>1.0</v>
      </c>
      <c r="D80" s="8">
        <v>2.0</v>
      </c>
      <c r="E80" s="8">
        <v>25.0</v>
      </c>
      <c r="F80" s="8">
        <v>25.0</v>
      </c>
      <c r="G80" s="8">
        <v>3.0</v>
      </c>
      <c r="H80" s="8">
        <v>0.5</v>
      </c>
    </row>
    <row r="81" ht="15.75" customHeight="1">
      <c r="A81" s="7" t="s">
        <v>367</v>
      </c>
      <c r="B81" s="7" t="s">
        <v>367</v>
      </c>
      <c r="C81" s="8">
        <v>1.0</v>
      </c>
      <c r="D81" s="8">
        <v>2.0</v>
      </c>
      <c r="E81" s="8">
        <v>25.0</v>
      </c>
      <c r="F81" s="8">
        <v>25.0</v>
      </c>
      <c r="G81" s="8">
        <v>3.0</v>
      </c>
      <c r="H81" s="8">
        <v>0.5</v>
      </c>
    </row>
    <row r="82" ht="15.75" customHeight="1">
      <c r="A82" s="7" t="s">
        <v>335</v>
      </c>
      <c r="B82" s="7" t="s">
        <v>335</v>
      </c>
      <c r="C82" s="8">
        <v>1.0</v>
      </c>
      <c r="D82" s="8">
        <v>2.0</v>
      </c>
      <c r="E82" s="8">
        <v>25.0</v>
      </c>
      <c r="F82" s="8">
        <v>25.0</v>
      </c>
      <c r="G82" s="8">
        <v>3.0</v>
      </c>
      <c r="H82" s="8">
        <v>0.5</v>
      </c>
    </row>
    <row r="83" ht="15.75" customHeight="1">
      <c r="A83" s="7" t="s">
        <v>338</v>
      </c>
      <c r="B83" s="7" t="s">
        <v>338</v>
      </c>
      <c r="C83" s="8">
        <v>1.0</v>
      </c>
      <c r="D83" s="8">
        <v>2.0</v>
      </c>
      <c r="E83" s="8">
        <v>25.0</v>
      </c>
      <c r="F83" s="8">
        <v>25.0</v>
      </c>
      <c r="G83" s="8">
        <v>3.0</v>
      </c>
      <c r="H83" s="8">
        <v>0.5</v>
      </c>
    </row>
    <row r="84" ht="15.75" customHeight="1">
      <c r="A84" s="7" t="s">
        <v>368</v>
      </c>
      <c r="B84" s="7" t="s">
        <v>368</v>
      </c>
      <c r="C84" s="8">
        <v>1.0</v>
      </c>
      <c r="D84" s="8">
        <v>2.0</v>
      </c>
      <c r="E84" s="8">
        <v>25.0</v>
      </c>
      <c r="F84" s="8">
        <v>25.0</v>
      </c>
      <c r="G84" s="8">
        <v>3.0</v>
      </c>
      <c r="H84" s="8">
        <v>0.5</v>
      </c>
    </row>
    <row r="85" ht="15.75" customHeight="1">
      <c r="A85" s="7" t="s">
        <v>1310</v>
      </c>
      <c r="B85" s="7" t="s">
        <v>1310</v>
      </c>
      <c r="C85" s="8">
        <v>1.0</v>
      </c>
      <c r="D85" s="8">
        <v>2.0</v>
      </c>
      <c r="E85" s="8">
        <v>25.0</v>
      </c>
      <c r="F85" s="8">
        <v>25.0</v>
      </c>
      <c r="G85" s="8">
        <v>3.0</v>
      </c>
      <c r="H85" s="8">
        <v>0.5</v>
      </c>
    </row>
    <row r="86" ht="15.75" customHeight="1">
      <c r="A86" s="7" t="s">
        <v>369</v>
      </c>
      <c r="B86" s="7" t="s">
        <v>369</v>
      </c>
      <c r="C86" s="8">
        <v>1.0</v>
      </c>
      <c r="D86" s="8">
        <v>2.0</v>
      </c>
      <c r="E86" s="8">
        <v>25.0</v>
      </c>
      <c r="F86" s="8">
        <v>25.0</v>
      </c>
      <c r="G86" s="8">
        <v>3.0</v>
      </c>
      <c r="H86" s="8">
        <v>0.5</v>
      </c>
    </row>
    <row r="87" ht="15.75" customHeight="1">
      <c r="A87" s="7" t="s">
        <v>372</v>
      </c>
      <c r="B87" s="7" t="s">
        <v>372</v>
      </c>
      <c r="C87" s="8">
        <v>1.0</v>
      </c>
      <c r="D87" s="8">
        <v>2.0</v>
      </c>
      <c r="E87" s="8">
        <v>25.0</v>
      </c>
      <c r="F87" s="8">
        <v>25.0</v>
      </c>
      <c r="G87" s="8">
        <v>3.0</v>
      </c>
      <c r="H87" s="8">
        <v>0.5</v>
      </c>
    </row>
    <row r="88" ht="15.75" customHeight="1">
      <c r="A88" s="7" t="s">
        <v>1600</v>
      </c>
      <c r="B88" s="7" t="s">
        <v>1600</v>
      </c>
      <c r="C88" s="8">
        <v>1.0</v>
      </c>
      <c r="D88" s="8">
        <v>2.0</v>
      </c>
      <c r="E88" s="8">
        <v>25.0</v>
      </c>
      <c r="F88" s="8">
        <v>25.0</v>
      </c>
      <c r="G88" s="8">
        <v>3.0</v>
      </c>
      <c r="H88" s="8">
        <v>0.5</v>
      </c>
    </row>
    <row r="89" ht="15.75" customHeight="1">
      <c r="A89" s="7" t="s">
        <v>374</v>
      </c>
      <c r="B89" s="7" t="s">
        <v>374</v>
      </c>
      <c r="C89" s="8">
        <v>1.0</v>
      </c>
      <c r="D89" s="8">
        <v>2.0</v>
      </c>
      <c r="E89" s="8">
        <v>25.0</v>
      </c>
      <c r="F89" s="8">
        <v>25.0</v>
      </c>
      <c r="G89" s="8">
        <v>3.0</v>
      </c>
      <c r="H89" s="8">
        <v>0.5</v>
      </c>
    </row>
    <row r="90" ht="15.75" customHeight="1">
      <c r="A90" s="7" t="s">
        <v>377</v>
      </c>
      <c r="B90" s="7" t="s">
        <v>377</v>
      </c>
      <c r="C90" s="8">
        <v>1.0</v>
      </c>
      <c r="D90" s="8">
        <v>2.0</v>
      </c>
      <c r="E90" s="8">
        <v>25.0</v>
      </c>
      <c r="F90" s="8">
        <v>25.0</v>
      </c>
      <c r="G90" s="8">
        <v>3.0</v>
      </c>
      <c r="H90" s="8">
        <v>0.5</v>
      </c>
    </row>
    <row r="91" ht="15.75" customHeight="1">
      <c r="A91" s="7" t="s">
        <v>460</v>
      </c>
      <c r="B91" s="7" t="s">
        <v>460</v>
      </c>
      <c r="C91" s="8">
        <v>1.0</v>
      </c>
      <c r="D91" s="8">
        <v>2.0</v>
      </c>
      <c r="E91" s="8">
        <v>25.0</v>
      </c>
      <c r="F91" s="8">
        <v>25.0</v>
      </c>
      <c r="G91" s="8">
        <v>3.0</v>
      </c>
      <c r="H91" s="8">
        <v>0.5</v>
      </c>
    </row>
    <row r="92" ht="15.75" customHeight="1">
      <c r="A92" s="7" t="s">
        <v>520</v>
      </c>
      <c r="B92" s="7" t="s">
        <v>520</v>
      </c>
      <c r="C92" s="8">
        <v>1.0</v>
      </c>
      <c r="D92" s="8">
        <v>2.0</v>
      </c>
      <c r="E92" s="8">
        <v>25.0</v>
      </c>
      <c r="F92" s="8">
        <v>25.0</v>
      </c>
      <c r="G92" s="8">
        <v>3.0</v>
      </c>
      <c r="H92" s="8">
        <v>0.5</v>
      </c>
    </row>
    <row r="93" ht="15.75" customHeight="1">
      <c r="A93" s="7" t="s">
        <v>376</v>
      </c>
      <c r="B93" s="7" t="s">
        <v>376</v>
      </c>
      <c r="C93" s="8">
        <v>1.0</v>
      </c>
      <c r="D93" s="8">
        <v>2.0</v>
      </c>
      <c r="E93" s="8">
        <v>25.0</v>
      </c>
      <c r="F93" s="8">
        <v>25.0</v>
      </c>
      <c r="G93" s="8">
        <v>3.0</v>
      </c>
      <c r="H93" s="8">
        <v>0.5</v>
      </c>
    </row>
    <row r="94" ht="15.75" customHeight="1">
      <c r="A94" s="7" t="s">
        <v>378</v>
      </c>
      <c r="B94" s="7" t="s">
        <v>378</v>
      </c>
      <c r="C94" s="8">
        <v>1.0</v>
      </c>
      <c r="D94" s="8">
        <v>2.0</v>
      </c>
      <c r="E94" s="8">
        <v>25.0</v>
      </c>
      <c r="F94" s="8">
        <v>25.0</v>
      </c>
      <c r="G94" s="8">
        <v>3.0</v>
      </c>
      <c r="H94" s="8">
        <v>0.5</v>
      </c>
    </row>
    <row r="95" ht="15.75" customHeight="1">
      <c r="A95" s="7" t="s">
        <v>379</v>
      </c>
      <c r="B95" s="7" t="s">
        <v>379</v>
      </c>
      <c r="C95" s="8">
        <v>1.0</v>
      </c>
      <c r="D95" s="8">
        <v>2.0</v>
      </c>
      <c r="E95" s="8">
        <v>25.0</v>
      </c>
      <c r="F95" s="8">
        <v>25.0</v>
      </c>
      <c r="G95" s="8">
        <v>3.0</v>
      </c>
      <c r="H95" s="8">
        <v>0.5</v>
      </c>
    </row>
    <row r="96" ht="15.75" customHeight="1">
      <c r="A96" s="7" t="s">
        <v>380</v>
      </c>
      <c r="B96" s="7" t="s">
        <v>380</v>
      </c>
      <c r="C96" s="8">
        <v>1.0</v>
      </c>
      <c r="D96" s="8">
        <v>2.0</v>
      </c>
      <c r="E96" s="8">
        <v>25.0</v>
      </c>
      <c r="F96" s="8">
        <v>25.0</v>
      </c>
      <c r="G96" s="8">
        <v>3.0</v>
      </c>
      <c r="H96" s="8">
        <v>0.5</v>
      </c>
    </row>
    <row r="97" ht="15.75" customHeight="1">
      <c r="A97" s="7" t="s">
        <v>381</v>
      </c>
      <c r="B97" s="7" t="s">
        <v>381</v>
      </c>
      <c r="C97" s="8">
        <v>1.0</v>
      </c>
      <c r="D97" s="8">
        <v>2.0</v>
      </c>
      <c r="E97" s="8">
        <v>25.0</v>
      </c>
      <c r="F97" s="8">
        <v>25.0</v>
      </c>
      <c r="G97" s="8">
        <v>3.0</v>
      </c>
      <c r="H97" s="8">
        <v>0.5</v>
      </c>
    </row>
    <row r="98" ht="15.75" customHeight="1">
      <c r="A98" s="7" t="s">
        <v>382</v>
      </c>
      <c r="B98" s="7" t="s">
        <v>382</v>
      </c>
      <c r="C98" s="8">
        <v>1.0</v>
      </c>
      <c r="D98" s="8">
        <v>2.0</v>
      </c>
      <c r="E98" s="8">
        <v>25.0</v>
      </c>
      <c r="F98" s="8">
        <v>25.0</v>
      </c>
      <c r="G98" s="8">
        <v>3.0</v>
      </c>
      <c r="H98" s="8">
        <v>0.5</v>
      </c>
    </row>
    <row r="99" ht="15.75" customHeight="1">
      <c r="A99" s="7" t="s">
        <v>383</v>
      </c>
      <c r="B99" s="7" t="s">
        <v>383</v>
      </c>
      <c r="C99" s="8">
        <v>1.0</v>
      </c>
      <c r="D99" s="8">
        <v>2.0</v>
      </c>
      <c r="E99" s="8">
        <v>25.0</v>
      </c>
      <c r="F99" s="8">
        <v>25.0</v>
      </c>
      <c r="G99" s="8">
        <v>3.0</v>
      </c>
      <c r="H99" s="8">
        <v>0.5</v>
      </c>
    </row>
    <row r="100" ht="15.75" customHeight="1">
      <c r="A100" s="7" t="s">
        <v>384</v>
      </c>
      <c r="B100" s="7" t="s">
        <v>384</v>
      </c>
      <c r="C100" s="8">
        <v>1.0</v>
      </c>
      <c r="D100" s="8">
        <v>2.0</v>
      </c>
      <c r="E100" s="8">
        <v>25.0</v>
      </c>
      <c r="F100" s="8">
        <v>25.0</v>
      </c>
      <c r="G100" s="8">
        <v>3.0</v>
      </c>
      <c r="H100" s="8">
        <v>0.5</v>
      </c>
    </row>
    <row r="101" ht="15.75" customHeight="1">
      <c r="A101" s="7" t="s">
        <v>546</v>
      </c>
      <c r="B101" s="7" t="s">
        <v>546</v>
      </c>
      <c r="C101" s="8">
        <v>1.0</v>
      </c>
      <c r="D101" s="8">
        <v>2.0</v>
      </c>
      <c r="E101" s="8">
        <v>25.0</v>
      </c>
      <c r="F101" s="8">
        <v>25.0</v>
      </c>
      <c r="G101" s="8">
        <v>3.0</v>
      </c>
      <c r="H101" s="8">
        <v>0.5</v>
      </c>
    </row>
    <row r="102" ht="15.75" customHeight="1">
      <c r="A102" s="7" t="s">
        <v>137</v>
      </c>
      <c r="B102" s="7" t="s">
        <v>137</v>
      </c>
      <c r="C102" s="8">
        <v>1.0</v>
      </c>
      <c r="D102" s="8">
        <v>2.0</v>
      </c>
      <c r="E102" s="8">
        <v>25.0</v>
      </c>
      <c r="F102" s="8">
        <v>25.0</v>
      </c>
      <c r="G102" s="8">
        <v>3.0</v>
      </c>
      <c r="H102" s="8">
        <v>0.5</v>
      </c>
    </row>
    <row r="103" ht="15.75" customHeight="1">
      <c r="A103" s="7" t="s">
        <v>385</v>
      </c>
      <c r="B103" s="7" t="s">
        <v>385</v>
      </c>
      <c r="C103" s="8">
        <v>1.0</v>
      </c>
      <c r="D103" s="8">
        <v>2.0</v>
      </c>
      <c r="E103" s="8">
        <v>25.0</v>
      </c>
      <c r="F103" s="8">
        <v>25.0</v>
      </c>
      <c r="G103" s="8">
        <v>3.0</v>
      </c>
      <c r="H103" s="8">
        <v>0.5</v>
      </c>
    </row>
    <row r="104" ht="15.75" customHeight="1">
      <c r="A104" s="7" t="s">
        <v>16</v>
      </c>
      <c r="B104" s="7" t="s">
        <v>16</v>
      </c>
      <c r="C104" s="8">
        <v>1.0</v>
      </c>
      <c r="D104" s="8">
        <v>2.0</v>
      </c>
      <c r="E104" s="8">
        <v>25.0</v>
      </c>
      <c r="F104" s="8">
        <v>25.0</v>
      </c>
      <c r="G104" s="8">
        <v>3.0</v>
      </c>
      <c r="H104" s="8">
        <v>0.5</v>
      </c>
    </row>
    <row r="105" ht="15.75" customHeight="1">
      <c r="A105" s="7" t="s">
        <v>548</v>
      </c>
      <c r="B105" s="7" t="s">
        <v>548</v>
      </c>
      <c r="C105" s="8">
        <v>1.0</v>
      </c>
      <c r="D105" s="8">
        <v>2.0</v>
      </c>
      <c r="E105" s="8">
        <v>25.0</v>
      </c>
      <c r="F105" s="8">
        <v>25.0</v>
      </c>
      <c r="G105" s="8">
        <v>3.0</v>
      </c>
      <c r="H105" s="8">
        <v>0.5</v>
      </c>
    </row>
    <row r="106" ht="15.75" customHeight="1">
      <c r="A106" s="7" t="s">
        <v>551</v>
      </c>
      <c r="B106" s="7" t="s">
        <v>551</v>
      </c>
      <c r="C106" s="8">
        <v>1.0</v>
      </c>
      <c r="D106" s="8">
        <v>2.0</v>
      </c>
      <c r="E106" s="8">
        <v>25.0</v>
      </c>
      <c r="F106" s="8">
        <v>25.0</v>
      </c>
      <c r="G106" s="8">
        <v>3.0</v>
      </c>
      <c r="H106" s="8">
        <v>0.5</v>
      </c>
    </row>
    <row r="107" ht="15.75" customHeight="1">
      <c r="A107" s="7" t="s">
        <v>553</v>
      </c>
      <c r="B107" s="7" t="s">
        <v>553</v>
      </c>
      <c r="C107" s="8">
        <v>1.0</v>
      </c>
      <c r="D107" s="8">
        <v>2.0</v>
      </c>
      <c r="E107" s="8">
        <v>25.0</v>
      </c>
      <c r="F107" s="8">
        <v>25.0</v>
      </c>
      <c r="G107" s="8">
        <v>3.0</v>
      </c>
      <c r="H107" s="8">
        <v>0.5</v>
      </c>
    </row>
    <row r="108" ht="15.75" customHeight="1">
      <c r="A108" s="7" t="s">
        <v>555</v>
      </c>
      <c r="B108" s="7" t="s">
        <v>555</v>
      </c>
      <c r="C108" s="8">
        <v>1.0</v>
      </c>
      <c r="D108" s="8">
        <v>2.0</v>
      </c>
      <c r="E108" s="8">
        <v>25.0</v>
      </c>
      <c r="F108" s="8">
        <v>25.0</v>
      </c>
      <c r="G108" s="8">
        <v>3.0</v>
      </c>
      <c r="H108" s="8">
        <v>0.5</v>
      </c>
    </row>
    <row r="109" ht="15.75" customHeight="1">
      <c r="A109" s="7" t="s">
        <v>557</v>
      </c>
      <c r="B109" s="7" t="s">
        <v>557</v>
      </c>
      <c r="C109" s="8">
        <v>1.0</v>
      </c>
      <c r="D109" s="8">
        <v>2.0</v>
      </c>
      <c r="E109" s="8">
        <v>25.0</v>
      </c>
      <c r="F109" s="8">
        <v>25.0</v>
      </c>
      <c r="G109" s="8">
        <v>3.0</v>
      </c>
      <c r="H109" s="8">
        <v>0.5</v>
      </c>
    </row>
    <row r="110" ht="15.75" customHeight="1">
      <c r="A110" s="7" t="s">
        <v>559</v>
      </c>
      <c r="B110" s="7" t="s">
        <v>559</v>
      </c>
      <c r="C110" s="8">
        <v>1.0</v>
      </c>
      <c r="D110" s="8">
        <v>2.0</v>
      </c>
      <c r="E110" s="8">
        <v>25.0</v>
      </c>
      <c r="F110" s="8">
        <v>25.0</v>
      </c>
      <c r="G110" s="8">
        <v>3.0</v>
      </c>
      <c r="H110" s="8">
        <v>0.5</v>
      </c>
    </row>
    <row r="111" ht="15.75" customHeight="1">
      <c r="A111" s="7" t="s">
        <v>561</v>
      </c>
      <c r="B111" s="7" t="s">
        <v>561</v>
      </c>
      <c r="C111" s="8">
        <v>1.0</v>
      </c>
      <c r="D111" s="8">
        <v>2.0</v>
      </c>
      <c r="E111" s="8">
        <v>25.0</v>
      </c>
      <c r="F111" s="8">
        <v>25.0</v>
      </c>
      <c r="G111" s="8">
        <v>3.0</v>
      </c>
      <c r="H111" s="8">
        <v>0.5</v>
      </c>
    </row>
    <row r="112" ht="15.75" customHeight="1">
      <c r="A112" s="7" t="s">
        <v>563</v>
      </c>
      <c r="B112" s="7" t="s">
        <v>563</v>
      </c>
      <c r="C112" s="8">
        <v>1.0</v>
      </c>
      <c r="D112" s="8">
        <v>2.0</v>
      </c>
      <c r="E112" s="8">
        <v>25.0</v>
      </c>
      <c r="F112" s="8">
        <v>25.0</v>
      </c>
      <c r="G112" s="8">
        <v>3.0</v>
      </c>
      <c r="H112" s="8">
        <v>0.5</v>
      </c>
    </row>
    <row r="113" ht="15.75" customHeight="1">
      <c r="A113" s="7" t="s">
        <v>565</v>
      </c>
      <c r="B113" s="7" t="s">
        <v>565</v>
      </c>
      <c r="C113" s="8">
        <v>1.0</v>
      </c>
      <c r="D113" s="8">
        <v>2.0</v>
      </c>
      <c r="E113" s="8">
        <v>25.0</v>
      </c>
      <c r="F113" s="8">
        <v>25.0</v>
      </c>
      <c r="G113" s="8">
        <v>3.0</v>
      </c>
      <c r="H113" s="8">
        <v>0.5</v>
      </c>
    </row>
    <row r="114" ht="15.75" customHeight="1">
      <c r="A114" s="7" t="s">
        <v>567</v>
      </c>
      <c r="B114" s="7" t="s">
        <v>567</v>
      </c>
      <c r="C114" s="8">
        <v>1.0</v>
      </c>
      <c r="D114" s="8">
        <v>2.0</v>
      </c>
      <c r="E114" s="8">
        <v>25.0</v>
      </c>
      <c r="F114" s="8">
        <v>25.0</v>
      </c>
      <c r="G114" s="8">
        <v>3.0</v>
      </c>
      <c r="H114" s="8">
        <v>0.5</v>
      </c>
    </row>
    <row r="115" ht="15.75" customHeight="1">
      <c r="A115" s="7" t="s">
        <v>569</v>
      </c>
      <c r="B115" s="7" t="s">
        <v>569</v>
      </c>
      <c r="C115" s="8">
        <v>1.0</v>
      </c>
      <c r="D115" s="8">
        <v>2.0</v>
      </c>
      <c r="E115" s="8">
        <v>25.0</v>
      </c>
      <c r="F115" s="8">
        <v>25.0</v>
      </c>
      <c r="G115" s="8">
        <v>3.0</v>
      </c>
      <c r="H115" s="8">
        <v>0.5</v>
      </c>
    </row>
    <row r="116" ht="15.75" customHeight="1">
      <c r="A116" s="7" t="s">
        <v>571</v>
      </c>
      <c r="B116" s="7" t="s">
        <v>571</v>
      </c>
      <c r="C116" s="8">
        <v>1.0</v>
      </c>
      <c r="D116" s="8">
        <v>2.0</v>
      </c>
      <c r="E116" s="8">
        <v>25.0</v>
      </c>
      <c r="F116" s="8">
        <v>25.0</v>
      </c>
      <c r="G116" s="8">
        <v>3.0</v>
      </c>
      <c r="H116" s="8">
        <v>0.5</v>
      </c>
    </row>
    <row r="117" ht="15.75" customHeight="1">
      <c r="A117" s="7" t="s">
        <v>573</v>
      </c>
      <c r="B117" s="7" t="s">
        <v>573</v>
      </c>
      <c r="C117" s="8">
        <v>1.0</v>
      </c>
      <c r="D117" s="8">
        <v>2.0</v>
      </c>
      <c r="E117" s="8">
        <v>25.0</v>
      </c>
      <c r="F117" s="8">
        <v>25.0</v>
      </c>
      <c r="G117" s="8">
        <v>3.0</v>
      </c>
      <c r="H117" s="8">
        <v>0.5</v>
      </c>
    </row>
    <row r="118" ht="15.75" customHeight="1">
      <c r="A118" s="7" t="s">
        <v>575</v>
      </c>
      <c r="B118" s="7" t="s">
        <v>575</v>
      </c>
      <c r="C118" s="8">
        <v>1.0</v>
      </c>
      <c r="D118" s="8">
        <v>2.0</v>
      </c>
      <c r="E118" s="8">
        <v>25.0</v>
      </c>
      <c r="F118" s="8">
        <v>25.0</v>
      </c>
      <c r="G118" s="8">
        <v>3.0</v>
      </c>
      <c r="H118" s="8">
        <v>0.5</v>
      </c>
    </row>
    <row r="119" ht="15.75" customHeight="1">
      <c r="A119" s="7" t="s">
        <v>577</v>
      </c>
      <c r="B119" s="7" t="s">
        <v>577</v>
      </c>
      <c r="C119" s="8">
        <v>1.0</v>
      </c>
      <c r="D119" s="8">
        <v>2.0</v>
      </c>
      <c r="E119" s="8">
        <v>25.0</v>
      </c>
      <c r="F119" s="8">
        <v>25.0</v>
      </c>
      <c r="G119" s="8">
        <v>3.0</v>
      </c>
      <c r="H119" s="8">
        <v>0.5</v>
      </c>
    </row>
    <row r="120" ht="15.75" customHeight="1">
      <c r="A120" s="7" t="s">
        <v>580</v>
      </c>
      <c r="B120" s="7" t="s">
        <v>580</v>
      </c>
      <c r="C120" s="8">
        <v>1.0</v>
      </c>
      <c r="D120" s="8">
        <v>2.0</v>
      </c>
      <c r="E120" s="8">
        <v>25.0</v>
      </c>
      <c r="F120" s="8">
        <v>25.0</v>
      </c>
      <c r="G120" s="8">
        <v>3.0</v>
      </c>
      <c r="H120" s="8">
        <v>0.5</v>
      </c>
    </row>
    <row r="121" ht="15.75" customHeight="1">
      <c r="A121" s="7" t="s">
        <v>582</v>
      </c>
      <c r="B121" s="7" t="s">
        <v>582</v>
      </c>
      <c r="C121" s="8">
        <v>1.0</v>
      </c>
      <c r="D121" s="8">
        <v>2.0</v>
      </c>
      <c r="E121" s="8">
        <v>25.0</v>
      </c>
      <c r="F121" s="8">
        <v>25.0</v>
      </c>
      <c r="G121" s="8">
        <v>3.0</v>
      </c>
      <c r="H121" s="8">
        <v>0.5</v>
      </c>
    </row>
    <row r="122" ht="15.75" customHeight="1">
      <c r="A122" s="7" t="s">
        <v>584</v>
      </c>
      <c r="B122" s="7" t="s">
        <v>584</v>
      </c>
      <c r="C122" s="8">
        <v>1.0</v>
      </c>
      <c r="D122" s="8">
        <v>2.0</v>
      </c>
      <c r="E122" s="8">
        <v>25.0</v>
      </c>
      <c r="F122" s="8">
        <v>25.0</v>
      </c>
      <c r="G122" s="8">
        <v>3.0</v>
      </c>
      <c r="H122" s="8">
        <v>0.5</v>
      </c>
    </row>
    <row r="123" ht="15.75" customHeight="1">
      <c r="A123" s="7" t="s">
        <v>586</v>
      </c>
      <c r="B123" s="7" t="s">
        <v>586</v>
      </c>
      <c r="C123" s="8">
        <v>1.0</v>
      </c>
      <c r="D123" s="8">
        <v>2.0</v>
      </c>
      <c r="E123" s="8">
        <v>25.0</v>
      </c>
      <c r="F123" s="8">
        <v>25.0</v>
      </c>
      <c r="G123" s="8">
        <v>3.0</v>
      </c>
      <c r="H123" s="8">
        <v>0.5</v>
      </c>
    </row>
    <row r="124" ht="15.75" customHeight="1">
      <c r="A124" s="7" t="s">
        <v>588</v>
      </c>
      <c r="B124" s="7" t="s">
        <v>588</v>
      </c>
      <c r="C124" s="8">
        <v>1.0</v>
      </c>
      <c r="D124" s="8">
        <v>2.0</v>
      </c>
      <c r="E124" s="8">
        <v>25.0</v>
      </c>
      <c r="F124" s="8">
        <v>25.0</v>
      </c>
      <c r="G124" s="8">
        <v>3.0</v>
      </c>
      <c r="H124" s="8">
        <v>0.5</v>
      </c>
    </row>
    <row r="125" ht="15.75" customHeight="1">
      <c r="A125" s="7" t="s">
        <v>591</v>
      </c>
      <c r="B125" s="7" t="s">
        <v>591</v>
      </c>
      <c r="C125" s="8">
        <v>1.0</v>
      </c>
      <c r="D125" s="8">
        <v>2.0</v>
      </c>
      <c r="E125" s="8">
        <v>25.0</v>
      </c>
      <c r="F125" s="8">
        <v>25.0</v>
      </c>
      <c r="G125" s="8">
        <v>3.0</v>
      </c>
      <c r="H125" s="8">
        <v>0.5</v>
      </c>
    </row>
    <row r="126" ht="15.75" customHeight="1">
      <c r="A126" s="7" t="s">
        <v>594</v>
      </c>
      <c r="B126" s="7" t="s">
        <v>594</v>
      </c>
      <c r="C126" s="8">
        <v>1.0</v>
      </c>
      <c r="D126" s="8">
        <v>2.0</v>
      </c>
      <c r="E126" s="8">
        <v>25.0</v>
      </c>
      <c r="F126" s="8">
        <v>25.0</v>
      </c>
      <c r="G126" s="8">
        <v>3.0</v>
      </c>
      <c r="H126" s="8">
        <v>0.5</v>
      </c>
    </row>
    <row r="127" ht="15.75" customHeight="1">
      <c r="A127" s="7" t="s">
        <v>1396</v>
      </c>
      <c r="B127" s="7" t="s">
        <v>1396</v>
      </c>
      <c r="C127" s="8">
        <v>1.0</v>
      </c>
      <c r="D127" s="8">
        <v>2.0</v>
      </c>
      <c r="E127" s="8">
        <v>25.0</v>
      </c>
      <c r="F127" s="8">
        <v>25.0</v>
      </c>
      <c r="G127" s="8">
        <v>3.0</v>
      </c>
      <c r="H127" s="8">
        <v>0.5</v>
      </c>
    </row>
    <row r="128" ht="15.75" customHeight="1">
      <c r="A128" s="7" t="s">
        <v>393</v>
      </c>
      <c r="B128" s="7" t="s">
        <v>393</v>
      </c>
      <c r="C128" s="8">
        <v>1.0</v>
      </c>
      <c r="D128" s="8">
        <v>2.0</v>
      </c>
      <c r="E128" s="8">
        <v>25.0</v>
      </c>
      <c r="F128" s="8">
        <v>25.0</v>
      </c>
      <c r="G128" s="8">
        <v>3.0</v>
      </c>
      <c r="H128" s="8">
        <v>0.5</v>
      </c>
    </row>
    <row r="129" ht="15.75" customHeight="1">
      <c r="A129" s="7" t="s">
        <v>396</v>
      </c>
      <c r="B129" s="7" t="s">
        <v>396</v>
      </c>
      <c r="C129" s="8">
        <v>1.0</v>
      </c>
      <c r="D129" s="8">
        <v>2.0</v>
      </c>
      <c r="E129" s="8">
        <v>25.0</v>
      </c>
      <c r="F129" s="8">
        <v>25.0</v>
      </c>
      <c r="G129" s="8">
        <v>3.0</v>
      </c>
      <c r="H129" s="8">
        <v>0.5</v>
      </c>
    </row>
    <row r="130" ht="15.75" customHeight="1">
      <c r="A130" s="7" t="s">
        <v>400</v>
      </c>
      <c r="B130" s="7" t="s">
        <v>400</v>
      </c>
      <c r="C130" s="8">
        <v>1.0</v>
      </c>
      <c r="D130" s="8">
        <v>2.0</v>
      </c>
      <c r="E130" s="8">
        <v>25.0</v>
      </c>
      <c r="F130" s="8">
        <v>25.0</v>
      </c>
      <c r="G130" s="8">
        <v>3.0</v>
      </c>
      <c r="H130" s="8">
        <v>0.5</v>
      </c>
    </row>
    <row r="131" ht="15.75" customHeight="1">
      <c r="A131" s="7" t="s">
        <v>403</v>
      </c>
      <c r="B131" s="7" t="s">
        <v>403</v>
      </c>
      <c r="C131" s="8">
        <v>1.0</v>
      </c>
      <c r="D131" s="8">
        <v>2.0</v>
      </c>
      <c r="E131" s="8">
        <v>25.0</v>
      </c>
      <c r="F131" s="8">
        <v>25.0</v>
      </c>
      <c r="G131" s="8">
        <v>3.0</v>
      </c>
      <c r="H131" s="8">
        <v>0.5</v>
      </c>
    </row>
    <row r="132" ht="15.75" customHeight="1">
      <c r="A132" s="7" t="s">
        <v>600</v>
      </c>
      <c r="B132" s="7" t="s">
        <v>600</v>
      </c>
      <c r="C132" s="8">
        <v>1.0</v>
      </c>
      <c r="D132" s="8">
        <v>2.0</v>
      </c>
      <c r="E132" s="8">
        <v>25.0</v>
      </c>
      <c r="F132" s="8">
        <v>25.0</v>
      </c>
      <c r="G132" s="8">
        <v>3.0</v>
      </c>
      <c r="H132" s="8">
        <v>0.5</v>
      </c>
    </row>
    <row r="133" ht="15.75" customHeight="1">
      <c r="A133" s="7" t="s">
        <v>602</v>
      </c>
      <c r="B133" s="7" t="s">
        <v>602</v>
      </c>
      <c r="C133" s="8">
        <v>1.0</v>
      </c>
      <c r="D133" s="8">
        <v>2.0</v>
      </c>
      <c r="E133" s="8">
        <v>25.0</v>
      </c>
      <c r="F133" s="8">
        <v>25.0</v>
      </c>
      <c r="G133" s="8">
        <v>3.0</v>
      </c>
      <c r="H133" s="8">
        <v>0.5</v>
      </c>
    </row>
    <row r="134" ht="15.75" customHeight="1">
      <c r="A134" s="7" t="s">
        <v>605</v>
      </c>
      <c r="B134" s="7" t="s">
        <v>605</v>
      </c>
      <c r="C134" s="8">
        <v>1.0</v>
      </c>
      <c r="D134" s="8">
        <v>2.0</v>
      </c>
      <c r="E134" s="8">
        <v>25.0</v>
      </c>
      <c r="F134" s="8">
        <v>25.0</v>
      </c>
      <c r="G134" s="8">
        <v>3.0</v>
      </c>
      <c r="H134" s="8">
        <v>0.5</v>
      </c>
    </row>
    <row r="135" ht="15.75" customHeight="1">
      <c r="A135" s="7" t="s">
        <v>607</v>
      </c>
      <c r="B135" s="7" t="s">
        <v>607</v>
      </c>
      <c r="C135" s="8">
        <v>1.0</v>
      </c>
      <c r="D135" s="8">
        <v>2.0</v>
      </c>
      <c r="E135" s="8">
        <v>25.0</v>
      </c>
      <c r="F135" s="8">
        <v>25.0</v>
      </c>
      <c r="G135" s="8">
        <v>3.0</v>
      </c>
      <c r="H135" s="8">
        <v>0.5</v>
      </c>
    </row>
    <row r="136" ht="15.75" customHeight="1">
      <c r="A136" s="7" t="s">
        <v>610</v>
      </c>
      <c r="B136" s="7" t="s">
        <v>610</v>
      </c>
      <c r="C136" s="8">
        <v>1.0</v>
      </c>
      <c r="D136" s="8">
        <v>2.0</v>
      </c>
      <c r="E136" s="8">
        <v>25.0</v>
      </c>
      <c r="F136" s="8">
        <v>25.0</v>
      </c>
      <c r="G136" s="8">
        <v>3.0</v>
      </c>
      <c r="H136" s="8">
        <v>0.5</v>
      </c>
    </row>
    <row r="137" ht="15.75" customHeight="1">
      <c r="A137" s="7" t="s">
        <v>613</v>
      </c>
      <c r="B137" s="7" t="s">
        <v>613</v>
      </c>
      <c r="C137" s="8">
        <v>1.0</v>
      </c>
      <c r="D137" s="8">
        <v>2.0</v>
      </c>
      <c r="E137" s="8">
        <v>25.0</v>
      </c>
      <c r="F137" s="8">
        <v>25.0</v>
      </c>
      <c r="G137" s="8">
        <v>3.0</v>
      </c>
      <c r="H137" s="8">
        <v>0.5</v>
      </c>
    </row>
    <row r="138" ht="15.75" customHeight="1">
      <c r="A138" s="7" t="s">
        <v>387</v>
      </c>
      <c r="B138" s="7" t="s">
        <v>387</v>
      </c>
      <c r="C138" s="8">
        <v>1.0</v>
      </c>
      <c r="D138" s="8">
        <v>2.0</v>
      </c>
      <c r="E138" s="8">
        <v>25.0</v>
      </c>
      <c r="F138" s="8">
        <v>25.0</v>
      </c>
      <c r="G138" s="8">
        <v>3.0</v>
      </c>
      <c r="H138" s="8">
        <v>0.5</v>
      </c>
    </row>
    <row r="139" ht="15.75" customHeight="1">
      <c r="A139" s="7" t="s">
        <v>389</v>
      </c>
      <c r="B139" s="7" t="s">
        <v>389</v>
      </c>
      <c r="C139" s="8">
        <v>1.0</v>
      </c>
      <c r="D139" s="8">
        <v>2.0</v>
      </c>
      <c r="E139" s="8">
        <v>25.0</v>
      </c>
      <c r="F139" s="8">
        <v>25.0</v>
      </c>
      <c r="G139" s="8">
        <v>3.0</v>
      </c>
      <c r="H139" s="8">
        <v>0.5</v>
      </c>
    </row>
    <row r="140" ht="15.75" customHeight="1">
      <c r="A140" s="7" t="s">
        <v>416</v>
      </c>
      <c r="B140" s="7" t="s">
        <v>1761</v>
      </c>
      <c r="C140" s="8">
        <v>12.0</v>
      </c>
      <c r="D140" s="8">
        <v>25.0</v>
      </c>
      <c r="E140" s="8">
        <v>20.0</v>
      </c>
      <c r="F140" s="8">
        <v>20.0</v>
      </c>
      <c r="G140" s="8">
        <v>20.0</v>
      </c>
      <c r="H140" s="8">
        <v>1.0</v>
      </c>
    </row>
    <row r="141" ht="15.75" customHeight="1">
      <c r="A141" s="7" t="s">
        <v>418</v>
      </c>
      <c r="B141" s="7" t="s">
        <v>1761</v>
      </c>
      <c r="C141" s="8">
        <v>2.0</v>
      </c>
      <c r="D141" s="8">
        <v>25.0</v>
      </c>
      <c r="E141" s="8">
        <v>20.0</v>
      </c>
      <c r="F141" s="8">
        <v>20.0</v>
      </c>
      <c r="G141" s="8">
        <v>20.0</v>
      </c>
      <c r="H141" s="8">
        <v>1.0</v>
      </c>
    </row>
    <row r="142" ht="15.75" customHeight="1">
      <c r="A142" s="7" t="s">
        <v>420</v>
      </c>
      <c r="B142" s="7" t="s">
        <v>1761</v>
      </c>
      <c r="C142" s="8">
        <v>6.0</v>
      </c>
      <c r="D142" s="8">
        <v>25.0</v>
      </c>
      <c r="E142" s="8">
        <v>20.0</v>
      </c>
      <c r="F142" s="8">
        <v>20.0</v>
      </c>
      <c r="G142" s="8">
        <v>20.0</v>
      </c>
      <c r="H142" s="8">
        <v>1.0</v>
      </c>
    </row>
    <row r="143" ht="15.75" customHeight="1">
      <c r="A143" s="7" t="s">
        <v>422</v>
      </c>
      <c r="B143" s="7" t="s">
        <v>1765</v>
      </c>
      <c r="C143" s="8">
        <v>12.0</v>
      </c>
      <c r="D143" s="8">
        <v>25.0</v>
      </c>
      <c r="E143" s="8">
        <v>20.0</v>
      </c>
      <c r="F143" s="8">
        <v>20.0</v>
      </c>
      <c r="G143" s="8">
        <v>20.0</v>
      </c>
      <c r="H143" s="8">
        <v>1.0</v>
      </c>
    </row>
    <row r="144" ht="15.75" customHeight="1">
      <c r="A144" s="7" t="s">
        <v>424</v>
      </c>
      <c r="B144" s="7" t="s">
        <v>1765</v>
      </c>
      <c r="C144" s="8">
        <v>2.0</v>
      </c>
      <c r="D144" s="8">
        <v>25.0</v>
      </c>
      <c r="E144" s="8">
        <v>20.0</v>
      </c>
      <c r="F144" s="8">
        <v>20.0</v>
      </c>
      <c r="G144" s="8">
        <v>20.0</v>
      </c>
      <c r="H144" s="8">
        <v>1.0</v>
      </c>
    </row>
    <row r="145" ht="15.75" customHeight="1">
      <c r="A145" s="7" t="s">
        <v>426</v>
      </c>
      <c r="B145" s="7" t="s">
        <v>1765</v>
      </c>
      <c r="C145" s="8">
        <v>6.0</v>
      </c>
      <c r="D145" s="8">
        <v>25.0</v>
      </c>
      <c r="E145" s="8">
        <v>20.0</v>
      </c>
      <c r="F145" s="8">
        <v>20.0</v>
      </c>
      <c r="G145" s="8">
        <v>20.0</v>
      </c>
      <c r="H145" s="8">
        <v>1.0</v>
      </c>
    </row>
    <row r="146" ht="15.75" customHeight="1">
      <c r="A146" s="7" t="s">
        <v>428</v>
      </c>
      <c r="B146" s="7" t="s">
        <v>1767</v>
      </c>
      <c r="C146" s="8">
        <v>12.0</v>
      </c>
      <c r="D146" s="8">
        <v>25.0</v>
      </c>
      <c r="E146" s="8">
        <v>20.0</v>
      </c>
      <c r="F146" s="8">
        <v>20.0</v>
      </c>
      <c r="G146" s="8">
        <v>20.0</v>
      </c>
      <c r="H146" s="8">
        <v>1.0</v>
      </c>
    </row>
    <row r="147" ht="15.75" customHeight="1">
      <c r="A147" s="7" t="s">
        <v>430</v>
      </c>
      <c r="B147" s="7" t="s">
        <v>1767</v>
      </c>
      <c r="C147" s="8">
        <v>2.0</v>
      </c>
      <c r="D147" s="8">
        <v>25.0</v>
      </c>
      <c r="E147" s="8">
        <v>20.0</v>
      </c>
      <c r="F147" s="8">
        <v>20.0</v>
      </c>
      <c r="G147" s="8">
        <v>20.0</v>
      </c>
      <c r="H147" s="8">
        <v>1.0</v>
      </c>
    </row>
    <row r="148" ht="15.75" customHeight="1">
      <c r="A148" s="7" t="s">
        <v>432</v>
      </c>
      <c r="B148" s="7" t="s">
        <v>1767</v>
      </c>
      <c r="C148" s="8">
        <v>6.0</v>
      </c>
      <c r="D148" s="8">
        <v>25.0</v>
      </c>
      <c r="E148" s="8">
        <v>20.0</v>
      </c>
      <c r="F148" s="8">
        <v>20.0</v>
      </c>
      <c r="G148" s="8">
        <v>20.0</v>
      </c>
      <c r="H148" s="8">
        <v>1.0</v>
      </c>
    </row>
    <row r="149" ht="15.75" customHeight="1">
      <c r="A149" s="7" t="s">
        <v>434</v>
      </c>
      <c r="B149" s="7" t="s">
        <v>1769</v>
      </c>
      <c r="C149" s="8">
        <v>12.0</v>
      </c>
      <c r="D149" s="8">
        <v>25.0</v>
      </c>
      <c r="E149" s="8">
        <v>20.0</v>
      </c>
      <c r="F149" s="8">
        <v>20.0</v>
      </c>
      <c r="G149" s="8">
        <v>20.0</v>
      </c>
      <c r="H149" s="8">
        <v>1.0</v>
      </c>
    </row>
    <row r="150" ht="15.75" customHeight="1">
      <c r="A150" s="7" t="s">
        <v>436</v>
      </c>
      <c r="B150" s="7" t="s">
        <v>1769</v>
      </c>
      <c r="C150" s="8">
        <v>2.0</v>
      </c>
      <c r="D150" s="8">
        <v>25.0</v>
      </c>
      <c r="E150" s="8">
        <v>20.0</v>
      </c>
      <c r="F150" s="8">
        <v>20.0</v>
      </c>
      <c r="G150" s="8">
        <v>20.0</v>
      </c>
      <c r="H150" s="8">
        <v>1.0</v>
      </c>
    </row>
    <row r="151" ht="15.75" customHeight="1">
      <c r="A151" s="7" t="s">
        <v>438</v>
      </c>
      <c r="B151" s="7" t="s">
        <v>1769</v>
      </c>
      <c r="C151" s="8">
        <v>6.0</v>
      </c>
      <c r="D151" s="8">
        <v>25.0</v>
      </c>
      <c r="E151" s="8">
        <v>20.0</v>
      </c>
      <c r="F151" s="8">
        <v>20.0</v>
      </c>
      <c r="G151" s="8">
        <v>20.0</v>
      </c>
      <c r="H151" s="8">
        <v>1.0</v>
      </c>
    </row>
    <row r="152" ht="15.75" customHeight="1">
      <c r="A152" s="7" t="s">
        <v>440</v>
      </c>
      <c r="B152" s="7" t="s">
        <v>1771</v>
      </c>
      <c r="C152" s="8">
        <v>12.0</v>
      </c>
      <c r="D152" s="8">
        <v>25.0</v>
      </c>
      <c r="E152" s="8">
        <v>20.0</v>
      </c>
      <c r="F152" s="8">
        <v>20.0</v>
      </c>
      <c r="G152" s="8">
        <v>20.0</v>
      </c>
      <c r="H152" s="8">
        <v>1.0</v>
      </c>
    </row>
    <row r="153" ht="15.75" customHeight="1">
      <c r="A153" s="7" t="s">
        <v>442</v>
      </c>
      <c r="B153" s="7" t="s">
        <v>1771</v>
      </c>
      <c r="C153" s="8">
        <v>2.0</v>
      </c>
      <c r="D153" s="8">
        <v>25.0</v>
      </c>
      <c r="E153" s="8">
        <v>20.0</v>
      </c>
      <c r="F153" s="8">
        <v>20.0</v>
      </c>
      <c r="G153" s="8">
        <v>20.0</v>
      </c>
      <c r="H153" s="8">
        <v>1.0</v>
      </c>
    </row>
    <row r="154" ht="15.75" customHeight="1">
      <c r="A154" s="7" t="s">
        <v>444</v>
      </c>
      <c r="B154" s="7" t="s">
        <v>1771</v>
      </c>
      <c r="C154" s="8">
        <v>6.0</v>
      </c>
      <c r="D154" s="8">
        <v>25.0</v>
      </c>
      <c r="E154" s="8">
        <v>20.0</v>
      </c>
      <c r="F154" s="8">
        <v>20.0</v>
      </c>
      <c r="G154" s="8">
        <v>20.0</v>
      </c>
      <c r="H154" s="8">
        <v>1.0</v>
      </c>
    </row>
    <row r="155" ht="15.75" customHeight="1">
      <c r="A155" s="7" t="s">
        <v>446</v>
      </c>
      <c r="B155" s="7" t="s">
        <v>1773</v>
      </c>
      <c r="C155" s="8">
        <v>12.0</v>
      </c>
      <c r="D155" s="8">
        <v>25.0</v>
      </c>
      <c r="E155" s="8">
        <v>20.0</v>
      </c>
      <c r="F155" s="8">
        <v>20.0</v>
      </c>
      <c r="G155" s="8">
        <v>20.0</v>
      </c>
      <c r="H155" s="8">
        <v>1.0</v>
      </c>
    </row>
    <row r="156" ht="15.75" customHeight="1">
      <c r="A156" s="7" t="s">
        <v>448</v>
      </c>
      <c r="B156" s="7" t="s">
        <v>1773</v>
      </c>
      <c r="C156" s="8">
        <v>2.0</v>
      </c>
      <c r="D156" s="8">
        <v>25.0</v>
      </c>
      <c r="E156" s="8">
        <v>20.0</v>
      </c>
      <c r="F156" s="8">
        <v>20.0</v>
      </c>
      <c r="G156" s="8">
        <v>20.0</v>
      </c>
      <c r="H156" s="8">
        <v>1.0</v>
      </c>
    </row>
    <row r="157" ht="15.75" customHeight="1">
      <c r="A157" s="7" t="s">
        <v>450</v>
      </c>
      <c r="B157" s="7" t="s">
        <v>1773</v>
      </c>
      <c r="C157" s="8">
        <v>6.0</v>
      </c>
      <c r="D157" s="8">
        <v>25.0</v>
      </c>
      <c r="E157" s="8">
        <v>20.0</v>
      </c>
      <c r="F157" s="8">
        <v>20.0</v>
      </c>
      <c r="G157" s="8">
        <v>20.0</v>
      </c>
      <c r="H157" s="8">
        <v>1.0</v>
      </c>
    </row>
    <row r="158" ht="15.75" customHeight="1">
      <c r="A158" s="7" t="s">
        <v>871</v>
      </c>
      <c r="B158" s="7" t="s">
        <v>1800</v>
      </c>
      <c r="C158" s="8">
        <v>1.0</v>
      </c>
      <c r="D158" s="8">
        <v>50.0</v>
      </c>
      <c r="E158" s="8">
        <v>26.0</v>
      </c>
      <c r="F158" s="8">
        <v>26.0</v>
      </c>
      <c r="G158" s="8">
        <v>21.0</v>
      </c>
      <c r="H158" s="8">
        <v>0.18</v>
      </c>
    </row>
    <row r="159" ht="15.75" customHeight="1">
      <c r="A159" s="7" t="s">
        <v>1002</v>
      </c>
      <c r="B159" s="7" t="s">
        <v>1800</v>
      </c>
      <c r="C159" s="8">
        <v>12.0</v>
      </c>
      <c r="D159" s="8">
        <v>50.0</v>
      </c>
      <c r="E159" s="8">
        <v>26.0</v>
      </c>
      <c r="F159" s="8">
        <v>26.0</v>
      </c>
      <c r="G159" s="8">
        <v>46.0</v>
      </c>
      <c r="H159" s="8">
        <v>2.16</v>
      </c>
    </row>
    <row r="160" ht="15.75" customHeight="1">
      <c r="A160" s="7" t="s">
        <v>998</v>
      </c>
      <c r="B160" s="7" t="s">
        <v>1800</v>
      </c>
      <c r="C160" s="8">
        <v>3.0</v>
      </c>
      <c r="D160" s="8">
        <v>50.0</v>
      </c>
      <c r="E160" s="8">
        <v>26.0</v>
      </c>
      <c r="F160" s="8">
        <v>26.0</v>
      </c>
      <c r="G160" s="8">
        <v>26.0</v>
      </c>
      <c r="H160" s="8">
        <v>0.54</v>
      </c>
    </row>
    <row r="161" ht="15.75" customHeight="1">
      <c r="A161" s="7" t="s">
        <v>1000</v>
      </c>
      <c r="B161" s="7" t="s">
        <v>1800</v>
      </c>
      <c r="C161" s="8">
        <v>6.0</v>
      </c>
      <c r="D161" s="8">
        <v>50.0</v>
      </c>
      <c r="E161" s="8">
        <v>26.0</v>
      </c>
      <c r="F161" s="8">
        <v>26.0</v>
      </c>
      <c r="G161" s="8">
        <v>32.0</v>
      </c>
      <c r="H161" s="8">
        <v>1.0</v>
      </c>
    </row>
    <row r="162" ht="15.75" customHeight="1">
      <c r="A162" s="7" t="s">
        <v>873</v>
      </c>
      <c r="B162" s="7" t="s">
        <v>1802</v>
      </c>
      <c r="C162" s="8">
        <v>1.0</v>
      </c>
      <c r="D162" s="8">
        <v>70.0</v>
      </c>
      <c r="E162" s="8">
        <v>31.0</v>
      </c>
      <c r="F162" s="8">
        <v>31.0</v>
      </c>
      <c r="G162" s="8">
        <v>26.0</v>
      </c>
      <c r="H162" s="8">
        <v>0.3</v>
      </c>
    </row>
    <row r="163" ht="15.75" customHeight="1">
      <c r="A163" s="7" t="s">
        <v>1009</v>
      </c>
      <c r="B163" s="7" t="s">
        <v>1802</v>
      </c>
      <c r="C163" s="8">
        <v>12.0</v>
      </c>
      <c r="D163" s="8">
        <v>70.0</v>
      </c>
      <c r="E163" s="8">
        <v>31.0</v>
      </c>
      <c r="F163" s="8">
        <v>31.0</v>
      </c>
      <c r="G163" s="8">
        <v>53.0</v>
      </c>
      <c r="H163" s="8">
        <v>3.6</v>
      </c>
    </row>
    <row r="164" ht="15.75" customHeight="1">
      <c r="A164" s="7" t="s">
        <v>1005</v>
      </c>
      <c r="B164" s="7" t="s">
        <v>1802</v>
      </c>
      <c r="C164" s="8">
        <v>3.0</v>
      </c>
      <c r="D164" s="8">
        <v>70.0</v>
      </c>
      <c r="E164" s="8">
        <v>31.0</v>
      </c>
      <c r="F164" s="8">
        <v>31.0</v>
      </c>
      <c r="G164" s="8">
        <v>30.0</v>
      </c>
      <c r="H164" s="8">
        <v>0.9</v>
      </c>
    </row>
    <row r="165" ht="15.75" customHeight="1">
      <c r="A165" s="7" t="s">
        <v>1007</v>
      </c>
      <c r="B165" s="7" t="s">
        <v>1802</v>
      </c>
      <c r="C165" s="8">
        <v>6.0</v>
      </c>
      <c r="D165" s="8">
        <v>70.0</v>
      </c>
      <c r="E165" s="8">
        <v>31.0</v>
      </c>
      <c r="F165" s="8">
        <v>31.0</v>
      </c>
      <c r="G165" s="8">
        <v>38.0</v>
      </c>
      <c r="H165" s="8">
        <v>1.8</v>
      </c>
    </row>
    <row r="166" ht="15.75" customHeight="1">
      <c r="A166" s="7" t="s">
        <v>1011</v>
      </c>
      <c r="B166" s="7" t="s">
        <v>1804</v>
      </c>
      <c r="C166" s="8">
        <v>1.0</v>
      </c>
      <c r="D166" s="8">
        <v>100.0</v>
      </c>
      <c r="E166" s="8">
        <v>37.0</v>
      </c>
      <c r="F166" s="8">
        <v>37.0</v>
      </c>
      <c r="G166" s="8">
        <v>31.0</v>
      </c>
      <c r="H166" s="8">
        <v>0.5</v>
      </c>
    </row>
    <row r="167" ht="15.75" customHeight="1">
      <c r="A167" s="7" t="s">
        <v>1017</v>
      </c>
      <c r="B167" s="7" t="s">
        <v>1804</v>
      </c>
      <c r="C167" s="8">
        <v>12.0</v>
      </c>
      <c r="D167" s="8">
        <v>100.0</v>
      </c>
      <c r="E167" s="8">
        <v>37.0</v>
      </c>
      <c r="F167" s="8">
        <v>37.0</v>
      </c>
      <c r="G167" s="8">
        <v>63.0</v>
      </c>
      <c r="H167" s="8">
        <v>6.0</v>
      </c>
    </row>
    <row r="168" ht="15.75" customHeight="1">
      <c r="A168" s="7" t="s">
        <v>1013</v>
      </c>
      <c r="B168" s="7" t="s">
        <v>1804</v>
      </c>
      <c r="C168" s="8">
        <v>3.0</v>
      </c>
      <c r="D168" s="8">
        <v>100.0</v>
      </c>
      <c r="E168" s="8">
        <v>37.0</v>
      </c>
      <c r="F168" s="8">
        <v>37.0</v>
      </c>
      <c r="G168" s="8">
        <v>36.0</v>
      </c>
      <c r="H168" s="8">
        <v>1.5</v>
      </c>
    </row>
    <row r="169" ht="15.75" customHeight="1">
      <c r="A169" s="7" t="s">
        <v>1015</v>
      </c>
      <c r="B169" s="7" t="s">
        <v>1804</v>
      </c>
      <c r="C169" s="8">
        <v>6.0</v>
      </c>
      <c r="D169" s="8">
        <v>100.0</v>
      </c>
      <c r="E169" s="8">
        <v>37.0</v>
      </c>
      <c r="F169" s="8">
        <v>37.0</v>
      </c>
      <c r="G169" s="8">
        <v>45.0</v>
      </c>
      <c r="H169" s="8">
        <v>3.0</v>
      </c>
    </row>
    <row r="170" ht="15.75" customHeight="1">
      <c r="A170" s="7" t="s">
        <v>875</v>
      </c>
      <c r="B170" s="7" t="s">
        <v>1806</v>
      </c>
      <c r="C170" s="8">
        <v>1.0</v>
      </c>
      <c r="D170" s="8">
        <v>30.0</v>
      </c>
      <c r="E170" s="8">
        <v>23.0</v>
      </c>
      <c r="F170" s="8">
        <v>23.0</v>
      </c>
      <c r="G170" s="8">
        <v>17.0</v>
      </c>
      <c r="H170" s="8">
        <v>0.1</v>
      </c>
    </row>
    <row r="171" ht="15.75" customHeight="1">
      <c r="A171" s="7" t="s">
        <v>1024</v>
      </c>
      <c r="B171" s="7" t="s">
        <v>1806</v>
      </c>
      <c r="C171" s="8">
        <v>12.0</v>
      </c>
      <c r="D171" s="8">
        <v>30.0</v>
      </c>
      <c r="E171" s="8">
        <v>23.0</v>
      </c>
      <c r="F171" s="8">
        <v>23.0</v>
      </c>
      <c r="G171" s="8">
        <v>32.0</v>
      </c>
      <c r="H171" s="8">
        <v>1.2</v>
      </c>
    </row>
    <row r="172" ht="15.75" customHeight="1">
      <c r="A172" s="7" t="s">
        <v>1020</v>
      </c>
      <c r="B172" s="7" t="s">
        <v>1806</v>
      </c>
      <c r="C172" s="8">
        <v>3.0</v>
      </c>
      <c r="D172" s="8">
        <v>30.0</v>
      </c>
      <c r="E172" s="8">
        <v>23.0</v>
      </c>
      <c r="F172" s="8">
        <v>23.0</v>
      </c>
      <c r="G172" s="8">
        <v>19.0</v>
      </c>
      <c r="H172" s="8">
        <v>0.3</v>
      </c>
    </row>
    <row r="173" ht="15.75" customHeight="1">
      <c r="A173" s="7" t="s">
        <v>1022</v>
      </c>
      <c r="B173" s="7" t="s">
        <v>1806</v>
      </c>
      <c r="C173" s="8">
        <v>6.0</v>
      </c>
      <c r="D173" s="8">
        <v>30.0</v>
      </c>
      <c r="E173" s="8">
        <v>23.0</v>
      </c>
      <c r="F173" s="8">
        <v>23.0</v>
      </c>
      <c r="G173" s="8">
        <v>24.0</v>
      </c>
      <c r="H173" s="8">
        <v>0.6</v>
      </c>
    </row>
    <row r="174" ht="15.75" customHeight="1">
      <c r="A174" s="7" t="s">
        <v>25</v>
      </c>
      <c r="B174" s="7" t="s">
        <v>25</v>
      </c>
      <c r="C174" s="8">
        <v>1.0</v>
      </c>
      <c r="D174" s="8">
        <v>2.0</v>
      </c>
      <c r="E174" s="8">
        <v>25.0</v>
      </c>
      <c r="F174" s="8">
        <v>25.0</v>
      </c>
      <c r="G174" s="8">
        <v>3.0</v>
      </c>
      <c r="H174" s="8">
        <v>0.5</v>
      </c>
    </row>
    <row r="175" ht="15.75" customHeight="1">
      <c r="A175" s="7" t="s">
        <v>28</v>
      </c>
      <c r="B175" s="7" t="s">
        <v>28</v>
      </c>
      <c r="C175" s="8">
        <v>1.0</v>
      </c>
      <c r="D175" s="8">
        <v>2.0</v>
      </c>
      <c r="E175" s="8">
        <v>25.0</v>
      </c>
      <c r="F175" s="8">
        <v>25.0</v>
      </c>
      <c r="G175" s="8">
        <v>3.0</v>
      </c>
      <c r="H175" s="8">
        <v>0.5</v>
      </c>
    </row>
    <row r="176" ht="15.75" customHeight="1">
      <c r="A176" s="7" t="s">
        <v>31</v>
      </c>
      <c r="B176" s="7" t="s">
        <v>31</v>
      </c>
      <c r="C176" s="8">
        <v>1.0</v>
      </c>
      <c r="D176" s="8">
        <v>2.0</v>
      </c>
      <c r="E176" s="8">
        <v>25.0</v>
      </c>
      <c r="F176" s="8">
        <v>25.0</v>
      </c>
      <c r="G176" s="8">
        <v>3.0</v>
      </c>
      <c r="H176" s="8">
        <v>0.5</v>
      </c>
    </row>
    <row r="177" ht="15.75" customHeight="1">
      <c r="A177" s="7" t="s">
        <v>34</v>
      </c>
      <c r="B177" s="7" t="s">
        <v>34</v>
      </c>
      <c r="C177" s="8">
        <v>1.0</v>
      </c>
      <c r="D177" s="8">
        <v>2.0</v>
      </c>
      <c r="E177" s="8">
        <v>25.0</v>
      </c>
      <c r="F177" s="8">
        <v>25.0</v>
      </c>
      <c r="G177" s="8">
        <v>3.0</v>
      </c>
      <c r="H177" s="8">
        <v>0.5</v>
      </c>
    </row>
    <row r="178" ht="15.75" customHeight="1">
      <c r="A178" s="7" t="s">
        <v>1820</v>
      </c>
      <c r="B178" s="7" t="s">
        <v>1820</v>
      </c>
      <c r="C178" s="8">
        <v>1.0</v>
      </c>
      <c r="D178" s="8">
        <v>2.0</v>
      </c>
      <c r="E178" s="8">
        <v>25.0</v>
      </c>
      <c r="F178" s="8">
        <v>25.0</v>
      </c>
      <c r="G178" s="8">
        <v>3.0</v>
      </c>
      <c r="H178" s="8">
        <v>0.5</v>
      </c>
    </row>
    <row r="179" ht="15.75" customHeight="1">
      <c r="A179" s="7" t="s">
        <v>1821</v>
      </c>
      <c r="B179" s="7" t="s">
        <v>1821</v>
      </c>
      <c r="C179" s="8">
        <v>1.0</v>
      </c>
      <c r="D179" s="8">
        <v>2.0</v>
      </c>
      <c r="E179" s="8">
        <v>25.0</v>
      </c>
      <c r="F179" s="8">
        <v>25.0</v>
      </c>
      <c r="G179" s="8">
        <v>3.0</v>
      </c>
      <c r="H179" s="8">
        <v>0.5</v>
      </c>
    </row>
    <row r="180" ht="15.75" customHeight="1">
      <c r="A180" s="7" t="s">
        <v>1822</v>
      </c>
      <c r="B180" s="7" t="s">
        <v>1822</v>
      </c>
      <c r="C180" s="8">
        <v>1.0</v>
      </c>
      <c r="D180" s="8">
        <v>2.0</v>
      </c>
      <c r="E180" s="8">
        <v>25.0</v>
      </c>
      <c r="F180" s="8">
        <v>25.0</v>
      </c>
      <c r="G180" s="8">
        <v>3.0</v>
      </c>
      <c r="H180" s="8">
        <v>0.5</v>
      </c>
    </row>
    <row r="181" ht="15.75" customHeight="1">
      <c r="A181" s="7" t="s">
        <v>1823</v>
      </c>
      <c r="B181" s="7" t="s">
        <v>1823</v>
      </c>
      <c r="C181" s="8">
        <v>1.0</v>
      </c>
      <c r="D181" s="8">
        <v>2.0</v>
      </c>
      <c r="E181" s="8">
        <v>25.0</v>
      </c>
      <c r="F181" s="8">
        <v>25.0</v>
      </c>
      <c r="G181" s="8">
        <v>3.0</v>
      </c>
      <c r="H181" s="8">
        <v>0.5</v>
      </c>
    </row>
    <row r="182" ht="15.75" customHeight="1">
      <c r="A182" s="7" t="s">
        <v>901</v>
      </c>
      <c r="B182" s="7" t="s">
        <v>1788</v>
      </c>
      <c r="C182" s="8">
        <v>1.0</v>
      </c>
      <c r="D182" s="8">
        <v>0.0</v>
      </c>
      <c r="E182" s="8">
        <v>0.0</v>
      </c>
      <c r="F182" s="8">
        <v>0.0</v>
      </c>
      <c r="G182" s="8">
        <v>0.0</v>
      </c>
      <c r="H182" s="8">
        <v>0.0</v>
      </c>
    </row>
    <row r="183" ht="15.75" customHeight="1">
      <c r="A183" s="7" t="s">
        <v>903</v>
      </c>
      <c r="B183" s="7" t="s">
        <v>1788</v>
      </c>
      <c r="C183" s="8">
        <v>2.0</v>
      </c>
      <c r="D183" s="8">
        <v>50.0</v>
      </c>
      <c r="E183" s="8">
        <v>25.0</v>
      </c>
      <c r="F183" s="8">
        <v>25.0</v>
      </c>
      <c r="G183" s="8">
        <v>25.0</v>
      </c>
      <c r="H183" s="8">
        <v>0.65</v>
      </c>
    </row>
    <row r="184" ht="15.75" customHeight="1">
      <c r="A184" s="7" t="s">
        <v>906</v>
      </c>
      <c r="B184" s="7" t="s">
        <v>1788</v>
      </c>
      <c r="C184" s="8">
        <v>4.0</v>
      </c>
      <c r="D184" s="8">
        <v>50.0</v>
      </c>
      <c r="E184" s="8">
        <v>25.0</v>
      </c>
      <c r="F184" s="8">
        <v>25.0</v>
      </c>
      <c r="G184" s="8">
        <v>30.0</v>
      </c>
      <c r="H184" s="8">
        <v>1.3</v>
      </c>
    </row>
    <row r="185" ht="15.75" customHeight="1">
      <c r="A185" s="7" t="s">
        <v>909</v>
      </c>
      <c r="B185" s="7" t="s">
        <v>1788</v>
      </c>
      <c r="C185" s="8">
        <v>8.0</v>
      </c>
      <c r="D185" s="8">
        <v>50.0</v>
      </c>
      <c r="E185" s="8">
        <v>25.0</v>
      </c>
      <c r="F185" s="8">
        <v>25.0</v>
      </c>
      <c r="G185" s="8">
        <v>45.0</v>
      </c>
      <c r="H185" s="8">
        <v>2.6</v>
      </c>
    </row>
    <row r="186" ht="15.75" customHeight="1">
      <c r="A186" s="7" t="s">
        <v>912</v>
      </c>
      <c r="B186" s="7" t="s">
        <v>1789</v>
      </c>
      <c r="C186" s="8">
        <v>1.0</v>
      </c>
      <c r="D186" s="8">
        <v>0.0</v>
      </c>
      <c r="E186" s="8">
        <v>0.0</v>
      </c>
      <c r="F186" s="8">
        <v>0.0</v>
      </c>
      <c r="G186" s="8">
        <v>0.0</v>
      </c>
      <c r="H186" s="8">
        <v>0.0</v>
      </c>
    </row>
    <row r="187" ht="15.75" customHeight="1">
      <c r="A187" s="7" t="s">
        <v>914</v>
      </c>
      <c r="B187" s="7" t="s">
        <v>1789</v>
      </c>
      <c r="C187" s="8">
        <v>2.0</v>
      </c>
      <c r="D187" s="8">
        <v>50.0</v>
      </c>
      <c r="E187" s="8">
        <v>31.0</v>
      </c>
      <c r="F187" s="8">
        <v>31.0</v>
      </c>
      <c r="G187" s="8">
        <v>31.0</v>
      </c>
      <c r="H187" s="8">
        <v>1.0</v>
      </c>
    </row>
    <row r="188" ht="15.75" customHeight="1">
      <c r="A188" s="7" t="s">
        <v>917</v>
      </c>
      <c r="B188" s="7" t="s">
        <v>1789</v>
      </c>
      <c r="C188" s="8">
        <v>4.0</v>
      </c>
      <c r="D188" s="8">
        <v>50.0</v>
      </c>
      <c r="E188" s="8">
        <v>31.0</v>
      </c>
      <c r="F188" s="8">
        <v>31.0</v>
      </c>
      <c r="G188" s="8">
        <v>37.0</v>
      </c>
      <c r="H188" s="8">
        <v>2.0</v>
      </c>
    </row>
    <row r="189" ht="15.75" customHeight="1">
      <c r="A189" s="7" t="s">
        <v>920</v>
      </c>
      <c r="B189" s="7" t="s">
        <v>1789</v>
      </c>
      <c r="C189" s="8">
        <v>8.0</v>
      </c>
      <c r="D189" s="8">
        <v>50.0</v>
      </c>
      <c r="E189" s="8">
        <v>31.0</v>
      </c>
      <c r="F189" s="8">
        <v>31.0</v>
      </c>
      <c r="G189" s="8">
        <v>49.0</v>
      </c>
      <c r="H189" s="8">
        <v>4.0</v>
      </c>
    </row>
    <row r="190" ht="15.75" customHeight="1">
      <c r="A190" s="7" t="s">
        <v>923</v>
      </c>
      <c r="B190" s="7" t="s">
        <v>1790</v>
      </c>
      <c r="C190" s="8">
        <v>1.0</v>
      </c>
      <c r="D190" s="8">
        <v>0.0</v>
      </c>
      <c r="E190" s="8">
        <v>0.0</v>
      </c>
      <c r="F190" s="8">
        <v>0.0</v>
      </c>
      <c r="G190" s="8">
        <v>0.0</v>
      </c>
      <c r="H190" s="8">
        <v>0.0</v>
      </c>
    </row>
    <row r="191" ht="15.75" customHeight="1">
      <c r="A191" s="7" t="s">
        <v>925</v>
      </c>
      <c r="B191" s="7" t="s">
        <v>1790</v>
      </c>
      <c r="C191" s="8">
        <v>2.0</v>
      </c>
      <c r="D191" s="8">
        <v>50.0</v>
      </c>
      <c r="E191" s="8">
        <v>20.0</v>
      </c>
      <c r="F191" s="8">
        <v>20.0</v>
      </c>
      <c r="G191" s="8">
        <v>20.0</v>
      </c>
      <c r="H191" s="8">
        <v>0.35</v>
      </c>
    </row>
    <row r="192" ht="15.75" customHeight="1">
      <c r="A192" s="7" t="s">
        <v>928</v>
      </c>
      <c r="B192" s="7" t="s">
        <v>1790</v>
      </c>
      <c r="C192" s="8">
        <v>4.0</v>
      </c>
      <c r="D192" s="8">
        <v>50.0</v>
      </c>
      <c r="E192" s="8">
        <v>20.0</v>
      </c>
      <c r="F192" s="8">
        <v>20.0</v>
      </c>
      <c r="G192" s="8">
        <v>24.0</v>
      </c>
      <c r="H192" s="8">
        <v>0.7</v>
      </c>
    </row>
    <row r="193" ht="15.75" customHeight="1">
      <c r="A193" s="7" t="s">
        <v>931</v>
      </c>
      <c r="B193" s="7" t="s">
        <v>1790</v>
      </c>
      <c r="C193" s="8">
        <v>8.0</v>
      </c>
      <c r="D193" s="8">
        <v>50.0</v>
      </c>
      <c r="E193" s="8">
        <v>20.0</v>
      </c>
      <c r="F193" s="8">
        <v>20.0</v>
      </c>
      <c r="G193" s="8">
        <v>32.0</v>
      </c>
      <c r="H193" s="8">
        <v>1.4</v>
      </c>
    </row>
    <row r="194" ht="15.75" customHeight="1">
      <c r="A194" s="7" t="s">
        <v>936</v>
      </c>
      <c r="B194" s="7" t="s">
        <v>1791</v>
      </c>
      <c r="C194" s="8">
        <v>2.0</v>
      </c>
      <c r="D194" s="8">
        <v>20.0</v>
      </c>
      <c r="E194" s="8">
        <v>0.0</v>
      </c>
      <c r="F194" s="8">
        <v>0.0</v>
      </c>
      <c r="G194" s="8">
        <v>0.0</v>
      </c>
      <c r="H194" s="8">
        <v>0.0</v>
      </c>
    </row>
    <row r="195" ht="15.75" customHeight="1">
      <c r="A195" s="7" t="s">
        <v>939</v>
      </c>
      <c r="B195" s="7" t="s">
        <v>1791</v>
      </c>
      <c r="C195" s="8">
        <v>4.0</v>
      </c>
      <c r="D195" s="8">
        <v>20.0</v>
      </c>
      <c r="E195" s="8">
        <v>0.0</v>
      </c>
      <c r="F195" s="8">
        <v>0.0</v>
      </c>
      <c r="G195" s="8">
        <v>0.0</v>
      </c>
      <c r="H195" s="8">
        <v>0.0</v>
      </c>
    </row>
    <row r="196" ht="15.75" customHeight="1">
      <c r="A196" s="7" t="s">
        <v>942</v>
      </c>
      <c r="B196" s="7" t="s">
        <v>1791</v>
      </c>
      <c r="C196" s="8">
        <v>6.0</v>
      </c>
      <c r="D196" s="8">
        <v>20.0</v>
      </c>
      <c r="E196" s="8">
        <v>0.0</v>
      </c>
      <c r="F196" s="8">
        <v>0.0</v>
      </c>
      <c r="G196" s="8">
        <v>0.0</v>
      </c>
      <c r="H196" s="8">
        <v>0.0</v>
      </c>
    </row>
    <row r="197" ht="15.75" customHeight="1">
      <c r="A197" s="7" t="s">
        <v>945</v>
      </c>
      <c r="B197" s="7" t="s">
        <v>1792</v>
      </c>
      <c r="C197" s="8">
        <v>2.0</v>
      </c>
      <c r="D197" s="8">
        <v>20.0</v>
      </c>
      <c r="E197" s="8">
        <v>0.0</v>
      </c>
      <c r="F197" s="8">
        <v>0.0</v>
      </c>
      <c r="G197" s="8">
        <v>0.0</v>
      </c>
      <c r="H197" s="8">
        <v>0.0</v>
      </c>
    </row>
    <row r="198" ht="15.75" customHeight="1">
      <c r="A198" s="7" t="s">
        <v>948</v>
      </c>
      <c r="B198" s="7" t="s">
        <v>1792</v>
      </c>
      <c r="C198" s="8">
        <v>4.0</v>
      </c>
      <c r="D198" s="8">
        <v>20.0</v>
      </c>
      <c r="E198" s="8">
        <v>0.0</v>
      </c>
      <c r="F198" s="8">
        <v>0.0</v>
      </c>
      <c r="G198" s="8">
        <v>0.0</v>
      </c>
      <c r="H198" s="8">
        <v>0.0</v>
      </c>
    </row>
    <row r="199" ht="15.75" customHeight="1">
      <c r="A199" s="7" t="s">
        <v>951</v>
      </c>
      <c r="B199" s="7" t="s">
        <v>1792</v>
      </c>
      <c r="C199" s="8">
        <v>6.0</v>
      </c>
      <c r="D199" s="8">
        <v>20.0</v>
      </c>
      <c r="E199" s="8">
        <v>0.0</v>
      </c>
      <c r="F199" s="8">
        <v>0.0</v>
      </c>
      <c r="G199" s="8">
        <v>0.0</v>
      </c>
      <c r="H199" s="8">
        <v>0.0</v>
      </c>
    </row>
    <row r="200" ht="15.75" customHeight="1">
      <c r="A200" s="7" t="s">
        <v>954</v>
      </c>
      <c r="B200" s="7" t="s">
        <v>1793</v>
      </c>
      <c r="C200" s="8">
        <v>2.0</v>
      </c>
      <c r="D200" s="8">
        <v>20.0</v>
      </c>
      <c r="E200" s="8">
        <v>0.0</v>
      </c>
      <c r="F200" s="8">
        <v>0.0</v>
      </c>
      <c r="G200" s="8">
        <v>0.0</v>
      </c>
      <c r="H200" s="8">
        <v>0.0</v>
      </c>
    </row>
    <row r="201" ht="15.75" customHeight="1">
      <c r="A201" s="7" t="s">
        <v>957</v>
      </c>
      <c r="B201" s="7" t="s">
        <v>1793</v>
      </c>
      <c r="C201" s="8">
        <v>4.0</v>
      </c>
      <c r="D201" s="8">
        <v>20.0</v>
      </c>
      <c r="E201" s="8">
        <v>0.0</v>
      </c>
      <c r="F201" s="8">
        <v>0.0</v>
      </c>
      <c r="G201" s="8">
        <v>0.0</v>
      </c>
      <c r="H201" s="8">
        <v>0.0</v>
      </c>
    </row>
    <row r="202" ht="15.75" customHeight="1">
      <c r="A202" s="7" t="s">
        <v>960</v>
      </c>
      <c r="B202" s="7" t="s">
        <v>1793</v>
      </c>
      <c r="C202" s="8">
        <v>6.0</v>
      </c>
      <c r="D202" s="8">
        <v>20.0</v>
      </c>
      <c r="E202" s="8">
        <v>0.0</v>
      </c>
      <c r="F202" s="8">
        <v>0.0</v>
      </c>
      <c r="G202" s="8">
        <v>0.0</v>
      </c>
      <c r="H202" s="8">
        <v>0.0</v>
      </c>
    </row>
    <row r="203" ht="15.75" customHeight="1">
      <c r="A203" s="7" t="s">
        <v>141</v>
      </c>
      <c r="B203" s="7" t="s">
        <v>141</v>
      </c>
      <c r="C203" s="8">
        <v>1.0</v>
      </c>
      <c r="D203" s="8">
        <v>0.0</v>
      </c>
      <c r="E203" s="8">
        <v>0.0</v>
      </c>
      <c r="F203" s="8">
        <v>0.0</v>
      </c>
      <c r="G203" s="8">
        <v>0.0</v>
      </c>
      <c r="H203" s="8">
        <v>0.0</v>
      </c>
    </row>
    <row r="204" ht="15.75" customHeight="1">
      <c r="A204" s="7" t="s">
        <v>143</v>
      </c>
      <c r="B204" s="7" t="s">
        <v>143</v>
      </c>
      <c r="C204" s="8">
        <v>1.0</v>
      </c>
      <c r="D204" s="8">
        <v>0.0</v>
      </c>
      <c r="E204" s="8">
        <v>0.0</v>
      </c>
      <c r="F204" s="8">
        <v>0.0</v>
      </c>
      <c r="G204" s="8">
        <v>0.0</v>
      </c>
      <c r="H204" s="8">
        <v>0.0</v>
      </c>
    </row>
    <row r="205" ht="15.75" customHeight="1">
      <c r="A205" s="7" t="s">
        <v>145</v>
      </c>
      <c r="B205" s="7" t="s">
        <v>145</v>
      </c>
      <c r="C205" s="8">
        <v>1.0</v>
      </c>
      <c r="D205" s="8">
        <v>0.0</v>
      </c>
      <c r="E205" s="8">
        <v>0.0</v>
      </c>
      <c r="F205" s="8">
        <v>0.0</v>
      </c>
      <c r="G205" s="8">
        <v>0.0</v>
      </c>
      <c r="H205" s="8">
        <v>0.0</v>
      </c>
    </row>
    <row r="206" ht="15.75" customHeight="1">
      <c r="A206" s="7" t="s">
        <v>147</v>
      </c>
      <c r="B206" s="7" t="s">
        <v>147</v>
      </c>
      <c r="C206" s="8">
        <v>1.0</v>
      </c>
      <c r="D206" s="8">
        <v>0.0</v>
      </c>
      <c r="E206" s="8">
        <v>0.0</v>
      </c>
      <c r="F206" s="8">
        <v>0.0</v>
      </c>
      <c r="G206" s="8">
        <v>0.0</v>
      </c>
      <c r="H206" s="8">
        <v>0.0</v>
      </c>
    </row>
    <row r="207" ht="15.75" customHeight="1">
      <c r="A207" s="7" t="s">
        <v>149</v>
      </c>
      <c r="B207" s="7" t="s">
        <v>149</v>
      </c>
      <c r="C207" s="8">
        <v>1.0</v>
      </c>
      <c r="D207" s="8">
        <v>0.0</v>
      </c>
      <c r="E207" s="8">
        <v>0.0</v>
      </c>
      <c r="F207" s="8">
        <v>0.0</v>
      </c>
      <c r="G207" s="8">
        <v>0.0</v>
      </c>
      <c r="H207" s="8">
        <v>0.0</v>
      </c>
    </row>
    <row r="208" ht="15.75" customHeight="1">
      <c r="A208" s="7" t="s">
        <v>151</v>
      </c>
      <c r="B208" s="7" t="s">
        <v>151</v>
      </c>
      <c r="C208" s="8">
        <v>1.0</v>
      </c>
      <c r="D208" s="8">
        <v>0.0</v>
      </c>
      <c r="E208" s="8">
        <v>0.0</v>
      </c>
      <c r="F208" s="8">
        <v>0.0</v>
      </c>
      <c r="G208" s="8">
        <v>0.0</v>
      </c>
      <c r="H208" s="8">
        <v>0.0</v>
      </c>
    </row>
    <row r="209" ht="15.75" customHeight="1">
      <c r="A209" s="7" t="s">
        <v>153</v>
      </c>
      <c r="B209" s="7" t="s">
        <v>153</v>
      </c>
      <c r="C209" s="8">
        <v>1.0</v>
      </c>
      <c r="D209" s="8">
        <v>0.0</v>
      </c>
      <c r="E209" s="8">
        <v>0.0</v>
      </c>
      <c r="F209" s="8">
        <v>0.0</v>
      </c>
      <c r="G209" s="8">
        <v>0.0</v>
      </c>
      <c r="H209" s="8">
        <v>0.0</v>
      </c>
    </row>
    <row r="210" ht="15.75" customHeight="1">
      <c r="A210" s="7" t="s">
        <v>155</v>
      </c>
      <c r="B210" s="7" t="s">
        <v>155</v>
      </c>
      <c r="C210" s="8">
        <v>1.0</v>
      </c>
      <c r="D210" s="8">
        <v>0.0</v>
      </c>
      <c r="E210" s="8">
        <v>0.0</v>
      </c>
      <c r="F210" s="8">
        <v>0.0</v>
      </c>
      <c r="G210" s="8">
        <v>0.0</v>
      </c>
      <c r="H210" s="8">
        <v>0.0</v>
      </c>
    </row>
    <row r="211" ht="15.75" customHeight="1">
      <c r="A211" s="7" t="s">
        <v>157</v>
      </c>
      <c r="B211" s="7" t="s">
        <v>157</v>
      </c>
      <c r="C211" s="8">
        <v>1.0</v>
      </c>
      <c r="D211" s="8">
        <v>0.0</v>
      </c>
      <c r="E211" s="8">
        <v>0.0</v>
      </c>
      <c r="F211" s="8">
        <v>0.0</v>
      </c>
      <c r="G211" s="8">
        <v>0.0</v>
      </c>
      <c r="H211" s="8">
        <v>0.0</v>
      </c>
    </row>
    <row r="212" ht="15.75" customHeight="1">
      <c r="A212" s="7" t="s">
        <v>159</v>
      </c>
      <c r="B212" s="7" t="s">
        <v>159</v>
      </c>
      <c r="C212" s="8">
        <v>1.0</v>
      </c>
      <c r="D212" s="8">
        <v>0.0</v>
      </c>
      <c r="E212" s="8">
        <v>0.0</v>
      </c>
      <c r="F212" s="8">
        <v>0.0</v>
      </c>
      <c r="G212" s="8">
        <v>0.0</v>
      </c>
      <c r="H212" s="8">
        <v>0.0</v>
      </c>
    </row>
    <row r="213" ht="15.75" customHeight="1">
      <c r="A213" s="7" t="s">
        <v>169</v>
      </c>
      <c r="B213" s="7" t="s">
        <v>1826</v>
      </c>
      <c r="C213" s="8">
        <v>5.0</v>
      </c>
      <c r="D213" s="8">
        <v>0.0</v>
      </c>
      <c r="E213" s="8">
        <v>0.0</v>
      </c>
      <c r="F213" s="8">
        <v>0.0</v>
      </c>
      <c r="G213" s="8">
        <v>0.0</v>
      </c>
      <c r="H213" s="8">
        <v>0.0</v>
      </c>
    </row>
    <row r="214" ht="15.75" customHeight="1">
      <c r="A214" s="7" t="s">
        <v>171</v>
      </c>
      <c r="B214" s="7" t="s">
        <v>1827</v>
      </c>
      <c r="C214" s="8">
        <v>5.0</v>
      </c>
      <c r="D214" s="8">
        <v>0.0</v>
      </c>
      <c r="E214" s="8">
        <v>0.0</v>
      </c>
      <c r="F214" s="8">
        <v>0.0</v>
      </c>
      <c r="G214" s="8">
        <v>0.0</v>
      </c>
      <c r="H214" s="8">
        <v>0.0</v>
      </c>
    </row>
    <row r="215" ht="15.75" customHeight="1">
      <c r="A215" s="7" t="s">
        <v>173</v>
      </c>
      <c r="B215" s="7" t="s">
        <v>1828</v>
      </c>
      <c r="C215" s="8">
        <v>5.0</v>
      </c>
      <c r="D215" s="8">
        <v>0.0</v>
      </c>
      <c r="E215" s="8">
        <v>0.0</v>
      </c>
      <c r="F215" s="8">
        <v>0.0</v>
      </c>
      <c r="G215" s="8">
        <v>0.0</v>
      </c>
      <c r="H215" s="8">
        <v>0.0</v>
      </c>
    </row>
    <row r="216" ht="15.75" customHeight="1">
      <c r="A216" s="7" t="s">
        <v>22</v>
      </c>
      <c r="B216" s="7" t="s">
        <v>1829</v>
      </c>
      <c r="C216" s="8">
        <v>5.0</v>
      </c>
      <c r="D216" s="8">
        <v>0.0</v>
      </c>
      <c r="E216" s="8">
        <v>0.0</v>
      </c>
      <c r="F216" s="8">
        <v>0.0</v>
      </c>
      <c r="G216" s="8">
        <v>0.0</v>
      </c>
      <c r="H216" s="8">
        <v>0.0</v>
      </c>
    </row>
    <row r="217" ht="15.75" customHeight="1">
      <c r="A217" s="7" t="s">
        <v>14</v>
      </c>
      <c r="B217" s="7" t="s">
        <v>1829</v>
      </c>
      <c r="C217" s="8">
        <v>10.0</v>
      </c>
      <c r="D217" s="8">
        <v>0.0</v>
      </c>
      <c r="E217" s="8">
        <v>0.0</v>
      </c>
      <c r="F217" s="8">
        <v>0.0</v>
      </c>
      <c r="G217" s="8">
        <v>0.0</v>
      </c>
      <c r="H217" s="8">
        <v>0.0</v>
      </c>
    </row>
    <row r="218" ht="15.75" customHeight="1">
      <c r="A218" s="7" t="s">
        <v>176</v>
      </c>
      <c r="B218" s="7" t="s">
        <v>1830</v>
      </c>
      <c r="C218" s="8">
        <v>5.0</v>
      </c>
      <c r="D218" s="8">
        <v>0.0</v>
      </c>
      <c r="E218" s="8">
        <v>0.0</v>
      </c>
      <c r="F218" s="8">
        <v>0.0</v>
      </c>
      <c r="G218" s="8">
        <v>0.0</v>
      </c>
      <c r="H218" s="8">
        <v>0.0</v>
      </c>
    </row>
    <row r="219" ht="15.75" customHeight="1">
      <c r="A219" s="7" t="s">
        <v>178</v>
      </c>
      <c r="B219" s="7" t="s">
        <v>1831</v>
      </c>
      <c r="C219" s="8">
        <v>5.0</v>
      </c>
      <c r="D219" s="8">
        <v>0.0</v>
      </c>
      <c r="E219" s="8">
        <v>0.0</v>
      </c>
      <c r="F219" s="8">
        <v>0.0</v>
      </c>
      <c r="G219" s="8">
        <v>0.0</v>
      </c>
      <c r="H219" s="8">
        <v>0.0</v>
      </c>
    </row>
    <row r="220" ht="15.75" customHeight="1">
      <c r="A220" s="7" t="s">
        <v>975</v>
      </c>
      <c r="B220" s="7" t="s">
        <v>1794</v>
      </c>
      <c r="C220" s="8">
        <v>3.0</v>
      </c>
      <c r="D220" s="8">
        <v>0.0</v>
      </c>
      <c r="E220" s="8">
        <v>0.0</v>
      </c>
      <c r="F220" s="8">
        <v>0.0</v>
      </c>
      <c r="G220" s="8">
        <v>0.0</v>
      </c>
      <c r="H220" s="8">
        <v>0.0</v>
      </c>
    </row>
    <row r="221" ht="15.75" customHeight="1">
      <c r="A221" s="7" t="s">
        <v>977</v>
      </c>
      <c r="B221" s="7" t="s">
        <v>1794</v>
      </c>
      <c r="C221" s="8">
        <v>6.0</v>
      </c>
      <c r="D221" s="8">
        <v>0.0</v>
      </c>
      <c r="E221" s="8">
        <v>0.0</v>
      </c>
      <c r="F221" s="8">
        <v>0.0</v>
      </c>
      <c r="G221" s="8">
        <v>0.0</v>
      </c>
      <c r="H221" s="8">
        <v>0.0</v>
      </c>
    </row>
    <row r="222" ht="15.75" customHeight="1">
      <c r="A222" s="7" t="s">
        <v>979</v>
      </c>
      <c r="B222" s="7" t="s">
        <v>1795</v>
      </c>
      <c r="C222" s="8">
        <v>3.0</v>
      </c>
      <c r="D222" s="8">
        <v>0.0</v>
      </c>
      <c r="E222" s="8">
        <v>0.0</v>
      </c>
      <c r="F222" s="8">
        <v>0.0</v>
      </c>
      <c r="G222" s="8">
        <v>0.0</v>
      </c>
      <c r="H222" s="8">
        <v>0.0</v>
      </c>
    </row>
    <row r="223" ht="15.75" customHeight="1">
      <c r="A223" s="7" t="s">
        <v>981</v>
      </c>
      <c r="B223" s="7" t="s">
        <v>1795</v>
      </c>
      <c r="C223" s="8">
        <v>6.0</v>
      </c>
      <c r="D223" s="8">
        <v>0.0</v>
      </c>
      <c r="E223" s="8">
        <v>0.0</v>
      </c>
      <c r="F223" s="8">
        <v>0.0</v>
      </c>
      <c r="G223" s="8">
        <v>0.0</v>
      </c>
      <c r="H223" s="8">
        <v>0.0</v>
      </c>
    </row>
    <row r="224" ht="15.75" customHeight="1">
      <c r="A224" s="7" t="s">
        <v>161</v>
      </c>
      <c r="B224" s="7" t="s">
        <v>161</v>
      </c>
      <c r="C224" s="8">
        <v>1.0</v>
      </c>
      <c r="D224" s="8">
        <v>0.0</v>
      </c>
      <c r="E224" s="8">
        <v>0.0</v>
      </c>
      <c r="F224" s="8">
        <v>0.0</v>
      </c>
      <c r="G224" s="8">
        <v>0.0</v>
      </c>
      <c r="H224" s="8">
        <v>0.0</v>
      </c>
    </row>
    <row r="225" ht="15.75" customHeight="1">
      <c r="A225" s="7" t="s">
        <v>162</v>
      </c>
      <c r="B225" s="7" t="s">
        <v>162</v>
      </c>
      <c r="C225" s="8">
        <v>1.0</v>
      </c>
      <c r="D225" s="8">
        <v>0.0</v>
      </c>
      <c r="E225" s="8">
        <v>0.0</v>
      </c>
      <c r="F225" s="8">
        <v>0.0</v>
      </c>
      <c r="G225" s="8">
        <v>0.0</v>
      </c>
      <c r="H225" s="8">
        <v>0.0</v>
      </c>
    </row>
    <row r="226" ht="15.75" customHeight="1">
      <c r="A226" s="7" t="s">
        <v>163</v>
      </c>
      <c r="B226" s="7" t="s">
        <v>163</v>
      </c>
      <c r="C226" s="8">
        <v>1.0</v>
      </c>
      <c r="D226" s="8">
        <v>0.0</v>
      </c>
      <c r="E226" s="8">
        <v>0.0</v>
      </c>
      <c r="F226" s="8">
        <v>0.0</v>
      </c>
      <c r="G226" s="8">
        <v>0.0</v>
      </c>
      <c r="H226" s="8">
        <v>0.0</v>
      </c>
    </row>
    <row r="227" ht="15.75" customHeight="1">
      <c r="A227" s="7" t="s">
        <v>164</v>
      </c>
      <c r="B227" s="7" t="s">
        <v>164</v>
      </c>
      <c r="C227" s="8">
        <v>1.0</v>
      </c>
      <c r="D227" s="8">
        <v>0.0</v>
      </c>
      <c r="E227" s="8">
        <v>0.0</v>
      </c>
      <c r="F227" s="8">
        <v>0.0</v>
      </c>
      <c r="G227" s="8">
        <v>0.0</v>
      </c>
      <c r="H227" s="8">
        <v>0.0</v>
      </c>
    </row>
    <row r="228" ht="15.75" customHeight="1">
      <c r="A228" s="7" t="s">
        <v>165</v>
      </c>
      <c r="B228" s="7" t="s">
        <v>165</v>
      </c>
      <c r="C228" s="8">
        <v>1.0</v>
      </c>
      <c r="D228" s="8">
        <v>0.0</v>
      </c>
      <c r="E228" s="8">
        <v>0.0</v>
      </c>
      <c r="F228" s="8">
        <v>0.0</v>
      </c>
      <c r="G228" s="8">
        <v>0.0</v>
      </c>
      <c r="H228" s="8">
        <v>0.0</v>
      </c>
    </row>
    <row r="229" ht="15.75" customHeight="1">
      <c r="A229" s="7" t="s">
        <v>166</v>
      </c>
      <c r="B229" s="7" t="s">
        <v>166</v>
      </c>
      <c r="C229" s="8">
        <v>1.0</v>
      </c>
      <c r="D229" s="8">
        <v>0.0</v>
      </c>
      <c r="E229" s="8">
        <v>0.0</v>
      </c>
      <c r="F229" s="8">
        <v>0.0</v>
      </c>
      <c r="G229" s="8">
        <v>0.0</v>
      </c>
      <c r="H229" s="8">
        <v>0.0</v>
      </c>
    </row>
    <row r="230" ht="15.75" customHeight="1">
      <c r="A230" s="7" t="s">
        <v>410</v>
      </c>
      <c r="B230" s="7" t="s">
        <v>1832</v>
      </c>
      <c r="C230" s="8">
        <v>2.0</v>
      </c>
      <c r="D230" s="8">
        <v>0.0</v>
      </c>
      <c r="E230" s="8">
        <v>0.0</v>
      </c>
      <c r="F230" s="8">
        <v>0.0</v>
      </c>
      <c r="G230" s="8">
        <v>0.0</v>
      </c>
      <c r="H230" s="8">
        <v>0.0</v>
      </c>
    </row>
    <row r="231" ht="15.75" customHeight="1">
      <c r="A231" s="7" t="s">
        <v>413</v>
      </c>
      <c r="B231" s="7" t="s">
        <v>1832</v>
      </c>
      <c r="C231" s="8">
        <v>6.0</v>
      </c>
      <c r="D231" s="8">
        <v>0.0</v>
      </c>
      <c r="E231" s="8">
        <v>0.0</v>
      </c>
      <c r="F231" s="8">
        <v>0.0</v>
      </c>
      <c r="G231" s="8">
        <v>0.0</v>
      </c>
      <c r="H231" s="8">
        <v>0.0</v>
      </c>
    </row>
    <row r="232" ht="15.75" customHeight="1">
      <c r="A232" s="7" t="s">
        <v>452</v>
      </c>
      <c r="B232" s="7" t="s">
        <v>1833</v>
      </c>
      <c r="C232" s="8">
        <v>2.0</v>
      </c>
      <c r="D232" s="8">
        <v>0.0</v>
      </c>
      <c r="E232" s="8">
        <v>0.0</v>
      </c>
      <c r="F232" s="8">
        <v>0.0</v>
      </c>
      <c r="G232" s="8">
        <v>0.0</v>
      </c>
      <c r="H232" s="8">
        <v>0.0</v>
      </c>
    </row>
    <row r="233" ht="15.75" customHeight="1">
      <c r="A233" s="7" t="s">
        <v>455</v>
      </c>
      <c r="B233" s="7" t="s">
        <v>1833</v>
      </c>
      <c r="C233" s="8">
        <v>6.0</v>
      </c>
      <c r="D233" s="8">
        <v>0.0</v>
      </c>
      <c r="E233" s="8">
        <v>0.0</v>
      </c>
      <c r="F233" s="8">
        <v>0.0</v>
      </c>
      <c r="G233" s="8">
        <v>0.0</v>
      </c>
      <c r="H233" s="8">
        <v>0.0</v>
      </c>
    </row>
    <row r="234" ht="15.75" customHeight="1">
      <c r="A234" s="7" t="s">
        <v>472</v>
      </c>
      <c r="B234" s="7" t="s">
        <v>472</v>
      </c>
      <c r="C234" s="8">
        <v>1.0</v>
      </c>
      <c r="D234" s="8">
        <v>0.0</v>
      </c>
      <c r="E234" s="8">
        <v>0.0</v>
      </c>
      <c r="F234" s="8">
        <v>0.0</v>
      </c>
      <c r="G234" s="8">
        <v>0.0</v>
      </c>
      <c r="H234" s="8">
        <v>0.0</v>
      </c>
    </row>
    <row r="235" ht="15.75" customHeight="1">
      <c r="A235" s="7" t="s">
        <v>474</v>
      </c>
      <c r="B235" s="7" t="s">
        <v>474</v>
      </c>
      <c r="C235" s="8">
        <v>1.0</v>
      </c>
      <c r="D235" s="8">
        <v>0.0</v>
      </c>
      <c r="E235" s="8">
        <v>0.0</v>
      </c>
      <c r="F235" s="8">
        <v>0.0</v>
      </c>
      <c r="G235" s="8">
        <v>0.0</v>
      </c>
      <c r="H235" s="8">
        <v>0.0</v>
      </c>
    </row>
    <row r="236" ht="15.75" customHeight="1">
      <c r="A236" s="7" t="s">
        <v>476</v>
      </c>
      <c r="B236" s="7" t="s">
        <v>476</v>
      </c>
      <c r="C236" s="8">
        <v>1.0</v>
      </c>
      <c r="D236" s="8">
        <v>0.0</v>
      </c>
      <c r="E236" s="8">
        <v>0.0</v>
      </c>
      <c r="F236" s="8">
        <v>0.0</v>
      </c>
      <c r="G236" s="8">
        <v>0.0</v>
      </c>
      <c r="H236" s="8">
        <v>0.0</v>
      </c>
    </row>
    <row r="237" ht="15.75" customHeight="1">
      <c r="A237" s="7" t="s">
        <v>478</v>
      </c>
      <c r="B237" s="7" t="s">
        <v>478</v>
      </c>
      <c r="C237" s="8">
        <v>1.0</v>
      </c>
      <c r="D237" s="8">
        <v>0.0</v>
      </c>
      <c r="E237" s="8">
        <v>0.0</v>
      </c>
      <c r="F237" s="8">
        <v>0.0</v>
      </c>
      <c r="G237" s="8">
        <v>0.0</v>
      </c>
      <c r="H237" s="8">
        <v>0.0</v>
      </c>
    </row>
    <row r="238" ht="15.75" customHeight="1">
      <c r="A238" s="7" t="s">
        <v>480</v>
      </c>
      <c r="B238" s="7" t="s">
        <v>480</v>
      </c>
      <c r="C238" s="8">
        <v>1.0</v>
      </c>
      <c r="D238" s="8">
        <v>0.0</v>
      </c>
      <c r="E238" s="8">
        <v>0.0</v>
      </c>
      <c r="F238" s="8">
        <v>0.0</v>
      </c>
      <c r="G238" s="8">
        <v>0.0</v>
      </c>
      <c r="H238" s="8">
        <v>0.0</v>
      </c>
    </row>
    <row r="239" ht="15.75" customHeight="1">
      <c r="A239" s="7" t="s">
        <v>483</v>
      </c>
      <c r="B239" s="7" t="s">
        <v>1835</v>
      </c>
      <c r="C239" s="8">
        <v>3.0</v>
      </c>
      <c r="D239" s="8">
        <v>0.0</v>
      </c>
      <c r="E239" s="8">
        <v>0.0</v>
      </c>
      <c r="F239" s="8">
        <v>0.0</v>
      </c>
      <c r="G239" s="8">
        <v>0.0</v>
      </c>
      <c r="H239" s="8">
        <v>0.0</v>
      </c>
    </row>
    <row r="240" ht="15.75" customHeight="1">
      <c r="A240" s="7" t="s">
        <v>486</v>
      </c>
      <c r="B240" s="7" t="s">
        <v>1836</v>
      </c>
      <c r="C240" s="8">
        <v>6.0</v>
      </c>
      <c r="D240" s="8">
        <v>0.0</v>
      </c>
      <c r="E240" s="8">
        <v>0.0</v>
      </c>
      <c r="F240" s="8">
        <v>0.0</v>
      </c>
      <c r="G240" s="8">
        <v>0.0</v>
      </c>
      <c r="H240" s="8">
        <v>0.0</v>
      </c>
    </row>
    <row r="241" ht="15.75" customHeight="1">
      <c r="A241" s="7" t="s">
        <v>489</v>
      </c>
      <c r="B241" s="7" t="s">
        <v>1837</v>
      </c>
      <c r="C241" s="8">
        <v>3.0</v>
      </c>
      <c r="D241" s="8">
        <v>0.0</v>
      </c>
      <c r="E241" s="8">
        <v>0.0</v>
      </c>
      <c r="F241" s="8">
        <v>0.0</v>
      </c>
      <c r="G241" s="8">
        <v>0.0</v>
      </c>
      <c r="H241" s="8">
        <v>0.0</v>
      </c>
    </row>
    <row r="242" ht="15.75" customHeight="1">
      <c r="A242" s="7" t="s">
        <v>492</v>
      </c>
      <c r="B242" s="7" t="s">
        <v>1838</v>
      </c>
      <c r="C242" s="8">
        <v>3.0</v>
      </c>
      <c r="D242" s="8">
        <v>0.0</v>
      </c>
      <c r="E242" s="8">
        <v>0.0</v>
      </c>
      <c r="F242" s="8">
        <v>0.0</v>
      </c>
      <c r="G242" s="8">
        <v>0.0</v>
      </c>
      <c r="H242" s="8">
        <v>0.0</v>
      </c>
    </row>
    <row r="243" ht="15.75" customHeight="1">
      <c r="A243" s="7" t="s">
        <v>495</v>
      </c>
      <c r="B243" s="7" t="s">
        <v>1839</v>
      </c>
      <c r="C243" s="8">
        <v>3.0</v>
      </c>
      <c r="D243" s="8">
        <v>0.0</v>
      </c>
      <c r="E243" s="8">
        <v>0.0</v>
      </c>
      <c r="F243" s="8">
        <v>0.0</v>
      </c>
      <c r="G243" s="8">
        <v>0.0</v>
      </c>
      <c r="H243" s="8">
        <v>0.0</v>
      </c>
    </row>
    <row r="244" ht="15.75" customHeight="1">
      <c r="A244" s="7" t="s">
        <v>498</v>
      </c>
      <c r="B244" s="7" t="s">
        <v>1840</v>
      </c>
      <c r="C244" s="8">
        <v>3.0</v>
      </c>
      <c r="D244" s="8">
        <v>0.0</v>
      </c>
      <c r="E244" s="8">
        <v>0.0</v>
      </c>
      <c r="F244" s="8">
        <v>0.0</v>
      </c>
      <c r="G244" s="8">
        <v>0.0</v>
      </c>
      <c r="H244" s="8">
        <v>0.0</v>
      </c>
    </row>
    <row r="245" ht="15.75" customHeight="1">
      <c r="A245" s="7" t="s">
        <v>140</v>
      </c>
      <c r="B245" s="7" t="s">
        <v>140</v>
      </c>
      <c r="C245" s="8">
        <v>1.0</v>
      </c>
      <c r="D245" s="8">
        <v>0.0</v>
      </c>
      <c r="E245" s="8">
        <v>0.0</v>
      </c>
      <c r="F245" s="8">
        <v>0.0</v>
      </c>
      <c r="G245" s="8">
        <v>0.0</v>
      </c>
      <c r="H245" s="8">
        <v>0.0</v>
      </c>
    </row>
    <row r="246" ht="15.75" customHeight="1">
      <c r="A246" s="7" t="s">
        <v>505</v>
      </c>
      <c r="B246" s="7" t="s">
        <v>505</v>
      </c>
      <c r="C246" s="8">
        <v>1.0</v>
      </c>
      <c r="D246" s="8">
        <v>0.0</v>
      </c>
      <c r="E246" s="8">
        <v>0.0</v>
      </c>
      <c r="F246" s="8">
        <v>0.0</v>
      </c>
      <c r="G246" s="8">
        <v>0.0</v>
      </c>
      <c r="H246" s="8">
        <v>0.0</v>
      </c>
    </row>
    <row r="247" ht="15.75" customHeight="1">
      <c r="A247" s="7" t="s">
        <v>508</v>
      </c>
      <c r="B247" s="7" t="s">
        <v>508</v>
      </c>
      <c r="C247" s="8">
        <v>1.0</v>
      </c>
      <c r="D247" s="8">
        <v>0.0</v>
      </c>
      <c r="E247" s="8">
        <v>0.0</v>
      </c>
      <c r="F247" s="8">
        <v>0.0</v>
      </c>
      <c r="G247" s="8">
        <v>0.0</v>
      </c>
      <c r="H247" s="8">
        <v>0.0</v>
      </c>
    </row>
    <row r="248" ht="15.75" customHeight="1">
      <c r="A248" s="7" t="s">
        <v>511</v>
      </c>
      <c r="B248" s="7" t="s">
        <v>511</v>
      </c>
      <c r="C248" s="8">
        <v>1.0</v>
      </c>
      <c r="D248" s="8">
        <v>0.0</v>
      </c>
      <c r="E248" s="8">
        <v>0.0</v>
      </c>
      <c r="F248" s="8">
        <v>0.0</v>
      </c>
      <c r="G248" s="8">
        <v>0.0</v>
      </c>
      <c r="H248" s="8">
        <v>0.0</v>
      </c>
    </row>
    <row r="249" ht="15.75" customHeight="1">
      <c r="A249" s="7" t="s">
        <v>11</v>
      </c>
      <c r="B249" s="7" t="s">
        <v>11</v>
      </c>
      <c r="C249" s="8">
        <v>1.0</v>
      </c>
      <c r="D249" s="8">
        <v>0.0</v>
      </c>
      <c r="E249" s="8">
        <v>0.0</v>
      </c>
      <c r="F249" s="8">
        <v>0.0</v>
      </c>
      <c r="G249" s="8">
        <v>0.0</v>
      </c>
      <c r="H249" s="8">
        <v>0.0</v>
      </c>
    </row>
    <row r="250" ht="15.75" customHeight="1">
      <c r="A250" s="7" t="s">
        <v>514</v>
      </c>
      <c r="B250" s="7" t="s">
        <v>514</v>
      </c>
      <c r="C250" s="8">
        <v>1.0</v>
      </c>
      <c r="D250" s="8">
        <v>0.0</v>
      </c>
      <c r="E250" s="8">
        <v>0.0</v>
      </c>
      <c r="F250" s="8">
        <v>0.0</v>
      </c>
      <c r="G250" s="8">
        <v>0.0</v>
      </c>
      <c r="H250" s="8">
        <v>0.0</v>
      </c>
    </row>
    <row r="251" ht="15.75" customHeight="1">
      <c r="A251" s="7" t="s">
        <v>133</v>
      </c>
      <c r="B251" s="7" t="s">
        <v>133</v>
      </c>
      <c r="C251" s="8">
        <v>1.0</v>
      </c>
      <c r="D251" s="8">
        <v>0.0</v>
      </c>
      <c r="E251" s="8">
        <v>0.0</v>
      </c>
      <c r="F251" s="8">
        <v>0.0</v>
      </c>
      <c r="G251" s="8">
        <v>0.0</v>
      </c>
      <c r="H251" s="8">
        <v>0.0</v>
      </c>
    </row>
    <row r="252" ht="15.75" customHeight="1">
      <c r="A252" s="7" t="s">
        <v>350</v>
      </c>
      <c r="B252" s="7" t="s">
        <v>350</v>
      </c>
      <c r="C252" s="8">
        <v>1.0</v>
      </c>
      <c r="D252" s="8">
        <v>0.0</v>
      </c>
      <c r="E252" s="8">
        <v>0.0</v>
      </c>
      <c r="F252" s="8">
        <v>0.0</v>
      </c>
      <c r="G252" s="8">
        <v>0.0</v>
      </c>
      <c r="H252" s="8">
        <v>0.0</v>
      </c>
    </row>
    <row r="253" ht="15.75" customHeight="1">
      <c r="A253" s="7" t="s">
        <v>800</v>
      </c>
      <c r="B253" s="7" t="s">
        <v>800</v>
      </c>
      <c r="C253" s="8">
        <v>1.0</v>
      </c>
      <c r="D253" s="8">
        <v>0.0</v>
      </c>
      <c r="E253" s="8">
        <v>0.0</v>
      </c>
      <c r="F253" s="8">
        <v>0.0</v>
      </c>
      <c r="G253" s="8">
        <v>0.0</v>
      </c>
      <c r="H253" s="8">
        <v>0.0</v>
      </c>
    </row>
    <row r="254" ht="15.75" customHeight="1">
      <c r="A254" s="7" t="s">
        <v>802</v>
      </c>
      <c r="B254" s="7" t="s">
        <v>802</v>
      </c>
      <c r="C254" s="8">
        <v>1.0</v>
      </c>
      <c r="D254" s="8">
        <v>0.0</v>
      </c>
      <c r="E254" s="8">
        <v>0.0</v>
      </c>
      <c r="F254" s="8">
        <v>0.0</v>
      </c>
      <c r="G254" s="8">
        <v>0.0</v>
      </c>
      <c r="H254" s="8">
        <v>0.0</v>
      </c>
    </row>
    <row r="255" ht="15.75" customHeight="1">
      <c r="A255" s="7" t="s">
        <v>808</v>
      </c>
      <c r="B255" s="7" t="s">
        <v>1842</v>
      </c>
      <c r="C255" s="8">
        <v>2.0</v>
      </c>
      <c r="D255" s="8">
        <v>0.0</v>
      </c>
      <c r="E255" s="8">
        <v>0.0</v>
      </c>
      <c r="F255" s="8">
        <v>0.0</v>
      </c>
      <c r="G255" s="8">
        <v>0.0</v>
      </c>
      <c r="H255" s="8">
        <v>0.0</v>
      </c>
    </row>
    <row r="256" ht="15.75" customHeight="1">
      <c r="A256" s="7" t="s">
        <v>811</v>
      </c>
      <c r="B256" s="7" t="s">
        <v>1842</v>
      </c>
      <c r="C256" s="8">
        <v>6.0</v>
      </c>
      <c r="D256" s="8">
        <v>0.0</v>
      </c>
      <c r="E256" s="8">
        <v>0.0</v>
      </c>
      <c r="F256" s="8">
        <v>0.0</v>
      </c>
      <c r="G256" s="8">
        <v>0.0</v>
      </c>
      <c r="H256" s="8">
        <v>0.0</v>
      </c>
    </row>
    <row r="257" ht="15.75" customHeight="1">
      <c r="A257" s="7" t="s">
        <v>814</v>
      </c>
      <c r="B257" s="7" t="s">
        <v>1843</v>
      </c>
      <c r="C257" s="8">
        <v>2.0</v>
      </c>
      <c r="D257" s="8">
        <v>0.0</v>
      </c>
      <c r="E257" s="8">
        <v>0.0</v>
      </c>
      <c r="F257" s="8">
        <v>0.0</v>
      </c>
      <c r="G257" s="8">
        <v>0.0</v>
      </c>
      <c r="H257" s="8">
        <v>0.0</v>
      </c>
    </row>
    <row r="258" ht="15.75" customHeight="1">
      <c r="A258" s="7" t="s">
        <v>817</v>
      </c>
      <c r="B258" s="7" t="s">
        <v>1843</v>
      </c>
      <c r="C258" s="8">
        <v>6.0</v>
      </c>
      <c r="D258" s="8">
        <v>0.0</v>
      </c>
      <c r="E258" s="8">
        <v>0.0</v>
      </c>
      <c r="F258" s="8">
        <v>0.0</v>
      </c>
      <c r="G258" s="8">
        <v>0.0</v>
      </c>
      <c r="H258" s="8">
        <v>0.0</v>
      </c>
    </row>
    <row r="259" ht="15.75" customHeight="1">
      <c r="A259" s="7" t="s">
        <v>820</v>
      </c>
      <c r="B259" s="7" t="s">
        <v>1844</v>
      </c>
      <c r="C259" s="8">
        <v>2.0</v>
      </c>
      <c r="D259" s="8">
        <v>0.0</v>
      </c>
      <c r="E259" s="8">
        <v>0.0</v>
      </c>
      <c r="F259" s="8">
        <v>0.0</v>
      </c>
      <c r="G259" s="8">
        <v>0.0</v>
      </c>
      <c r="H259" s="8">
        <v>0.0</v>
      </c>
    </row>
    <row r="260" ht="15.75" customHeight="1">
      <c r="A260" s="7" t="s">
        <v>823</v>
      </c>
      <c r="B260" s="7" t="s">
        <v>1844</v>
      </c>
      <c r="C260" s="8">
        <v>6.0</v>
      </c>
      <c r="D260" s="8">
        <v>0.0</v>
      </c>
      <c r="E260" s="8">
        <v>0.0</v>
      </c>
      <c r="F260" s="8">
        <v>0.0</v>
      </c>
      <c r="G260" s="8">
        <v>0.0</v>
      </c>
      <c r="H260" s="8">
        <v>0.0</v>
      </c>
    </row>
    <row r="261" ht="15.75" customHeight="1">
      <c r="A261" s="7" t="s">
        <v>826</v>
      </c>
      <c r="B261" s="7" t="s">
        <v>1776</v>
      </c>
      <c r="C261" s="8">
        <v>16.0</v>
      </c>
      <c r="D261" s="8">
        <v>0.0</v>
      </c>
      <c r="E261" s="8">
        <v>0.0</v>
      </c>
      <c r="F261" s="8">
        <v>0.0</v>
      </c>
      <c r="G261" s="8">
        <v>0.0</v>
      </c>
      <c r="H261" s="8">
        <v>0.0</v>
      </c>
    </row>
    <row r="262" ht="15.75" customHeight="1">
      <c r="A262" s="7" t="s">
        <v>828</v>
      </c>
      <c r="B262" s="7" t="s">
        <v>1776</v>
      </c>
      <c r="C262" s="8">
        <v>4.0</v>
      </c>
      <c r="D262" s="8">
        <v>0.0</v>
      </c>
      <c r="E262" s="8">
        <v>0.0</v>
      </c>
      <c r="F262" s="8">
        <v>0.0</v>
      </c>
      <c r="G262" s="8">
        <v>0.0</v>
      </c>
      <c r="H262" s="8">
        <v>0.0</v>
      </c>
    </row>
    <row r="263" ht="15.75" customHeight="1">
      <c r="A263" s="7" t="s">
        <v>830</v>
      </c>
      <c r="B263" s="7" t="s">
        <v>1776</v>
      </c>
      <c r="C263" s="8">
        <v>8.0</v>
      </c>
      <c r="D263" s="8">
        <v>0.0</v>
      </c>
      <c r="E263" s="8">
        <v>0.0</v>
      </c>
      <c r="F263" s="8">
        <v>0.0</v>
      </c>
      <c r="G263" s="8">
        <v>0.0</v>
      </c>
      <c r="H263" s="8">
        <v>0.0</v>
      </c>
    </row>
    <row r="264" ht="15.75" customHeight="1">
      <c r="A264" s="7" t="s">
        <v>832</v>
      </c>
      <c r="B264" s="7" t="s">
        <v>1777</v>
      </c>
      <c r="C264" s="8">
        <v>16.0</v>
      </c>
      <c r="D264" s="8">
        <v>0.0</v>
      </c>
      <c r="E264" s="8">
        <v>0.0</v>
      </c>
      <c r="F264" s="8">
        <v>0.0</v>
      </c>
      <c r="G264" s="8">
        <v>0.0</v>
      </c>
      <c r="H264" s="8">
        <v>0.0</v>
      </c>
    </row>
    <row r="265" ht="15.75" customHeight="1">
      <c r="A265" s="7" t="s">
        <v>834</v>
      </c>
      <c r="B265" s="7" t="s">
        <v>1777</v>
      </c>
      <c r="C265" s="8">
        <v>4.0</v>
      </c>
      <c r="D265" s="8">
        <v>0.0</v>
      </c>
      <c r="E265" s="8">
        <v>0.0</v>
      </c>
      <c r="F265" s="8">
        <v>0.0</v>
      </c>
      <c r="G265" s="8">
        <v>0.0</v>
      </c>
      <c r="H265" s="8">
        <v>0.0</v>
      </c>
    </row>
    <row r="266" ht="15.75" customHeight="1">
      <c r="A266" s="7" t="s">
        <v>837</v>
      </c>
      <c r="B266" s="7" t="s">
        <v>1777</v>
      </c>
      <c r="C266" s="8">
        <v>8.0</v>
      </c>
      <c r="D266" s="8">
        <v>0.0</v>
      </c>
      <c r="E266" s="8">
        <v>0.0</v>
      </c>
      <c r="F266" s="8">
        <v>0.0</v>
      </c>
      <c r="G266" s="8">
        <v>0.0</v>
      </c>
      <c r="H266" s="8">
        <v>0.0</v>
      </c>
    </row>
    <row r="267" ht="15.75" customHeight="1">
      <c r="A267" s="7" t="s">
        <v>839</v>
      </c>
      <c r="B267" s="7" t="s">
        <v>1778</v>
      </c>
      <c r="C267" s="8">
        <v>16.0</v>
      </c>
      <c r="D267" s="8">
        <v>0.0</v>
      </c>
      <c r="E267" s="8">
        <v>0.0</v>
      </c>
      <c r="F267" s="8">
        <v>0.0</v>
      </c>
      <c r="G267" s="8">
        <v>0.0</v>
      </c>
      <c r="H267" s="8">
        <v>0.0</v>
      </c>
    </row>
    <row r="268" ht="15.75" customHeight="1">
      <c r="A268" s="7" t="s">
        <v>841</v>
      </c>
      <c r="B268" s="7" t="s">
        <v>1778</v>
      </c>
      <c r="C268" s="8">
        <v>4.0</v>
      </c>
      <c r="D268" s="8">
        <v>0.0</v>
      </c>
      <c r="E268" s="8">
        <v>0.0</v>
      </c>
      <c r="F268" s="8">
        <v>0.0</v>
      </c>
      <c r="G268" s="8">
        <v>0.0</v>
      </c>
      <c r="H268" s="8">
        <v>0.0</v>
      </c>
    </row>
    <row r="269" ht="15.75" customHeight="1">
      <c r="A269" s="7" t="s">
        <v>843</v>
      </c>
      <c r="B269" s="7" t="s">
        <v>1778</v>
      </c>
      <c r="C269" s="8">
        <v>8.0</v>
      </c>
      <c r="D269" s="8">
        <v>0.0</v>
      </c>
      <c r="E269" s="8">
        <v>0.0</v>
      </c>
      <c r="F269" s="8">
        <v>0.0</v>
      </c>
      <c r="G269" s="8">
        <v>0.0</v>
      </c>
      <c r="H269" s="8">
        <v>0.0</v>
      </c>
    </row>
    <row r="270" ht="15.75" customHeight="1">
      <c r="A270" s="7" t="s">
        <v>845</v>
      </c>
      <c r="B270" s="7" t="s">
        <v>1779</v>
      </c>
      <c r="C270" s="8">
        <v>1.0</v>
      </c>
      <c r="D270" s="8">
        <v>0.0</v>
      </c>
      <c r="E270" s="8">
        <v>0.0</v>
      </c>
      <c r="F270" s="8">
        <v>0.0</v>
      </c>
      <c r="G270" s="8">
        <v>0.0</v>
      </c>
      <c r="H270" s="8">
        <v>0.0</v>
      </c>
    </row>
    <row r="271" ht="15.75" customHeight="1">
      <c r="A271" s="7" t="s">
        <v>847</v>
      </c>
      <c r="B271" s="7" t="s">
        <v>1779</v>
      </c>
      <c r="C271" s="8">
        <v>2.0</v>
      </c>
      <c r="D271" s="8">
        <v>0.0</v>
      </c>
      <c r="E271" s="8">
        <v>0.0</v>
      </c>
      <c r="F271" s="8">
        <v>0.0</v>
      </c>
      <c r="G271" s="8">
        <v>0.0</v>
      </c>
      <c r="H271" s="8">
        <v>0.0</v>
      </c>
    </row>
    <row r="272" ht="15.75" customHeight="1">
      <c r="A272" s="7" t="s">
        <v>850</v>
      </c>
      <c r="B272" s="7" t="s">
        <v>1779</v>
      </c>
      <c r="C272" s="8">
        <v>4.0</v>
      </c>
      <c r="D272" s="8">
        <v>0.0</v>
      </c>
      <c r="E272" s="8">
        <v>0.0</v>
      </c>
      <c r="F272" s="8">
        <v>0.0</v>
      </c>
      <c r="G272" s="8">
        <v>0.0</v>
      </c>
      <c r="H272" s="8">
        <v>0.0</v>
      </c>
    </row>
    <row r="273" ht="15.75" customHeight="1">
      <c r="A273" s="7" t="s">
        <v>852</v>
      </c>
      <c r="B273" s="7" t="s">
        <v>1779</v>
      </c>
      <c r="C273" s="8">
        <v>8.0</v>
      </c>
      <c r="D273" s="8">
        <v>0.0</v>
      </c>
      <c r="E273" s="8">
        <v>0.0</v>
      </c>
      <c r="F273" s="8">
        <v>0.0</v>
      </c>
      <c r="G273" s="8">
        <v>0.0</v>
      </c>
      <c r="H273" s="8">
        <v>0.0</v>
      </c>
    </row>
    <row r="274" ht="15.75" customHeight="1">
      <c r="A274" s="7" t="s">
        <v>854</v>
      </c>
      <c r="B274" s="7" t="s">
        <v>1780</v>
      </c>
      <c r="C274" s="8">
        <v>1.0</v>
      </c>
      <c r="D274" s="8">
        <v>0.0</v>
      </c>
      <c r="E274" s="8">
        <v>0.0</v>
      </c>
      <c r="F274" s="8">
        <v>0.0</v>
      </c>
      <c r="G274" s="8">
        <v>0.0</v>
      </c>
      <c r="H274" s="8">
        <v>0.0</v>
      </c>
    </row>
    <row r="275" ht="15.75" customHeight="1">
      <c r="A275" s="7" t="s">
        <v>856</v>
      </c>
      <c r="B275" s="7" t="s">
        <v>1780</v>
      </c>
      <c r="C275" s="8">
        <v>2.0</v>
      </c>
      <c r="D275" s="8">
        <v>0.0</v>
      </c>
      <c r="E275" s="8">
        <v>0.0</v>
      </c>
      <c r="F275" s="8">
        <v>0.0</v>
      </c>
      <c r="G275" s="8">
        <v>0.0</v>
      </c>
      <c r="H275" s="8">
        <v>0.0</v>
      </c>
    </row>
    <row r="276" ht="15.75" customHeight="1">
      <c r="A276" s="7" t="s">
        <v>858</v>
      </c>
      <c r="B276" s="7" t="s">
        <v>1780</v>
      </c>
      <c r="C276" s="8">
        <v>4.0</v>
      </c>
      <c r="D276" s="8">
        <v>0.0</v>
      </c>
      <c r="E276" s="8">
        <v>0.0</v>
      </c>
      <c r="F276" s="8">
        <v>0.0</v>
      </c>
      <c r="G276" s="8">
        <v>0.0</v>
      </c>
      <c r="H276" s="8">
        <v>0.0</v>
      </c>
    </row>
    <row r="277" ht="15.75" customHeight="1">
      <c r="A277" s="7" t="s">
        <v>860</v>
      </c>
      <c r="B277" s="7" t="s">
        <v>1780</v>
      </c>
      <c r="C277" s="8">
        <v>8.0</v>
      </c>
      <c r="D277" s="8">
        <v>0.0</v>
      </c>
      <c r="E277" s="8">
        <v>0.0</v>
      </c>
      <c r="F277" s="8">
        <v>0.0</v>
      </c>
      <c r="G277" s="8">
        <v>0.0</v>
      </c>
      <c r="H277" s="8">
        <v>0.0</v>
      </c>
    </row>
    <row r="278" ht="15.75" customHeight="1">
      <c r="A278" s="7" t="s">
        <v>863</v>
      </c>
      <c r="B278" s="7" t="s">
        <v>1781</v>
      </c>
      <c r="C278" s="8">
        <v>1.0</v>
      </c>
      <c r="D278" s="8">
        <v>0.0</v>
      </c>
      <c r="E278" s="8">
        <v>0.0</v>
      </c>
      <c r="F278" s="8">
        <v>0.0</v>
      </c>
      <c r="G278" s="8">
        <v>0.0</v>
      </c>
      <c r="H278" s="8">
        <v>0.0</v>
      </c>
    </row>
    <row r="279" ht="15.75" customHeight="1">
      <c r="A279" s="7" t="s">
        <v>865</v>
      </c>
      <c r="B279" s="7" t="s">
        <v>1781</v>
      </c>
      <c r="C279" s="8">
        <v>2.0</v>
      </c>
      <c r="D279" s="8">
        <v>0.0</v>
      </c>
      <c r="E279" s="8">
        <v>0.0</v>
      </c>
      <c r="F279" s="8">
        <v>0.0</v>
      </c>
      <c r="G279" s="8">
        <v>0.0</v>
      </c>
      <c r="H279" s="8">
        <v>0.0</v>
      </c>
    </row>
    <row r="280" ht="15.75" customHeight="1">
      <c r="A280" s="7" t="s">
        <v>867</v>
      </c>
      <c r="B280" s="7" t="s">
        <v>1781</v>
      </c>
      <c r="C280" s="8">
        <v>4.0</v>
      </c>
      <c r="D280" s="8">
        <v>0.0</v>
      </c>
      <c r="E280" s="8">
        <v>0.0</v>
      </c>
      <c r="F280" s="8">
        <v>0.0</v>
      </c>
      <c r="G280" s="8">
        <v>0.0</v>
      </c>
      <c r="H280" s="8">
        <v>0.0</v>
      </c>
    </row>
    <row r="281" ht="15.75" customHeight="1">
      <c r="A281" s="7" t="s">
        <v>869</v>
      </c>
      <c r="B281" s="7" t="s">
        <v>1781</v>
      </c>
      <c r="C281" s="8">
        <v>8.0</v>
      </c>
      <c r="D281" s="8">
        <v>0.0</v>
      </c>
      <c r="E281" s="8">
        <v>0.0</v>
      </c>
      <c r="F281" s="8">
        <v>0.0</v>
      </c>
      <c r="G281" s="8">
        <v>0.0</v>
      </c>
      <c r="H281" s="8">
        <v>0.0</v>
      </c>
    </row>
    <row r="282" ht="15.75" customHeight="1">
      <c r="A282" s="7" t="s">
        <v>877</v>
      </c>
      <c r="B282" s="7" t="s">
        <v>1785</v>
      </c>
      <c r="C282" s="8">
        <v>1.0</v>
      </c>
      <c r="D282" s="8">
        <v>0.0</v>
      </c>
      <c r="E282" s="8">
        <v>0.0</v>
      </c>
      <c r="F282" s="8">
        <v>0.0</v>
      </c>
      <c r="G282" s="8">
        <v>0.0</v>
      </c>
      <c r="H282" s="8">
        <v>0.0</v>
      </c>
    </row>
    <row r="283" ht="15.75" customHeight="1">
      <c r="A283" s="7" t="s">
        <v>879</v>
      </c>
      <c r="B283" s="7" t="s">
        <v>1785</v>
      </c>
      <c r="C283" s="8">
        <v>2.0</v>
      </c>
      <c r="D283" s="8">
        <v>0.0</v>
      </c>
      <c r="E283" s="8">
        <v>0.0</v>
      </c>
      <c r="F283" s="8">
        <v>0.0</v>
      </c>
      <c r="G283" s="8">
        <v>0.0</v>
      </c>
      <c r="H283" s="8">
        <v>0.0</v>
      </c>
    </row>
    <row r="284" ht="15.75" customHeight="1">
      <c r="A284" s="7" t="s">
        <v>881</v>
      </c>
      <c r="B284" s="7" t="s">
        <v>1785</v>
      </c>
      <c r="C284" s="8">
        <v>4.0</v>
      </c>
      <c r="D284" s="8">
        <v>0.0</v>
      </c>
      <c r="E284" s="8">
        <v>0.0</v>
      </c>
      <c r="F284" s="8">
        <v>0.0</v>
      </c>
      <c r="G284" s="8">
        <v>0.0</v>
      </c>
      <c r="H284" s="8">
        <v>0.0</v>
      </c>
    </row>
    <row r="285" ht="15.75" customHeight="1">
      <c r="A285" s="7" t="s">
        <v>883</v>
      </c>
      <c r="B285" s="7" t="s">
        <v>1785</v>
      </c>
      <c r="C285" s="8">
        <v>8.0</v>
      </c>
      <c r="D285" s="8">
        <v>0.0</v>
      </c>
      <c r="E285" s="8">
        <v>0.0</v>
      </c>
      <c r="F285" s="8">
        <v>0.0</v>
      </c>
      <c r="G285" s="8">
        <v>0.0</v>
      </c>
      <c r="H285" s="8">
        <v>0.0</v>
      </c>
    </row>
    <row r="286" ht="15.75" customHeight="1">
      <c r="A286" s="7" t="s">
        <v>885</v>
      </c>
      <c r="B286" s="7" t="s">
        <v>1786</v>
      </c>
      <c r="C286" s="8">
        <v>1.0</v>
      </c>
      <c r="D286" s="8">
        <v>0.0</v>
      </c>
      <c r="E286" s="8">
        <v>0.0</v>
      </c>
      <c r="F286" s="8">
        <v>0.0</v>
      </c>
      <c r="G286" s="8">
        <v>0.0</v>
      </c>
      <c r="H286" s="8">
        <v>0.0</v>
      </c>
    </row>
    <row r="287" ht="15.75" customHeight="1">
      <c r="A287" s="7" t="s">
        <v>887</v>
      </c>
      <c r="B287" s="7" t="s">
        <v>1786</v>
      </c>
      <c r="C287" s="8">
        <v>2.0</v>
      </c>
      <c r="D287" s="8">
        <v>0.0</v>
      </c>
      <c r="E287" s="8">
        <v>0.0</v>
      </c>
      <c r="F287" s="8">
        <v>0.0</v>
      </c>
      <c r="G287" s="8">
        <v>0.0</v>
      </c>
      <c r="H287" s="8">
        <v>0.0</v>
      </c>
    </row>
    <row r="288" ht="15.75" customHeight="1">
      <c r="A288" s="7" t="s">
        <v>889</v>
      </c>
      <c r="B288" s="7" t="s">
        <v>1786</v>
      </c>
      <c r="C288" s="8">
        <v>4.0</v>
      </c>
      <c r="D288" s="8">
        <v>0.0</v>
      </c>
      <c r="E288" s="8">
        <v>0.0</v>
      </c>
      <c r="F288" s="8">
        <v>0.0</v>
      </c>
      <c r="G288" s="8">
        <v>0.0</v>
      </c>
      <c r="H288" s="8">
        <v>0.0</v>
      </c>
    </row>
    <row r="289" ht="15.75" customHeight="1">
      <c r="A289" s="7" t="s">
        <v>891</v>
      </c>
      <c r="B289" s="7" t="s">
        <v>1786</v>
      </c>
      <c r="C289" s="8">
        <v>8.0</v>
      </c>
      <c r="D289" s="8">
        <v>0.0</v>
      </c>
      <c r="E289" s="8">
        <v>0.0</v>
      </c>
      <c r="F289" s="8">
        <v>0.0</v>
      </c>
      <c r="G289" s="8">
        <v>0.0</v>
      </c>
      <c r="H289" s="8">
        <v>0.0</v>
      </c>
    </row>
    <row r="290" ht="15.75" customHeight="1">
      <c r="A290" s="7" t="s">
        <v>893</v>
      </c>
      <c r="B290" s="7" t="s">
        <v>1787</v>
      </c>
      <c r="C290" s="8">
        <v>1.0</v>
      </c>
      <c r="D290" s="8">
        <v>0.0</v>
      </c>
      <c r="E290" s="8">
        <v>0.0</v>
      </c>
      <c r="F290" s="8">
        <v>0.0</v>
      </c>
      <c r="G290" s="8">
        <v>0.0</v>
      </c>
      <c r="H290" s="8">
        <v>0.0</v>
      </c>
    </row>
    <row r="291" ht="15.75" customHeight="1">
      <c r="A291" s="7" t="s">
        <v>895</v>
      </c>
      <c r="B291" s="7" t="s">
        <v>1787</v>
      </c>
      <c r="C291" s="8">
        <v>2.0</v>
      </c>
      <c r="D291" s="8">
        <v>0.0</v>
      </c>
      <c r="E291" s="8">
        <v>0.0</v>
      </c>
      <c r="F291" s="8">
        <v>0.0</v>
      </c>
      <c r="G291" s="8">
        <v>0.0</v>
      </c>
      <c r="H291" s="8">
        <v>0.0</v>
      </c>
    </row>
    <row r="292" ht="15.75" customHeight="1">
      <c r="A292" s="7" t="s">
        <v>897</v>
      </c>
      <c r="B292" s="7" t="s">
        <v>1787</v>
      </c>
      <c r="C292" s="8">
        <v>4.0</v>
      </c>
      <c r="D292" s="8">
        <v>0.0</v>
      </c>
      <c r="E292" s="8">
        <v>0.0</v>
      </c>
      <c r="F292" s="8">
        <v>0.0</v>
      </c>
      <c r="G292" s="8">
        <v>0.0</v>
      </c>
      <c r="H292" s="8">
        <v>0.0</v>
      </c>
    </row>
    <row r="293" ht="15.75" customHeight="1">
      <c r="A293" s="7" t="s">
        <v>899</v>
      </c>
      <c r="B293" s="7" t="s">
        <v>1787</v>
      </c>
      <c r="C293" s="8">
        <v>8.0</v>
      </c>
      <c r="D293" s="8">
        <v>0.0</v>
      </c>
      <c r="E293" s="8">
        <v>0.0</v>
      </c>
      <c r="F293" s="8">
        <v>0.0</v>
      </c>
      <c r="G293" s="8">
        <v>0.0</v>
      </c>
      <c r="H293" s="8">
        <v>0.0</v>
      </c>
    </row>
    <row r="294" ht="15.75" customHeight="1">
      <c r="A294" s="7" t="s">
        <v>983</v>
      </c>
      <c r="B294" s="7" t="s">
        <v>1796</v>
      </c>
      <c r="C294" s="8">
        <v>3.0</v>
      </c>
      <c r="D294" s="8">
        <v>0.0</v>
      </c>
      <c r="E294" s="8">
        <v>0.0</v>
      </c>
      <c r="F294" s="8">
        <v>0.0</v>
      </c>
      <c r="G294" s="8">
        <v>0.0</v>
      </c>
      <c r="H294" s="8">
        <v>0.0</v>
      </c>
    </row>
    <row r="295" ht="15.75" customHeight="1">
      <c r="A295" s="7" t="s">
        <v>985</v>
      </c>
      <c r="B295" s="7" t="s">
        <v>1796</v>
      </c>
      <c r="C295" s="8">
        <v>6.0</v>
      </c>
      <c r="D295" s="8">
        <v>0.0</v>
      </c>
      <c r="E295" s="8">
        <v>0.0</v>
      </c>
      <c r="F295" s="8">
        <v>0.0</v>
      </c>
      <c r="G295" s="8">
        <v>0.0</v>
      </c>
      <c r="H295" s="8">
        <v>0.0</v>
      </c>
    </row>
    <row r="296" ht="15.75" customHeight="1">
      <c r="A296" s="7" t="s">
        <v>987</v>
      </c>
      <c r="B296" s="7" t="s">
        <v>1797</v>
      </c>
      <c r="C296" s="8">
        <v>3.0</v>
      </c>
      <c r="D296" s="8">
        <v>0.0</v>
      </c>
      <c r="E296" s="8">
        <v>0.0</v>
      </c>
      <c r="F296" s="8">
        <v>0.0</v>
      </c>
      <c r="G296" s="8">
        <v>0.0</v>
      </c>
      <c r="H296" s="8">
        <v>0.0</v>
      </c>
    </row>
    <row r="297" ht="15.75" customHeight="1">
      <c r="A297" s="7" t="s">
        <v>989</v>
      </c>
      <c r="B297" s="7" t="s">
        <v>1797</v>
      </c>
      <c r="C297" s="8">
        <v>6.0</v>
      </c>
      <c r="D297" s="8">
        <v>0.0</v>
      </c>
      <c r="E297" s="8">
        <v>0.0</v>
      </c>
      <c r="F297" s="8">
        <v>0.0</v>
      </c>
      <c r="G297" s="8">
        <v>0.0</v>
      </c>
      <c r="H297" s="8">
        <v>0.0</v>
      </c>
    </row>
    <row r="298" ht="15.75" customHeight="1">
      <c r="A298" s="7" t="s">
        <v>991</v>
      </c>
      <c r="B298" s="7" t="s">
        <v>1798</v>
      </c>
      <c r="C298" s="8">
        <v>3.0</v>
      </c>
      <c r="D298" s="8">
        <v>0.0</v>
      </c>
      <c r="E298" s="8">
        <v>0.0</v>
      </c>
      <c r="F298" s="8">
        <v>0.0</v>
      </c>
      <c r="G298" s="8">
        <v>0.0</v>
      </c>
      <c r="H298" s="8">
        <v>0.0</v>
      </c>
    </row>
    <row r="299" ht="15.75" customHeight="1">
      <c r="A299" s="7" t="s">
        <v>993</v>
      </c>
      <c r="B299" s="7" t="s">
        <v>1798</v>
      </c>
      <c r="C299" s="8">
        <v>6.0</v>
      </c>
      <c r="D299" s="8">
        <v>0.0</v>
      </c>
      <c r="E299" s="8">
        <v>0.0</v>
      </c>
      <c r="F299" s="8">
        <v>0.0</v>
      </c>
      <c r="G299" s="8">
        <v>0.0</v>
      </c>
      <c r="H299" s="8">
        <v>0.0</v>
      </c>
    </row>
    <row r="300" ht="15.75" customHeight="1">
      <c r="A300" s="7" t="s">
        <v>1026</v>
      </c>
      <c r="B300" s="7" t="s">
        <v>1808</v>
      </c>
      <c r="C300" s="8">
        <v>3.0</v>
      </c>
      <c r="D300" s="8">
        <v>0.0</v>
      </c>
      <c r="E300" s="8">
        <v>0.0</v>
      </c>
      <c r="F300" s="8">
        <v>0.0</v>
      </c>
      <c r="G300" s="8">
        <v>0.0</v>
      </c>
      <c r="H300" s="8">
        <v>0.0</v>
      </c>
    </row>
    <row r="301" ht="15.75" customHeight="1">
      <c r="A301" s="7" t="s">
        <v>1028</v>
      </c>
      <c r="B301" s="7" t="s">
        <v>1808</v>
      </c>
      <c r="C301" s="8">
        <v>5.0</v>
      </c>
      <c r="D301" s="8">
        <v>0.0</v>
      </c>
      <c r="E301" s="8">
        <v>0.0</v>
      </c>
      <c r="F301" s="8">
        <v>0.0</v>
      </c>
      <c r="G301" s="8">
        <v>0.0</v>
      </c>
      <c r="H301" s="8">
        <v>0.0</v>
      </c>
    </row>
    <row r="302" ht="15.75" customHeight="1">
      <c r="A302" s="7" t="s">
        <v>1030</v>
      </c>
      <c r="B302" s="7" t="s">
        <v>1809</v>
      </c>
      <c r="C302" s="8">
        <v>3.0</v>
      </c>
      <c r="D302" s="8">
        <v>0.0</v>
      </c>
      <c r="E302" s="8">
        <v>0.0</v>
      </c>
      <c r="F302" s="8">
        <v>0.0</v>
      </c>
      <c r="G302" s="8">
        <v>0.0</v>
      </c>
      <c r="H302" s="8">
        <v>0.0</v>
      </c>
    </row>
    <row r="303" ht="15.75" customHeight="1">
      <c r="A303" s="7" t="s">
        <v>1032</v>
      </c>
      <c r="B303" s="7" t="s">
        <v>1809</v>
      </c>
      <c r="C303" s="8">
        <v>5.0</v>
      </c>
      <c r="D303" s="8">
        <v>0.0</v>
      </c>
      <c r="E303" s="8">
        <v>0.0</v>
      </c>
      <c r="F303" s="8">
        <v>0.0</v>
      </c>
      <c r="G303" s="8">
        <v>0.0</v>
      </c>
      <c r="H303" s="8">
        <v>0.0</v>
      </c>
    </row>
    <row r="304" ht="15.75" customHeight="1">
      <c r="A304" s="7" t="s">
        <v>1034</v>
      </c>
      <c r="B304" s="7" t="s">
        <v>1810</v>
      </c>
      <c r="C304" s="8">
        <v>3.0</v>
      </c>
      <c r="D304" s="8">
        <v>0.0</v>
      </c>
      <c r="E304" s="8">
        <v>0.0</v>
      </c>
      <c r="F304" s="8">
        <v>0.0</v>
      </c>
      <c r="G304" s="8">
        <v>0.0</v>
      </c>
      <c r="H304" s="8">
        <v>0.0</v>
      </c>
    </row>
    <row r="305" ht="15.75" customHeight="1">
      <c r="A305" s="7" t="s">
        <v>1036</v>
      </c>
      <c r="B305" s="7" t="s">
        <v>1810</v>
      </c>
      <c r="C305" s="8">
        <v>5.0</v>
      </c>
      <c r="D305" s="8">
        <v>0.0</v>
      </c>
      <c r="E305" s="8">
        <v>0.0</v>
      </c>
      <c r="F305" s="8">
        <v>0.0</v>
      </c>
      <c r="G305" s="8">
        <v>0.0</v>
      </c>
      <c r="H305" s="8">
        <v>0.0</v>
      </c>
    </row>
    <row r="306" ht="15.75" customHeight="1">
      <c r="A306" s="7" t="s">
        <v>1038</v>
      </c>
      <c r="B306" s="7" t="s">
        <v>1811</v>
      </c>
      <c r="C306" s="8">
        <v>3.0</v>
      </c>
      <c r="D306" s="8">
        <v>0.0</v>
      </c>
      <c r="E306" s="8">
        <v>0.0</v>
      </c>
      <c r="F306" s="8">
        <v>0.0</v>
      </c>
      <c r="G306" s="8">
        <v>0.0</v>
      </c>
      <c r="H306" s="8">
        <v>0.0</v>
      </c>
    </row>
    <row r="307" ht="15.75" customHeight="1">
      <c r="A307" s="7" t="s">
        <v>1041</v>
      </c>
      <c r="B307" s="7" t="s">
        <v>1811</v>
      </c>
      <c r="C307" s="8">
        <v>5.0</v>
      </c>
      <c r="D307" s="8">
        <v>0.0</v>
      </c>
      <c r="E307" s="8">
        <v>0.0</v>
      </c>
      <c r="F307" s="8">
        <v>0.0</v>
      </c>
      <c r="G307" s="8">
        <v>0.0</v>
      </c>
      <c r="H307" s="8">
        <v>0.0</v>
      </c>
    </row>
    <row r="308" ht="15.75" customHeight="1">
      <c r="A308" s="7" t="s">
        <v>1044</v>
      </c>
      <c r="B308" s="7" t="s">
        <v>1812</v>
      </c>
      <c r="C308" s="8">
        <v>3.0</v>
      </c>
      <c r="D308" s="8">
        <v>0.0</v>
      </c>
      <c r="E308" s="8">
        <v>0.0</v>
      </c>
      <c r="F308" s="8">
        <v>0.0</v>
      </c>
      <c r="G308" s="8">
        <v>0.0</v>
      </c>
      <c r="H308" s="8">
        <v>0.0</v>
      </c>
    </row>
    <row r="309" ht="15.75" customHeight="1">
      <c r="A309" s="7" t="s">
        <v>1047</v>
      </c>
      <c r="B309" s="7" t="s">
        <v>1812</v>
      </c>
      <c r="C309" s="8">
        <v>5.0</v>
      </c>
      <c r="D309" s="8">
        <v>0.0</v>
      </c>
      <c r="E309" s="8">
        <v>0.0</v>
      </c>
      <c r="F309" s="8">
        <v>0.0</v>
      </c>
      <c r="G309" s="8">
        <v>0.0</v>
      </c>
      <c r="H309" s="8">
        <v>0.0</v>
      </c>
    </row>
    <row r="310" ht="15.75" customHeight="1">
      <c r="A310" s="7" t="s">
        <v>1050</v>
      </c>
      <c r="B310" s="7" t="s">
        <v>1813</v>
      </c>
      <c r="C310" s="8">
        <v>3.0</v>
      </c>
      <c r="D310" s="8">
        <v>0.0</v>
      </c>
      <c r="E310" s="8">
        <v>0.0</v>
      </c>
      <c r="F310" s="8">
        <v>0.0</v>
      </c>
      <c r="G310" s="8">
        <v>0.0</v>
      </c>
      <c r="H310" s="8">
        <v>0.0</v>
      </c>
    </row>
    <row r="311" ht="15.75" customHeight="1">
      <c r="A311" s="7" t="s">
        <v>1053</v>
      </c>
      <c r="B311" s="7" t="s">
        <v>1813</v>
      </c>
      <c r="C311" s="8">
        <v>5.0</v>
      </c>
      <c r="D311" s="8">
        <v>0.0</v>
      </c>
      <c r="E311" s="8">
        <v>0.0</v>
      </c>
      <c r="F311" s="8">
        <v>0.0</v>
      </c>
      <c r="G311" s="8">
        <v>0.0</v>
      </c>
      <c r="H311" s="8">
        <v>0.0</v>
      </c>
    </row>
    <row r="312" ht="15.75" customHeight="1">
      <c r="A312" s="7" t="s">
        <v>1056</v>
      </c>
      <c r="B312" s="7" t="s">
        <v>1814</v>
      </c>
      <c r="C312" s="8">
        <v>3.0</v>
      </c>
      <c r="D312" s="8">
        <v>0.0</v>
      </c>
      <c r="E312" s="8">
        <v>0.0</v>
      </c>
      <c r="F312" s="8">
        <v>0.0</v>
      </c>
      <c r="G312" s="8">
        <v>0.0</v>
      </c>
      <c r="H312" s="8">
        <v>0.0</v>
      </c>
    </row>
    <row r="313" ht="15.75" customHeight="1">
      <c r="A313" s="7" t="s">
        <v>1059</v>
      </c>
      <c r="B313" s="7" t="s">
        <v>1814</v>
      </c>
      <c r="C313" s="8">
        <v>5.0</v>
      </c>
      <c r="D313" s="8">
        <v>0.0</v>
      </c>
      <c r="E313" s="8">
        <v>0.0</v>
      </c>
      <c r="F313" s="8">
        <v>0.0</v>
      </c>
      <c r="G313" s="8">
        <v>0.0</v>
      </c>
      <c r="H313" s="8">
        <v>0.0</v>
      </c>
    </row>
    <row r="314" ht="15.75" customHeight="1">
      <c r="A314" s="7" t="s">
        <v>1553</v>
      </c>
      <c r="B314" s="7" t="s">
        <v>1812</v>
      </c>
      <c r="C314" s="8">
        <v>6.0</v>
      </c>
      <c r="D314" s="8">
        <v>0.0</v>
      </c>
      <c r="E314" s="8">
        <v>0.0</v>
      </c>
      <c r="F314" s="8">
        <v>0.0</v>
      </c>
      <c r="G314" s="8">
        <v>0.0</v>
      </c>
      <c r="H314" s="8">
        <v>0.0</v>
      </c>
    </row>
    <row r="315" ht="15.75" customHeight="1">
      <c r="A315" s="7" t="s">
        <v>1556</v>
      </c>
      <c r="B315" s="7" t="s">
        <v>1813</v>
      </c>
      <c r="C315" s="8">
        <v>6.0</v>
      </c>
      <c r="D315" s="8">
        <v>0.0</v>
      </c>
      <c r="E315" s="8">
        <v>0.0</v>
      </c>
      <c r="F315" s="8">
        <v>0.0</v>
      </c>
      <c r="G315" s="8">
        <v>0.0</v>
      </c>
      <c r="H315" s="8">
        <v>0.0</v>
      </c>
    </row>
    <row r="316" ht="15.75" customHeight="1">
      <c r="A316" s="7" t="s">
        <v>1559</v>
      </c>
      <c r="B316" s="7" t="s">
        <v>1814</v>
      </c>
      <c r="C316" s="8">
        <v>6.0</v>
      </c>
      <c r="D316" s="8">
        <v>0.0</v>
      </c>
      <c r="E316" s="8">
        <v>0.0</v>
      </c>
      <c r="F316" s="8">
        <v>0.0</v>
      </c>
      <c r="G316" s="8">
        <v>0.0</v>
      </c>
      <c r="H316" s="8">
        <v>0.0</v>
      </c>
    </row>
    <row r="317" ht="15.75" customHeight="1">
      <c r="A317" s="7" t="s">
        <v>1067</v>
      </c>
      <c r="B317" s="7" t="s">
        <v>1067</v>
      </c>
      <c r="C317" s="8">
        <v>1.0</v>
      </c>
      <c r="D317" s="8">
        <v>0.0</v>
      </c>
      <c r="E317" s="8">
        <v>0.0</v>
      </c>
      <c r="F317" s="8">
        <v>0.0</v>
      </c>
      <c r="G317" s="8">
        <v>0.0</v>
      </c>
      <c r="H317" s="8">
        <v>0.0</v>
      </c>
    </row>
    <row r="318" ht="15.75" customHeight="1">
      <c r="A318" s="7" t="s">
        <v>1068</v>
      </c>
      <c r="B318" s="7" t="s">
        <v>1068</v>
      </c>
      <c r="C318" s="8">
        <v>1.0</v>
      </c>
      <c r="D318" s="8">
        <v>0.0</v>
      </c>
      <c r="E318" s="8">
        <v>0.0</v>
      </c>
      <c r="F318" s="8">
        <v>0.0</v>
      </c>
      <c r="G318" s="8">
        <v>0.0</v>
      </c>
      <c r="H318" s="8">
        <v>0.0</v>
      </c>
    </row>
    <row r="319" ht="15.75" customHeight="1">
      <c r="A319" s="7" t="s">
        <v>1069</v>
      </c>
      <c r="B319" s="7" t="s">
        <v>1069</v>
      </c>
      <c r="C319" s="8">
        <v>1.0</v>
      </c>
      <c r="D319" s="8">
        <v>0.0</v>
      </c>
      <c r="E319" s="8">
        <v>0.0</v>
      </c>
      <c r="F319" s="8">
        <v>0.0</v>
      </c>
      <c r="G319" s="8">
        <v>0.0</v>
      </c>
      <c r="H319" s="8">
        <v>0.0</v>
      </c>
    </row>
    <row r="320" ht="15.75" customHeight="1">
      <c r="A320" s="7" t="s">
        <v>1070</v>
      </c>
      <c r="B320" s="7" t="s">
        <v>1070</v>
      </c>
      <c r="C320" s="8">
        <v>1.0</v>
      </c>
      <c r="D320" s="8">
        <v>0.0</v>
      </c>
      <c r="E320" s="8">
        <v>0.0</v>
      </c>
      <c r="F320" s="8">
        <v>0.0</v>
      </c>
      <c r="G320" s="8">
        <v>0.0</v>
      </c>
      <c r="H320" s="8">
        <v>0.0</v>
      </c>
    </row>
    <row r="321" ht="15.75" customHeight="1">
      <c r="A321" s="7" t="s">
        <v>1072</v>
      </c>
      <c r="B321" s="7" t="s">
        <v>1072</v>
      </c>
      <c r="C321" s="8">
        <v>1.0</v>
      </c>
      <c r="D321" s="8">
        <v>0.0</v>
      </c>
      <c r="E321" s="8">
        <v>0.0</v>
      </c>
      <c r="F321" s="8">
        <v>0.0</v>
      </c>
      <c r="G321" s="8">
        <v>0.0</v>
      </c>
      <c r="H321" s="8">
        <v>0.0</v>
      </c>
    </row>
    <row r="322" ht="15.75" customHeight="1">
      <c r="A322" s="7" t="s">
        <v>1073</v>
      </c>
      <c r="B322" s="7" t="s">
        <v>1073</v>
      </c>
      <c r="C322" s="8">
        <v>1.0</v>
      </c>
      <c r="D322" s="8">
        <v>0.0</v>
      </c>
      <c r="E322" s="8">
        <v>0.0</v>
      </c>
      <c r="F322" s="8">
        <v>0.0</v>
      </c>
      <c r="G322" s="8">
        <v>0.0</v>
      </c>
      <c r="H322" s="8">
        <v>0.0</v>
      </c>
    </row>
    <row r="323" ht="15.75" customHeight="1">
      <c r="A323" s="7" t="s">
        <v>1298</v>
      </c>
      <c r="B323" s="7" t="s">
        <v>1297</v>
      </c>
      <c r="C323" s="8">
        <v>6.0</v>
      </c>
      <c r="D323" s="8">
        <v>0.0</v>
      </c>
      <c r="E323" s="8">
        <v>0.0</v>
      </c>
      <c r="F323" s="8">
        <v>0.0</v>
      </c>
      <c r="G323" s="8">
        <v>0.0</v>
      </c>
      <c r="H323" s="8">
        <v>0.0</v>
      </c>
    </row>
    <row r="324" ht="15.75" customHeight="1">
      <c r="A324" s="7" t="s">
        <v>1301</v>
      </c>
      <c r="B324" s="7" t="s">
        <v>1300</v>
      </c>
      <c r="C324" s="8">
        <v>6.0</v>
      </c>
      <c r="D324" s="8">
        <v>0.0</v>
      </c>
      <c r="E324" s="8">
        <v>0.0</v>
      </c>
      <c r="F324" s="8">
        <v>0.0</v>
      </c>
      <c r="G324" s="8">
        <v>0.0</v>
      </c>
      <c r="H324" s="8">
        <v>0.0</v>
      </c>
    </row>
    <row r="325" ht="15.75" customHeight="1">
      <c r="A325" s="7" t="s">
        <v>348</v>
      </c>
      <c r="B325" s="7" t="s">
        <v>347</v>
      </c>
      <c r="C325" s="8">
        <v>4.0</v>
      </c>
      <c r="D325" s="8">
        <v>0.0</v>
      </c>
      <c r="E325" s="8">
        <v>0.0</v>
      </c>
      <c r="F325" s="8">
        <v>0.0</v>
      </c>
      <c r="G325" s="8">
        <v>0.0</v>
      </c>
      <c r="H325" s="8">
        <v>0.0</v>
      </c>
    </row>
    <row r="326" ht="15.75" customHeight="1">
      <c r="A326" s="7" t="s">
        <v>462</v>
      </c>
      <c r="B326" s="7" t="s">
        <v>462</v>
      </c>
      <c r="C326" s="8">
        <v>1.0</v>
      </c>
      <c r="D326" s="8">
        <v>0.0</v>
      </c>
      <c r="E326" s="8">
        <v>0.0</v>
      </c>
      <c r="F326" s="8">
        <v>0.0</v>
      </c>
      <c r="G326" s="8">
        <v>0.0</v>
      </c>
      <c r="H326" s="8">
        <v>0.0</v>
      </c>
    </row>
    <row r="327" ht="15.75" customHeight="1">
      <c r="A327" s="7" t="s">
        <v>458</v>
      </c>
      <c r="B327" s="7" t="s">
        <v>1845</v>
      </c>
      <c r="C327" s="8">
        <v>1.0</v>
      </c>
      <c r="D327" s="8">
        <v>0.0</v>
      </c>
      <c r="E327" s="8">
        <v>0.0</v>
      </c>
      <c r="F327" s="8">
        <v>0.0</v>
      </c>
      <c r="G327" s="8">
        <v>0.0</v>
      </c>
      <c r="H327" s="8">
        <v>0.0</v>
      </c>
    </row>
    <row r="328" ht="15.75" customHeight="1">
      <c r="A328" s="7" t="s">
        <v>18</v>
      </c>
      <c r="B328" s="7" t="s">
        <v>1846</v>
      </c>
      <c r="C328" s="8">
        <v>1.0</v>
      </c>
      <c r="D328" s="8">
        <v>0.0</v>
      </c>
      <c r="E328" s="8">
        <v>0.0</v>
      </c>
      <c r="F328" s="8">
        <v>0.0</v>
      </c>
      <c r="G328" s="8">
        <v>0.0</v>
      </c>
      <c r="H328" s="8">
        <v>0.0</v>
      </c>
    </row>
    <row r="329" ht="15.75" customHeight="1">
      <c r="A329" s="7" t="s">
        <v>627</v>
      </c>
      <c r="B329" s="7" t="s">
        <v>1847</v>
      </c>
      <c r="C329" s="8">
        <v>1.0</v>
      </c>
      <c r="D329" s="8">
        <v>0.0</v>
      </c>
      <c r="E329" s="8">
        <v>0.0</v>
      </c>
      <c r="F329" s="8">
        <v>0.0</v>
      </c>
      <c r="G329" s="8">
        <v>0.0</v>
      </c>
      <c r="H329" s="8">
        <v>0.0</v>
      </c>
    </row>
    <row r="330" ht="15.75" customHeight="1">
      <c r="A330" s="7" t="s">
        <v>629</v>
      </c>
      <c r="B330" s="7" t="s">
        <v>1848</v>
      </c>
      <c r="C330" s="8">
        <v>1.0</v>
      </c>
      <c r="D330" s="8">
        <v>0.0</v>
      </c>
      <c r="E330" s="8">
        <v>0.0</v>
      </c>
      <c r="F330" s="8">
        <v>0.0</v>
      </c>
      <c r="G330" s="8">
        <v>0.0</v>
      </c>
      <c r="H330" s="8">
        <v>0.0</v>
      </c>
    </row>
    <row r="331" ht="15.75" customHeight="1">
      <c r="A331" s="7" t="s">
        <v>631</v>
      </c>
      <c r="B331" s="7" t="s">
        <v>1849</v>
      </c>
      <c r="C331" s="8">
        <v>1.0</v>
      </c>
      <c r="D331" s="8">
        <v>0.0</v>
      </c>
      <c r="E331" s="8">
        <v>0.0</v>
      </c>
      <c r="F331" s="8">
        <v>0.0</v>
      </c>
      <c r="G331" s="8">
        <v>0.0</v>
      </c>
      <c r="H331" s="8">
        <v>0.0</v>
      </c>
    </row>
    <row r="332" ht="15.75" customHeight="1">
      <c r="A332" s="7" t="s">
        <v>634</v>
      </c>
      <c r="B332" s="7" t="s">
        <v>1845</v>
      </c>
      <c r="C332" s="8">
        <v>4.0</v>
      </c>
      <c r="D332" s="8">
        <v>0.0</v>
      </c>
      <c r="E332" s="8">
        <v>0.0</v>
      </c>
      <c r="F332" s="8">
        <v>0.0</v>
      </c>
      <c r="G332" s="8">
        <v>0.0</v>
      </c>
      <c r="H332" s="8">
        <v>0.0</v>
      </c>
    </row>
    <row r="333" ht="15.75" customHeight="1">
      <c r="A333" s="7" t="s">
        <v>1424</v>
      </c>
      <c r="B333" s="7" t="s">
        <v>1845</v>
      </c>
      <c r="C333" s="8">
        <v>2.0</v>
      </c>
      <c r="D333" s="8">
        <v>0.0</v>
      </c>
      <c r="E333" s="8">
        <v>0.0</v>
      </c>
      <c r="F333" s="8">
        <v>0.0</v>
      </c>
      <c r="G333" s="8">
        <v>0.0</v>
      </c>
      <c r="H333" s="8">
        <v>0.0</v>
      </c>
    </row>
    <row r="334" ht="15.75" customHeight="1">
      <c r="A334" s="7" t="s">
        <v>617</v>
      </c>
      <c r="B334" s="7" t="s">
        <v>617</v>
      </c>
      <c r="C334" s="8">
        <v>1.0</v>
      </c>
      <c r="D334" s="8">
        <v>0.0</v>
      </c>
      <c r="E334" s="8">
        <v>0.0</v>
      </c>
      <c r="F334" s="8">
        <v>0.0</v>
      </c>
      <c r="G334" s="8">
        <v>0.0</v>
      </c>
      <c r="H334" s="8">
        <v>0.0</v>
      </c>
    </row>
    <row r="335" ht="15.75" customHeight="1">
      <c r="A335" s="7" t="s">
        <v>620</v>
      </c>
      <c r="B335" s="7" t="s">
        <v>620</v>
      </c>
      <c r="C335" s="8">
        <v>1.0</v>
      </c>
      <c r="D335" s="8">
        <v>0.0</v>
      </c>
      <c r="E335" s="8">
        <v>0.0</v>
      </c>
      <c r="F335" s="8">
        <v>0.0</v>
      </c>
      <c r="G335" s="8">
        <v>0.0</v>
      </c>
      <c r="H335" s="8">
        <v>0.0</v>
      </c>
    </row>
    <row r="336" ht="15.75" customHeight="1">
      <c r="A336" s="7" t="s">
        <v>1354</v>
      </c>
      <c r="B336" s="7" t="s">
        <v>1354</v>
      </c>
      <c r="C336" s="8">
        <v>1.0</v>
      </c>
      <c r="D336" s="8">
        <v>0.0</v>
      </c>
      <c r="E336" s="8">
        <v>0.0</v>
      </c>
      <c r="F336" s="8">
        <v>0.0</v>
      </c>
      <c r="G336" s="8">
        <v>0.0</v>
      </c>
      <c r="H336" s="8">
        <v>0.0</v>
      </c>
    </row>
    <row r="337" ht="15.75" customHeight="1">
      <c r="A337" s="7" t="s">
        <v>135</v>
      </c>
      <c r="B337" s="7" t="s">
        <v>135</v>
      </c>
      <c r="C337" s="8">
        <v>1.0</v>
      </c>
      <c r="D337" s="8">
        <v>0.0</v>
      </c>
      <c r="E337" s="8">
        <v>0.0</v>
      </c>
      <c r="F337" s="8">
        <v>0.0</v>
      </c>
      <c r="G337" s="8">
        <v>0.0</v>
      </c>
      <c r="H337" s="8">
        <v>0.0</v>
      </c>
    </row>
    <row r="338" ht="15.75" customHeight="1">
      <c r="A338" s="7" t="s">
        <v>271</v>
      </c>
      <c r="B338" s="7" t="s">
        <v>271</v>
      </c>
      <c r="C338" s="8">
        <v>1.0</v>
      </c>
      <c r="D338" s="8">
        <v>0.0</v>
      </c>
      <c r="E338" s="8">
        <v>0.0</v>
      </c>
      <c r="F338" s="8">
        <v>0.0</v>
      </c>
      <c r="G338" s="8">
        <v>0.0</v>
      </c>
      <c r="H338" s="8">
        <v>0.0</v>
      </c>
    </row>
    <row r="339" ht="15.75" customHeight="1">
      <c r="A339" s="7" t="s">
        <v>275</v>
      </c>
      <c r="B339" s="7" t="s">
        <v>275</v>
      </c>
      <c r="C339" s="8">
        <v>1.0</v>
      </c>
      <c r="D339" s="8">
        <v>0.0</v>
      </c>
      <c r="E339" s="8">
        <v>0.0</v>
      </c>
      <c r="F339" s="8">
        <v>0.0</v>
      </c>
      <c r="G339" s="8">
        <v>0.0</v>
      </c>
      <c r="H339" s="8">
        <v>0.0</v>
      </c>
    </row>
    <row r="340" ht="15.75" customHeight="1">
      <c r="A340" s="7" t="s">
        <v>277</v>
      </c>
      <c r="B340" s="7" t="s">
        <v>277</v>
      </c>
      <c r="C340" s="8">
        <v>1.0</v>
      </c>
      <c r="D340" s="8">
        <v>0.0</v>
      </c>
      <c r="E340" s="8">
        <v>0.0</v>
      </c>
      <c r="F340" s="8">
        <v>0.0</v>
      </c>
      <c r="G340" s="8">
        <v>0.0</v>
      </c>
      <c r="H340" s="8">
        <v>0.0</v>
      </c>
    </row>
    <row r="341" ht="15.75" customHeight="1">
      <c r="A341" s="7" t="s">
        <v>279</v>
      </c>
      <c r="B341" s="7" t="s">
        <v>279</v>
      </c>
      <c r="C341" s="8">
        <v>1.0</v>
      </c>
      <c r="D341" s="8">
        <v>0.0</v>
      </c>
      <c r="E341" s="8">
        <v>0.0</v>
      </c>
      <c r="F341" s="8">
        <v>0.0</v>
      </c>
      <c r="G341" s="8">
        <v>0.0</v>
      </c>
      <c r="H341" s="8">
        <v>0.0</v>
      </c>
    </row>
    <row r="342" ht="15.75" customHeight="1">
      <c r="A342" s="7" t="s">
        <v>296</v>
      </c>
      <c r="B342" s="7" t="s">
        <v>296</v>
      </c>
      <c r="C342" s="8">
        <v>1.0</v>
      </c>
      <c r="D342" s="8">
        <v>0.0</v>
      </c>
      <c r="E342" s="8">
        <v>0.0</v>
      </c>
      <c r="F342" s="8">
        <v>0.0</v>
      </c>
      <c r="G342" s="8">
        <v>0.0</v>
      </c>
      <c r="H342" s="8">
        <v>0.0</v>
      </c>
    </row>
    <row r="343" ht="15.75" customHeight="1">
      <c r="A343" s="7" t="s">
        <v>332</v>
      </c>
      <c r="B343" s="7" t="s">
        <v>332</v>
      </c>
      <c r="C343" s="8">
        <v>1.0</v>
      </c>
      <c r="D343" s="8">
        <v>0.0</v>
      </c>
      <c r="E343" s="8">
        <v>0.0</v>
      </c>
      <c r="F343" s="8">
        <v>0.0</v>
      </c>
      <c r="G343" s="8">
        <v>0.0</v>
      </c>
      <c r="H343" s="8">
        <v>0.0</v>
      </c>
    </row>
    <row r="344" ht="15.75" customHeight="1">
      <c r="A344" s="7" t="s">
        <v>333</v>
      </c>
      <c r="B344" s="7" t="s">
        <v>333</v>
      </c>
      <c r="C344" s="8">
        <v>1.0</v>
      </c>
      <c r="D344" s="8">
        <v>0.0</v>
      </c>
      <c r="E344" s="8">
        <v>0.0</v>
      </c>
      <c r="F344" s="8">
        <v>0.0</v>
      </c>
      <c r="G344" s="8">
        <v>0.0</v>
      </c>
      <c r="H344" s="8">
        <v>0.0</v>
      </c>
    </row>
    <row r="345" ht="15.75" customHeight="1">
      <c r="A345" s="7" t="s">
        <v>351</v>
      </c>
      <c r="B345" s="7" t="s">
        <v>351</v>
      </c>
      <c r="C345" s="8">
        <v>1.0</v>
      </c>
      <c r="D345" s="8">
        <v>0.0</v>
      </c>
      <c r="E345" s="8">
        <v>0.0</v>
      </c>
      <c r="F345" s="8">
        <v>0.0</v>
      </c>
      <c r="G345" s="8">
        <v>0.0</v>
      </c>
      <c r="H345" s="8">
        <v>0.0</v>
      </c>
    </row>
    <row r="346" ht="15.75" customHeight="1">
      <c r="A346" s="7" t="s">
        <v>469</v>
      </c>
      <c r="B346" s="7" t="s">
        <v>469</v>
      </c>
      <c r="C346" s="8">
        <v>1.0</v>
      </c>
      <c r="D346" s="8">
        <v>0.0</v>
      </c>
      <c r="E346" s="8">
        <v>0.0</v>
      </c>
      <c r="F346" s="8">
        <v>0.0</v>
      </c>
      <c r="G346" s="8">
        <v>0.0</v>
      </c>
      <c r="H346" s="8">
        <v>0.0</v>
      </c>
    </row>
    <row r="347" ht="15.75" customHeight="1">
      <c r="A347" s="7" t="s">
        <v>650</v>
      </c>
      <c r="B347" s="7" t="s">
        <v>650</v>
      </c>
      <c r="C347" s="8">
        <v>1.0</v>
      </c>
      <c r="D347" s="8">
        <v>0.0</v>
      </c>
      <c r="E347" s="8">
        <v>0.0</v>
      </c>
      <c r="F347" s="8">
        <v>0.0</v>
      </c>
      <c r="G347" s="8">
        <v>0.0</v>
      </c>
      <c r="H347" s="8">
        <v>0.0</v>
      </c>
    </row>
    <row r="348" ht="15.75" customHeight="1">
      <c r="A348" s="7" t="s">
        <v>804</v>
      </c>
      <c r="B348" s="7" t="s">
        <v>804</v>
      </c>
      <c r="C348" s="8">
        <v>1.0</v>
      </c>
      <c r="D348" s="8">
        <v>0.0</v>
      </c>
      <c r="E348" s="8">
        <v>0.0</v>
      </c>
      <c r="F348" s="8">
        <v>0.0</v>
      </c>
      <c r="G348" s="8">
        <v>0.0</v>
      </c>
      <c r="H348" s="8">
        <v>0.0</v>
      </c>
    </row>
    <row r="349" ht="15.75" customHeight="1">
      <c r="A349" s="7" t="s">
        <v>805</v>
      </c>
      <c r="B349" s="7" t="s">
        <v>805</v>
      </c>
      <c r="C349" s="8">
        <v>1.0</v>
      </c>
      <c r="D349" s="8">
        <v>0.0</v>
      </c>
      <c r="E349" s="8">
        <v>0.0</v>
      </c>
      <c r="F349" s="8">
        <v>0.0</v>
      </c>
      <c r="G349" s="8">
        <v>0.0</v>
      </c>
      <c r="H349" s="8">
        <v>0.0</v>
      </c>
    </row>
    <row r="350" ht="15.75" customHeight="1">
      <c r="A350" s="7" t="s">
        <v>806</v>
      </c>
      <c r="B350" s="7" t="s">
        <v>806</v>
      </c>
      <c r="C350" s="8">
        <v>1.0</v>
      </c>
      <c r="D350" s="8">
        <v>0.0</v>
      </c>
      <c r="E350" s="8">
        <v>0.0</v>
      </c>
      <c r="F350" s="8">
        <v>0.0</v>
      </c>
      <c r="G350" s="8">
        <v>0.0</v>
      </c>
      <c r="H350" s="8">
        <v>0.0</v>
      </c>
    </row>
    <row r="351" ht="15.75" customHeight="1">
      <c r="A351" s="7" t="s">
        <v>934</v>
      </c>
      <c r="B351" s="7" t="s">
        <v>1850</v>
      </c>
      <c r="C351" s="8">
        <v>6.0</v>
      </c>
      <c r="D351" s="8">
        <v>0.0</v>
      </c>
      <c r="E351" s="8">
        <v>0.0</v>
      </c>
      <c r="F351" s="8">
        <v>0.0</v>
      </c>
      <c r="G351" s="8">
        <v>0.0</v>
      </c>
      <c r="H351" s="8">
        <v>0.0</v>
      </c>
    </row>
    <row r="352" ht="15.75" customHeight="1">
      <c r="A352" s="7" t="s">
        <v>995</v>
      </c>
      <c r="B352" s="7" t="s">
        <v>1799</v>
      </c>
      <c r="C352" s="8">
        <v>5.0</v>
      </c>
      <c r="D352" s="8">
        <v>0.0</v>
      </c>
      <c r="E352" s="8">
        <v>0.0</v>
      </c>
      <c r="F352" s="8">
        <v>0.0</v>
      </c>
      <c r="G352" s="8">
        <v>0.0</v>
      </c>
      <c r="H352" s="8">
        <v>0.0</v>
      </c>
    </row>
    <row r="353" ht="15.75" customHeight="1">
      <c r="A353" s="7" t="s">
        <v>1065</v>
      </c>
      <c r="B353" s="7" t="s">
        <v>1065</v>
      </c>
      <c r="C353" s="8">
        <v>1.0</v>
      </c>
      <c r="D353" s="8">
        <v>0.0</v>
      </c>
      <c r="E353" s="8">
        <v>0.0</v>
      </c>
      <c r="F353" s="8">
        <v>0.0</v>
      </c>
      <c r="G353" s="8">
        <v>0.0</v>
      </c>
      <c r="H353" s="8">
        <v>0.0</v>
      </c>
    </row>
    <row r="354" ht="15.75" customHeight="1">
      <c r="A354" s="7" t="s">
        <v>1157</v>
      </c>
      <c r="B354" s="7" t="s">
        <v>1157</v>
      </c>
      <c r="C354" s="8">
        <v>1.0</v>
      </c>
      <c r="D354" s="8">
        <v>0.0</v>
      </c>
      <c r="E354" s="8">
        <v>0.0</v>
      </c>
      <c r="F354" s="8">
        <v>0.0</v>
      </c>
      <c r="G354" s="8">
        <v>0.0</v>
      </c>
      <c r="H354" s="8">
        <v>0.0</v>
      </c>
    </row>
    <row r="355" ht="15.75" customHeight="1">
      <c r="A355" s="7" t="s">
        <v>1161</v>
      </c>
      <c r="B355" s="7" t="s">
        <v>1851</v>
      </c>
      <c r="C355" s="8">
        <v>1.0</v>
      </c>
      <c r="D355" s="8">
        <v>0.0</v>
      </c>
      <c r="E355" s="8">
        <v>0.0</v>
      </c>
      <c r="F355" s="8">
        <v>0.0</v>
      </c>
      <c r="G355" s="8">
        <v>0.0</v>
      </c>
      <c r="H355" s="8">
        <v>0.0</v>
      </c>
    </row>
    <row r="356" ht="15.75" customHeight="1">
      <c r="A356" s="7" t="s">
        <v>471</v>
      </c>
      <c r="B356" s="7" t="s">
        <v>471</v>
      </c>
      <c r="C356" s="8">
        <v>1.0</v>
      </c>
      <c r="D356" s="8">
        <v>0.0</v>
      </c>
      <c r="E356" s="8">
        <v>0.0</v>
      </c>
      <c r="F356" s="8">
        <v>0.0</v>
      </c>
      <c r="G356" s="8">
        <v>0.0</v>
      </c>
      <c r="H356" s="8">
        <v>0.0</v>
      </c>
    </row>
    <row r="357" ht="15.75" customHeight="1">
      <c r="A357" s="7" t="s">
        <v>652</v>
      </c>
      <c r="B357" s="7" t="s">
        <v>652</v>
      </c>
      <c r="C357" s="8">
        <v>1.0</v>
      </c>
      <c r="D357" s="8">
        <v>0.0</v>
      </c>
      <c r="E357" s="8">
        <v>0.0</v>
      </c>
      <c r="F357" s="8">
        <v>0.0</v>
      </c>
      <c r="G357" s="8">
        <v>0.0</v>
      </c>
      <c r="H357" s="8">
        <v>0.0</v>
      </c>
    </row>
    <row r="358" ht="15.75" customHeight="1">
      <c r="A358" s="7" t="s">
        <v>654</v>
      </c>
      <c r="B358" s="7" t="s">
        <v>654</v>
      </c>
      <c r="C358" s="8">
        <v>1.0</v>
      </c>
      <c r="D358" s="8">
        <v>0.0</v>
      </c>
      <c r="E358" s="8">
        <v>0.0</v>
      </c>
      <c r="F358" s="8">
        <v>0.0</v>
      </c>
      <c r="G358" s="8">
        <v>0.0</v>
      </c>
      <c r="H358" s="8">
        <v>0.0</v>
      </c>
    </row>
    <row r="359" ht="15.75" customHeight="1">
      <c r="A359" s="7" t="s">
        <v>656</v>
      </c>
      <c r="B359" s="7" t="s">
        <v>656</v>
      </c>
      <c r="C359" s="8">
        <v>1.0</v>
      </c>
      <c r="D359" s="8">
        <v>0.0</v>
      </c>
      <c r="E359" s="8">
        <v>0.0</v>
      </c>
      <c r="F359" s="8">
        <v>0.0</v>
      </c>
      <c r="G359" s="8">
        <v>0.0</v>
      </c>
      <c r="H359" s="8">
        <v>0.0</v>
      </c>
    </row>
    <row r="360" ht="15.75" customHeight="1">
      <c r="A360" s="7" t="s">
        <v>658</v>
      </c>
      <c r="B360" s="7" t="s">
        <v>658</v>
      </c>
      <c r="C360" s="8">
        <v>1.0</v>
      </c>
      <c r="D360" s="8">
        <v>0.0</v>
      </c>
      <c r="E360" s="8">
        <v>0.0</v>
      </c>
      <c r="F360" s="8">
        <v>0.0</v>
      </c>
      <c r="G360" s="8">
        <v>0.0</v>
      </c>
      <c r="H360" s="8">
        <v>0.0</v>
      </c>
    </row>
    <row r="361" ht="15.75" customHeight="1">
      <c r="A361" s="7" t="s">
        <v>660</v>
      </c>
      <c r="B361" s="7" t="s">
        <v>660</v>
      </c>
      <c r="C361" s="8">
        <v>1.0</v>
      </c>
      <c r="D361" s="8">
        <v>0.0</v>
      </c>
      <c r="E361" s="8">
        <v>0.0</v>
      </c>
      <c r="F361" s="8">
        <v>0.0</v>
      </c>
      <c r="G361" s="8">
        <v>0.0</v>
      </c>
      <c r="H361" s="8">
        <v>0.0</v>
      </c>
    </row>
    <row r="362" ht="15.75" customHeight="1">
      <c r="A362" s="7" t="s">
        <v>662</v>
      </c>
      <c r="B362" s="7" t="s">
        <v>662</v>
      </c>
      <c r="C362" s="8">
        <v>1.0</v>
      </c>
      <c r="D362" s="8">
        <v>0.0</v>
      </c>
      <c r="E362" s="8">
        <v>0.0</v>
      </c>
      <c r="F362" s="8">
        <v>0.0</v>
      </c>
      <c r="G362" s="8">
        <v>0.0</v>
      </c>
      <c r="H362" s="8">
        <v>0.0</v>
      </c>
    </row>
    <row r="363" ht="15.75" customHeight="1">
      <c r="A363" s="7" t="s">
        <v>664</v>
      </c>
      <c r="B363" s="7" t="s">
        <v>664</v>
      </c>
      <c r="C363" s="8">
        <v>1.0</v>
      </c>
      <c r="D363" s="8">
        <v>0.0</v>
      </c>
      <c r="E363" s="8">
        <v>0.0</v>
      </c>
      <c r="F363" s="8">
        <v>0.0</v>
      </c>
      <c r="G363" s="8">
        <v>0.0</v>
      </c>
      <c r="H363" s="8">
        <v>0.0</v>
      </c>
    </row>
    <row r="364" ht="15.75" customHeight="1">
      <c r="A364" s="7" t="s">
        <v>666</v>
      </c>
      <c r="B364" s="7" t="s">
        <v>666</v>
      </c>
      <c r="C364" s="8">
        <v>1.0</v>
      </c>
      <c r="D364" s="8">
        <v>0.0</v>
      </c>
      <c r="E364" s="8">
        <v>0.0</v>
      </c>
      <c r="F364" s="8">
        <v>0.0</v>
      </c>
      <c r="G364" s="8">
        <v>0.0</v>
      </c>
      <c r="H364" s="8">
        <v>0.0</v>
      </c>
    </row>
    <row r="365" ht="15.75" customHeight="1">
      <c r="A365" s="7" t="s">
        <v>668</v>
      </c>
      <c r="B365" s="7" t="s">
        <v>668</v>
      </c>
      <c r="C365" s="8">
        <v>1.0</v>
      </c>
      <c r="D365" s="8">
        <v>0.0</v>
      </c>
      <c r="E365" s="8">
        <v>0.0</v>
      </c>
      <c r="F365" s="8">
        <v>0.0</v>
      </c>
      <c r="G365" s="8">
        <v>0.0</v>
      </c>
      <c r="H365" s="8">
        <v>0.0</v>
      </c>
    </row>
    <row r="366" ht="15.75" customHeight="1">
      <c r="A366" s="7" t="s">
        <v>670</v>
      </c>
      <c r="B366" s="7" t="s">
        <v>670</v>
      </c>
      <c r="C366" s="8">
        <v>1.0</v>
      </c>
      <c r="D366" s="8">
        <v>0.0</v>
      </c>
      <c r="E366" s="8">
        <v>0.0</v>
      </c>
      <c r="F366" s="8">
        <v>0.0</v>
      </c>
      <c r="G366" s="8">
        <v>0.0</v>
      </c>
      <c r="H366" s="8">
        <v>0.0</v>
      </c>
    </row>
    <row r="367" ht="15.75" customHeight="1">
      <c r="A367" s="7" t="s">
        <v>672</v>
      </c>
      <c r="B367" s="7" t="s">
        <v>672</v>
      </c>
      <c r="C367" s="8">
        <v>1.0</v>
      </c>
      <c r="D367" s="8">
        <v>0.0</v>
      </c>
      <c r="E367" s="8">
        <v>0.0</v>
      </c>
      <c r="F367" s="8">
        <v>0.0</v>
      </c>
      <c r="G367" s="8">
        <v>0.0</v>
      </c>
      <c r="H367" s="8">
        <v>0.0</v>
      </c>
    </row>
    <row r="368" ht="15.75" customHeight="1">
      <c r="A368" s="7" t="s">
        <v>675</v>
      </c>
      <c r="B368" s="7" t="s">
        <v>675</v>
      </c>
      <c r="C368" s="8">
        <v>1.0</v>
      </c>
      <c r="D368" s="8">
        <v>0.0</v>
      </c>
      <c r="E368" s="8">
        <v>0.0</v>
      </c>
      <c r="F368" s="8">
        <v>0.0</v>
      </c>
      <c r="G368" s="8">
        <v>0.0</v>
      </c>
      <c r="H368" s="8">
        <v>0.0</v>
      </c>
    </row>
    <row r="369" ht="15.75" customHeight="1">
      <c r="A369" s="7" t="s">
        <v>677</v>
      </c>
      <c r="B369" s="7" t="s">
        <v>677</v>
      </c>
      <c r="C369" s="8">
        <v>1.0</v>
      </c>
      <c r="D369" s="8">
        <v>0.0</v>
      </c>
      <c r="E369" s="8">
        <v>0.0</v>
      </c>
      <c r="F369" s="8">
        <v>0.0</v>
      </c>
      <c r="G369" s="8">
        <v>0.0</v>
      </c>
      <c r="H369" s="8">
        <v>0.0</v>
      </c>
    </row>
    <row r="370" ht="15.75" customHeight="1">
      <c r="A370" s="7" t="s">
        <v>679</v>
      </c>
      <c r="B370" s="7" t="s">
        <v>679</v>
      </c>
      <c r="C370" s="8">
        <v>1.0</v>
      </c>
      <c r="D370" s="8">
        <v>0.0</v>
      </c>
      <c r="E370" s="8">
        <v>0.0</v>
      </c>
      <c r="F370" s="8">
        <v>0.0</v>
      </c>
      <c r="G370" s="8">
        <v>0.0</v>
      </c>
      <c r="H370" s="8">
        <v>0.0</v>
      </c>
    </row>
    <row r="371" ht="15.75" customHeight="1">
      <c r="A371" s="7" t="s">
        <v>681</v>
      </c>
      <c r="B371" s="7" t="s">
        <v>681</v>
      </c>
      <c r="C371" s="8">
        <v>1.0</v>
      </c>
      <c r="D371" s="8">
        <v>0.0</v>
      </c>
      <c r="E371" s="8">
        <v>0.0</v>
      </c>
      <c r="F371" s="8">
        <v>0.0</v>
      </c>
      <c r="G371" s="8">
        <v>0.0</v>
      </c>
      <c r="H371" s="8">
        <v>0.0</v>
      </c>
    </row>
    <row r="372" ht="15.75" customHeight="1">
      <c r="A372" s="7" t="s">
        <v>683</v>
      </c>
      <c r="B372" s="7" t="s">
        <v>683</v>
      </c>
      <c r="C372" s="8">
        <v>1.0</v>
      </c>
      <c r="D372" s="8">
        <v>0.0</v>
      </c>
      <c r="E372" s="8">
        <v>0.0</v>
      </c>
      <c r="F372" s="8">
        <v>0.0</v>
      </c>
      <c r="G372" s="8">
        <v>0.0</v>
      </c>
      <c r="H372" s="8">
        <v>0.0</v>
      </c>
    </row>
    <row r="373" ht="15.75" customHeight="1">
      <c r="A373" s="7" t="s">
        <v>685</v>
      </c>
      <c r="B373" s="7" t="s">
        <v>685</v>
      </c>
      <c r="C373" s="8">
        <v>1.0</v>
      </c>
      <c r="D373" s="8">
        <v>0.0</v>
      </c>
      <c r="E373" s="8">
        <v>0.0</v>
      </c>
      <c r="F373" s="8">
        <v>0.0</v>
      </c>
      <c r="G373" s="8">
        <v>0.0</v>
      </c>
      <c r="H373" s="8">
        <v>0.0</v>
      </c>
    </row>
    <row r="374" ht="15.75" customHeight="1">
      <c r="A374" s="7" t="s">
        <v>687</v>
      </c>
      <c r="B374" s="7" t="s">
        <v>687</v>
      </c>
      <c r="C374" s="8">
        <v>1.0</v>
      </c>
      <c r="D374" s="8">
        <v>0.0</v>
      </c>
      <c r="E374" s="8">
        <v>0.0</v>
      </c>
      <c r="F374" s="8">
        <v>0.0</v>
      </c>
      <c r="G374" s="8">
        <v>0.0</v>
      </c>
      <c r="H374" s="8">
        <v>0.0</v>
      </c>
    </row>
    <row r="375" ht="15.75" customHeight="1">
      <c r="A375" s="7" t="s">
        <v>689</v>
      </c>
      <c r="B375" s="7" t="s">
        <v>689</v>
      </c>
      <c r="C375" s="8">
        <v>1.0</v>
      </c>
      <c r="D375" s="8">
        <v>0.0</v>
      </c>
      <c r="E375" s="8">
        <v>0.0</v>
      </c>
      <c r="F375" s="8">
        <v>0.0</v>
      </c>
      <c r="G375" s="8">
        <v>0.0</v>
      </c>
      <c r="H375" s="8">
        <v>0.0</v>
      </c>
    </row>
    <row r="376" ht="15.75" customHeight="1">
      <c r="A376" s="7" t="s">
        <v>691</v>
      </c>
      <c r="B376" s="7" t="s">
        <v>691</v>
      </c>
      <c r="C376" s="8">
        <v>1.0</v>
      </c>
      <c r="D376" s="8">
        <v>0.0</v>
      </c>
      <c r="E376" s="8">
        <v>0.0</v>
      </c>
      <c r="F376" s="8">
        <v>0.0</v>
      </c>
      <c r="G376" s="8">
        <v>0.0</v>
      </c>
      <c r="H376" s="8">
        <v>0.0</v>
      </c>
    </row>
    <row r="377" ht="15.75" customHeight="1">
      <c r="A377" s="7" t="s">
        <v>693</v>
      </c>
      <c r="B377" s="7" t="s">
        <v>693</v>
      </c>
      <c r="C377" s="8">
        <v>1.0</v>
      </c>
      <c r="D377" s="8">
        <v>0.0</v>
      </c>
      <c r="E377" s="8">
        <v>0.0</v>
      </c>
      <c r="F377" s="8">
        <v>0.0</v>
      </c>
      <c r="G377" s="8">
        <v>0.0</v>
      </c>
      <c r="H377" s="8">
        <v>0.0</v>
      </c>
    </row>
    <row r="378" ht="15.75" customHeight="1">
      <c r="A378" s="7" t="s">
        <v>695</v>
      </c>
      <c r="B378" s="7" t="s">
        <v>695</v>
      </c>
      <c r="C378" s="8">
        <v>1.0</v>
      </c>
      <c r="D378" s="8">
        <v>0.0</v>
      </c>
      <c r="E378" s="8">
        <v>0.0</v>
      </c>
      <c r="F378" s="8">
        <v>0.0</v>
      </c>
      <c r="G378" s="8">
        <v>0.0</v>
      </c>
      <c r="H378" s="8">
        <v>0.0</v>
      </c>
    </row>
    <row r="379" ht="15.75" customHeight="1">
      <c r="A379" s="7" t="s">
        <v>697</v>
      </c>
      <c r="B379" s="7" t="s">
        <v>697</v>
      </c>
      <c r="C379" s="8">
        <v>1.0</v>
      </c>
      <c r="D379" s="8">
        <v>0.0</v>
      </c>
      <c r="E379" s="8">
        <v>0.0</v>
      </c>
      <c r="F379" s="8">
        <v>0.0</v>
      </c>
      <c r="G379" s="8">
        <v>0.0</v>
      </c>
      <c r="H379" s="8">
        <v>0.0</v>
      </c>
    </row>
    <row r="380" ht="15.75" customHeight="1">
      <c r="A380" s="7" t="s">
        <v>699</v>
      </c>
      <c r="B380" s="7" t="s">
        <v>699</v>
      </c>
      <c r="C380" s="8">
        <v>1.0</v>
      </c>
      <c r="D380" s="8">
        <v>0.0</v>
      </c>
      <c r="E380" s="8">
        <v>0.0</v>
      </c>
      <c r="F380" s="8">
        <v>0.0</v>
      </c>
      <c r="G380" s="8">
        <v>0.0</v>
      </c>
      <c r="H380" s="8">
        <v>0.0</v>
      </c>
    </row>
    <row r="381" ht="15.75" customHeight="1">
      <c r="A381" s="7" t="s">
        <v>701</v>
      </c>
      <c r="B381" s="7" t="s">
        <v>701</v>
      </c>
      <c r="C381" s="8">
        <v>1.0</v>
      </c>
      <c r="D381" s="8">
        <v>0.0</v>
      </c>
      <c r="E381" s="8">
        <v>0.0</v>
      </c>
      <c r="F381" s="8">
        <v>0.0</v>
      </c>
      <c r="G381" s="8">
        <v>0.0</v>
      </c>
      <c r="H381" s="8">
        <v>0.0</v>
      </c>
    </row>
    <row r="382" ht="15.75" customHeight="1">
      <c r="A382" s="7" t="s">
        <v>703</v>
      </c>
      <c r="B382" s="7" t="s">
        <v>703</v>
      </c>
      <c r="C382" s="8">
        <v>1.0</v>
      </c>
      <c r="D382" s="8">
        <v>0.0</v>
      </c>
      <c r="E382" s="8">
        <v>0.0</v>
      </c>
      <c r="F382" s="8">
        <v>0.0</v>
      </c>
      <c r="G382" s="8">
        <v>0.0</v>
      </c>
      <c r="H382" s="8">
        <v>0.0</v>
      </c>
    </row>
    <row r="383" ht="15.75" customHeight="1">
      <c r="A383" s="7" t="s">
        <v>705</v>
      </c>
      <c r="B383" s="7" t="s">
        <v>705</v>
      </c>
      <c r="C383" s="8">
        <v>1.0</v>
      </c>
      <c r="D383" s="8">
        <v>0.0</v>
      </c>
      <c r="E383" s="8">
        <v>0.0</v>
      </c>
      <c r="F383" s="8">
        <v>0.0</v>
      </c>
      <c r="G383" s="8">
        <v>0.0</v>
      </c>
      <c r="H383" s="8">
        <v>0.0</v>
      </c>
    </row>
    <row r="384" ht="15.75" customHeight="1">
      <c r="A384" s="7" t="s">
        <v>707</v>
      </c>
      <c r="B384" s="7" t="s">
        <v>707</v>
      </c>
      <c r="C384" s="8">
        <v>1.0</v>
      </c>
      <c r="D384" s="8">
        <v>0.0</v>
      </c>
      <c r="E384" s="8">
        <v>0.0</v>
      </c>
      <c r="F384" s="8">
        <v>0.0</v>
      </c>
      <c r="G384" s="8">
        <v>0.0</v>
      </c>
      <c r="H384" s="8">
        <v>0.0</v>
      </c>
    </row>
    <row r="385" ht="15.75" customHeight="1">
      <c r="A385" s="7" t="s">
        <v>709</v>
      </c>
      <c r="B385" s="7" t="s">
        <v>709</v>
      </c>
      <c r="C385" s="8">
        <v>1.0</v>
      </c>
      <c r="D385" s="8">
        <v>0.0</v>
      </c>
      <c r="E385" s="8">
        <v>0.0</v>
      </c>
      <c r="F385" s="8">
        <v>0.0</v>
      </c>
      <c r="G385" s="8">
        <v>0.0</v>
      </c>
      <c r="H385" s="8">
        <v>0.0</v>
      </c>
    </row>
    <row r="386" ht="15.75" customHeight="1">
      <c r="A386" s="7" t="s">
        <v>711</v>
      </c>
      <c r="B386" s="7" t="s">
        <v>711</v>
      </c>
      <c r="C386" s="8">
        <v>1.0</v>
      </c>
      <c r="D386" s="8">
        <v>0.0</v>
      </c>
      <c r="E386" s="8">
        <v>0.0</v>
      </c>
      <c r="F386" s="8">
        <v>0.0</v>
      </c>
      <c r="G386" s="8">
        <v>0.0</v>
      </c>
      <c r="H386" s="8">
        <v>0.0</v>
      </c>
    </row>
    <row r="387" ht="15.75" customHeight="1">
      <c r="A387" s="7" t="s">
        <v>713</v>
      </c>
      <c r="B387" s="7" t="s">
        <v>713</v>
      </c>
      <c r="C387" s="8">
        <v>1.0</v>
      </c>
      <c r="D387" s="8">
        <v>0.0</v>
      </c>
      <c r="E387" s="8">
        <v>0.0</v>
      </c>
      <c r="F387" s="8">
        <v>0.0</v>
      </c>
      <c r="G387" s="8">
        <v>0.0</v>
      </c>
      <c r="H387" s="8">
        <v>0.0</v>
      </c>
    </row>
    <row r="388" ht="15.75" customHeight="1">
      <c r="A388" s="7" t="s">
        <v>715</v>
      </c>
      <c r="B388" s="7" t="s">
        <v>715</v>
      </c>
      <c r="C388" s="8">
        <v>1.0</v>
      </c>
      <c r="D388" s="8">
        <v>0.0</v>
      </c>
      <c r="E388" s="8">
        <v>0.0</v>
      </c>
      <c r="F388" s="8">
        <v>0.0</v>
      </c>
      <c r="G388" s="8">
        <v>0.0</v>
      </c>
      <c r="H388" s="8">
        <v>0.0</v>
      </c>
    </row>
    <row r="389" ht="15.75" customHeight="1">
      <c r="A389" s="7" t="s">
        <v>717</v>
      </c>
      <c r="B389" s="7" t="s">
        <v>717</v>
      </c>
      <c r="C389" s="8">
        <v>1.0</v>
      </c>
      <c r="D389" s="8">
        <v>0.0</v>
      </c>
      <c r="E389" s="8">
        <v>0.0</v>
      </c>
      <c r="F389" s="8">
        <v>0.0</v>
      </c>
      <c r="G389" s="8">
        <v>0.0</v>
      </c>
      <c r="H389" s="8">
        <v>0.0</v>
      </c>
    </row>
    <row r="390" ht="15.75" customHeight="1">
      <c r="A390" s="7" t="s">
        <v>720</v>
      </c>
      <c r="B390" s="7" t="s">
        <v>720</v>
      </c>
      <c r="C390" s="8">
        <v>1.0</v>
      </c>
      <c r="D390" s="8">
        <v>0.0</v>
      </c>
      <c r="E390" s="8">
        <v>0.0</v>
      </c>
      <c r="F390" s="8">
        <v>0.0</v>
      </c>
      <c r="G390" s="8">
        <v>0.0</v>
      </c>
      <c r="H390" s="8">
        <v>0.0</v>
      </c>
    </row>
    <row r="391" ht="15.75" customHeight="1">
      <c r="A391" s="7" t="s">
        <v>723</v>
      </c>
      <c r="B391" s="7" t="s">
        <v>723</v>
      </c>
      <c r="C391" s="8">
        <v>1.0</v>
      </c>
      <c r="D391" s="8">
        <v>0.0</v>
      </c>
      <c r="E391" s="8">
        <v>0.0</v>
      </c>
      <c r="F391" s="8">
        <v>0.0</v>
      </c>
      <c r="G391" s="8">
        <v>0.0</v>
      </c>
      <c r="H391" s="8">
        <v>0.0</v>
      </c>
    </row>
    <row r="392" ht="15.75" customHeight="1">
      <c r="A392" s="7" t="s">
        <v>726</v>
      </c>
      <c r="B392" s="7" t="s">
        <v>726</v>
      </c>
      <c r="C392" s="8">
        <v>1.0</v>
      </c>
      <c r="D392" s="8">
        <v>0.0</v>
      </c>
      <c r="E392" s="8">
        <v>0.0</v>
      </c>
      <c r="F392" s="8">
        <v>0.0</v>
      </c>
      <c r="G392" s="8">
        <v>0.0</v>
      </c>
      <c r="H392" s="8">
        <v>0.0</v>
      </c>
    </row>
    <row r="393" ht="15.75" customHeight="1">
      <c r="A393" s="7" t="s">
        <v>729</v>
      </c>
      <c r="B393" s="7" t="s">
        <v>729</v>
      </c>
      <c r="C393" s="8">
        <v>1.0</v>
      </c>
      <c r="D393" s="8">
        <v>0.0</v>
      </c>
      <c r="E393" s="8">
        <v>0.0</v>
      </c>
      <c r="F393" s="8">
        <v>0.0</v>
      </c>
      <c r="G393" s="8">
        <v>0.0</v>
      </c>
      <c r="H393" s="8">
        <v>0.0</v>
      </c>
    </row>
    <row r="394" ht="15.75" customHeight="1">
      <c r="A394" s="7" t="s">
        <v>732</v>
      </c>
      <c r="B394" s="7" t="s">
        <v>732</v>
      </c>
      <c r="C394" s="8">
        <v>1.0</v>
      </c>
      <c r="D394" s="8">
        <v>0.0</v>
      </c>
      <c r="E394" s="8">
        <v>0.0</v>
      </c>
      <c r="F394" s="8">
        <v>0.0</v>
      </c>
      <c r="G394" s="8">
        <v>0.0</v>
      </c>
      <c r="H394" s="8">
        <v>0.0</v>
      </c>
    </row>
    <row r="395" ht="15.75" customHeight="1">
      <c r="A395" s="7" t="s">
        <v>735</v>
      </c>
      <c r="B395" s="7" t="s">
        <v>735</v>
      </c>
      <c r="C395" s="8">
        <v>1.0</v>
      </c>
      <c r="D395" s="8">
        <v>0.0</v>
      </c>
      <c r="E395" s="8">
        <v>0.0</v>
      </c>
      <c r="F395" s="8">
        <v>0.0</v>
      </c>
      <c r="G395" s="8">
        <v>0.0</v>
      </c>
      <c r="H395" s="8">
        <v>0.0</v>
      </c>
    </row>
    <row r="396" ht="15.75" customHeight="1">
      <c r="A396" s="7" t="s">
        <v>738</v>
      </c>
      <c r="B396" s="7" t="s">
        <v>738</v>
      </c>
      <c r="C396" s="8">
        <v>1.0</v>
      </c>
      <c r="D396" s="8">
        <v>0.0</v>
      </c>
      <c r="E396" s="8">
        <v>0.0</v>
      </c>
      <c r="F396" s="8">
        <v>0.0</v>
      </c>
      <c r="G396" s="8">
        <v>0.0</v>
      </c>
      <c r="H396" s="8">
        <v>0.0</v>
      </c>
    </row>
    <row r="397" ht="15.75" customHeight="1">
      <c r="A397" s="7" t="s">
        <v>741</v>
      </c>
      <c r="B397" s="7" t="s">
        <v>741</v>
      </c>
      <c r="C397" s="8">
        <v>1.0</v>
      </c>
      <c r="D397" s="8">
        <v>0.0</v>
      </c>
      <c r="E397" s="8">
        <v>0.0</v>
      </c>
      <c r="F397" s="8">
        <v>0.0</v>
      </c>
      <c r="G397" s="8">
        <v>0.0</v>
      </c>
      <c r="H397" s="8">
        <v>0.0</v>
      </c>
    </row>
    <row r="398" ht="15.75" customHeight="1">
      <c r="A398" s="7" t="s">
        <v>743</v>
      </c>
      <c r="B398" s="7" t="s">
        <v>743</v>
      </c>
      <c r="C398" s="8">
        <v>1.0</v>
      </c>
      <c r="D398" s="8">
        <v>0.0</v>
      </c>
      <c r="E398" s="8">
        <v>0.0</v>
      </c>
      <c r="F398" s="8">
        <v>0.0</v>
      </c>
      <c r="G398" s="8">
        <v>0.0</v>
      </c>
      <c r="H398" s="8">
        <v>0.0</v>
      </c>
    </row>
    <row r="399" ht="15.75" customHeight="1">
      <c r="A399" s="7" t="s">
        <v>745</v>
      </c>
      <c r="B399" s="7" t="s">
        <v>745</v>
      </c>
      <c r="C399" s="8">
        <v>1.0</v>
      </c>
      <c r="D399" s="8">
        <v>0.0</v>
      </c>
      <c r="E399" s="8">
        <v>0.0</v>
      </c>
      <c r="F399" s="8">
        <v>0.0</v>
      </c>
      <c r="G399" s="8">
        <v>0.0</v>
      </c>
      <c r="H399" s="8">
        <v>0.0</v>
      </c>
    </row>
    <row r="400" ht="15.75" customHeight="1">
      <c r="A400" s="7" t="s">
        <v>747</v>
      </c>
      <c r="B400" s="7" t="s">
        <v>747</v>
      </c>
      <c r="C400" s="8">
        <v>1.0</v>
      </c>
      <c r="D400" s="8">
        <v>0.0</v>
      </c>
      <c r="E400" s="8">
        <v>0.0</v>
      </c>
      <c r="F400" s="8">
        <v>0.0</v>
      </c>
      <c r="G400" s="8">
        <v>0.0</v>
      </c>
      <c r="H400" s="8">
        <v>0.0</v>
      </c>
    </row>
    <row r="401" ht="15.75" customHeight="1">
      <c r="A401" s="7" t="s">
        <v>749</v>
      </c>
      <c r="B401" s="7" t="s">
        <v>749</v>
      </c>
      <c r="C401" s="8">
        <v>1.0</v>
      </c>
      <c r="D401" s="8">
        <v>0.0</v>
      </c>
      <c r="E401" s="8">
        <v>0.0</v>
      </c>
      <c r="F401" s="8">
        <v>0.0</v>
      </c>
      <c r="G401" s="8">
        <v>0.0</v>
      </c>
      <c r="H401" s="8">
        <v>0.0</v>
      </c>
    </row>
    <row r="402" ht="15.75" customHeight="1">
      <c r="A402" s="7" t="s">
        <v>751</v>
      </c>
      <c r="B402" s="7" t="s">
        <v>751</v>
      </c>
      <c r="C402" s="8">
        <v>1.0</v>
      </c>
      <c r="D402" s="8">
        <v>0.0</v>
      </c>
      <c r="E402" s="8">
        <v>0.0</v>
      </c>
      <c r="F402" s="8">
        <v>0.0</v>
      </c>
      <c r="G402" s="8">
        <v>0.0</v>
      </c>
      <c r="H402" s="8">
        <v>0.0</v>
      </c>
    </row>
    <row r="403" ht="15.75" customHeight="1">
      <c r="A403" s="7" t="s">
        <v>753</v>
      </c>
      <c r="B403" s="7" t="s">
        <v>753</v>
      </c>
      <c r="C403" s="8">
        <v>1.0</v>
      </c>
      <c r="D403" s="8">
        <v>0.0</v>
      </c>
      <c r="E403" s="8">
        <v>0.0</v>
      </c>
      <c r="F403" s="8">
        <v>0.0</v>
      </c>
      <c r="G403" s="8">
        <v>0.0</v>
      </c>
      <c r="H403" s="8">
        <v>0.0</v>
      </c>
    </row>
    <row r="404" ht="15.75" customHeight="1">
      <c r="A404" s="7" t="s">
        <v>755</v>
      </c>
      <c r="B404" s="7" t="s">
        <v>755</v>
      </c>
      <c r="C404" s="8">
        <v>1.0</v>
      </c>
      <c r="D404" s="8">
        <v>0.0</v>
      </c>
      <c r="E404" s="8">
        <v>0.0</v>
      </c>
      <c r="F404" s="8">
        <v>0.0</v>
      </c>
      <c r="G404" s="8">
        <v>0.0</v>
      </c>
      <c r="H404" s="8">
        <v>0.0</v>
      </c>
    </row>
    <row r="405" ht="15.75" customHeight="1">
      <c r="A405" s="7" t="s">
        <v>757</v>
      </c>
      <c r="B405" s="7" t="s">
        <v>757</v>
      </c>
      <c r="C405" s="8">
        <v>1.0</v>
      </c>
      <c r="D405" s="8">
        <v>0.0</v>
      </c>
      <c r="E405" s="8">
        <v>0.0</v>
      </c>
      <c r="F405" s="8">
        <v>0.0</v>
      </c>
      <c r="G405" s="8">
        <v>0.0</v>
      </c>
      <c r="H405" s="8">
        <v>0.0</v>
      </c>
    </row>
    <row r="406" ht="15.75" customHeight="1">
      <c r="A406" s="7" t="s">
        <v>760</v>
      </c>
      <c r="B406" s="7" t="s">
        <v>760</v>
      </c>
      <c r="C406" s="8">
        <v>1.0</v>
      </c>
      <c r="D406" s="8">
        <v>0.0</v>
      </c>
      <c r="E406" s="8">
        <v>0.0</v>
      </c>
      <c r="F406" s="8">
        <v>0.0</v>
      </c>
      <c r="G406" s="8">
        <v>0.0</v>
      </c>
      <c r="H406" s="8">
        <v>0.0</v>
      </c>
    </row>
    <row r="407" ht="15.75" customHeight="1">
      <c r="A407" s="7" t="s">
        <v>763</v>
      </c>
      <c r="B407" s="7" t="s">
        <v>763</v>
      </c>
      <c r="C407" s="8">
        <v>1.0</v>
      </c>
      <c r="D407" s="8">
        <v>0.0</v>
      </c>
      <c r="E407" s="8">
        <v>0.0</v>
      </c>
      <c r="F407" s="8">
        <v>0.0</v>
      </c>
      <c r="G407" s="8">
        <v>0.0</v>
      </c>
      <c r="H407" s="8">
        <v>0.0</v>
      </c>
    </row>
    <row r="408" ht="15.75" customHeight="1">
      <c r="A408" s="7" t="s">
        <v>766</v>
      </c>
      <c r="B408" s="7" t="s">
        <v>766</v>
      </c>
      <c r="C408" s="8">
        <v>1.0</v>
      </c>
      <c r="D408" s="8">
        <v>0.0</v>
      </c>
      <c r="E408" s="8">
        <v>0.0</v>
      </c>
      <c r="F408" s="8">
        <v>0.0</v>
      </c>
      <c r="G408" s="8">
        <v>0.0</v>
      </c>
      <c r="H408" s="8">
        <v>0.0</v>
      </c>
    </row>
    <row r="409" ht="15.75" customHeight="1">
      <c r="A409" s="7" t="s">
        <v>769</v>
      </c>
      <c r="B409" s="7" t="s">
        <v>769</v>
      </c>
      <c r="C409" s="8">
        <v>1.0</v>
      </c>
      <c r="D409" s="8">
        <v>0.0</v>
      </c>
      <c r="E409" s="8">
        <v>0.0</v>
      </c>
      <c r="F409" s="8">
        <v>0.0</v>
      </c>
      <c r="G409" s="8">
        <v>0.0</v>
      </c>
      <c r="H409" s="8">
        <v>0.0</v>
      </c>
    </row>
    <row r="410" ht="15.75" customHeight="1">
      <c r="A410" s="7" t="s">
        <v>772</v>
      </c>
      <c r="B410" s="7" t="s">
        <v>772</v>
      </c>
      <c r="C410" s="8">
        <v>1.0</v>
      </c>
      <c r="D410" s="8">
        <v>0.0</v>
      </c>
      <c r="E410" s="8">
        <v>0.0</v>
      </c>
      <c r="F410" s="8">
        <v>0.0</v>
      </c>
      <c r="G410" s="8">
        <v>0.0</v>
      </c>
      <c r="H410" s="8">
        <v>0.0</v>
      </c>
    </row>
    <row r="411" ht="15.75" customHeight="1">
      <c r="A411" s="7" t="s">
        <v>775</v>
      </c>
      <c r="B411" s="7" t="s">
        <v>775</v>
      </c>
      <c r="C411" s="8">
        <v>1.0</v>
      </c>
      <c r="D411" s="8">
        <v>0.0</v>
      </c>
      <c r="E411" s="8">
        <v>0.0</v>
      </c>
      <c r="F411" s="8">
        <v>0.0</v>
      </c>
      <c r="G411" s="8">
        <v>0.0</v>
      </c>
      <c r="H411" s="8">
        <v>0.0</v>
      </c>
    </row>
    <row r="412" ht="15.75" customHeight="1">
      <c r="A412" s="7" t="s">
        <v>778</v>
      </c>
      <c r="B412" s="7" t="s">
        <v>778</v>
      </c>
      <c r="C412" s="8">
        <v>1.0</v>
      </c>
      <c r="D412" s="8">
        <v>0.0</v>
      </c>
      <c r="E412" s="8">
        <v>0.0</v>
      </c>
      <c r="F412" s="8">
        <v>0.0</v>
      </c>
      <c r="G412" s="8">
        <v>0.0</v>
      </c>
      <c r="H412" s="8">
        <v>0.0</v>
      </c>
    </row>
    <row r="413" ht="15.75" customHeight="1">
      <c r="A413" s="7" t="s">
        <v>781</v>
      </c>
      <c r="B413" s="7" t="s">
        <v>781</v>
      </c>
      <c r="C413" s="8">
        <v>1.0</v>
      </c>
      <c r="D413" s="8">
        <v>0.0</v>
      </c>
      <c r="E413" s="8">
        <v>0.0</v>
      </c>
      <c r="F413" s="8">
        <v>0.0</v>
      </c>
      <c r="G413" s="8">
        <v>0.0</v>
      </c>
      <c r="H413" s="8">
        <v>0.0</v>
      </c>
    </row>
    <row r="414" ht="15.75" customHeight="1">
      <c r="A414" s="7" t="s">
        <v>783</v>
      </c>
      <c r="B414" s="7" t="s">
        <v>783</v>
      </c>
      <c r="C414" s="8">
        <v>1.0</v>
      </c>
      <c r="D414" s="8">
        <v>0.0</v>
      </c>
      <c r="E414" s="8">
        <v>0.0</v>
      </c>
      <c r="F414" s="8">
        <v>0.0</v>
      </c>
      <c r="G414" s="8">
        <v>0.0</v>
      </c>
      <c r="H414" s="8">
        <v>0.0</v>
      </c>
    </row>
    <row r="415" ht="15.75" customHeight="1">
      <c r="A415" s="7" t="s">
        <v>785</v>
      </c>
      <c r="B415" s="7" t="s">
        <v>785</v>
      </c>
      <c r="C415" s="8">
        <v>1.0</v>
      </c>
      <c r="D415" s="8">
        <v>0.0</v>
      </c>
      <c r="E415" s="8">
        <v>0.0</v>
      </c>
      <c r="F415" s="8">
        <v>0.0</v>
      </c>
      <c r="G415" s="8">
        <v>0.0</v>
      </c>
      <c r="H415" s="8">
        <v>0.0</v>
      </c>
    </row>
    <row r="416" ht="15.75" customHeight="1">
      <c r="A416" s="7" t="s">
        <v>787</v>
      </c>
      <c r="B416" s="7" t="s">
        <v>787</v>
      </c>
      <c r="C416" s="8">
        <v>1.0</v>
      </c>
      <c r="D416" s="8">
        <v>0.0</v>
      </c>
      <c r="E416" s="8">
        <v>0.0</v>
      </c>
      <c r="F416" s="8">
        <v>0.0</v>
      </c>
      <c r="G416" s="8">
        <v>0.0</v>
      </c>
      <c r="H416" s="8">
        <v>0.0</v>
      </c>
    </row>
    <row r="417" ht="15.75" customHeight="1">
      <c r="A417" s="7" t="s">
        <v>789</v>
      </c>
      <c r="B417" s="7" t="s">
        <v>789</v>
      </c>
      <c r="C417" s="8">
        <v>1.0</v>
      </c>
      <c r="D417" s="8">
        <v>0.0</v>
      </c>
      <c r="E417" s="8">
        <v>0.0</v>
      </c>
      <c r="F417" s="8">
        <v>0.0</v>
      </c>
      <c r="G417" s="8">
        <v>0.0</v>
      </c>
      <c r="H417" s="8">
        <v>0.0</v>
      </c>
    </row>
    <row r="418" ht="15.75" customHeight="1">
      <c r="A418" s="7" t="s">
        <v>791</v>
      </c>
      <c r="B418" s="7" t="s">
        <v>791</v>
      </c>
      <c r="C418" s="8">
        <v>1.0</v>
      </c>
      <c r="D418" s="8">
        <v>0.0</v>
      </c>
      <c r="E418" s="8">
        <v>0.0</v>
      </c>
      <c r="F418" s="8">
        <v>0.0</v>
      </c>
      <c r="G418" s="8">
        <v>0.0</v>
      </c>
      <c r="H418" s="8">
        <v>0.0</v>
      </c>
    </row>
    <row r="419" ht="15.75" customHeight="1">
      <c r="A419" s="7" t="s">
        <v>793</v>
      </c>
      <c r="B419" s="7" t="s">
        <v>793</v>
      </c>
      <c r="C419" s="8">
        <v>1.0</v>
      </c>
      <c r="D419" s="8">
        <v>0.0</v>
      </c>
      <c r="E419" s="8">
        <v>0.0</v>
      </c>
      <c r="F419" s="8">
        <v>0.0</v>
      </c>
      <c r="G419" s="8">
        <v>0.0</v>
      </c>
      <c r="H419" s="8">
        <v>0.0</v>
      </c>
    </row>
    <row r="420" ht="15.75" customHeight="1">
      <c r="A420" s="7" t="s">
        <v>795</v>
      </c>
      <c r="B420" s="7" t="s">
        <v>795</v>
      </c>
      <c r="C420" s="8">
        <v>1.0</v>
      </c>
      <c r="D420" s="8">
        <v>0.0</v>
      </c>
      <c r="E420" s="8">
        <v>0.0</v>
      </c>
      <c r="F420" s="8">
        <v>0.0</v>
      </c>
      <c r="G420" s="8">
        <v>0.0</v>
      </c>
      <c r="H420" s="8">
        <v>0.0</v>
      </c>
    </row>
    <row r="421" ht="15.75" customHeight="1">
      <c r="A421" s="7" t="s">
        <v>797</v>
      </c>
      <c r="B421" s="7" t="s">
        <v>797</v>
      </c>
      <c r="C421" s="8">
        <v>1.0</v>
      </c>
      <c r="D421" s="8">
        <v>0.0</v>
      </c>
      <c r="E421" s="8">
        <v>0.0</v>
      </c>
      <c r="F421" s="8">
        <v>0.0</v>
      </c>
      <c r="G421" s="8">
        <v>0.0</v>
      </c>
      <c r="H421" s="8">
        <v>0.0</v>
      </c>
    </row>
    <row r="422" ht="15.75" customHeight="1">
      <c r="A422" s="7" t="s">
        <v>638</v>
      </c>
      <c r="B422" s="7" t="s">
        <v>638</v>
      </c>
      <c r="C422" s="8">
        <v>1.0</v>
      </c>
      <c r="D422" s="8">
        <v>0.0</v>
      </c>
      <c r="E422" s="8">
        <v>0.0</v>
      </c>
      <c r="F422" s="8">
        <v>0.0</v>
      </c>
      <c r="G422" s="8">
        <v>0.0</v>
      </c>
      <c r="H422" s="8">
        <v>0.0</v>
      </c>
    </row>
    <row r="423" ht="15.75" customHeight="1">
      <c r="A423" s="7" t="s">
        <v>641</v>
      </c>
      <c r="B423" s="7" t="s">
        <v>641</v>
      </c>
      <c r="C423" s="8">
        <v>1.0</v>
      </c>
      <c r="D423" s="8">
        <v>0.0</v>
      </c>
      <c r="E423" s="8">
        <v>0.0</v>
      </c>
      <c r="F423" s="8">
        <v>0.0</v>
      </c>
      <c r="G423" s="8">
        <v>0.0</v>
      </c>
      <c r="H423" s="8">
        <v>0.0</v>
      </c>
    </row>
    <row r="424" ht="15.75" customHeight="1">
      <c r="A424" s="7" t="s">
        <v>644</v>
      </c>
      <c r="B424" s="7" t="s">
        <v>644</v>
      </c>
      <c r="C424" s="8">
        <v>1.0</v>
      </c>
      <c r="D424" s="8">
        <v>0.0</v>
      </c>
      <c r="E424" s="8">
        <v>0.0</v>
      </c>
      <c r="F424" s="8">
        <v>0.0</v>
      </c>
      <c r="G424" s="8">
        <v>0.0</v>
      </c>
      <c r="H424" s="8">
        <v>0.0</v>
      </c>
    </row>
    <row r="425" ht="15.75" customHeight="1">
      <c r="A425" s="7" t="s">
        <v>647</v>
      </c>
      <c r="B425" s="7" t="s">
        <v>647</v>
      </c>
      <c r="C425" s="8">
        <v>1.0</v>
      </c>
      <c r="D425" s="8">
        <v>0.0</v>
      </c>
      <c r="E425" s="8">
        <v>0.0</v>
      </c>
      <c r="F425" s="8">
        <v>0.0</v>
      </c>
      <c r="G425" s="8">
        <v>0.0</v>
      </c>
      <c r="H425" s="8">
        <v>0.0</v>
      </c>
    </row>
    <row r="426" ht="15.75" customHeight="1">
      <c r="A426" s="7" t="s">
        <v>636</v>
      </c>
      <c r="B426" s="7" t="s">
        <v>636</v>
      </c>
      <c r="C426" s="8">
        <v>1.0</v>
      </c>
      <c r="D426" s="8">
        <v>0.0</v>
      </c>
      <c r="E426" s="8">
        <v>0.0</v>
      </c>
      <c r="F426" s="8">
        <v>0.0</v>
      </c>
      <c r="G426" s="8">
        <v>0.0</v>
      </c>
      <c r="H426" s="8">
        <v>0.0</v>
      </c>
    </row>
    <row r="427" ht="15.75" customHeight="1">
      <c r="A427" s="7" t="s">
        <v>1593</v>
      </c>
      <c r="B427" s="7" t="s">
        <v>1593</v>
      </c>
      <c r="C427" s="8">
        <v>1.0</v>
      </c>
      <c r="D427" s="8">
        <v>0.0</v>
      </c>
      <c r="E427" s="8">
        <v>0.0</v>
      </c>
      <c r="F427" s="8">
        <v>0.0</v>
      </c>
      <c r="G427" s="8">
        <v>0.0</v>
      </c>
      <c r="H427" s="8">
        <v>0.0</v>
      </c>
    </row>
    <row r="428" ht="15.75" customHeight="1">
      <c r="A428" s="7" t="s">
        <v>1595</v>
      </c>
      <c r="B428" s="7" t="s">
        <v>1595</v>
      </c>
      <c r="C428" s="8">
        <v>1.0</v>
      </c>
      <c r="D428" s="8">
        <v>0.0</v>
      </c>
      <c r="E428" s="8">
        <v>0.0</v>
      </c>
      <c r="F428" s="8">
        <v>0.0</v>
      </c>
      <c r="G428" s="8">
        <v>0.0</v>
      </c>
      <c r="H428" s="8">
        <v>0.0</v>
      </c>
    </row>
    <row r="429" ht="15.75" customHeight="1">
      <c r="A429" s="7" t="s">
        <v>20</v>
      </c>
      <c r="B429" s="7" t="s">
        <v>20</v>
      </c>
      <c r="C429" s="8">
        <v>1.0</v>
      </c>
      <c r="D429" s="8">
        <v>0.0</v>
      </c>
      <c r="E429" s="8">
        <v>0.0</v>
      </c>
      <c r="F429" s="8">
        <v>0.0</v>
      </c>
      <c r="G429" s="8">
        <v>0.0</v>
      </c>
      <c r="H429" s="8">
        <v>0.0</v>
      </c>
    </row>
    <row r="430" ht="15.75" customHeight="1">
      <c r="A430" s="7"/>
      <c r="B430" s="7"/>
      <c r="C430" s="8"/>
      <c r="D430" s="8"/>
      <c r="E430" s="8"/>
      <c r="F430" s="8"/>
      <c r="G430" s="8"/>
      <c r="H430" s="8"/>
    </row>
    <row r="431" ht="15.75" customHeight="1">
      <c r="A431" s="7"/>
      <c r="B431" s="7"/>
      <c r="C431" s="8"/>
      <c r="D431" s="8"/>
      <c r="E431" s="8"/>
      <c r="F431" s="8"/>
      <c r="G431" s="8"/>
      <c r="H431" s="8"/>
    </row>
    <row r="432" ht="15.75" customHeight="1">
      <c r="A432" s="7"/>
      <c r="B432" s="7"/>
      <c r="C432" s="8"/>
      <c r="D432" s="8"/>
      <c r="E432" s="8"/>
      <c r="F432" s="8"/>
      <c r="G432" s="8"/>
      <c r="H432" s="8"/>
    </row>
    <row r="433" ht="15.75" customHeight="1">
      <c r="A433" s="7"/>
      <c r="B433" s="7"/>
      <c r="C433" s="8"/>
      <c r="D433" s="8"/>
      <c r="E433" s="8"/>
      <c r="F433" s="8"/>
      <c r="G433" s="8"/>
      <c r="H433" s="8"/>
    </row>
    <row r="434" ht="15.75" customHeight="1">
      <c r="A434" s="7"/>
      <c r="B434" s="7"/>
      <c r="C434" s="8"/>
      <c r="D434" s="8"/>
      <c r="E434" s="8"/>
      <c r="F434" s="8"/>
      <c r="G434" s="8"/>
      <c r="H434" s="8"/>
    </row>
    <row r="435" ht="15.75" customHeight="1">
      <c r="A435" s="7"/>
      <c r="B435" s="7"/>
      <c r="C435" s="8"/>
      <c r="D435" s="8"/>
      <c r="E435" s="8"/>
      <c r="F435" s="8"/>
      <c r="G435" s="8"/>
      <c r="H435" s="8"/>
    </row>
    <row r="436" ht="15.75" customHeight="1">
      <c r="A436" s="7"/>
      <c r="B436" s="7"/>
      <c r="C436" s="8"/>
      <c r="D436" s="8"/>
      <c r="E436" s="8"/>
      <c r="F436" s="8"/>
      <c r="G436" s="8"/>
      <c r="H436" s="8"/>
    </row>
    <row r="437" ht="15.75" customHeight="1">
      <c r="A437" s="7"/>
      <c r="B437" s="7"/>
      <c r="C437" s="8"/>
      <c r="D437" s="8"/>
      <c r="E437" s="8"/>
      <c r="F437" s="8"/>
      <c r="G437" s="8"/>
      <c r="H437" s="8"/>
    </row>
    <row r="438" ht="15.75" customHeight="1">
      <c r="A438" s="7"/>
      <c r="B438" s="7"/>
      <c r="C438" s="8"/>
      <c r="D438" s="8"/>
      <c r="E438" s="8"/>
      <c r="F438" s="8"/>
      <c r="G438" s="8"/>
      <c r="H438" s="8"/>
    </row>
    <row r="439" ht="15.75" customHeight="1">
      <c r="A439" s="7"/>
      <c r="B439" s="7"/>
      <c r="C439" s="8"/>
      <c r="D439" s="8"/>
      <c r="E439" s="8"/>
      <c r="F439" s="8"/>
      <c r="G439" s="8"/>
      <c r="H439" s="8"/>
    </row>
    <row r="440" ht="15.75" customHeight="1">
      <c r="A440" s="7"/>
      <c r="B440" s="7"/>
      <c r="C440" s="8"/>
      <c r="D440" s="8"/>
      <c r="E440" s="8"/>
      <c r="F440" s="8"/>
      <c r="G440" s="8"/>
      <c r="H440" s="8"/>
    </row>
    <row r="441" ht="15.75" customHeight="1">
      <c r="A441" s="7"/>
      <c r="B441" s="7"/>
      <c r="C441" s="8"/>
      <c r="D441" s="8"/>
      <c r="E441" s="8"/>
      <c r="F441" s="8"/>
      <c r="G441" s="8"/>
      <c r="H441" s="8"/>
    </row>
    <row r="442" ht="15.75" customHeight="1">
      <c r="A442" s="7"/>
      <c r="B442" s="7"/>
      <c r="C442" s="8"/>
      <c r="D442" s="8"/>
      <c r="E442" s="8"/>
      <c r="F442" s="8"/>
      <c r="G442" s="8"/>
      <c r="H442" s="8"/>
    </row>
    <row r="443" ht="15.75" customHeight="1">
      <c r="A443" s="7"/>
      <c r="B443" s="7"/>
      <c r="C443" s="8"/>
      <c r="D443" s="8"/>
      <c r="E443" s="8"/>
      <c r="F443" s="8"/>
      <c r="G443" s="8"/>
      <c r="H443" s="8"/>
    </row>
    <row r="444" ht="15.75" customHeight="1">
      <c r="A444" s="7"/>
      <c r="B444" s="7"/>
      <c r="C444" s="8"/>
      <c r="D444" s="8"/>
      <c r="E444" s="8"/>
      <c r="F444" s="8"/>
      <c r="G444" s="8"/>
      <c r="H444" s="8"/>
    </row>
    <row r="445" ht="15.75" customHeight="1">
      <c r="A445" s="7"/>
      <c r="B445" s="7"/>
      <c r="C445" s="8"/>
      <c r="D445" s="8"/>
      <c r="E445" s="8"/>
      <c r="F445" s="8"/>
      <c r="G445" s="8"/>
      <c r="H445" s="8"/>
    </row>
    <row r="446" ht="15.75" customHeight="1">
      <c r="A446" s="7"/>
      <c r="B446" s="7"/>
      <c r="C446" s="8"/>
      <c r="D446" s="8"/>
      <c r="E446" s="8"/>
      <c r="F446" s="8"/>
      <c r="G446" s="8"/>
      <c r="H446" s="8"/>
    </row>
    <row r="447" ht="15.75" customHeight="1">
      <c r="A447" s="7"/>
      <c r="B447" s="7"/>
      <c r="C447" s="8"/>
      <c r="D447" s="8"/>
      <c r="E447" s="8"/>
      <c r="F447" s="8"/>
      <c r="G447" s="8"/>
      <c r="H447" s="8"/>
    </row>
    <row r="448" ht="15.75" customHeight="1">
      <c r="A448" s="7"/>
      <c r="B448" s="7"/>
      <c r="C448" s="8"/>
      <c r="D448" s="8"/>
      <c r="E448" s="8"/>
      <c r="F448" s="8"/>
      <c r="G448" s="8"/>
      <c r="H448" s="8"/>
    </row>
    <row r="449" ht="15.75" customHeight="1">
      <c r="A449" s="7"/>
      <c r="B449" s="7"/>
      <c r="C449" s="8"/>
      <c r="D449" s="8"/>
      <c r="E449" s="8"/>
      <c r="F449" s="8"/>
      <c r="G449" s="8"/>
      <c r="H449" s="8"/>
    </row>
    <row r="450" ht="15.75" customHeight="1">
      <c r="A450" s="7"/>
      <c r="B450" s="7"/>
      <c r="C450" s="8"/>
      <c r="D450" s="8"/>
      <c r="E450" s="8"/>
      <c r="F450" s="8"/>
      <c r="G450" s="8"/>
      <c r="H450" s="8"/>
    </row>
    <row r="451" ht="15.75" customHeight="1">
      <c r="A451" s="7"/>
      <c r="B451" s="7"/>
      <c r="C451" s="8"/>
      <c r="D451" s="8"/>
      <c r="E451" s="8"/>
      <c r="F451" s="8"/>
      <c r="G451" s="8"/>
      <c r="H451" s="8"/>
    </row>
    <row r="452" ht="15.75" customHeight="1">
      <c r="A452" s="7"/>
      <c r="B452" s="7"/>
      <c r="C452" s="8"/>
      <c r="D452" s="8"/>
      <c r="E452" s="8"/>
      <c r="F452" s="8"/>
      <c r="G452" s="8"/>
      <c r="H452" s="8"/>
    </row>
    <row r="453" ht="15.75" customHeight="1">
      <c r="A453" s="7"/>
      <c r="B453" s="7"/>
      <c r="C453" s="8"/>
      <c r="D453" s="8"/>
      <c r="E453" s="8"/>
      <c r="F453" s="8"/>
      <c r="G453" s="8"/>
      <c r="H453" s="8"/>
    </row>
    <row r="454" ht="15.75" customHeight="1">
      <c r="A454" s="7"/>
      <c r="B454" s="7"/>
      <c r="C454" s="8"/>
      <c r="D454" s="8"/>
      <c r="E454" s="8"/>
      <c r="F454" s="8"/>
      <c r="G454" s="8"/>
      <c r="H454" s="8"/>
    </row>
    <row r="455" ht="15.75" customHeight="1">
      <c r="A455" s="7"/>
      <c r="B455" s="7"/>
      <c r="C455" s="8"/>
      <c r="D455" s="8"/>
      <c r="E455" s="8"/>
      <c r="F455" s="8"/>
      <c r="G455" s="8"/>
      <c r="H455" s="8"/>
    </row>
    <row r="456" ht="15.75" customHeight="1">
      <c r="A456" s="7"/>
      <c r="B456" s="7"/>
      <c r="C456" s="8"/>
      <c r="D456" s="8"/>
      <c r="E456" s="8"/>
      <c r="F456" s="8"/>
      <c r="G456" s="8"/>
      <c r="H456" s="8"/>
    </row>
    <row r="457" ht="15.75" customHeight="1">
      <c r="A457" s="7"/>
      <c r="B457" s="7"/>
      <c r="C457" s="8"/>
      <c r="D457" s="8"/>
      <c r="E457" s="8"/>
      <c r="F457" s="8"/>
      <c r="G457" s="8"/>
      <c r="H457" s="8"/>
    </row>
    <row r="458" ht="15.75" customHeight="1">
      <c r="A458" s="7"/>
      <c r="B458" s="7"/>
      <c r="C458" s="8"/>
      <c r="D458" s="8"/>
      <c r="E458" s="8"/>
      <c r="F458" s="8"/>
      <c r="G458" s="8"/>
      <c r="H458" s="8"/>
    </row>
    <row r="459" ht="15.75" customHeight="1">
      <c r="A459" s="7"/>
      <c r="B459" s="7"/>
      <c r="C459" s="8"/>
      <c r="D459" s="8"/>
      <c r="E459" s="8"/>
      <c r="F459" s="8"/>
      <c r="G459" s="8"/>
      <c r="H459" s="8"/>
    </row>
    <row r="460" ht="15.75" customHeight="1">
      <c r="A460" s="7"/>
      <c r="B460" s="7"/>
      <c r="C460" s="8"/>
      <c r="D460" s="8"/>
      <c r="E460" s="8"/>
      <c r="F460" s="8"/>
      <c r="G460" s="8"/>
      <c r="H460" s="8"/>
    </row>
    <row r="461" ht="15.75" customHeight="1">
      <c r="A461" s="7"/>
      <c r="B461" s="7"/>
      <c r="C461" s="8"/>
      <c r="D461" s="8"/>
      <c r="E461" s="8"/>
      <c r="F461" s="8"/>
      <c r="G461" s="8"/>
      <c r="H461" s="8"/>
    </row>
    <row r="462" ht="15.75" customHeight="1">
      <c r="A462" s="7"/>
      <c r="B462" s="7"/>
      <c r="C462" s="8"/>
      <c r="D462" s="8"/>
      <c r="E462" s="8"/>
      <c r="F462" s="8"/>
      <c r="G462" s="8"/>
      <c r="H462" s="8"/>
    </row>
    <row r="463" ht="15.75" customHeight="1">
      <c r="A463" s="7"/>
      <c r="B463" s="7"/>
      <c r="C463" s="8"/>
      <c r="D463" s="8"/>
      <c r="E463" s="8"/>
      <c r="F463" s="8"/>
      <c r="G463" s="8"/>
      <c r="H463" s="8"/>
    </row>
    <row r="464" ht="15.75" customHeight="1">
      <c r="A464" s="7"/>
      <c r="B464" s="7"/>
      <c r="C464" s="8"/>
      <c r="D464" s="8"/>
      <c r="E464" s="8"/>
      <c r="F464" s="8"/>
      <c r="G464" s="8"/>
      <c r="H464" s="8"/>
    </row>
    <row r="465" ht="15.75" customHeight="1">
      <c r="A465" s="7"/>
      <c r="B465" s="7"/>
      <c r="C465" s="8"/>
      <c r="D465" s="8"/>
      <c r="E465" s="8"/>
      <c r="F465" s="8"/>
      <c r="G465" s="8"/>
      <c r="H465" s="8"/>
    </row>
    <row r="466" ht="15.75" customHeight="1">
      <c r="A466" s="7"/>
      <c r="B466" s="7"/>
      <c r="C466" s="8"/>
      <c r="D466" s="8"/>
      <c r="E466" s="8"/>
      <c r="F466" s="8"/>
      <c r="G466" s="8"/>
      <c r="H466" s="8"/>
    </row>
    <row r="467" ht="15.75" customHeight="1">
      <c r="A467" s="7"/>
      <c r="B467" s="7"/>
      <c r="C467" s="8"/>
      <c r="D467" s="8"/>
      <c r="E467" s="8"/>
      <c r="F467" s="8"/>
      <c r="G467" s="8"/>
      <c r="H467" s="8"/>
    </row>
    <row r="468" ht="15.75" customHeight="1">
      <c r="A468" s="7"/>
      <c r="B468" s="7"/>
      <c r="C468" s="8"/>
      <c r="D468" s="8"/>
      <c r="E468" s="8"/>
      <c r="F468" s="8"/>
      <c r="G468" s="8"/>
      <c r="H468" s="8"/>
    </row>
    <row r="469" ht="15.75" customHeight="1">
      <c r="A469" s="7"/>
      <c r="B469" s="7"/>
      <c r="C469" s="8"/>
      <c r="D469" s="8"/>
      <c r="E469" s="8"/>
      <c r="F469" s="8"/>
      <c r="G469" s="8"/>
      <c r="H469" s="8"/>
    </row>
    <row r="470" ht="15.75" customHeight="1">
      <c r="A470" s="7"/>
      <c r="B470" s="7"/>
      <c r="C470" s="8"/>
      <c r="D470" s="8"/>
      <c r="E470" s="8"/>
      <c r="F470" s="8"/>
      <c r="G470" s="8"/>
      <c r="H470" s="8"/>
    </row>
    <row r="471" ht="15.75" customHeight="1">
      <c r="A471" s="7"/>
      <c r="B471" s="7"/>
      <c r="C471" s="8"/>
      <c r="D471" s="8"/>
      <c r="E471" s="8"/>
      <c r="F471" s="8"/>
      <c r="G471" s="8"/>
      <c r="H471" s="8"/>
    </row>
    <row r="472" ht="15.75" customHeight="1">
      <c r="A472" s="7"/>
      <c r="B472" s="7"/>
      <c r="C472" s="8"/>
      <c r="D472" s="8"/>
      <c r="E472" s="8"/>
      <c r="F472" s="8"/>
      <c r="G472" s="8"/>
      <c r="H472" s="8"/>
    </row>
    <row r="473" ht="15.75" customHeight="1">
      <c r="A473" s="7"/>
      <c r="B473" s="7"/>
      <c r="C473" s="8"/>
      <c r="D473" s="8"/>
      <c r="E473" s="8"/>
      <c r="F473" s="8"/>
      <c r="G473" s="8"/>
      <c r="H473" s="8"/>
    </row>
    <row r="474" ht="15.75" customHeight="1">
      <c r="A474" s="7"/>
      <c r="B474" s="7"/>
      <c r="C474" s="8"/>
      <c r="D474" s="8"/>
      <c r="E474" s="8"/>
      <c r="F474" s="8"/>
      <c r="G474" s="8"/>
      <c r="H474" s="8"/>
    </row>
    <row r="475" ht="15.75" customHeight="1">
      <c r="A475" s="7"/>
      <c r="B475" s="7"/>
      <c r="C475" s="8"/>
      <c r="D475" s="8"/>
      <c r="E475" s="8"/>
      <c r="F475" s="8"/>
      <c r="G475" s="8"/>
      <c r="H475" s="8"/>
    </row>
    <row r="476" ht="15.75" customHeight="1">
      <c r="A476" s="7"/>
      <c r="B476" s="7"/>
      <c r="C476" s="8"/>
      <c r="D476" s="8"/>
      <c r="E476" s="8"/>
      <c r="F476" s="8"/>
      <c r="G476" s="8"/>
      <c r="H476" s="8"/>
    </row>
    <row r="477" ht="15.75" customHeight="1">
      <c r="A477" s="7"/>
      <c r="B477" s="7"/>
      <c r="C477" s="8"/>
      <c r="D477" s="8"/>
      <c r="E477" s="8"/>
      <c r="F477" s="8"/>
      <c r="G477" s="8"/>
      <c r="H477" s="8"/>
    </row>
    <row r="478" ht="15.75" customHeight="1">
      <c r="A478" s="7"/>
      <c r="B478" s="7"/>
      <c r="C478" s="8"/>
      <c r="D478" s="8"/>
      <c r="E478" s="8"/>
      <c r="F478" s="8"/>
      <c r="G478" s="8"/>
      <c r="H478" s="8"/>
    </row>
    <row r="479" ht="15.75" customHeight="1">
      <c r="A479" s="7"/>
      <c r="B479" s="7"/>
      <c r="C479" s="8"/>
      <c r="D479" s="8"/>
      <c r="E479" s="8"/>
      <c r="F479" s="8"/>
      <c r="G479" s="8"/>
      <c r="H479" s="8"/>
    </row>
    <row r="480" ht="15.75" customHeight="1">
      <c r="A480" s="7"/>
      <c r="B480" s="7"/>
      <c r="C480" s="8"/>
      <c r="D480" s="8"/>
      <c r="E480" s="8"/>
      <c r="F480" s="8"/>
      <c r="G480" s="8"/>
      <c r="H480" s="8"/>
    </row>
    <row r="481" ht="15.75" customHeight="1">
      <c r="A481" s="7"/>
      <c r="B481" s="7"/>
      <c r="C481" s="8"/>
      <c r="D481" s="8"/>
      <c r="E481" s="8"/>
      <c r="F481" s="8"/>
      <c r="G481" s="8"/>
      <c r="H481" s="8"/>
    </row>
    <row r="482" ht="15.75" customHeight="1">
      <c r="A482" s="7"/>
      <c r="B482" s="7"/>
      <c r="C482" s="8"/>
      <c r="D482" s="8"/>
      <c r="E482" s="8"/>
      <c r="F482" s="8"/>
      <c r="G482" s="8"/>
      <c r="H482" s="8"/>
    </row>
    <row r="483" ht="15.75" customHeight="1">
      <c r="A483" s="7"/>
      <c r="B483" s="7"/>
      <c r="C483" s="8"/>
      <c r="D483" s="8"/>
      <c r="E483" s="8"/>
      <c r="F483" s="8"/>
      <c r="G483" s="8"/>
      <c r="H483" s="8"/>
    </row>
    <row r="484" ht="15.75" customHeight="1">
      <c r="A484" s="7"/>
      <c r="B484" s="7"/>
      <c r="C484" s="8"/>
      <c r="D484" s="8"/>
      <c r="E484" s="8"/>
      <c r="F484" s="8"/>
      <c r="G484" s="8"/>
      <c r="H484" s="8"/>
    </row>
    <row r="485" ht="15.75" customHeight="1">
      <c r="A485" s="7"/>
      <c r="B485" s="7"/>
      <c r="C485" s="8"/>
      <c r="D485" s="8"/>
      <c r="E485" s="8"/>
      <c r="F485" s="8"/>
      <c r="G485" s="8"/>
      <c r="H485" s="8"/>
    </row>
    <row r="486" ht="15.75" customHeight="1">
      <c r="A486" s="7"/>
      <c r="B486" s="7"/>
      <c r="C486" s="8"/>
      <c r="D486" s="8"/>
      <c r="E486" s="8"/>
      <c r="F486" s="8"/>
      <c r="G486" s="8"/>
      <c r="H486" s="8"/>
    </row>
    <row r="487" ht="15.75" customHeight="1">
      <c r="A487" s="7"/>
      <c r="B487" s="7"/>
      <c r="C487" s="8"/>
      <c r="D487" s="8"/>
      <c r="E487" s="8"/>
      <c r="F487" s="8"/>
      <c r="G487" s="8"/>
      <c r="H487" s="8"/>
    </row>
    <row r="488" ht="15.75" customHeight="1">
      <c r="A488" s="7"/>
      <c r="B488" s="7"/>
      <c r="C488" s="8"/>
      <c r="D488" s="8"/>
      <c r="E488" s="8"/>
      <c r="F488" s="8"/>
      <c r="G488" s="8"/>
      <c r="H488" s="8"/>
    </row>
    <row r="489" ht="15.75" customHeight="1">
      <c r="A489" s="7"/>
      <c r="B489" s="7"/>
      <c r="C489" s="8"/>
      <c r="D489" s="8"/>
      <c r="E489" s="8"/>
      <c r="F489" s="8"/>
      <c r="G489" s="8"/>
      <c r="H489" s="8"/>
    </row>
    <row r="490" ht="15.75" customHeight="1">
      <c r="A490" s="7"/>
      <c r="B490" s="7"/>
      <c r="C490" s="8"/>
      <c r="D490" s="8"/>
      <c r="E490" s="8"/>
      <c r="F490" s="8"/>
      <c r="G490" s="8"/>
      <c r="H490" s="8"/>
    </row>
    <row r="491" ht="15.75" customHeight="1">
      <c r="A491" s="7"/>
      <c r="B491" s="7"/>
      <c r="C491" s="8"/>
      <c r="D491" s="8"/>
      <c r="E491" s="8"/>
      <c r="F491" s="8"/>
      <c r="G491" s="8"/>
      <c r="H491" s="8"/>
    </row>
    <row r="492" ht="15.75" customHeight="1">
      <c r="A492" s="7"/>
      <c r="B492" s="7"/>
      <c r="C492" s="8"/>
      <c r="D492" s="8"/>
      <c r="E492" s="8"/>
      <c r="F492" s="8"/>
      <c r="G492" s="8"/>
      <c r="H492" s="8"/>
    </row>
    <row r="493" ht="15.75" customHeight="1">
      <c r="A493" s="7"/>
      <c r="B493" s="7"/>
      <c r="C493" s="8"/>
      <c r="D493" s="8"/>
      <c r="E493" s="8"/>
      <c r="F493" s="8"/>
      <c r="G493" s="8"/>
      <c r="H493" s="8"/>
    </row>
    <row r="494" ht="15.75" customHeight="1">
      <c r="A494" s="7"/>
      <c r="B494" s="7"/>
      <c r="C494" s="8"/>
      <c r="D494" s="8"/>
      <c r="E494" s="8"/>
      <c r="F494" s="8"/>
      <c r="G494" s="8"/>
      <c r="H494" s="8"/>
    </row>
    <row r="495" ht="15.75" customHeight="1">
      <c r="A495" s="7"/>
      <c r="B495" s="7"/>
      <c r="C495" s="8"/>
      <c r="D495" s="8"/>
      <c r="E495" s="8"/>
      <c r="F495" s="8"/>
      <c r="G495" s="8"/>
      <c r="H495" s="8"/>
    </row>
    <row r="496" ht="15.75" customHeight="1">
      <c r="A496" s="7"/>
      <c r="B496" s="7"/>
      <c r="C496" s="8"/>
      <c r="D496" s="8"/>
      <c r="E496" s="8"/>
      <c r="F496" s="8"/>
      <c r="G496" s="8"/>
      <c r="H496" s="8"/>
    </row>
    <row r="497" ht="15.75" customHeight="1">
      <c r="A497" s="7"/>
      <c r="B497" s="7"/>
      <c r="C497" s="8"/>
      <c r="D497" s="8"/>
      <c r="E497" s="8"/>
      <c r="F497" s="8"/>
      <c r="G497" s="8"/>
      <c r="H497" s="8"/>
    </row>
    <row r="498" ht="15.75" customHeight="1">
      <c r="A498" s="7"/>
      <c r="B498" s="7"/>
      <c r="C498" s="8"/>
      <c r="D498" s="8"/>
      <c r="E498" s="8"/>
      <c r="F498" s="8"/>
      <c r="G498" s="8"/>
      <c r="H498" s="8"/>
    </row>
    <row r="499" ht="15.75" customHeight="1">
      <c r="A499" s="7"/>
      <c r="B499" s="7"/>
      <c r="C499" s="8"/>
      <c r="D499" s="8"/>
      <c r="E499" s="8"/>
      <c r="F499" s="8"/>
      <c r="G499" s="8"/>
      <c r="H499" s="8"/>
    </row>
    <row r="500" ht="15.75" customHeight="1">
      <c r="A500" s="7"/>
      <c r="B500" s="7"/>
      <c r="C500" s="8"/>
      <c r="D500" s="8"/>
      <c r="E500" s="8"/>
      <c r="F500" s="8"/>
      <c r="G500" s="8"/>
      <c r="H500" s="8"/>
    </row>
    <row r="501" ht="15.75" customHeight="1">
      <c r="A501" s="7"/>
      <c r="B501" s="7"/>
      <c r="C501" s="8"/>
      <c r="D501" s="8"/>
      <c r="E501" s="8"/>
      <c r="F501" s="8"/>
      <c r="G501" s="8"/>
      <c r="H501" s="8"/>
    </row>
    <row r="502" ht="15.75" customHeight="1">
      <c r="A502" s="7"/>
      <c r="B502" s="7"/>
      <c r="C502" s="8"/>
      <c r="D502" s="8"/>
      <c r="E502" s="8"/>
      <c r="F502" s="8"/>
      <c r="G502" s="8"/>
      <c r="H502" s="8"/>
    </row>
    <row r="503" ht="15.75" customHeight="1">
      <c r="A503" s="7"/>
      <c r="B503" s="7"/>
      <c r="C503" s="8"/>
      <c r="D503" s="8"/>
      <c r="E503" s="8"/>
      <c r="F503" s="8"/>
      <c r="G503" s="8"/>
      <c r="H503" s="8"/>
    </row>
    <row r="504" ht="15.75" customHeight="1">
      <c r="A504" s="7"/>
      <c r="B504" s="7"/>
      <c r="C504" s="8"/>
      <c r="D504" s="8"/>
      <c r="E504" s="8"/>
      <c r="F504" s="8"/>
      <c r="G504" s="8"/>
      <c r="H504" s="8"/>
    </row>
    <row r="505" ht="15.75" customHeight="1">
      <c r="A505" s="7"/>
      <c r="B505" s="7"/>
      <c r="C505" s="8"/>
      <c r="D505" s="8"/>
      <c r="E505" s="8"/>
      <c r="F505" s="8"/>
      <c r="G505" s="8"/>
      <c r="H505" s="8"/>
    </row>
    <row r="506" ht="15.75" customHeight="1">
      <c r="A506" s="7"/>
      <c r="B506" s="7"/>
      <c r="C506" s="8"/>
      <c r="D506" s="8"/>
      <c r="E506" s="8"/>
      <c r="F506" s="8"/>
      <c r="G506" s="8"/>
      <c r="H506" s="8"/>
    </row>
    <row r="507" ht="15.75" customHeight="1">
      <c r="A507" s="7"/>
      <c r="B507" s="7"/>
      <c r="C507" s="8"/>
      <c r="D507" s="8"/>
      <c r="E507" s="8"/>
      <c r="F507" s="8"/>
      <c r="G507" s="8"/>
      <c r="H507" s="8"/>
    </row>
    <row r="508" ht="15.75" customHeight="1">
      <c r="A508" s="7"/>
      <c r="B508" s="7"/>
      <c r="C508" s="8"/>
      <c r="D508" s="8"/>
      <c r="E508" s="8"/>
      <c r="F508" s="8"/>
      <c r="G508" s="8"/>
      <c r="H508" s="8"/>
    </row>
    <row r="509" ht="15.75" customHeight="1">
      <c r="A509" s="7"/>
      <c r="B509" s="7"/>
      <c r="C509" s="8"/>
      <c r="D509" s="8"/>
      <c r="E509" s="8"/>
      <c r="F509" s="8"/>
      <c r="G509" s="8"/>
      <c r="H509" s="8"/>
    </row>
    <row r="510" ht="15.75" customHeight="1">
      <c r="A510" s="7"/>
      <c r="B510" s="7"/>
      <c r="C510" s="8"/>
      <c r="D510" s="8"/>
      <c r="E510" s="8"/>
      <c r="F510" s="8"/>
      <c r="G510" s="8"/>
      <c r="H510" s="8"/>
    </row>
    <row r="511" ht="15.75" customHeight="1">
      <c r="A511" s="7"/>
      <c r="B511" s="7"/>
      <c r="C511" s="8"/>
      <c r="D511" s="8"/>
      <c r="E511" s="8"/>
      <c r="F511" s="8"/>
      <c r="G511" s="8"/>
      <c r="H511" s="8"/>
    </row>
    <row r="512" ht="15.75" customHeight="1">
      <c r="A512" s="7"/>
      <c r="B512" s="7"/>
      <c r="C512" s="8"/>
      <c r="D512" s="8"/>
      <c r="E512" s="8"/>
      <c r="F512" s="8"/>
      <c r="G512" s="8"/>
      <c r="H512" s="8"/>
    </row>
    <row r="513" ht="15.75" customHeight="1">
      <c r="A513" s="7"/>
      <c r="B513" s="7"/>
      <c r="C513" s="8"/>
      <c r="D513" s="8"/>
      <c r="E513" s="8"/>
      <c r="F513" s="8"/>
      <c r="G513" s="8"/>
      <c r="H513" s="8"/>
    </row>
    <row r="514" ht="15.75" customHeight="1">
      <c r="A514" s="7"/>
      <c r="B514" s="7"/>
      <c r="C514" s="8"/>
      <c r="D514" s="8"/>
      <c r="E514" s="8"/>
      <c r="F514" s="8"/>
      <c r="G514" s="8"/>
      <c r="H514" s="8"/>
    </row>
    <row r="515" ht="15.75" customHeight="1">
      <c r="A515" s="7"/>
      <c r="B515" s="7"/>
      <c r="C515" s="8"/>
      <c r="D515" s="8"/>
      <c r="E515" s="8"/>
      <c r="F515" s="8"/>
      <c r="G515" s="8"/>
      <c r="H515" s="8"/>
    </row>
    <row r="516" ht="15.75" customHeight="1">
      <c r="A516" s="7"/>
      <c r="B516" s="7"/>
      <c r="C516" s="8"/>
      <c r="D516" s="8"/>
      <c r="E516" s="8"/>
      <c r="F516" s="8"/>
      <c r="G516" s="8"/>
      <c r="H516" s="8"/>
    </row>
    <row r="517" ht="15.75" customHeight="1">
      <c r="A517" s="7"/>
      <c r="B517" s="7"/>
      <c r="C517" s="8"/>
      <c r="D517" s="8"/>
      <c r="E517" s="8"/>
      <c r="F517" s="8"/>
      <c r="G517" s="8"/>
      <c r="H517" s="8"/>
    </row>
    <row r="518" ht="15.75" customHeight="1">
      <c r="A518" s="7"/>
      <c r="B518" s="7"/>
      <c r="C518" s="8"/>
      <c r="D518" s="8"/>
      <c r="E518" s="8"/>
      <c r="F518" s="8"/>
      <c r="G518" s="8"/>
      <c r="H518" s="8"/>
    </row>
    <row r="519" ht="15.75" customHeight="1">
      <c r="A519" s="7"/>
      <c r="B519" s="7"/>
      <c r="C519" s="8"/>
      <c r="D519" s="8"/>
      <c r="E519" s="8"/>
      <c r="F519" s="8"/>
      <c r="G519" s="8"/>
      <c r="H519" s="8"/>
    </row>
    <row r="520" ht="15.75" customHeight="1">
      <c r="A520" s="7"/>
      <c r="B520" s="7"/>
      <c r="C520" s="8"/>
      <c r="D520" s="8"/>
      <c r="E520" s="8"/>
      <c r="F520" s="8"/>
      <c r="G520" s="8"/>
      <c r="H520" s="8"/>
    </row>
    <row r="521" ht="15.75" customHeight="1">
      <c r="A521" s="7"/>
      <c r="B521" s="7"/>
      <c r="C521" s="8"/>
      <c r="D521" s="8"/>
      <c r="E521" s="8"/>
      <c r="F521" s="8"/>
      <c r="G521" s="8"/>
      <c r="H521" s="8"/>
    </row>
    <row r="522" ht="15.75" customHeight="1">
      <c r="A522" s="7"/>
      <c r="B522" s="7"/>
      <c r="C522" s="8"/>
      <c r="D522" s="8"/>
      <c r="E522" s="8"/>
      <c r="F522" s="8"/>
      <c r="G522" s="8"/>
      <c r="H522" s="8"/>
    </row>
    <row r="523" ht="15.75" customHeight="1">
      <c r="A523" s="7"/>
      <c r="B523" s="7"/>
      <c r="C523" s="8"/>
      <c r="D523" s="8"/>
      <c r="E523" s="8"/>
      <c r="F523" s="8"/>
      <c r="G523" s="8"/>
      <c r="H523" s="8"/>
    </row>
    <row r="524" ht="15.75" customHeight="1">
      <c r="A524" s="7"/>
      <c r="B524" s="7"/>
      <c r="C524" s="8"/>
      <c r="D524" s="8"/>
      <c r="E524" s="8"/>
      <c r="F524" s="8"/>
      <c r="G524" s="8"/>
      <c r="H524" s="8"/>
    </row>
    <row r="525" ht="15.75" customHeight="1">
      <c r="A525" s="7"/>
      <c r="B525" s="7"/>
      <c r="C525" s="8"/>
      <c r="D525" s="8"/>
      <c r="E525" s="8"/>
      <c r="F525" s="8"/>
      <c r="G525" s="8"/>
      <c r="H525" s="8"/>
    </row>
    <row r="526" ht="15.75" customHeight="1">
      <c r="A526" s="7"/>
      <c r="B526" s="7"/>
      <c r="C526" s="8"/>
      <c r="D526" s="8"/>
      <c r="E526" s="8"/>
      <c r="F526" s="8"/>
      <c r="G526" s="8"/>
      <c r="H526" s="8"/>
    </row>
    <row r="527" ht="15.75" customHeight="1">
      <c r="A527" s="7"/>
      <c r="B527" s="7"/>
      <c r="C527" s="8"/>
      <c r="D527" s="8"/>
      <c r="E527" s="8"/>
      <c r="F527" s="8"/>
      <c r="G527" s="8"/>
      <c r="H527" s="8"/>
    </row>
    <row r="528" ht="15.75" customHeight="1">
      <c r="A528" s="7"/>
      <c r="B528" s="7"/>
      <c r="C528" s="8"/>
      <c r="D528" s="8"/>
      <c r="E528" s="8"/>
      <c r="F528" s="8"/>
      <c r="G528" s="8"/>
      <c r="H528" s="8"/>
    </row>
    <row r="529" ht="15.75" customHeight="1">
      <c r="A529" s="7"/>
      <c r="B529" s="7"/>
      <c r="C529" s="8"/>
      <c r="D529" s="8"/>
      <c r="E529" s="8"/>
      <c r="F529" s="8"/>
      <c r="G529" s="8"/>
      <c r="H529" s="8"/>
    </row>
    <row r="530" ht="15.75" customHeight="1">
      <c r="A530" s="7"/>
      <c r="B530" s="7"/>
      <c r="C530" s="8"/>
      <c r="D530" s="8"/>
      <c r="E530" s="8"/>
      <c r="F530" s="8"/>
      <c r="G530" s="8"/>
      <c r="H530" s="8"/>
    </row>
    <row r="531" ht="15.75" customHeight="1">
      <c r="A531" s="7"/>
      <c r="B531" s="7"/>
      <c r="C531" s="8"/>
      <c r="D531" s="8"/>
      <c r="E531" s="8"/>
      <c r="F531" s="8"/>
      <c r="G531" s="8"/>
      <c r="H531" s="8"/>
    </row>
    <row r="532" ht="15.75" customHeight="1">
      <c r="A532" s="7"/>
      <c r="B532" s="7"/>
      <c r="C532" s="8"/>
      <c r="D532" s="8"/>
      <c r="E532" s="8"/>
      <c r="F532" s="8"/>
      <c r="G532" s="8"/>
      <c r="H532" s="8"/>
    </row>
    <row r="533" ht="15.75" customHeight="1">
      <c r="A533" s="7"/>
      <c r="B533" s="7"/>
      <c r="C533" s="8"/>
      <c r="D533" s="8"/>
      <c r="E533" s="8"/>
      <c r="F533" s="8"/>
      <c r="G533" s="8"/>
      <c r="H533" s="8"/>
    </row>
    <row r="534" ht="15.75" customHeight="1">
      <c r="A534" s="7"/>
      <c r="B534" s="7"/>
      <c r="C534" s="8"/>
      <c r="D534" s="8"/>
      <c r="E534" s="8"/>
      <c r="F534" s="8"/>
      <c r="G534" s="8"/>
      <c r="H534" s="8"/>
    </row>
    <row r="535" ht="15.75" customHeight="1">
      <c r="A535" s="7"/>
      <c r="B535" s="7"/>
      <c r="C535" s="8"/>
      <c r="D535" s="8"/>
      <c r="E535" s="8"/>
      <c r="F535" s="8"/>
      <c r="G535" s="8"/>
      <c r="H535" s="8"/>
    </row>
    <row r="536" ht="15.75" customHeight="1">
      <c r="A536" s="7"/>
      <c r="B536" s="7"/>
      <c r="C536" s="8"/>
      <c r="D536" s="8"/>
      <c r="E536" s="8"/>
      <c r="F536" s="8"/>
      <c r="G536" s="8"/>
      <c r="H536" s="8"/>
    </row>
    <row r="537" ht="15.75" customHeight="1">
      <c r="A537" s="7"/>
      <c r="B537" s="7"/>
      <c r="C537" s="8"/>
      <c r="D537" s="8"/>
      <c r="E537" s="8"/>
      <c r="F537" s="8"/>
      <c r="G537" s="8"/>
      <c r="H537" s="8"/>
    </row>
    <row r="538" ht="15.75" customHeight="1">
      <c r="A538" s="7"/>
      <c r="B538" s="7"/>
      <c r="C538" s="8"/>
      <c r="D538" s="8"/>
      <c r="E538" s="8"/>
      <c r="F538" s="8"/>
      <c r="G538" s="8"/>
      <c r="H538" s="8"/>
    </row>
    <row r="539" ht="15.75" customHeight="1">
      <c r="A539" s="7"/>
      <c r="B539" s="7"/>
      <c r="C539" s="8"/>
      <c r="D539" s="8"/>
      <c r="E539" s="8"/>
      <c r="F539" s="8"/>
      <c r="G539" s="8"/>
      <c r="H539" s="8"/>
    </row>
    <row r="540" ht="15.75" customHeight="1">
      <c r="A540" s="7"/>
      <c r="B540" s="7"/>
      <c r="C540" s="8"/>
      <c r="D540" s="8"/>
      <c r="E540" s="8"/>
      <c r="F540" s="8"/>
      <c r="G540" s="8"/>
      <c r="H540" s="8"/>
    </row>
    <row r="541" ht="15.75" customHeight="1">
      <c r="A541" s="7"/>
      <c r="B541" s="7"/>
      <c r="C541" s="8"/>
      <c r="D541" s="8"/>
      <c r="E541" s="8"/>
      <c r="F541" s="8"/>
      <c r="G541" s="8"/>
      <c r="H541" s="8"/>
    </row>
    <row r="542" ht="15.75" customHeight="1">
      <c r="A542" s="7"/>
      <c r="B542" s="7"/>
      <c r="C542" s="8"/>
      <c r="D542" s="8"/>
      <c r="E542" s="8"/>
      <c r="F542" s="8"/>
      <c r="G542" s="8"/>
      <c r="H542" s="8"/>
    </row>
    <row r="543" ht="15.75" customHeight="1">
      <c r="A543" s="7"/>
      <c r="B543" s="7"/>
      <c r="C543" s="8"/>
      <c r="D543" s="8"/>
      <c r="E543" s="8"/>
      <c r="F543" s="8"/>
      <c r="G543" s="8"/>
      <c r="H543" s="8"/>
    </row>
    <row r="544" ht="15.75" customHeight="1">
      <c r="A544" s="7"/>
      <c r="B544" s="7"/>
      <c r="C544" s="8"/>
      <c r="D544" s="8"/>
      <c r="E544" s="8"/>
      <c r="F544" s="8"/>
      <c r="G544" s="8"/>
      <c r="H544" s="8"/>
    </row>
    <row r="545" ht="15.75" customHeight="1">
      <c r="A545" s="7"/>
      <c r="B545" s="7"/>
      <c r="C545" s="8"/>
      <c r="D545" s="8"/>
      <c r="E545" s="8"/>
      <c r="F545" s="8"/>
      <c r="G545" s="8"/>
      <c r="H545" s="8"/>
    </row>
    <row r="546" ht="15.75" customHeight="1">
      <c r="A546" s="7"/>
      <c r="B546" s="7"/>
      <c r="C546" s="8"/>
      <c r="D546" s="8"/>
      <c r="E546" s="8"/>
      <c r="F546" s="8"/>
      <c r="G546" s="8"/>
      <c r="H546" s="8"/>
    </row>
    <row r="547" ht="15.75" customHeight="1">
      <c r="A547" s="7"/>
      <c r="B547" s="7"/>
      <c r="C547" s="8"/>
      <c r="D547" s="8"/>
      <c r="E547" s="8"/>
      <c r="F547" s="8"/>
      <c r="G547" s="8"/>
      <c r="H547" s="8"/>
    </row>
    <row r="548" ht="15.75" customHeight="1">
      <c r="A548" s="7"/>
      <c r="B548" s="7"/>
      <c r="C548" s="8"/>
      <c r="D548" s="8"/>
      <c r="E548" s="8"/>
      <c r="F548" s="8"/>
      <c r="G548" s="8"/>
      <c r="H548" s="8"/>
    </row>
    <row r="549" ht="15.75" customHeight="1">
      <c r="A549" s="7"/>
      <c r="B549" s="7"/>
      <c r="C549" s="8"/>
      <c r="D549" s="8"/>
      <c r="E549" s="8"/>
      <c r="F549" s="8"/>
      <c r="G549" s="8"/>
      <c r="H549" s="8"/>
    </row>
    <row r="550" ht="15.75" customHeight="1">
      <c r="A550" s="7"/>
      <c r="B550" s="7"/>
      <c r="C550" s="8"/>
      <c r="D550" s="8"/>
      <c r="E550" s="8"/>
      <c r="F550" s="8"/>
      <c r="G550" s="8"/>
      <c r="H550" s="8"/>
    </row>
    <row r="551" ht="15.75" customHeight="1">
      <c r="A551" s="7"/>
      <c r="B551" s="7"/>
      <c r="C551" s="8"/>
      <c r="D551" s="8"/>
      <c r="E551" s="8"/>
      <c r="F551" s="8"/>
      <c r="G551" s="8"/>
      <c r="H551" s="8"/>
    </row>
    <row r="552" ht="15.75" customHeight="1">
      <c r="A552" s="7"/>
      <c r="B552" s="7"/>
      <c r="C552" s="8"/>
      <c r="D552" s="8"/>
      <c r="E552" s="8"/>
      <c r="F552" s="8"/>
      <c r="G552" s="8"/>
      <c r="H552" s="8"/>
    </row>
    <row r="553" ht="15.75" customHeight="1">
      <c r="A553" s="7"/>
      <c r="B553" s="7"/>
      <c r="C553" s="8"/>
      <c r="D553" s="8"/>
      <c r="E553" s="8"/>
      <c r="F553" s="8"/>
      <c r="G553" s="8"/>
      <c r="H553" s="8"/>
    </row>
    <row r="554" ht="15.75" customHeight="1">
      <c r="A554" s="7"/>
      <c r="B554" s="7"/>
      <c r="C554" s="8"/>
      <c r="D554" s="8"/>
      <c r="E554" s="8"/>
      <c r="F554" s="8"/>
      <c r="G554" s="8"/>
      <c r="H554" s="8"/>
    </row>
    <row r="555" ht="15.75" customHeight="1">
      <c r="A555" s="7"/>
      <c r="B555" s="7"/>
      <c r="C555" s="8"/>
      <c r="D555" s="8"/>
      <c r="E555" s="8"/>
      <c r="F555" s="8"/>
      <c r="G555" s="8"/>
      <c r="H555" s="8"/>
    </row>
    <row r="556" ht="15.75" customHeight="1">
      <c r="A556" s="7"/>
      <c r="B556" s="7"/>
      <c r="C556" s="8"/>
      <c r="D556" s="8"/>
      <c r="E556" s="8"/>
      <c r="F556" s="8"/>
      <c r="G556" s="8"/>
      <c r="H556" s="8"/>
    </row>
    <row r="557" ht="15.75" customHeight="1">
      <c r="A557" s="7"/>
      <c r="B557" s="7"/>
      <c r="C557" s="8"/>
      <c r="D557" s="8"/>
      <c r="E557" s="8"/>
      <c r="F557" s="8"/>
      <c r="G557" s="8"/>
      <c r="H557" s="8"/>
    </row>
    <row r="558" ht="15.75" customHeight="1">
      <c r="A558" s="7"/>
      <c r="B558" s="7"/>
      <c r="C558" s="8"/>
      <c r="D558" s="8"/>
      <c r="E558" s="8"/>
      <c r="F558" s="8"/>
      <c r="G558" s="8"/>
      <c r="H558" s="8"/>
    </row>
    <row r="559" ht="15.75" customHeight="1">
      <c r="A559" s="7"/>
      <c r="B559" s="7"/>
      <c r="C559" s="8"/>
      <c r="D559" s="8"/>
      <c r="E559" s="8"/>
      <c r="F559" s="8"/>
      <c r="G559" s="8"/>
      <c r="H559" s="8"/>
    </row>
    <row r="560" ht="15.75" customHeight="1">
      <c r="A560" s="7"/>
      <c r="B560" s="7"/>
      <c r="C560" s="8"/>
      <c r="D560" s="8"/>
      <c r="E560" s="8"/>
      <c r="F560" s="8"/>
      <c r="G560" s="8"/>
      <c r="H560" s="8"/>
    </row>
    <row r="561" ht="15.75" customHeight="1">
      <c r="A561" s="7"/>
      <c r="B561" s="7"/>
      <c r="C561" s="8"/>
      <c r="D561" s="8"/>
      <c r="E561" s="8"/>
      <c r="F561" s="8"/>
      <c r="G561" s="8"/>
      <c r="H561" s="8"/>
    </row>
    <row r="562" ht="15.75" customHeight="1">
      <c r="A562" s="7"/>
      <c r="B562" s="7"/>
      <c r="C562" s="8"/>
      <c r="D562" s="8"/>
      <c r="E562" s="8"/>
      <c r="F562" s="8"/>
      <c r="G562" s="8"/>
      <c r="H562" s="8"/>
    </row>
    <row r="563" ht="15.75" customHeight="1">
      <c r="A563" s="7"/>
      <c r="B563" s="7"/>
      <c r="C563" s="8"/>
      <c r="D563" s="8"/>
      <c r="E563" s="8"/>
      <c r="F563" s="8"/>
      <c r="G563" s="8"/>
      <c r="H563" s="8"/>
    </row>
    <row r="564" ht="15.75" customHeight="1">
      <c r="A564" s="7"/>
      <c r="B564" s="7"/>
      <c r="C564" s="8"/>
      <c r="D564" s="8"/>
      <c r="E564" s="8"/>
      <c r="F564" s="8"/>
      <c r="G564" s="8"/>
      <c r="H564" s="8"/>
    </row>
    <row r="565" ht="15.75" customHeight="1">
      <c r="A565" s="7"/>
      <c r="B565" s="7"/>
      <c r="C565" s="8"/>
      <c r="D565" s="8"/>
      <c r="E565" s="8"/>
      <c r="F565" s="8"/>
      <c r="G565" s="8"/>
      <c r="H565" s="8"/>
    </row>
    <row r="566" ht="15.75" customHeight="1">
      <c r="A566" s="7"/>
      <c r="B566" s="7"/>
      <c r="C566" s="8"/>
      <c r="D566" s="8"/>
      <c r="E566" s="8"/>
      <c r="F566" s="8"/>
      <c r="G566" s="8"/>
      <c r="H566" s="8"/>
    </row>
    <row r="567" ht="15.75" customHeight="1">
      <c r="A567" s="7"/>
      <c r="B567" s="7"/>
      <c r="C567" s="8"/>
      <c r="D567" s="8"/>
      <c r="E567" s="8"/>
      <c r="F567" s="8"/>
      <c r="G567" s="8"/>
      <c r="H567" s="8"/>
    </row>
    <row r="568" ht="15.75" customHeight="1">
      <c r="A568" s="7"/>
      <c r="B568" s="7"/>
      <c r="C568" s="8"/>
      <c r="D568" s="8"/>
      <c r="E568" s="8"/>
      <c r="F568" s="8"/>
      <c r="G568" s="8"/>
      <c r="H568" s="8"/>
    </row>
    <row r="569" ht="15.75" customHeight="1">
      <c r="A569" s="7"/>
      <c r="B569" s="7"/>
      <c r="C569" s="8"/>
      <c r="D569" s="8"/>
      <c r="E569" s="8"/>
      <c r="F569" s="8"/>
      <c r="G569" s="8"/>
      <c r="H569" s="8"/>
    </row>
    <row r="570" ht="15.75" customHeight="1">
      <c r="A570" s="7"/>
      <c r="B570" s="7"/>
      <c r="C570" s="8"/>
      <c r="D570" s="8"/>
      <c r="E570" s="8"/>
      <c r="F570" s="8"/>
      <c r="G570" s="8"/>
      <c r="H570" s="8"/>
    </row>
    <row r="571" ht="15.75" customHeight="1">
      <c r="A571" s="7"/>
      <c r="B571" s="7"/>
      <c r="C571" s="8"/>
      <c r="D571" s="8"/>
      <c r="E571" s="8"/>
      <c r="F571" s="8"/>
      <c r="G571" s="8"/>
      <c r="H571" s="8"/>
    </row>
    <row r="572" ht="15.75" customHeight="1">
      <c r="A572" s="7"/>
      <c r="B572" s="7"/>
      <c r="C572" s="8"/>
      <c r="D572" s="8"/>
      <c r="E572" s="8"/>
      <c r="F572" s="8"/>
      <c r="G572" s="8"/>
      <c r="H572" s="8"/>
    </row>
    <row r="573" ht="15.75" customHeight="1">
      <c r="A573" s="7"/>
      <c r="B573" s="7"/>
      <c r="C573" s="8"/>
      <c r="D573" s="8"/>
      <c r="E573" s="8"/>
      <c r="F573" s="8"/>
      <c r="G573" s="8"/>
      <c r="H573" s="8"/>
    </row>
    <row r="574" ht="15.75" customHeight="1">
      <c r="A574" s="7"/>
      <c r="B574" s="7"/>
      <c r="C574" s="8"/>
      <c r="D574" s="8"/>
      <c r="E574" s="8"/>
      <c r="F574" s="8"/>
      <c r="G574" s="8"/>
      <c r="H574" s="8"/>
    </row>
    <row r="575" ht="15.75" customHeight="1">
      <c r="A575" s="7"/>
      <c r="B575" s="7"/>
      <c r="C575" s="8"/>
      <c r="D575" s="8"/>
      <c r="E575" s="8"/>
      <c r="F575" s="8"/>
      <c r="G575" s="8"/>
      <c r="H575" s="8"/>
    </row>
    <row r="576" ht="15.75" customHeight="1">
      <c r="A576" s="7"/>
      <c r="B576" s="7"/>
      <c r="C576" s="8"/>
      <c r="D576" s="8"/>
      <c r="E576" s="8"/>
      <c r="F576" s="8"/>
      <c r="G576" s="8"/>
      <c r="H576" s="8"/>
    </row>
    <row r="577" ht="15.75" customHeight="1">
      <c r="A577" s="7"/>
      <c r="B577" s="7"/>
      <c r="C577" s="8"/>
      <c r="D577" s="8"/>
      <c r="E577" s="8"/>
      <c r="F577" s="8"/>
      <c r="G577" s="8"/>
      <c r="H577" s="8"/>
    </row>
    <row r="578" ht="15.75" customHeight="1">
      <c r="A578" s="7"/>
      <c r="B578" s="7"/>
      <c r="C578" s="8"/>
      <c r="D578" s="8"/>
      <c r="E578" s="8"/>
      <c r="F578" s="8"/>
      <c r="G578" s="8"/>
      <c r="H578" s="8"/>
    </row>
    <row r="579" ht="15.75" customHeight="1">
      <c r="A579" s="7"/>
      <c r="B579" s="7"/>
      <c r="C579" s="8"/>
      <c r="D579" s="8"/>
      <c r="E579" s="8"/>
      <c r="F579" s="8"/>
      <c r="G579" s="8"/>
      <c r="H579" s="8"/>
    </row>
    <row r="580" ht="15.75" customHeight="1">
      <c r="A580" s="7"/>
      <c r="B580" s="7"/>
      <c r="C580" s="8"/>
      <c r="D580" s="8"/>
      <c r="E580" s="8"/>
      <c r="F580" s="8"/>
      <c r="G580" s="8"/>
      <c r="H580" s="8"/>
    </row>
    <row r="581" ht="15.75" customHeight="1">
      <c r="A581" s="7"/>
      <c r="B581" s="7"/>
      <c r="C581" s="8"/>
      <c r="D581" s="8"/>
      <c r="E581" s="8"/>
      <c r="F581" s="8"/>
      <c r="G581" s="8"/>
      <c r="H581" s="8"/>
    </row>
    <row r="582" ht="15.75" customHeight="1">
      <c r="A582" s="7"/>
      <c r="B582" s="7"/>
      <c r="C582" s="8"/>
      <c r="D582" s="8"/>
      <c r="E582" s="8"/>
      <c r="F582" s="8"/>
      <c r="G582" s="8"/>
      <c r="H582" s="8"/>
    </row>
    <row r="583" ht="15.75" customHeight="1">
      <c r="A583" s="7"/>
      <c r="B583" s="7"/>
      <c r="C583" s="8"/>
      <c r="D583" s="8"/>
      <c r="E583" s="8"/>
      <c r="F583" s="8"/>
      <c r="G583" s="8"/>
      <c r="H583" s="8"/>
    </row>
    <row r="584" ht="15.75" customHeight="1">
      <c r="A584" s="7"/>
      <c r="B584" s="7"/>
      <c r="C584" s="8"/>
      <c r="D584" s="8"/>
      <c r="E584" s="8"/>
      <c r="F584" s="8"/>
      <c r="G584" s="8"/>
      <c r="H584" s="8"/>
    </row>
    <row r="585" ht="15.75" customHeight="1">
      <c r="A585" s="7"/>
      <c r="B585" s="7"/>
      <c r="C585" s="8"/>
      <c r="D585" s="8"/>
      <c r="E585" s="8"/>
      <c r="F585" s="8"/>
      <c r="G585" s="8"/>
      <c r="H585" s="8"/>
    </row>
    <row r="586" ht="15.75" customHeight="1">
      <c r="A586" s="7"/>
      <c r="B586" s="7"/>
      <c r="C586" s="8"/>
      <c r="D586" s="8"/>
      <c r="E586" s="8"/>
      <c r="F586" s="8"/>
      <c r="G586" s="8"/>
      <c r="H586" s="8"/>
    </row>
    <row r="587" ht="15.75" customHeight="1">
      <c r="A587" s="7"/>
      <c r="B587" s="7"/>
      <c r="C587" s="8"/>
      <c r="D587" s="8"/>
      <c r="E587" s="8"/>
      <c r="F587" s="8"/>
      <c r="G587" s="8"/>
      <c r="H587" s="8"/>
    </row>
    <row r="588" ht="15.75" customHeight="1">
      <c r="A588" s="7"/>
      <c r="B588" s="7"/>
      <c r="C588" s="8"/>
      <c r="D588" s="8"/>
      <c r="E588" s="8"/>
      <c r="F588" s="8"/>
      <c r="G588" s="8"/>
      <c r="H588" s="8"/>
    </row>
    <row r="589" ht="15.75" customHeight="1">
      <c r="A589" s="7"/>
      <c r="B589" s="7"/>
      <c r="C589" s="8"/>
      <c r="D589" s="8"/>
      <c r="E589" s="8"/>
      <c r="F589" s="8"/>
      <c r="G589" s="8"/>
      <c r="H589" s="8"/>
    </row>
    <row r="590" ht="15.75" customHeight="1">
      <c r="A590" s="7"/>
      <c r="B590" s="7"/>
      <c r="C590" s="8"/>
      <c r="D590" s="8"/>
      <c r="E590" s="8"/>
      <c r="F590" s="8"/>
      <c r="G590" s="8"/>
      <c r="H590" s="8"/>
    </row>
    <row r="591" ht="15.75" customHeight="1">
      <c r="A591" s="7"/>
      <c r="B591" s="7"/>
      <c r="C591" s="8"/>
      <c r="D591" s="8"/>
      <c r="E591" s="8"/>
      <c r="F591" s="8"/>
      <c r="G591" s="8"/>
      <c r="H591" s="8"/>
    </row>
    <row r="592" ht="15.75" customHeight="1">
      <c r="A592" s="7"/>
      <c r="B592" s="7"/>
      <c r="C592" s="8"/>
      <c r="D592" s="8"/>
      <c r="E592" s="8"/>
      <c r="F592" s="8"/>
      <c r="G592" s="8"/>
      <c r="H592" s="8"/>
    </row>
    <row r="593" ht="15.75" customHeight="1">
      <c r="A593" s="7"/>
      <c r="B593" s="7"/>
      <c r="C593" s="8"/>
      <c r="D593" s="8"/>
      <c r="E593" s="8"/>
      <c r="F593" s="8"/>
      <c r="G593" s="8"/>
      <c r="H593" s="8"/>
    </row>
    <row r="594" ht="15.75" customHeight="1">
      <c r="A594" s="7"/>
      <c r="B594" s="7"/>
      <c r="C594" s="8"/>
      <c r="D594" s="8"/>
      <c r="E594" s="8"/>
      <c r="F594" s="8"/>
      <c r="G594" s="8"/>
      <c r="H594" s="8"/>
    </row>
    <row r="595" ht="15.75" customHeight="1">
      <c r="A595" s="7"/>
      <c r="B595" s="7"/>
      <c r="C595" s="8"/>
      <c r="D595" s="8"/>
      <c r="E595" s="8"/>
      <c r="F595" s="8"/>
      <c r="G595" s="8"/>
      <c r="H595" s="8"/>
    </row>
    <row r="596" ht="15.75" customHeight="1">
      <c r="A596" s="7"/>
      <c r="B596" s="7"/>
      <c r="C596" s="8"/>
      <c r="D596" s="8"/>
      <c r="E596" s="8"/>
      <c r="F596" s="8"/>
      <c r="G596" s="8"/>
      <c r="H596" s="8"/>
    </row>
    <row r="597" ht="15.75" customHeight="1">
      <c r="A597" s="7"/>
      <c r="B597" s="7"/>
      <c r="C597" s="8"/>
      <c r="D597" s="8"/>
      <c r="E597" s="8"/>
      <c r="F597" s="8"/>
      <c r="G597" s="8"/>
      <c r="H597" s="8"/>
    </row>
    <row r="598" ht="15.75" customHeight="1">
      <c r="A598" s="7"/>
      <c r="B598" s="7"/>
      <c r="C598" s="8"/>
      <c r="D598" s="8"/>
      <c r="E598" s="8"/>
      <c r="F598" s="8"/>
      <c r="G598" s="8"/>
      <c r="H598" s="8"/>
    </row>
    <row r="599" ht="15.75" customHeight="1">
      <c r="A599" s="7"/>
      <c r="B599" s="7"/>
      <c r="C599" s="8"/>
      <c r="D599" s="8"/>
      <c r="E599" s="8"/>
      <c r="F599" s="8"/>
      <c r="G599" s="8"/>
      <c r="H599" s="8"/>
    </row>
    <row r="600" ht="15.75" customHeight="1">
      <c r="A600" s="7"/>
      <c r="B600" s="7"/>
      <c r="C600" s="8"/>
      <c r="D600" s="8"/>
      <c r="E600" s="8"/>
      <c r="F600" s="8"/>
      <c r="G600" s="8"/>
      <c r="H600" s="8"/>
    </row>
    <row r="601" ht="15.75" customHeight="1">
      <c r="A601" s="7"/>
      <c r="B601" s="7"/>
      <c r="C601" s="8"/>
      <c r="D601" s="8"/>
      <c r="E601" s="8"/>
      <c r="F601" s="8"/>
      <c r="G601" s="8"/>
      <c r="H601" s="8"/>
    </row>
    <row r="602" ht="15.75" customHeight="1">
      <c r="A602" s="7"/>
      <c r="B602" s="7"/>
      <c r="C602" s="8"/>
      <c r="D602" s="8"/>
      <c r="E602" s="8"/>
      <c r="F602" s="8"/>
      <c r="G602" s="8"/>
      <c r="H602" s="8"/>
    </row>
    <row r="603" ht="15.75" customHeight="1">
      <c r="A603" s="7"/>
      <c r="B603" s="7"/>
      <c r="C603" s="8"/>
      <c r="D603" s="8"/>
      <c r="E603" s="8"/>
      <c r="F603" s="8"/>
      <c r="G603" s="8"/>
      <c r="H603" s="8"/>
    </row>
    <row r="604" ht="15.75" customHeight="1">
      <c r="A604" s="7"/>
      <c r="B604" s="7"/>
      <c r="C604" s="8"/>
      <c r="D604" s="8"/>
      <c r="E604" s="8"/>
      <c r="F604" s="8"/>
      <c r="G604" s="8"/>
      <c r="H604" s="8"/>
    </row>
    <row r="605" ht="15.75" customHeight="1">
      <c r="A605" s="7"/>
      <c r="B605" s="7"/>
      <c r="C605" s="8"/>
      <c r="D605" s="8"/>
      <c r="E605" s="8"/>
      <c r="F605" s="8"/>
      <c r="G605" s="8"/>
      <c r="H605" s="8"/>
    </row>
    <row r="606" ht="15.75" customHeight="1">
      <c r="A606" s="7"/>
      <c r="B606" s="7"/>
      <c r="C606" s="8"/>
      <c r="D606" s="8"/>
      <c r="E606" s="8"/>
      <c r="F606" s="8"/>
      <c r="G606" s="8"/>
      <c r="H606" s="8"/>
    </row>
    <row r="607" ht="15.75" customHeight="1">
      <c r="A607" s="7"/>
      <c r="B607" s="7"/>
      <c r="C607" s="8"/>
      <c r="D607" s="8"/>
      <c r="E607" s="8"/>
      <c r="F607" s="8"/>
      <c r="G607" s="8"/>
      <c r="H607" s="8"/>
    </row>
    <row r="608" ht="15.75" customHeight="1">
      <c r="A608" s="7"/>
      <c r="B608" s="7"/>
      <c r="C608" s="8"/>
      <c r="D608" s="8"/>
      <c r="E608" s="8"/>
      <c r="F608" s="8"/>
      <c r="G608" s="8"/>
      <c r="H608" s="8"/>
    </row>
    <row r="609" ht="15.75" customHeight="1">
      <c r="A609" s="7"/>
      <c r="B609" s="7"/>
      <c r="C609" s="8"/>
      <c r="D609" s="8"/>
      <c r="E609" s="8"/>
      <c r="F609" s="8"/>
      <c r="G609" s="8"/>
      <c r="H609" s="8"/>
    </row>
    <row r="610" ht="15.75" customHeight="1">
      <c r="A610" s="7"/>
      <c r="B610" s="7"/>
      <c r="C610" s="8"/>
      <c r="D610" s="8"/>
      <c r="E610" s="8"/>
      <c r="F610" s="8"/>
      <c r="G610" s="8"/>
      <c r="H610" s="8"/>
    </row>
    <row r="611" ht="15.75" customHeight="1">
      <c r="A611" s="7"/>
      <c r="B611" s="7"/>
      <c r="C611" s="8"/>
      <c r="D611" s="8"/>
      <c r="E611" s="8"/>
      <c r="F611" s="8"/>
      <c r="G611" s="8"/>
      <c r="H611" s="8"/>
    </row>
    <row r="612" ht="15.75" customHeight="1">
      <c r="A612" s="7"/>
      <c r="B612" s="7"/>
      <c r="C612" s="8"/>
      <c r="D612" s="8"/>
      <c r="E612" s="8"/>
      <c r="F612" s="8"/>
      <c r="G612" s="8"/>
      <c r="H612" s="8"/>
    </row>
    <row r="613" ht="15.75" customHeight="1">
      <c r="A613" s="7"/>
      <c r="B613" s="7"/>
      <c r="C613" s="8"/>
      <c r="D613" s="8"/>
      <c r="E613" s="8"/>
      <c r="F613" s="8"/>
      <c r="G613" s="8"/>
      <c r="H613" s="8"/>
    </row>
    <row r="614" ht="15.75" customHeight="1">
      <c r="A614" s="7"/>
      <c r="B614" s="7"/>
      <c r="C614" s="8"/>
      <c r="D614" s="8"/>
      <c r="E614" s="8"/>
      <c r="F614" s="8"/>
      <c r="G614" s="8"/>
      <c r="H614" s="8"/>
    </row>
    <row r="615" ht="15.75" customHeight="1">
      <c r="A615" s="7"/>
      <c r="B615" s="7"/>
      <c r="C615" s="8"/>
      <c r="D615" s="8"/>
      <c r="E615" s="8"/>
      <c r="F615" s="8"/>
      <c r="G615" s="8"/>
      <c r="H615" s="8"/>
    </row>
    <row r="616" ht="15.75" customHeight="1">
      <c r="A616" s="7"/>
      <c r="B616" s="7"/>
      <c r="C616" s="8"/>
      <c r="D616" s="8"/>
      <c r="E616" s="8"/>
      <c r="F616" s="8"/>
      <c r="G616" s="8"/>
      <c r="H616" s="8"/>
    </row>
    <row r="617" ht="15.75" customHeight="1">
      <c r="A617" s="7"/>
      <c r="B617" s="7"/>
      <c r="C617" s="8"/>
      <c r="D617" s="8"/>
      <c r="E617" s="8"/>
      <c r="F617" s="8"/>
      <c r="G617" s="8"/>
      <c r="H617" s="8"/>
    </row>
    <row r="618" ht="15.75" customHeight="1">
      <c r="A618" s="7"/>
      <c r="B618" s="7"/>
      <c r="C618" s="8"/>
      <c r="D618" s="8"/>
      <c r="E618" s="8"/>
      <c r="F618" s="8"/>
      <c r="G618" s="8"/>
      <c r="H618" s="8"/>
    </row>
    <row r="619" ht="15.75" customHeight="1">
      <c r="A619" s="7"/>
      <c r="B619" s="7"/>
      <c r="C619" s="8"/>
      <c r="D619" s="8"/>
      <c r="E619" s="8"/>
      <c r="F619" s="8"/>
      <c r="G619" s="8"/>
      <c r="H619" s="8"/>
    </row>
    <row r="620" ht="15.75" customHeight="1">
      <c r="A620" s="7"/>
      <c r="B620" s="7"/>
      <c r="C620" s="8"/>
      <c r="D620" s="8"/>
      <c r="E620" s="8"/>
      <c r="F620" s="8"/>
      <c r="G620" s="8"/>
      <c r="H620" s="8"/>
    </row>
    <row r="621" ht="15.75" customHeight="1">
      <c r="A621" s="7"/>
      <c r="B621" s="7"/>
      <c r="C621" s="8"/>
      <c r="D621" s="8"/>
      <c r="E621" s="8"/>
      <c r="F621" s="8"/>
      <c r="G621" s="8"/>
      <c r="H621" s="8"/>
    </row>
    <row r="622" ht="15.75" customHeight="1">
      <c r="A622" s="7"/>
      <c r="B622" s="7"/>
      <c r="C622" s="8"/>
      <c r="D622" s="8"/>
      <c r="E622" s="8"/>
      <c r="F622" s="8"/>
      <c r="G622" s="8"/>
      <c r="H622" s="8"/>
    </row>
    <row r="623" ht="15.75" customHeight="1">
      <c r="A623" s="7"/>
      <c r="B623" s="7"/>
      <c r="C623" s="8"/>
      <c r="D623" s="8"/>
      <c r="E623" s="8"/>
      <c r="F623" s="8"/>
      <c r="G623" s="8"/>
      <c r="H623" s="8"/>
    </row>
    <row r="624" ht="15.75" customHeight="1">
      <c r="A624" s="7"/>
      <c r="B624" s="7"/>
      <c r="C624" s="8"/>
      <c r="D624" s="8"/>
      <c r="E624" s="8"/>
      <c r="F624" s="8"/>
      <c r="G624" s="8"/>
      <c r="H624" s="8"/>
    </row>
    <row r="625" ht="15.75" customHeight="1">
      <c r="A625" s="7"/>
      <c r="B625" s="7"/>
      <c r="C625" s="8"/>
      <c r="D625" s="8"/>
      <c r="E625" s="8"/>
      <c r="F625" s="8"/>
      <c r="G625" s="8"/>
      <c r="H625" s="8"/>
    </row>
    <row r="626" ht="15.75" customHeight="1">
      <c r="A626" s="7"/>
      <c r="B626" s="7"/>
      <c r="C626" s="8"/>
      <c r="D626" s="8"/>
      <c r="E626" s="8"/>
      <c r="F626" s="8"/>
      <c r="G626" s="8"/>
      <c r="H626" s="8"/>
    </row>
    <row r="627" ht="15.75" customHeight="1">
      <c r="A627" s="7"/>
      <c r="B627" s="7"/>
      <c r="C627" s="8"/>
      <c r="D627" s="8"/>
      <c r="E627" s="8"/>
      <c r="F627" s="8"/>
      <c r="G627" s="8"/>
      <c r="H627" s="8"/>
    </row>
    <row r="628" ht="15.75" customHeight="1">
      <c r="A628" s="7"/>
      <c r="B628" s="7"/>
      <c r="C628" s="8"/>
      <c r="D628" s="8"/>
      <c r="E628" s="8"/>
      <c r="F628" s="8"/>
      <c r="G628" s="8"/>
      <c r="H628" s="8"/>
    </row>
    <row r="629" ht="15.75" customHeight="1">
      <c r="A629" s="7"/>
      <c r="B629" s="7"/>
      <c r="C629" s="8"/>
      <c r="D629" s="8"/>
      <c r="E629" s="8"/>
      <c r="F629" s="8"/>
      <c r="G629" s="8"/>
      <c r="H629" s="8"/>
    </row>
    <row r="630" ht="15.75" customHeight="1">
      <c r="A630" s="7"/>
      <c r="B630" s="7"/>
      <c r="C630" s="8"/>
      <c r="D630" s="8"/>
      <c r="E630" s="8"/>
      <c r="F630" s="8"/>
      <c r="G630" s="8"/>
      <c r="H630" s="8"/>
    </row>
    <row r="631" ht="15.75" customHeight="1">
      <c r="A631" s="7"/>
      <c r="B631" s="7"/>
      <c r="C631" s="8"/>
      <c r="D631" s="8"/>
      <c r="E631" s="8"/>
      <c r="F631" s="8"/>
      <c r="G631" s="8"/>
      <c r="H631" s="8"/>
    </row>
    <row r="632" ht="15.75" customHeight="1">
      <c r="A632" s="7"/>
      <c r="B632" s="7"/>
      <c r="C632" s="8"/>
      <c r="D632" s="8"/>
      <c r="E632" s="8"/>
      <c r="F632" s="8"/>
      <c r="G632" s="8"/>
      <c r="H632" s="8"/>
    </row>
    <row r="633" ht="15.75" customHeight="1">
      <c r="A633" s="7"/>
      <c r="B633" s="7"/>
      <c r="C633" s="8"/>
      <c r="D633" s="8"/>
      <c r="E633" s="8"/>
      <c r="F633" s="8"/>
      <c r="G633" s="8"/>
      <c r="H633" s="8"/>
    </row>
    <row r="634" ht="15.75" customHeight="1">
      <c r="A634" s="7"/>
      <c r="B634" s="7"/>
      <c r="C634" s="8"/>
      <c r="D634" s="8"/>
      <c r="E634" s="8"/>
      <c r="F634" s="8"/>
      <c r="G634" s="8"/>
      <c r="H634" s="8"/>
    </row>
    <row r="635" ht="15.75" customHeight="1">
      <c r="A635" s="7"/>
      <c r="B635" s="7"/>
      <c r="C635" s="8"/>
      <c r="D635" s="8"/>
      <c r="E635" s="8"/>
      <c r="F635" s="8"/>
      <c r="G635" s="8"/>
      <c r="H635" s="8"/>
    </row>
    <row r="636" ht="15.75" customHeight="1">
      <c r="A636" s="7"/>
      <c r="B636" s="7"/>
      <c r="C636" s="8"/>
      <c r="D636" s="8"/>
      <c r="E636" s="8"/>
      <c r="F636" s="8"/>
      <c r="G636" s="8"/>
      <c r="H636" s="8"/>
    </row>
    <row r="637" ht="15.75" customHeight="1">
      <c r="A637" s="7"/>
      <c r="B637" s="7"/>
      <c r="C637" s="8"/>
      <c r="D637" s="8"/>
      <c r="E637" s="8"/>
      <c r="F637" s="8"/>
      <c r="G637" s="8"/>
      <c r="H637" s="8"/>
    </row>
    <row r="638" ht="15.75" customHeight="1">
      <c r="A638" s="7"/>
      <c r="B638" s="7"/>
      <c r="C638" s="8"/>
      <c r="D638" s="8"/>
      <c r="E638" s="8"/>
      <c r="F638" s="8"/>
      <c r="G638" s="8"/>
      <c r="H638" s="8"/>
    </row>
    <row r="639" ht="15.75" customHeight="1">
      <c r="A639" s="7"/>
      <c r="B639" s="7"/>
      <c r="C639" s="8"/>
      <c r="D639" s="8"/>
      <c r="E639" s="8"/>
      <c r="F639" s="8"/>
      <c r="G639" s="8"/>
      <c r="H639" s="8"/>
    </row>
    <row r="640" ht="15.75" customHeight="1">
      <c r="A640" s="7"/>
      <c r="B640" s="7"/>
      <c r="C640" s="8"/>
      <c r="D640" s="8"/>
      <c r="E640" s="8"/>
      <c r="F640" s="8"/>
      <c r="G640" s="8"/>
      <c r="H640" s="8"/>
    </row>
    <row r="641" ht="15.75" customHeight="1">
      <c r="A641" s="7"/>
      <c r="B641" s="7"/>
      <c r="C641" s="8"/>
      <c r="D641" s="8"/>
      <c r="E641" s="8"/>
      <c r="F641" s="8"/>
      <c r="G641" s="8"/>
      <c r="H641" s="8"/>
    </row>
    <row r="642" ht="15.75" customHeight="1">
      <c r="A642" s="7"/>
      <c r="B642" s="7"/>
      <c r="C642" s="8"/>
      <c r="D642" s="8"/>
      <c r="E642" s="8"/>
      <c r="F642" s="8"/>
      <c r="G642" s="8"/>
      <c r="H642" s="8"/>
    </row>
    <row r="643" ht="15.75" customHeight="1">
      <c r="A643" s="7"/>
      <c r="B643" s="7"/>
      <c r="C643" s="8"/>
      <c r="D643" s="8"/>
      <c r="E643" s="8"/>
      <c r="F643" s="8"/>
      <c r="G643" s="8"/>
      <c r="H643" s="8"/>
    </row>
    <row r="644" ht="15.75" customHeight="1">
      <c r="A644" s="7"/>
      <c r="B644" s="7"/>
      <c r="C644" s="8"/>
      <c r="D644" s="8"/>
      <c r="E644" s="8"/>
      <c r="F644" s="8"/>
      <c r="G644" s="8"/>
      <c r="H644" s="8"/>
    </row>
    <row r="645" ht="15.75" customHeight="1">
      <c r="A645" s="7"/>
      <c r="B645" s="7"/>
      <c r="C645" s="8"/>
      <c r="D645" s="8"/>
      <c r="E645" s="8"/>
      <c r="F645" s="8"/>
      <c r="G645" s="8"/>
      <c r="H645" s="8"/>
    </row>
    <row r="646" ht="15.75" customHeight="1">
      <c r="A646" s="7"/>
      <c r="B646" s="7"/>
      <c r="C646" s="8"/>
      <c r="D646" s="8"/>
      <c r="E646" s="8"/>
      <c r="F646" s="8"/>
      <c r="G646" s="8"/>
      <c r="H646" s="8"/>
    </row>
    <row r="647" ht="15.75" customHeight="1">
      <c r="A647" s="7"/>
      <c r="B647" s="7"/>
      <c r="C647" s="8"/>
      <c r="D647" s="8"/>
      <c r="E647" s="8"/>
      <c r="F647" s="8"/>
      <c r="G647" s="8"/>
      <c r="H647" s="8"/>
    </row>
    <row r="648" ht="15.75" customHeight="1">
      <c r="A648" s="7"/>
      <c r="B648" s="7"/>
      <c r="C648" s="8"/>
      <c r="D648" s="8"/>
      <c r="E648" s="8"/>
      <c r="F648" s="8"/>
      <c r="G648" s="8"/>
      <c r="H648" s="8"/>
    </row>
    <row r="649" ht="15.75" customHeight="1">
      <c r="A649" s="7"/>
      <c r="B649" s="7"/>
      <c r="C649" s="8"/>
      <c r="D649" s="8"/>
      <c r="E649" s="8"/>
      <c r="F649" s="8"/>
      <c r="G649" s="8"/>
      <c r="H649" s="8"/>
    </row>
    <row r="650" ht="15.75" customHeight="1">
      <c r="A650" s="7"/>
      <c r="B650" s="7"/>
      <c r="C650" s="8"/>
      <c r="D650" s="8"/>
      <c r="E650" s="8"/>
      <c r="F650" s="8"/>
      <c r="G650" s="8"/>
      <c r="H650" s="8"/>
    </row>
    <row r="651" ht="15.75" customHeight="1">
      <c r="A651" s="7"/>
      <c r="B651" s="7"/>
      <c r="C651" s="8"/>
      <c r="D651" s="8"/>
      <c r="E651" s="8"/>
      <c r="F651" s="8"/>
      <c r="G651" s="8"/>
      <c r="H651" s="8"/>
    </row>
    <row r="652" ht="15.75" customHeight="1">
      <c r="A652" s="7"/>
      <c r="B652" s="7"/>
      <c r="C652" s="8"/>
      <c r="D652" s="8"/>
      <c r="E652" s="8"/>
      <c r="F652" s="8"/>
      <c r="G652" s="8"/>
      <c r="H652" s="8"/>
    </row>
    <row r="653" ht="15.75" customHeight="1">
      <c r="A653" s="7"/>
      <c r="B653" s="7"/>
      <c r="C653" s="8"/>
      <c r="D653" s="8"/>
      <c r="E653" s="8"/>
      <c r="F653" s="8"/>
      <c r="G653" s="8"/>
      <c r="H653" s="8"/>
    </row>
    <row r="654" ht="15.75" customHeight="1">
      <c r="A654" s="7"/>
      <c r="B654" s="7"/>
      <c r="C654" s="8"/>
      <c r="D654" s="8"/>
      <c r="E654" s="8"/>
      <c r="F654" s="8"/>
      <c r="G654" s="8"/>
      <c r="H654" s="8"/>
    </row>
    <row r="655" ht="15.75" customHeight="1">
      <c r="A655" s="7"/>
      <c r="B655" s="7"/>
      <c r="C655" s="8"/>
      <c r="D655" s="8"/>
      <c r="E655" s="8"/>
      <c r="F655" s="8"/>
      <c r="G655" s="8"/>
      <c r="H655" s="8"/>
    </row>
    <row r="656" ht="15.75" customHeight="1">
      <c r="A656" s="7"/>
      <c r="B656" s="7"/>
      <c r="C656" s="8"/>
      <c r="D656" s="8"/>
      <c r="E656" s="8"/>
      <c r="F656" s="8"/>
      <c r="G656" s="8"/>
      <c r="H656" s="8"/>
    </row>
    <row r="657" ht="15.75" customHeight="1">
      <c r="A657" s="7"/>
      <c r="B657" s="7"/>
      <c r="C657" s="8"/>
      <c r="D657" s="8"/>
      <c r="E657" s="8"/>
      <c r="F657" s="8"/>
      <c r="G657" s="8"/>
      <c r="H657" s="8"/>
    </row>
    <row r="658" ht="15.75" customHeight="1">
      <c r="A658" s="7"/>
      <c r="B658" s="7"/>
      <c r="C658" s="8"/>
      <c r="D658" s="8"/>
      <c r="E658" s="8"/>
      <c r="F658" s="8"/>
      <c r="G658" s="8"/>
      <c r="H658" s="8"/>
    </row>
    <row r="659" ht="15.75" customHeight="1">
      <c r="A659" s="7"/>
      <c r="B659" s="7"/>
      <c r="C659" s="8"/>
      <c r="D659" s="8"/>
      <c r="E659" s="8"/>
      <c r="F659" s="8"/>
      <c r="G659" s="8"/>
      <c r="H659" s="8"/>
    </row>
    <row r="660" ht="15.75" customHeight="1">
      <c r="A660" s="7"/>
      <c r="B660" s="7"/>
      <c r="C660" s="8"/>
      <c r="D660" s="8"/>
      <c r="E660" s="8"/>
      <c r="F660" s="8"/>
      <c r="G660" s="8"/>
      <c r="H660" s="8"/>
    </row>
    <row r="661" ht="15.75" customHeight="1">
      <c r="A661" s="7"/>
      <c r="B661" s="7"/>
      <c r="C661" s="8"/>
      <c r="D661" s="8"/>
      <c r="E661" s="8"/>
      <c r="F661" s="8"/>
      <c r="G661" s="8"/>
      <c r="H661" s="8"/>
    </row>
    <row r="662" ht="15.75" customHeight="1">
      <c r="A662" s="7"/>
      <c r="B662" s="7"/>
      <c r="C662" s="8"/>
      <c r="D662" s="8"/>
      <c r="E662" s="8"/>
      <c r="F662" s="8"/>
      <c r="G662" s="8"/>
      <c r="H662" s="8"/>
    </row>
    <row r="663" ht="15.75" customHeight="1">
      <c r="A663" s="7"/>
      <c r="B663" s="7"/>
      <c r="C663" s="8"/>
      <c r="D663" s="8"/>
      <c r="E663" s="8"/>
      <c r="F663" s="8"/>
      <c r="G663" s="8"/>
      <c r="H663" s="8"/>
    </row>
    <row r="664" ht="15.75" customHeight="1">
      <c r="A664" s="7"/>
      <c r="B664" s="7"/>
      <c r="C664" s="8"/>
      <c r="D664" s="8"/>
      <c r="E664" s="8"/>
      <c r="F664" s="8"/>
      <c r="G664" s="8"/>
      <c r="H664" s="8"/>
    </row>
    <row r="665" ht="15.75" customHeight="1">
      <c r="A665" s="7"/>
      <c r="B665" s="7"/>
      <c r="C665" s="8"/>
      <c r="D665" s="8"/>
      <c r="E665" s="8"/>
      <c r="F665" s="8"/>
      <c r="G665" s="8"/>
      <c r="H665" s="8"/>
    </row>
    <row r="666" ht="15.75" customHeight="1">
      <c r="A666" s="7"/>
      <c r="B666" s="7"/>
      <c r="C666" s="8"/>
      <c r="D666" s="8"/>
      <c r="E666" s="8"/>
      <c r="F666" s="8"/>
      <c r="G666" s="8"/>
      <c r="H666" s="8"/>
    </row>
    <row r="667" ht="15.75" customHeight="1">
      <c r="A667" s="7"/>
      <c r="B667" s="7"/>
      <c r="C667" s="8"/>
      <c r="D667" s="8"/>
      <c r="E667" s="8"/>
      <c r="F667" s="8"/>
      <c r="G667" s="8"/>
      <c r="H667" s="8"/>
    </row>
    <row r="668" ht="15.75" customHeight="1">
      <c r="A668" s="7"/>
      <c r="B668" s="7"/>
      <c r="C668" s="8"/>
      <c r="D668" s="8"/>
      <c r="E668" s="8"/>
      <c r="F668" s="8"/>
      <c r="G668" s="8"/>
      <c r="H668" s="8"/>
    </row>
    <row r="669" ht="15.75" customHeight="1">
      <c r="A669" s="7"/>
      <c r="B669" s="7"/>
      <c r="C669" s="8"/>
      <c r="D669" s="8"/>
      <c r="E669" s="8"/>
      <c r="F669" s="8"/>
      <c r="G669" s="8"/>
      <c r="H669" s="8"/>
    </row>
    <row r="670" ht="15.75" customHeight="1">
      <c r="A670" s="7"/>
      <c r="B670" s="7"/>
      <c r="C670" s="8"/>
      <c r="D670" s="8"/>
      <c r="E670" s="8"/>
      <c r="F670" s="8"/>
      <c r="G670" s="8"/>
      <c r="H670" s="8"/>
    </row>
    <row r="671" ht="15.75" customHeight="1">
      <c r="A671" s="7"/>
      <c r="B671" s="7"/>
      <c r="C671" s="8"/>
      <c r="D671" s="8"/>
      <c r="E671" s="8"/>
      <c r="F671" s="8"/>
      <c r="G671" s="8"/>
      <c r="H671" s="8"/>
    </row>
    <row r="672" ht="15.75" customHeight="1">
      <c r="A672" s="7"/>
      <c r="B672" s="7"/>
      <c r="C672" s="8"/>
      <c r="D672" s="8"/>
      <c r="E672" s="8"/>
      <c r="F672" s="8"/>
      <c r="G672" s="8"/>
      <c r="H672" s="8"/>
    </row>
    <row r="673" ht="15.75" customHeight="1">
      <c r="A673" s="7"/>
      <c r="B673" s="7"/>
      <c r="C673" s="8"/>
      <c r="D673" s="8"/>
      <c r="E673" s="8"/>
      <c r="F673" s="8"/>
      <c r="G673" s="8"/>
      <c r="H673" s="8"/>
    </row>
    <row r="674" ht="15.75" customHeight="1">
      <c r="A674" s="7"/>
      <c r="B674" s="7"/>
      <c r="C674" s="8"/>
      <c r="D674" s="8"/>
      <c r="E674" s="8"/>
      <c r="F674" s="8"/>
      <c r="G674" s="8"/>
      <c r="H674" s="8"/>
    </row>
    <row r="675" ht="15.75" customHeight="1">
      <c r="A675" s="7"/>
      <c r="B675" s="7"/>
      <c r="C675" s="8"/>
      <c r="D675" s="8"/>
      <c r="E675" s="8"/>
      <c r="F675" s="8"/>
      <c r="G675" s="8"/>
      <c r="H675" s="8"/>
    </row>
    <row r="676" ht="15.75" customHeight="1">
      <c r="A676" s="7"/>
      <c r="B676" s="7"/>
      <c r="C676" s="8"/>
      <c r="D676" s="8"/>
      <c r="E676" s="8"/>
      <c r="F676" s="8"/>
      <c r="G676" s="8"/>
      <c r="H676" s="8"/>
    </row>
    <row r="677" ht="15.75" customHeight="1">
      <c r="A677" s="7"/>
      <c r="B677" s="7"/>
      <c r="C677" s="8"/>
      <c r="D677" s="8"/>
      <c r="E677" s="8"/>
      <c r="F677" s="8"/>
      <c r="G677" s="8"/>
      <c r="H677" s="8"/>
    </row>
    <row r="678" ht="15.75" customHeight="1">
      <c r="A678" s="7"/>
      <c r="B678" s="7"/>
      <c r="C678" s="8"/>
      <c r="D678" s="8"/>
      <c r="E678" s="8"/>
      <c r="F678" s="8"/>
      <c r="G678" s="8"/>
      <c r="H678" s="8"/>
    </row>
    <row r="679" ht="15.75" customHeight="1">
      <c r="A679" s="7"/>
      <c r="B679" s="7"/>
      <c r="C679" s="8"/>
      <c r="D679" s="8"/>
      <c r="E679" s="8"/>
      <c r="F679" s="8"/>
      <c r="G679" s="8"/>
      <c r="H679" s="8"/>
    </row>
    <row r="680" ht="15.75" customHeight="1">
      <c r="A680" s="7"/>
      <c r="B680" s="7"/>
      <c r="C680" s="8"/>
      <c r="D680" s="8"/>
      <c r="E680" s="8"/>
      <c r="F680" s="8"/>
      <c r="G680" s="8"/>
      <c r="H680" s="8"/>
    </row>
    <row r="681" ht="15.75" customHeight="1">
      <c r="A681" s="7"/>
      <c r="B681" s="7"/>
      <c r="C681" s="8"/>
      <c r="D681" s="8"/>
      <c r="E681" s="8"/>
      <c r="F681" s="8"/>
      <c r="G681" s="8"/>
      <c r="H681" s="8"/>
    </row>
    <row r="682" ht="15.75" customHeight="1">
      <c r="A682" s="7"/>
      <c r="B682" s="7"/>
      <c r="C682" s="8"/>
      <c r="D682" s="8"/>
      <c r="E682" s="8"/>
      <c r="F682" s="8"/>
      <c r="G682" s="8"/>
      <c r="H682" s="8"/>
    </row>
    <row r="683" ht="15.75" customHeight="1">
      <c r="A683" s="7"/>
      <c r="B683" s="7"/>
      <c r="C683" s="8"/>
      <c r="D683" s="8"/>
      <c r="E683" s="8"/>
      <c r="F683" s="8"/>
      <c r="G683" s="8"/>
      <c r="H683" s="8"/>
    </row>
    <row r="684" ht="15.75" customHeight="1">
      <c r="A684" s="7"/>
      <c r="B684" s="7"/>
      <c r="C684" s="8"/>
      <c r="D684" s="8"/>
      <c r="E684" s="8"/>
      <c r="F684" s="8"/>
      <c r="G684" s="8"/>
      <c r="H684" s="8"/>
    </row>
    <row r="685" ht="15.75" customHeight="1">
      <c r="A685" s="7"/>
      <c r="B685" s="7"/>
      <c r="C685" s="8"/>
      <c r="D685" s="8"/>
      <c r="E685" s="8"/>
      <c r="F685" s="8"/>
      <c r="G685" s="8"/>
      <c r="H685" s="8"/>
    </row>
    <row r="686" ht="15.75" customHeight="1">
      <c r="A686" s="7"/>
      <c r="B686" s="7"/>
      <c r="C686" s="8"/>
      <c r="D686" s="8"/>
      <c r="E686" s="8"/>
      <c r="F686" s="8"/>
      <c r="G686" s="8"/>
      <c r="H686" s="8"/>
    </row>
    <row r="687" ht="15.75" customHeight="1">
      <c r="A687" s="7"/>
      <c r="B687" s="7"/>
      <c r="C687" s="8"/>
      <c r="D687" s="8"/>
      <c r="E687" s="8"/>
      <c r="F687" s="8"/>
      <c r="G687" s="8"/>
      <c r="H687" s="8"/>
    </row>
    <row r="688" ht="15.75" customHeight="1">
      <c r="A688" s="7"/>
      <c r="B688" s="7"/>
      <c r="C688" s="8"/>
      <c r="D688" s="8"/>
      <c r="E688" s="8"/>
      <c r="F688" s="8"/>
      <c r="G688" s="8"/>
      <c r="H688" s="8"/>
    </row>
    <row r="689" ht="15.75" customHeight="1">
      <c r="A689" s="7"/>
      <c r="B689" s="7"/>
      <c r="C689" s="8"/>
      <c r="D689" s="8"/>
      <c r="E689" s="8"/>
      <c r="F689" s="8"/>
      <c r="G689" s="8"/>
      <c r="H689" s="8"/>
    </row>
    <row r="690" ht="15.75" customHeight="1">
      <c r="A690" s="7"/>
      <c r="B690" s="7"/>
      <c r="C690" s="8"/>
      <c r="D690" s="8"/>
      <c r="E690" s="8"/>
      <c r="F690" s="8"/>
      <c r="G690" s="8"/>
      <c r="H690" s="8"/>
    </row>
    <row r="691" ht="15.75" customHeight="1">
      <c r="A691" s="7"/>
      <c r="B691" s="7"/>
      <c r="C691" s="8"/>
      <c r="D691" s="8"/>
      <c r="E691" s="8"/>
      <c r="F691" s="8"/>
      <c r="G691" s="8"/>
      <c r="H691" s="8"/>
    </row>
    <row r="692" ht="15.75" customHeight="1">
      <c r="A692" s="7"/>
      <c r="B692" s="7"/>
      <c r="C692" s="8"/>
      <c r="D692" s="8"/>
      <c r="E692" s="8"/>
      <c r="F692" s="8"/>
      <c r="G692" s="8"/>
      <c r="H692" s="8"/>
    </row>
    <row r="693" ht="15.75" customHeight="1">
      <c r="A693" s="7"/>
      <c r="B693" s="7"/>
      <c r="C693" s="8"/>
      <c r="D693" s="8"/>
      <c r="E693" s="8"/>
      <c r="F693" s="8"/>
      <c r="G693" s="8"/>
      <c r="H693" s="8"/>
    </row>
    <row r="694" ht="15.75" customHeight="1">
      <c r="A694" s="7"/>
      <c r="B694" s="7"/>
      <c r="C694" s="8"/>
      <c r="D694" s="8"/>
      <c r="E694" s="8"/>
      <c r="F694" s="8"/>
      <c r="G694" s="8"/>
      <c r="H694" s="8"/>
    </row>
    <row r="695" ht="15.75" customHeight="1">
      <c r="A695" s="7"/>
      <c r="B695" s="7"/>
      <c r="C695" s="8"/>
      <c r="D695" s="8"/>
      <c r="E695" s="8"/>
      <c r="F695" s="8"/>
      <c r="G695" s="8"/>
      <c r="H695" s="8"/>
    </row>
    <row r="696" ht="15.75" customHeight="1">
      <c r="A696" s="7"/>
      <c r="B696" s="7"/>
      <c r="C696" s="8"/>
      <c r="D696" s="8"/>
      <c r="E696" s="8"/>
      <c r="F696" s="8"/>
      <c r="G696" s="8"/>
      <c r="H696" s="8"/>
    </row>
    <row r="697" ht="15.75" customHeight="1">
      <c r="A697" s="7"/>
      <c r="B697" s="7"/>
      <c r="C697" s="8"/>
      <c r="D697" s="8"/>
      <c r="E697" s="8"/>
      <c r="F697" s="8"/>
      <c r="G697" s="8"/>
      <c r="H697" s="8"/>
    </row>
    <row r="698" ht="15.75" customHeight="1">
      <c r="A698" s="7"/>
      <c r="B698" s="7"/>
      <c r="C698" s="8"/>
      <c r="D698" s="8"/>
      <c r="E698" s="8"/>
      <c r="F698" s="8"/>
      <c r="G698" s="8"/>
      <c r="H698" s="8"/>
    </row>
    <row r="699" ht="15.75" customHeight="1">
      <c r="A699" s="7"/>
      <c r="B699" s="7"/>
      <c r="C699" s="8"/>
      <c r="D699" s="8"/>
      <c r="E699" s="8"/>
      <c r="F699" s="8"/>
      <c r="G699" s="8"/>
      <c r="H699" s="8"/>
    </row>
    <row r="700" ht="15.75" customHeight="1">
      <c r="A700" s="7"/>
      <c r="B700" s="7"/>
      <c r="C700" s="8"/>
      <c r="D700" s="8"/>
      <c r="E700" s="8"/>
      <c r="F700" s="8"/>
      <c r="G700" s="8"/>
      <c r="H700" s="8"/>
    </row>
    <row r="701" ht="15.75" customHeight="1">
      <c r="A701" s="7"/>
      <c r="B701" s="7"/>
      <c r="C701" s="8"/>
      <c r="D701" s="8"/>
      <c r="E701" s="8"/>
      <c r="F701" s="8"/>
      <c r="G701" s="8"/>
      <c r="H701" s="8"/>
    </row>
    <row r="702" ht="15.75" customHeight="1">
      <c r="A702" s="7"/>
      <c r="B702" s="7"/>
      <c r="C702" s="8"/>
      <c r="D702" s="8"/>
      <c r="E702" s="8"/>
      <c r="F702" s="8"/>
      <c r="G702" s="8"/>
      <c r="H702" s="8"/>
    </row>
    <row r="703" ht="15.75" customHeight="1">
      <c r="A703" s="7"/>
      <c r="B703" s="7"/>
      <c r="C703" s="8"/>
      <c r="D703" s="8"/>
      <c r="E703" s="8"/>
      <c r="F703" s="8"/>
      <c r="G703" s="8"/>
      <c r="H703" s="8"/>
    </row>
    <row r="704" ht="15.75" customHeight="1">
      <c r="A704" s="7"/>
      <c r="B704" s="7"/>
      <c r="C704" s="8"/>
      <c r="D704" s="8"/>
      <c r="E704" s="8"/>
      <c r="F704" s="8"/>
      <c r="G704" s="8"/>
      <c r="H704" s="8"/>
    </row>
    <row r="705" ht="15.75" customHeight="1">
      <c r="A705" s="7"/>
      <c r="B705" s="7"/>
      <c r="C705" s="8"/>
      <c r="D705" s="8"/>
      <c r="E705" s="8"/>
      <c r="F705" s="8"/>
      <c r="G705" s="8"/>
      <c r="H705" s="8"/>
    </row>
    <row r="706" ht="15.75" customHeight="1">
      <c r="A706" s="7"/>
      <c r="B706" s="7"/>
      <c r="C706" s="8"/>
      <c r="D706" s="8"/>
      <c r="E706" s="8"/>
      <c r="F706" s="8"/>
      <c r="G706" s="8"/>
      <c r="H706" s="8"/>
    </row>
    <row r="707" ht="15.75" customHeight="1">
      <c r="A707" s="7"/>
      <c r="B707" s="7"/>
      <c r="C707" s="8"/>
      <c r="D707" s="8"/>
      <c r="E707" s="8"/>
      <c r="F707" s="8"/>
      <c r="G707" s="8"/>
      <c r="H707" s="8"/>
    </row>
    <row r="708" ht="15.75" customHeight="1">
      <c r="A708" s="7"/>
      <c r="B708" s="7"/>
      <c r="C708" s="8"/>
      <c r="D708" s="8"/>
      <c r="E708" s="8"/>
      <c r="F708" s="8"/>
      <c r="G708" s="8"/>
      <c r="H708" s="8"/>
    </row>
    <row r="709" ht="15.75" customHeight="1">
      <c r="A709" s="7"/>
      <c r="B709" s="7"/>
      <c r="C709" s="8"/>
      <c r="D709" s="8"/>
      <c r="E709" s="8"/>
      <c r="F709" s="8"/>
      <c r="G709" s="8"/>
      <c r="H709" s="8"/>
    </row>
    <row r="710" ht="15.75" customHeight="1">
      <c r="A710" s="7"/>
      <c r="B710" s="7"/>
      <c r="C710" s="8"/>
      <c r="D710" s="8"/>
      <c r="E710" s="8"/>
      <c r="F710" s="8"/>
      <c r="G710" s="8"/>
      <c r="H710" s="8"/>
    </row>
    <row r="711" ht="15.75" customHeight="1">
      <c r="A711" s="7"/>
      <c r="B711" s="7"/>
      <c r="C711" s="8"/>
      <c r="D711" s="8"/>
      <c r="E711" s="8"/>
      <c r="F711" s="8"/>
      <c r="G711" s="8"/>
      <c r="H711" s="8"/>
    </row>
    <row r="712" ht="15.75" customHeight="1">
      <c r="A712" s="7"/>
      <c r="B712" s="7"/>
      <c r="C712" s="8"/>
      <c r="D712" s="8"/>
      <c r="E712" s="8"/>
      <c r="F712" s="8"/>
      <c r="G712" s="8"/>
      <c r="H712" s="8"/>
    </row>
    <row r="713" ht="15.75" customHeight="1">
      <c r="A713" s="7"/>
      <c r="B713" s="7"/>
      <c r="C713" s="8"/>
      <c r="D713" s="8"/>
      <c r="E713" s="8"/>
      <c r="F713" s="8"/>
      <c r="G713" s="8"/>
      <c r="H713" s="8"/>
    </row>
    <row r="714" ht="15.75" customHeight="1">
      <c r="A714" s="7"/>
      <c r="B714" s="7"/>
      <c r="C714" s="8"/>
      <c r="D714" s="8"/>
      <c r="E714" s="8"/>
      <c r="F714" s="8"/>
      <c r="G714" s="8"/>
      <c r="H714" s="8"/>
    </row>
    <row r="715" ht="15.75" customHeight="1">
      <c r="A715" s="7"/>
      <c r="B715" s="7"/>
      <c r="C715" s="8"/>
      <c r="D715" s="8"/>
      <c r="E715" s="8"/>
      <c r="F715" s="8"/>
      <c r="G715" s="8"/>
      <c r="H715" s="8"/>
    </row>
    <row r="716" ht="15.75" customHeight="1">
      <c r="A716" s="7"/>
      <c r="B716" s="7"/>
      <c r="C716" s="8"/>
      <c r="D716" s="8"/>
      <c r="E716" s="8"/>
      <c r="F716" s="8"/>
      <c r="G716" s="8"/>
      <c r="H716" s="8"/>
    </row>
    <row r="717" ht="15.75" customHeight="1">
      <c r="A717" s="7"/>
      <c r="B717" s="7"/>
      <c r="C717" s="8"/>
      <c r="D717" s="8"/>
      <c r="E717" s="8"/>
      <c r="F717" s="8"/>
      <c r="G717" s="8"/>
      <c r="H717" s="8"/>
    </row>
    <row r="718" ht="15.75" customHeight="1">
      <c r="A718" s="7"/>
      <c r="B718" s="7"/>
      <c r="C718" s="8"/>
      <c r="D718" s="8"/>
      <c r="E718" s="8"/>
      <c r="F718" s="8"/>
      <c r="G718" s="8"/>
      <c r="H718" s="8"/>
    </row>
    <row r="719" ht="15.75" customHeight="1">
      <c r="A719" s="7"/>
      <c r="B719" s="7"/>
      <c r="C719" s="8"/>
      <c r="D719" s="8"/>
      <c r="E719" s="8"/>
      <c r="F719" s="8"/>
      <c r="G719" s="8"/>
      <c r="H719" s="8"/>
    </row>
    <row r="720" ht="15.75" customHeight="1">
      <c r="A720" s="7"/>
      <c r="B720" s="7"/>
      <c r="C720" s="8"/>
      <c r="D720" s="8"/>
      <c r="E720" s="8"/>
      <c r="F720" s="8"/>
      <c r="G720" s="8"/>
      <c r="H720" s="8"/>
    </row>
    <row r="721" ht="15.75" customHeight="1">
      <c r="A721" s="7"/>
      <c r="B721" s="7"/>
      <c r="C721" s="8"/>
      <c r="D721" s="8"/>
      <c r="E721" s="8"/>
      <c r="F721" s="8"/>
      <c r="G721" s="8"/>
      <c r="H721" s="8"/>
    </row>
    <row r="722" ht="15.75" customHeight="1">
      <c r="A722" s="7"/>
      <c r="B722" s="7"/>
      <c r="C722" s="8"/>
      <c r="D722" s="8"/>
      <c r="E722" s="8"/>
      <c r="F722" s="8"/>
      <c r="G722" s="8"/>
      <c r="H722" s="8"/>
    </row>
    <row r="723" ht="15.75" customHeight="1">
      <c r="A723" s="7"/>
      <c r="B723" s="7"/>
      <c r="C723" s="8"/>
      <c r="D723" s="8"/>
      <c r="E723" s="8"/>
      <c r="F723" s="8"/>
      <c r="G723" s="8"/>
      <c r="H723" s="8"/>
    </row>
    <row r="724" ht="15.75" customHeight="1">
      <c r="A724" s="7"/>
      <c r="B724" s="7"/>
      <c r="C724" s="8"/>
      <c r="D724" s="8"/>
      <c r="E724" s="8"/>
      <c r="F724" s="8"/>
      <c r="G724" s="8"/>
      <c r="H724" s="8"/>
    </row>
    <row r="725" ht="15.75" customHeight="1">
      <c r="A725" s="7"/>
      <c r="B725" s="7"/>
      <c r="C725" s="8"/>
      <c r="D725" s="8"/>
      <c r="E725" s="8"/>
      <c r="F725" s="8"/>
      <c r="G725" s="8"/>
      <c r="H725" s="8"/>
    </row>
    <row r="726" ht="15.75" customHeight="1">
      <c r="A726" s="7"/>
      <c r="B726" s="7"/>
      <c r="C726" s="8"/>
      <c r="D726" s="8"/>
      <c r="E726" s="8"/>
      <c r="F726" s="8"/>
      <c r="G726" s="8"/>
      <c r="H726" s="8"/>
    </row>
    <row r="727" ht="15.75" customHeight="1">
      <c r="A727" s="7"/>
      <c r="B727" s="7"/>
      <c r="C727" s="8"/>
      <c r="D727" s="8"/>
      <c r="E727" s="8"/>
      <c r="F727" s="8"/>
      <c r="G727" s="8"/>
      <c r="H727" s="8"/>
    </row>
    <row r="728" ht="15.75" customHeight="1">
      <c r="A728" s="7"/>
      <c r="B728" s="7"/>
      <c r="C728" s="8"/>
      <c r="D728" s="8"/>
      <c r="E728" s="8"/>
      <c r="F728" s="8"/>
      <c r="G728" s="8"/>
      <c r="H728" s="8"/>
    </row>
    <row r="729" ht="15.75" customHeight="1">
      <c r="A729" s="7"/>
      <c r="B729" s="7"/>
      <c r="C729" s="8"/>
      <c r="D729" s="8"/>
      <c r="E729" s="8"/>
      <c r="F729" s="8"/>
      <c r="G729" s="8"/>
      <c r="H729" s="8"/>
    </row>
    <row r="730" ht="15.75" customHeight="1">
      <c r="A730" s="7"/>
      <c r="B730" s="7"/>
      <c r="C730" s="8"/>
      <c r="D730" s="8"/>
      <c r="E730" s="8"/>
      <c r="F730" s="8"/>
      <c r="G730" s="8"/>
      <c r="H730" s="8"/>
    </row>
    <row r="731" ht="15.75" customHeight="1">
      <c r="A731" s="7"/>
      <c r="B731" s="7"/>
      <c r="C731" s="8"/>
      <c r="D731" s="8"/>
      <c r="E731" s="8"/>
      <c r="F731" s="8"/>
      <c r="G731" s="8"/>
      <c r="H731" s="8"/>
    </row>
    <row r="732" ht="15.75" customHeight="1">
      <c r="A732" s="7"/>
      <c r="B732" s="7"/>
      <c r="C732" s="8"/>
      <c r="D732" s="8"/>
      <c r="E732" s="8"/>
      <c r="F732" s="8"/>
      <c r="G732" s="8"/>
      <c r="H732" s="8"/>
    </row>
    <row r="733" ht="15.75" customHeight="1">
      <c r="A733" s="7"/>
      <c r="B733" s="7"/>
      <c r="C733" s="8"/>
      <c r="D733" s="8"/>
      <c r="E733" s="8"/>
      <c r="F733" s="8"/>
      <c r="G733" s="8"/>
      <c r="H733" s="8"/>
    </row>
    <row r="734" ht="15.75" customHeight="1">
      <c r="A734" s="7"/>
      <c r="B734" s="7"/>
      <c r="C734" s="8"/>
      <c r="D734" s="8"/>
      <c r="E734" s="8"/>
      <c r="F734" s="8"/>
      <c r="G734" s="8"/>
      <c r="H734" s="8"/>
    </row>
    <row r="735" ht="15.75" customHeight="1">
      <c r="A735" s="7"/>
      <c r="B735" s="7"/>
      <c r="C735" s="8"/>
      <c r="D735" s="8"/>
      <c r="E735" s="8"/>
      <c r="F735" s="8"/>
      <c r="G735" s="8"/>
      <c r="H735" s="8"/>
    </row>
    <row r="736" ht="15.75" customHeight="1">
      <c r="A736" s="7"/>
      <c r="B736" s="7"/>
      <c r="C736" s="8"/>
      <c r="D736" s="8"/>
      <c r="E736" s="8"/>
      <c r="F736" s="8"/>
      <c r="G736" s="8"/>
      <c r="H736" s="8"/>
    </row>
    <row r="737" ht="15.75" customHeight="1">
      <c r="A737" s="7"/>
      <c r="B737" s="7"/>
      <c r="C737" s="8"/>
      <c r="D737" s="8"/>
      <c r="E737" s="8"/>
      <c r="F737" s="8"/>
      <c r="G737" s="8"/>
      <c r="H737" s="8"/>
    </row>
    <row r="738" ht="15.75" customHeight="1">
      <c r="A738" s="7"/>
      <c r="B738" s="7"/>
      <c r="C738" s="8"/>
      <c r="D738" s="8"/>
      <c r="E738" s="8"/>
      <c r="F738" s="8"/>
      <c r="G738" s="8"/>
      <c r="H738" s="8"/>
    </row>
    <row r="739" ht="15.75" customHeight="1">
      <c r="A739" s="7"/>
      <c r="B739" s="7"/>
      <c r="C739" s="8"/>
      <c r="D739" s="8"/>
      <c r="E739" s="8"/>
      <c r="F739" s="8"/>
      <c r="G739" s="8"/>
      <c r="H739" s="8"/>
    </row>
    <row r="740" ht="15.75" customHeight="1">
      <c r="A740" s="7"/>
      <c r="B740" s="7"/>
      <c r="C740" s="8"/>
      <c r="D740" s="8"/>
      <c r="E740" s="8"/>
      <c r="F740" s="8"/>
      <c r="G740" s="8"/>
      <c r="H740" s="8"/>
    </row>
    <row r="741" ht="15.75" customHeight="1">
      <c r="A741" s="7"/>
      <c r="B741" s="7"/>
      <c r="C741" s="8"/>
      <c r="D741" s="8"/>
      <c r="E741" s="8"/>
      <c r="F741" s="8"/>
      <c r="G741" s="8"/>
      <c r="H741" s="8"/>
    </row>
    <row r="742" ht="15.75" customHeight="1">
      <c r="A742" s="7"/>
      <c r="B742" s="7"/>
      <c r="C742" s="8"/>
      <c r="D742" s="8"/>
      <c r="E742" s="8"/>
      <c r="F742" s="8"/>
      <c r="G742" s="8"/>
      <c r="H742" s="8"/>
    </row>
    <row r="743" ht="15.75" customHeight="1">
      <c r="A743" s="7"/>
      <c r="B743" s="7"/>
      <c r="C743" s="8"/>
      <c r="D743" s="8"/>
      <c r="E743" s="8"/>
      <c r="F743" s="8"/>
      <c r="G743" s="8"/>
      <c r="H743" s="8"/>
    </row>
    <row r="744" ht="15.75" customHeight="1">
      <c r="A744" s="7"/>
      <c r="B744" s="7"/>
      <c r="C744" s="8"/>
      <c r="D744" s="8"/>
      <c r="E744" s="8"/>
      <c r="F744" s="8"/>
      <c r="G744" s="8"/>
      <c r="H744" s="8"/>
    </row>
    <row r="745" ht="15.75" customHeight="1">
      <c r="A745" s="7"/>
      <c r="B745" s="7"/>
      <c r="C745" s="8"/>
      <c r="D745" s="8"/>
      <c r="E745" s="8"/>
      <c r="F745" s="8"/>
      <c r="G745" s="8"/>
      <c r="H745" s="8"/>
    </row>
    <row r="746" ht="15.75" customHeight="1">
      <c r="A746" s="7"/>
      <c r="B746" s="7"/>
      <c r="C746" s="8"/>
      <c r="D746" s="8"/>
      <c r="E746" s="8"/>
      <c r="F746" s="8"/>
      <c r="G746" s="8"/>
      <c r="H746" s="8"/>
    </row>
    <row r="747" ht="15.75" customHeight="1">
      <c r="A747" s="7"/>
      <c r="B747" s="7"/>
      <c r="C747" s="8"/>
      <c r="D747" s="8"/>
      <c r="E747" s="8"/>
      <c r="F747" s="8"/>
      <c r="G747" s="8"/>
      <c r="H747" s="8"/>
    </row>
    <row r="748" ht="15.75" customHeight="1">
      <c r="A748" s="7"/>
      <c r="B748" s="7"/>
      <c r="C748" s="8"/>
      <c r="D748" s="8"/>
      <c r="E748" s="8"/>
      <c r="F748" s="8"/>
      <c r="G748" s="8"/>
      <c r="H748" s="8"/>
    </row>
    <row r="749" ht="15.75" customHeight="1">
      <c r="A749" s="7"/>
      <c r="B749" s="7"/>
      <c r="C749" s="8"/>
      <c r="D749" s="8"/>
      <c r="E749" s="8"/>
      <c r="F749" s="8"/>
      <c r="G749" s="8"/>
      <c r="H749" s="8"/>
    </row>
    <row r="750" ht="15.75" customHeight="1">
      <c r="A750" s="7"/>
      <c r="B750" s="7"/>
      <c r="C750" s="8"/>
      <c r="D750" s="8"/>
      <c r="E750" s="8"/>
      <c r="F750" s="8"/>
      <c r="G750" s="8"/>
      <c r="H750" s="8"/>
    </row>
    <row r="751" ht="15.75" customHeight="1">
      <c r="A751" s="7"/>
      <c r="B751" s="7"/>
      <c r="C751" s="8"/>
      <c r="D751" s="8"/>
      <c r="E751" s="8"/>
      <c r="F751" s="8"/>
      <c r="G751" s="8"/>
      <c r="H751" s="8"/>
    </row>
    <row r="752" ht="15.75" customHeight="1">
      <c r="A752" s="7"/>
      <c r="B752" s="7"/>
      <c r="C752" s="8"/>
      <c r="D752" s="8"/>
      <c r="E752" s="8"/>
      <c r="F752" s="8"/>
      <c r="G752" s="8"/>
      <c r="H752" s="8"/>
    </row>
    <row r="753" ht="15.75" customHeight="1">
      <c r="A753" s="7"/>
      <c r="B753" s="7"/>
      <c r="C753" s="8"/>
      <c r="D753" s="8"/>
      <c r="E753" s="8"/>
      <c r="F753" s="8"/>
      <c r="G753" s="8"/>
      <c r="H753" s="8"/>
    </row>
    <row r="754" ht="15.75" customHeight="1">
      <c r="A754" s="7"/>
      <c r="B754" s="7"/>
      <c r="C754" s="8"/>
      <c r="D754" s="8"/>
      <c r="E754" s="8"/>
      <c r="F754" s="8"/>
      <c r="G754" s="8"/>
      <c r="H754" s="8"/>
    </row>
    <row r="755" ht="15.75" customHeight="1">
      <c r="A755" s="7"/>
      <c r="B755" s="7"/>
      <c r="C755" s="8"/>
      <c r="D755" s="8"/>
      <c r="E755" s="8"/>
      <c r="F755" s="8"/>
      <c r="G755" s="8"/>
      <c r="H755" s="8"/>
    </row>
    <row r="756" ht="15.75" customHeight="1">
      <c r="A756" s="7"/>
      <c r="B756" s="7"/>
      <c r="C756" s="8"/>
      <c r="D756" s="8"/>
      <c r="E756" s="8"/>
      <c r="F756" s="8"/>
      <c r="G756" s="8"/>
      <c r="H756" s="8"/>
    </row>
    <row r="757" ht="15.75" customHeight="1">
      <c r="A757" s="7"/>
      <c r="B757" s="7"/>
      <c r="C757" s="8"/>
      <c r="D757" s="8"/>
      <c r="E757" s="8"/>
      <c r="F757" s="8"/>
      <c r="G757" s="8"/>
      <c r="H757" s="8"/>
    </row>
    <row r="758" ht="15.75" customHeight="1">
      <c r="A758" s="7"/>
      <c r="B758" s="7"/>
      <c r="C758" s="8"/>
      <c r="D758" s="8"/>
      <c r="E758" s="8"/>
      <c r="F758" s="8"/>
      <c r="G758" s="8"/>
      <c r="H758" s="8"/>
    </row>
    <row r="759" ht="15.75" customHeight="1">
      <c r="A759" s="7"/>
      <c r="B759" s="7"/>
      <c r="C759" s="8"/>
      <c r="D759" s="8"/>
      <c r="E759" s="8"/>
      <c r="F759" s="8"/>
      <c r="G759" s="8"/>
      <c r="H759" s="8"/>
    </row>
    <row r="760" ht="15.75" customHeight="1">
      <c r="A760" s="7"/>
      <c r="B760" s="7"/>
      <c r="C760" s="8"/>
      <c r="D760" s="8"/>
      <c r="E760" s="8"/>
      <c r="F760" s="8"/>
      <c r="G760" s="8"/>
      <c r="H760" s="8"/>
    </row>
    <row r="761" ht="15.75" customHeight="1">
      <c r="A761" s="7"/>
      <c r="B761" s="7"/>
      <c r="C761" s="8"/>
      <c r="D761" s="8"/>
      <c r="E761" s="8"/>
      <c r="F761" s="8"/>
      <c r="G761" s="8"/>
      <c r="H761" s="8"/>
    </row>
    <row r="762" ht="15.75" customHeight="1">
      <c r="A762" s="7"/>
      <c r="B762" s="7"/>
      <c r="C762" s="8"/>
      <c r="D762" s="8"/>
      <c r="E762" s="8"/>
      <c r="F762" s="8"/>
      <c r="G762" s="8"/>
      <c r="H762" s="8"/>
    </row>
    <row r="763" ht="15.75" customHeight="1">
      <c r="A763" s="7"/>
      <c r="B763" s="7"/>
      <c r="C763" s="8"/>
      <c r="D763" s="8"/>
      <c r="E763" s="8"/>
      <c r="F763" s="8"/>
      <c r="G763" s="8"/>
      <c r="H763" s="8"/>
    </row>
    <row r="764" ht="15.75" customHeight="1">
      <c r="A764" s="7"/>
      <c r="B764" s="7"/>
      <c r="C764" s="8"/>
      <c r="D764" s="8"/>
      <c r="E764" s="8"/>
      <c r="F764" s="8"/>
      <c r="G764" s="8"/>
      <c r="H764" s="8"/>
    </row>
    <row r="765" ht="15.75" customHeight="1">
      <c r="A765" s="7"/>
      <c r="B765" s="7"/>
      <c r="C765" s="8"/>
      <c r="D765" s="8"/>
      <c r="E765" s="8"/>
      <c r="F765" s="8"/>
      <c r="G765" s="8"/>
      <c r="H765" s="8"/>
    </row>
    <row r="766" ht="15.75" customHeight="1">
      <c r="A766" s="7"/>
      <c r="B766" s="7"/>
      <c r="C766" s="8"/>
      <c r="D766" s="8"/>
      <c r="E766" s="8"/>
      <c r="F766" s="8"/>
      <c r="G766" s="8"/>
      <c r="H766" s="8"/>
    </row>
    <row r="767" ht="15.75" customHeight="1">
      <c r="A767" s="7"/>
      <c r="B767" s="7"/>
      <c r="C767" s="8"/>
      <c r="D767" s="8"/>
      <c r="E767" s="8"/>
      <c r="F767" s="8"/>
      <c r="G767" s="8"/>
      <c r="H767" s="8"/>
    </row>
    <row r="768" ht="15.75" customHeight="1">
      <c r="A768" s="7"/>
      <c r="B768" s="7"/>
      <c r="C768" s="8"/>
      <c r="D768" s="8"/>
      <c r="E768" s="8"/>
      <c r="F768" s="8"/>
      <c r="G768" s="8"/>
      <c r="H768" s="8"/>
    </row>
    <row r="769" ht="15.75" customHeight="1">
      <c r="A769" s="7"/>
      <c r="B769" s="7"/>
      <c r="C769" s="8"/>
      <c r="D769" s="8"/>
      <c r="E769" s="8"/>
      <c r="F769" s="8"/>
      <c r="G769" s="8"/>
      <c r="H769" s="8"/>
    </row>
    <row r="770" ht="15.75" customHeight="1">
      <c r="A770" s="7"/>
      <c r="B770" s="7"/>
      <c r="C770" s="8"/>
      <c r="D770" s="8"/>
      <c r="E770" s="8"/>
      <c r="F770" s="8"/>
      <c r="G770" s="8"/>
      <c r="H770" s="8"/>
    </row>
    <row r="771" ht="15.75" customHeight="1">
      <c r="A771" s="7"/>
      <c r="B771" s="7"/>
      <c r="C771" s="8"/>
      <c r="D771" s="8"/>
      <c r="E771" s="8"/>
      <c r="F771" s="8"/>
      <c r="G771" s="8"/>
      <c r="H771" s="8"/>
    </row>
    <row r="772" ht="15.75" customHeight="1">
      <c r="A772" s="7"/>
      <c r="B772" s="7"/>
      <c r="C772" s="8"/>
      <c r="D772" s="8"/>
      <c r="E772" s="8"/>
      <c r="F772" s="8"/>
      <c r="G772" s="8"/>
      <c r="H772" s="8"/>
    </row>
    <row r="773" ht="15.75" customHeight="1">
      <c r="A773" s="7"/>
      <c r="B773" s="7"/>
      <c r="C773" s="8"/>
      <c r="D773" s="8"/>
      <c r="E773" s="8"/>
      <c r="F773" s="8"/>
      <c r="G773" s="8"/>
      <c r="H773" s="8"/>
    </row>
    <row r="774" ht="15.75" customHeight="1">
      <c r="A774" s="7"/>
      <c r="B774" s="7"/>
      <c r="C774" s="8"/>
      <c r="D774" s="8"/>
      <c r="E774" s="8"/>
      <c r="F774" s="8"/>
      <c r="G774" s="8"/>
      <c r="H774" s="8"/>
    </row>
    <row r="775" ht="15.75" customHeight="1">
      <c r="A775" s="7"/>
      <c r="B775" s="7"/>
      <c r="C775" s="8"/>
      <c r="D775" s="8"/>
      <c r="E775" s="8"/>
      <c r="F775" s="8"/>
      <c r="G775" s="8"/>
      <c r="H775" s="8"/>
    </row>
    <row r="776" ht="15.75" customHeight="1">
      <c r="A776" s="7"/>
      <c r="B776" s="7"/>
      <c r="C776" s="8"/>
      <c r="D776" s="8"/>
      <c r="E776" s="8"/>
      <c r="F776" s="8"/>
      <c r="G776" s="8"/>
      <c r="H776" s="8"/>
    </row>
    <row r="777" ht="15.75" customHeight="1">
      <c r="A777" s="7"/>
      <c r="B777" s="7"/>
      <c r="C777" s="8"/>
      <c r="D777" s="8"/>
      <c r="E777" s="8"/>
      <c r="F777" s="8"/>
      <c r="G777" s="8"/>
      <c r="H777" s="8"/>
    </row>
    <row r="778" ht="15.75" customHeight="1">
      <c r="A778" s="7"/>
      <c r="B778" s="7"/>
      <c r="C778" s="8"/>
      <c r="D778" s="8"/>
      <c r="E778" s="8"/>
      <c r="F778" s="8"/>
      <c r="G778" s="8"/>
      <c r="H778" s="8"/>
    </row>
    <row r="779" ht="15.75" customHeight="1">
      <c r="A779" s="7"/>
      <c r="B779" s="7"/>
      <c r="C779" s="8"/>
      <c r="D779" s="8"/>
      <c r="E779" s="8"/>
      <c r="F779" s="8"/>
      <c r="G779" s="8"/>
      <c r="H779" s="8"/>
    </row>
    <row r="780" ht="15.75" customHeight="1">
      <c r="A780" s="7"/>
      <c r="B780" s="7"/>
      <c r="C780" s="8"/>
      <c r="D780" s="8"/>
      <c r="E780" s="8"/>
      <c r="F780" s="8"/>
      <c r="G780" s="8"/>
      <c r="H780" s="8"/>
    </row>
    <row r="781" ht="15.75" customHeight="1">
      <c r="A781" s="7"/>
      <c r="B781" s="7"/>
      <c r="C781" s="8"/>
      <c r="D781" s="8"/>
      <c r="E781" s="8"/>
      <c r="F781" s="8"/>
      <c r="G781" s="8"/>
      <c r="H781" s="8"/>
    </row>
    <row r="782" ht="15.75" customHeight="1">
      <c r="A782" s="7"/>
      <c r="B782" s="7"/>
      <c r="C782" s="8"/>
      <c r="D782" s="8"/>
      <c r="E782" s="8"/>
      <c r="F782" s="8"/>
      <c r="G782" s="8"/>
      <c r="H782" s="8"/>
    </row>
    <row r="783" ht="15.75" customHeight="1">
      <c r="A783" s="7"/>
      <c r="B783" s="7"/>
      <c r="C783" s="8"/>
      <c r="D783" s="8"/>
      <c r="E783" s="8"/>
      <c r="F783" s="8"/>
      <c r="G783" s="8"/>
      <c r="H783" s="8"/>
    </row>
    <row r="784" ht="15.75" customHeight="1">
      <c r="A784" s="7"/>
      <c r="B784" s="7"/>
      <c r="C784" s="8"/>
      <c r="D784" s="8"/>
      <c r="E784" s="8"/>
      <c r="F784" s="8"/>
      <c r="G784" s="8"/>
      <c r="H784" s="8"/>
    </row>
    <row r="785" ht="15.75" customHeight="1">
      <c r="A785" s="7"/>
      <c r="B785" s="7"/>
      <c r="C785" s="8"/>
      <c r="D785" s="8"/>
      <c r="E785" s="8"/>
      <c r="F785" s="8"/>
      <c r="G785" s="8"/>
      <c r="H785" s="8"/>
    </row>
    <row r="786" ht="15.75" customHeight="1">
      <c r="A786" s="7"/>
      <c r="B786" s="7"/>
      <c r="C786" s="8"/>
      <c r="D786" s="8"/>
      <c r="E786" s="8"/>
      <c r="F786" s="8"/>
      <c r="G786" s="8"/>
      <c r="H786" s="8"/>
    </row>
    <row r="787" ht="15.75" customHeight="1">
      <c r="A787" s="7"/>
      <c r="B787" s="7"/>
      <c r="C787" s="8"/>
      <c r="D787" s="8"/>
      <c r="E787" s="8"/>
      <c r="F787" s="8"/>
      <c r="G787" s="8"/>
      <c r="H787" s="8"/>
    </row>
    <row r="788" ht="15.75" customHeight="1">
      <c r="A788" s="7"/>
      <c r="B788" s="7"/>
      <c r="C788" s="8"/>
      <c r="D788" s="8"/>
      <c r="E788" s="8"/>
      <c r="F788" s="8"/>
      <c r="G788" s="8"/>
      <c r="H788" s="8"/>
    </row>
    <row r="789" ht="15.75" customHeight="1">
      <c r="A789" s="7"/>
      <c r="B789" s="7"/>
      <c r="C789" s="8"/>
      <c r="D789" s="8"/>
      <c r="E789" s="8"/>
      <c r="F789" s="8"/>
      <c r="G789" s="8"/>
      <c r="H789" s="8"/>
    </row>
    <row r="790" ht="15.75" customHeight="1">
      <c r="A790" s="7"/>
      <c r="B790" s="7"/>
      <c r="C790" s="8"/>
      <c r="D790" s="8"/>
      <c r="E790" s="8"/>
      <c r="F790" s="8"/>
      <c r="G790" s="8"/>
      <c r="H790" s="8"/>
    </row>
    <row r="791" ht="15.75" customHeight="1">
      <c r="A791" s="7"/>
      <c r="B791" s="7"/>
      <c r="C791" s="8"/>
      <c r="D791" s="8"/>
      <c r="E791" s="8"/>
      <c r="F791" s="8"/>
      <c r="G791" s="8"/>
      <c r="H791" s="8"/>
    </row>
    <row r="792" ht="15.75" customHeight="1">
      <c r="A792" s="7"/>
      <c r="B792" s="7"/>
      <c r="C792" s="8"/>
      <c r="D792" s="8"/>
      <c r="E792" s="8"/>
      <c r="F792" s="8"/>
      <c r="G792" s="8"/>
      <c r="H792" s="8"/>
    </row>
    <row r="793" ht="15.75" customHeight="1">
      <c r="A793" s="7"/>
      <c r="B793" s="7"/>
      <c r="C793" s="8"/>
      <c r="D793" s="8"/>
      <c r="E793" s="8"/>
      <c r="F793" s="8"/>
      <c r="G793" s="8"/>
      <c r="H793" s="8"/>
    </row>
    <row r="794" ht="15.75" customHeight="1">
      <c r="A794" s="7"/>
      <c r="B794" s="7"/>
      <c r="C794" s="8"/>
      <c r="D794" s="8"/>
      <c r="E794" s="8"/>
      <c r="F794" s="8"/>
      <c r="G794" s="8"/>
      <c r="H794" s="8"/>
    </row>
    <row r="795" ht="15.75" customHeight="1">
      <c r="A795" s="7"/>
      <c r="B795" s="7"/>
      <c r="C795" s="8"/>
      <c r="D795" s="8"/>
      <c r="E795" s="8"/>
      <c r="F795" s="8"/>
      <c r="G795" s="8"/>
      <c r="H795" s="8"/>
    </row>
    <row r="796" ht="15.75" customHeight="1">
      <c r="A796" s="7"/>
      <c r="B796" s="7"/>
      <c r="C796" s="8"/>
      <c r="D796" s="8"/>
      <c r="E796" s="8"/>
      <c r="F796" s="8"/>
      <c r="G796" s="8"/>
      <c r="H796" s="8"/>
    </row>
    <row r="797" ht="15.75" customHeight="1">
      <c r="A797" s="7"/>
      <c r="B797" s="7"/>
      <c r="C797" s="8"/>
      <c r="D797" s="8"/>
      <c r="E797" s="8"/>
      <c r="F797" s="8"/>
      <c r="G797" s="8"/>
      <c r="H797" s="8"/>
    </row>
    <row r="798" ht="15.75" customHeight="1">
      <c r="A798" s="7"/>
      <c r="B798" s="7"/>
      <c r="C798" s="8"/>
      <c r="D798" s="8"/>
      <c r="E798" s="8"/>
      <c r="F798" s="8"/>
      <c r="G798" s="8"/>
      <c r="H798" s="8"/>
    </row>
    <row r="799" ht="15.75" customHeight="1">
      <c r="A799" s="7"/>
      <c r="B799" s="7"/>
      <c r="C799" s="8"/>
      <c r="D799" s="8"/>
      <c r="E799" s="8"/>
      <c r="F799" s="8"/>
      <c r="G799" s="8"/>
      <c r="H799" s="8"/>
    </row>
    <row r="800" ht="15.75" customHeight="1">
      <c r="A800" s="7"/>
      <c r="B800" s="7"/>
      <c r="C800" s="8"/>
      <c r="D800" s="8"/>
      <c r="E800" s="8"/>
      <c r="F800" s="8"/>
      <c r="G800" s="8"/>
      <c r="H800" s="8"/>
    </row>
    <row r="801" ht="15.75" customHeight="1">
      <c r="A801" s="7"/>
      <c r="B801" s="7"/>
      <c r="C801" s="8"/>
      <c r="D801" s="8"/>
      <c r="E801" s="8"/>
      <c r="F801" s="8"/>
      <c r="G801" s="8"/>
      <c r="H801" s="8"/>
    </row>
    <row r="802" ht="15.75" customHeight="1">
      <c r="A802" s="7"/>
      <c r="B802" s="7"/>
      <c r="C802" s="8"/>
      <c r="D802" s="8"/>
      <c r="E802" s="8"/>
      <c r="F802" s="8"/>
      <c r="G802" s="8"/>
      <c r="H802" s="8"/>
    </row>
    <row r="803" ht="15.75" customHeight="1">
      <c r="A803" s="7"/>
      <c r="B803" s="7"/>
      <c r="C803" s="8"/>
      <c r="D803" s="8"/>
      <c r="E803" s="8"/>
      <c r="F803" s="8"/>
      <c r="G803" s="8"/>
      <c r="H803" s="8"/>
    </row>
    <row r="804" ht="15.75" customHeight="1">
      <c r="A804" s="7"/>
      <c r="B804" s="7"/>
      <c r="C804" s="8"/>
      <c r="D804" s="8"/>
      <c r="E804" s="8"/>
      <c r="F804" s="8"/>
      <c r="G804" s="8"/>
      <c r="H804" s="8"/>
    </row>
    <row r="805" ht="15.75" customHeight="1">
      <c r="A805" s="7"/>
      <c r="B805" s="7"/>
      <c r="C805" s="8"/>
      <c r="D805" s="8"/>
      <c r="E805" s="8"/>
      <c r="F805" s="8"/>
      <c r="G805" s="8"/>
      <c r="H805" s="8"/>
    </row>
    <row r="806" ht="15.75" customHeight="1">
      <c r="A806" s="7"/>
      <c r="B806" s="7"/>
      <c r="C806" s="8"/>
      <c r="D806" s="8"/>
      <c r="E806" s="8"/>
      <c r="F806" s="8"/>
      <c r="G806" s="8"/>
      <c r="H806" s="8"/>
    </row>
    <row r="807" ht="15.75" customHeight="1">
      <c r="A807" s="7"/>
      <c r="B807" s="7"/>
      <c r="C807" s="8"/>
      <c r="D807" s="8"/>
      <c r="E807" s="8"/>
      <c r="F807" s="8"/>
      <c r="G807" s="8"/>
      <c r="H807" s="8"/>
    </row>
    <row r="808" ht="15.75" customHeight="1">
      <c r="A808" s="7"/>
      <c r="B808" s="7"/>
      <c r="C808" s="8"/>
      <c r="D808" s="8"/>
      <c r="E808" s="8"/>
      <c r="F808" s="8"/>
      <c r="G808" s="8"/>
      <c r="H808" s="8"/>
    </row>
    <row r="809" ht="15.75" customHeight="1">
      <c r="A809" s="7"/>
      <c r="B809" s="7"/>
      <c r="C809" s="8"/>
      <c r="D809" s="8"/>
      <c r="E809" s="8"/>
      <c r="F809" s="8"/>
      <c r="G809" s="8"/>
      <c r="H809" s="8"/>
    </row>
    <row r="810" ht="15.75" customHeight="1">
      <c r="A810" s="7"/>
      <c r="B810" s="7"/>
      <c r="C810" s="8"/>
      <c r="D810" s="8"/>
      <c r="E810" s="8"/>
      <c r="F810" s="8"/>
      <c r="G810" s="8"/>
      <c r="H810" s="8"/>
    </row>
    <row r="811" ht="15.75" customHeight="1">
      <c r="A811" s="7"/>
      <c r="B811" s="7"/>
      <c r="C811" s="8"/>
      <c r="D811" s="8"/>
      <c r="E811" s="8"/>
      <c r="F811" s="8"/>
      <c r="G811" s="8"/>
      <c r="H811" s="8"/>
    </row>
    <row r="812" ht="15.75" customHeight="1">
      <c r="A812" s="7"/>
      <c r="B812" s="7"/>
      <c r="C812" s="8"/>
      <c r="D812" s="8"/>
      <c r="E812" s="8"/>
      <c r="F812" s="8"/>
      <c r="G812" s="8"/>
      <c r="H812" s="8"/>
    </row>
    <row r="813" ht="15.75" customHeight="1">
      <c r="A813" s="7"/>
      <c r="B813" s="7"/>
      <c r="C813" s="8"/>
      <c r="D813" s="8"/>
      <c r="E813" s="8"/>
      <c r="F813" s="8"/>
      <c r="G813" s="8"/>
      <c r="H813" s="8"/>
    </row>
    <row r="814" ht="15.75" customHeight="1">
      <c r="A814" s="7"/>
      <c r="B814" s="7"/>
      <c r="C814" s="8"/>
      <c r="D814" s="8"/>
      <c r="E814" s="8"/>
      <c r="F814" s="8"/>
      <c r="G814" s="8"/>
      <c r="H814" s="8"/>
    </row>
    <row r="815" ht="15.75" customHeight="1">
      <c r="A815" s="7"/>
      <c r="B815" s="7"/>
      <c r="C815" s="8"/>
      <c r="D815" s="8"/>
      <c r="E815" s="8"/>
      <c r="F815" s="8"/>
      <c r="G815" s="8"/>
      <c r="H815" s="8"/>
    </row>
    <row r="816" ht="15.75" customHeight="1">
      <c r="A816" s="7"/>
      <c r="B816" s="7"/>
      <c r="C816" s="8"/>
      <c r="D816" s="8"/>
      <c r="E816" s="8"/>
      <c r="F816" s="8"/>
      <c r="G816" s="8"/>
      <c r="H816" s="8"/>
    </row>
    <row r="817" ht="15.75" customHeight="1">
      <c r="A817" s="7"/>
      <c r="B817" s="7"/>
      <c r="C817" s="8"/>
      <c r="D817" s="8"/>
      <c r="E817" s="8"/>
      <c r="F817" s="8"/>
      <c r="G817" s="8"/>
      <c r="H817" s="8"/>
    </row>
    <row r="818" ht="15.75" customHeight="1">
      <c r="A818" s="7"/>
      <c r="B818" s="7"/>
      <c r="C818" s="8"/>
      <c r="D818" s="8"/>
      <c r="E818" s="8"/>
      <c r="F818" s="8"/>
      <c r="G818" s="8"/>
      <c r="H818" s="8"/>
    </row>
    <row r="819" ht="15.75" customHeight="1">
      <c r="A819" s="7"/>
      <c r="B819" s="7"/>
      <c r="C819" s="8"/>
      <c r="D819" s="8"/>
      <c r="E819" s="8"/>
      <c r="F819" s="8"/>
      <c r="G819" s="8"/>
      <c r="H819" s="8"/>
    </row>
    <row r="820" ht="15.75" customHeight="1">
      <c r="A820" s="7"/>
      <c r="B820" s="7"/>
      <c r="C820" s="8"/>
      <c r="D820" s="8"/>
      <c r="E820" s="8"/>
      <c r="F820" s="8"/>
      <c r="G820" s="8"/>
      <c r="H820" s="8"/>
    </row>
    <row r="821" ht="15.75" customHeight="1">
      <c r="A821" s="7"/>
      <c r="B821" s="7"/>
      <c r="C821" s="8"/>
      <c r="D821" s="8"/>
      <c r="E821" s="8"/>
      <c r="F821" s="8"/>
      <c r="G821" s="8"/>
      <c r="H821" s="8"/>
    </row>
    <row r="822" ht="15.75" customHeight="1">
      <c r="A822" s="7"/>
      <c r="B822" s="7"/>
      <c r="C822" s="8"/>
      <c r="D822" s="8"/>
      <c r="E822" s="8"/>
      <c r="F822" s="8"/>
      <c r="G822" s="8"/>
      <c r="H822" s="8"/>
    </row>
    <row r="823" ht="15.75" customHeight="1">
      <c r="A823" s="7"/>
      <c r="B823" s="7"/>
      <c r="C823" s="8"/>
      <c r="D823" s="8"/>
      <c r="E823" s="8"/>
      <c r="F823" s="8"/>
      <c r="G823" s="8"/>
      <c r="H823" s="8"/>
    </row>
    <row r="824" ht="15.75" customHeight="1">
      <c r="A824" s="7"/>
      <c r="B824" s="7"/>
      <c r="C824" s="8"/>
      <c r="D824" s="8"/>
      <c r="E824" s="8"/>
      <c r="F824" s="8"/>
      <c r="G824" s="8"/>
      <c r="H824" s="8"/>
    </row>
    <row r="825" ht="15.75" customHeight="1">
      <c r="A825" s="7"/>
      <c r="B825" s="7"/>
      <c r="C825" s="8"/>
      <c r="D825" s="8"/>
      <c r="E825" s="8"/>
      <c r="F825" s="8"/>
      <c r="G825" s="8"/>
      <c r="H825" s="8"/>
    </row>
    <row r="826" ht="15.75" customHeight="1">
      <c r="A826" s="7"/>
      <c r="B826" s="7"/>
      <c r="C826" s="8"/>
      <c r="D826" s="8"/>
      <c r="E826" s="8"/>
      <c r="F826" s="8"/>
      <c r="G826" s="8"/>
      <c r="H826" s="8"/>
    </row>
    <row r="827" ht="15.75" customHeight="1">
      <c r="A827" s="7"/>
      <c r="B827" s="7"/>
      <c r="C827" s="8"/>
      <c r="D827" s="8"/>
      <c r="E827" s="8"/>
      <c r="F827" s="8"/>
      <c r="G827" s="8"/>
      <c r="H827" s="8"/>
    </row>
    <row r="828" ht="15.75" customHeight="1">
      <c r="A828" s="7"/>
      <c r="B828" s="7"/>
      <c r="C828" s="8"/>
      <c r="D828" s="8"/>
      <c r="E828" s="8"/>
      <c r="F828" s="8"/>
      <c r="G828" s="8"/>
      <c r="H828" s="8"/>
    </row>
    <row r="829" ht="15.75" customHeight="1">
      <c r="A829" s="7"/>
      <c r="B829" s="7"/>
      <c r="C829" s="8"/>
      <c r="D829" s="8"/>
      <c r="E829" s="8"/>
      <c r="F829" s="8"/>
      <c r="G829" s="8"/>
      <c r="H829" s="8"/>
    </row>
    <row r="830" ht="15.75" customHeight="1">
      <c r="A830" s="7"/>
      <c r="B830" s="7"/>
      <c r="C830" s="8"/>
      <c r="D830" s="8"/>
      <c r="E830" s="8"/>
      <c r="F830" s="8"/>
      <c r="G830" s="8"/>
      <c r="H830" s="8"/>
    </row>
    <row r="831" ht="15.75" customHeight="1">
      <c r="A831" s="7"/>
      <c r="B831" s="7"/>
      <c r="C831" s="8"/>
      <c r="D831" s="8"/>
      <c r="E831" s="8"/>
      <c r="F831" s="8"/>
      <c r="G831" s="8"/>
      <c r="H831" s="8"/>
    </row>
    <row r="832" ht="15.75" customHeight="1">
      <c r="A832" s="7"/>
      <c r="B832" s="7"/>
      <c r="C832" s="8"/>
      <c r="D832" s="8"/>
      <c r="E832" s="8"/>
      <c r="F832" s="8"/>
      <c r="G832" s="8"/>
      <c r="H832" s="8"/>
    </row>
    <row r="833" ht="15.75" customHeight="1">
      <c r="A833" s="7"/>
      <c r="B833" s="7"/>
      <c r="C833" s="8"/>
      <c r="D833" s="8"/>
      <c r="E833" s="8"/>
      <c r="F833" s="8"/>
      <c r="G833" s="8"/>
      <c r="H833" s="8"/>
    </row>
    <row r="834" ht="15.75" customHeight="1">
      <c r="A834" s="7"/>
      <c r="B834" s="7"/>
      <c r="C834" s="8"/>
      <c r="D834" s="8"/>
      <c r="E834" s="8"/>
      <c r="F834" s="8"/>
      <c r="G834" s="8"/>
      <c r="H834" s="8"/>
    </row>
    <row r="835" ht="15.75" customHeight="1">
      <c r="A835" s="7"/>
      <c r="B835" s="7"/>
      <c r="C835" s="8"/>
      <c r="D835" s="8"/>
      <c r="E835" s="8"/>
      <c r="F835" s="8"/>
      <c r="G835" s="8"/>
      <c r="H835" s="8"/>
    </row>
    <row r="836" ht="15.75" customHeight="1">
      <c r="A836" s="7"/>
      <c r="B836" s="7"/>
      <c r="C836" s="8"/>
      <c r="D836" s="8"/>
      <c r="E836" s="8"/>
      <c r="F836" s="8"/>
      <c r="G836" s="8"/>
      <c r="H836" s="8"/>
    </row>
    <row r="837" ht="15.75" customHeight="1">
      <c r="A837" s="7"/>
      <c r="B837" s="7"/>
      <c r="C837" s="8"/>
      <c r="D837" s="8"/>
      <c r="E837" s="8"/>
      <c r="F837" s="8"/>
      <c r="G837" s="8"/>
      <c r="H837" s="8"/>
    </row>
    <row r="838" ht="15.75" customHeight="1">
      <c r="A838" s="7"/>
      <c r="B838" s="7"/>
      <c r="C838" s="8"/>
      <c r="D838" s="8"/>
      <c r="E838" s="8"/>
      <c r="F838" s="8"/>
      <c r="G838" s="8"/>
      <c r="H838" s="8"/>
    </row>
    <row r="839" ht="15.75" customHeight="1">
      <c r="A839" s="7"/>
      <c r="B839" s="7"/>
      <c r="C839" s="8"/>
      <c r="D839" s="8"/>
      <c r="E839" s="8"/>
      <c r="F839" s="8"/>
      <c r="G839" s="8"/>
      <c r="H839" s="8"/>
    </row>
    <row r="840" ht="15.75" customHeight="1">
      <c r="A840" s="7"/>
      <c r="B840" s="7"/>
      <c r="C840" s="8"/>
      <c r="D840" s="8"/>
      <c r="E840" s="8"/>
      <c r="F840" s="8"/>
      <c r="G840" s="8"/>
      <c r="H840" s="8"/>
    </row>
    <row r="841" ht="15.75" customHeight="1">
      <c r="A841" s="7"/>
      <c r="B841" s="7"/>
      <c r="C841" s="8"/>
      <c r="D841" s="8"/>
      <c r="E841" s="8"/>
      <c r="F841" s="8"/>
      <c r="G841" s="8"/>
      <c r="H841" s="8"/>
    </row>
    <row r="842" ht="15.75" customHeight="1">
      <c r="A842" s="7"/>
      <c r="B842" s="7"/>
      <c r="C842" s="8"/>
      <c r="D842" s="8"/>
      <c r="E842" s="8"/>
      <c r="F842" s="8"/>
      <c r="G842" s="8"/>
      <c r="H842" s="8"/>
    </row>
    <row r="843" ht="15.75" customHeight="1">
      <c r="A843" s="7"/>
      <c r="B843" s="7"/>
      <c r="C843" s="8"/>
      <c r="D843" s="8"/>
      <c r="E843" s="8"/>
      <c r="F843" s="8"/>
      <c r="G843" s="8"/>
      <c r="H843" s="8"/>
    </row>
    <row r="844" ht="15.75" customHeight="1">
      <c r="A844" s="7"/>
      <c r="B844" s="7"/>
      <c r="C844" s="8"/>
      <c r="D844" s="8"/>
      <c r="E844" s="8"/>
      <c r="F844" s="8"/>
      <c r="G844" s="8"/>
      <c r="H844" s="8"/>
    </row>
    <row r="845" ht="15.75" customHeight="1">
      <c r="A845" s="7"/>
      <c r="B845" s="7"/>
      <c r="C845" s="8"/>
      <c r="D845" s="8"/>
      <c r="E845" s="8"/>
      <c r="F845" s="8"/>
      <c r="G845" s="8"/>
      <c r="H845" s="8"/>
    </row>
    <row r="846" ht="15.75" customHeight="1">
      <c r="A846" s="7"/>
      <c r="B846" s="7"/>
      <c r="C846" s="8"/>
      <c r="D846" s="8"/>
      <c r="E846" s="8"/>
      <c r="F846" s="8"/>
      <c r="G846" s="8"/>
      <c r="H846" s="8"/>
    </row>
    <row r="847" ht="15.75" customHeight="1">
      <c r="A847" s="7"/>
      <c r="B847" s="7"/>
      <c r="C847" s="8"/>
      <c r="D847" s="8"/>
      <c r="E847" s="8"/>
      <c r="F847" s="8"/>
      <c r="G847" s="8"/>
      <c r="H847" s="8"/>
    </row>
    <row r="848" ht="15.75" customHeight="1">
      <c r="A848" s="7"/>
      <c r="B848" s="7"/>
      <c r="C848" s="8"/>
      <c r="D848" s="8"/>
      <c r="E848" s="8"/>
      <c r="F848" s="8"/>
      <c r="G848" s="8"/>
      <c r="H848" s="8"/>
    </row>
    <row r="849" ht="15.75" customHeight="1">
      <c r="A849" s="7"/>
      <c r="B849" s="7"/>
      <c r="C849" s="8"/>
      <c r="D849" s="8"/>
      <c r="E849" s="8"/>
      <c r="F849" s="8"/>
      <c r="G849" s="8"/>
      <c r="H849" s="8"/>
    </row>
    <row r="850" ht="15.75" customHeight="1">
      <c r="A850" s="7"/>
      <c r="B850" s="7"/>
      <c r="C850" s="8"/>
      <c r="D850" s="8"/>
      <c r="E850" s="8"/>
      <c r="F850" s="8"/>
      <c r="G850" s="8"/>
      <c r="H850" s="8"/>
    </row>
    <row r="851" ht="15.75" customHeight="1">
      <c r="A851" s="7"/>
      <c r="B851" s="7"/>
      <c r="C851" s="8"/>
      <c r="D851" s="8"/>
      <c r="E851" s="8"/>
      <c r="F851" s="8"/>
      <c r="G851" s="8"/>
      <c r="H851" s="8"/>
    </row>
    <row r="852" ht="15.75" customHeight="1">
      <c r="A852" s="7"/>
      <c r="B852" s="7"/>
      <c r="C852" s="8"/>
      <c r="D852" s="8"/>
      <c r="E852" s="8"/>
      <c r="F852" s="8"/>
      <c r="G852" s="8"/>
      <c r="H852" s="8"/>
    </row>
    <row r="853" ht="15.75" customHeight="1">
      <c r="A853" s="7"/>
      <c r="B853" s="7"/>
      <c r="C853" s="8"/>
      <c r="D853" s="8"/>
      <c r="E853" s="8"/>
      <c r="F853" s="8"/>
      <c r="G853" s="8"/>
      <c r="H853" s="8"/>
    </row>
    <row r="854" ht="15.75" customHeight="1">
      <c r="A854" s="7"/>
      <c r="B854" s="7"/>
      <c r="C854" s="8"/>
      <c r="D854" s="8"/>
      <c r="E854" s="8"/>
      <c r="F854" s="8"/>
      <c r="G854" s="8"/>
      <c r="H854" s="8"/>
    </row>
    <row r="855" ht="15.75" customHeight="1">
      <c r="A855" s="7"/>
      <c r="B855" s="7"/>
      <c r="C855" s="8"/>
      <c r="D855" s="8"/>
      <c r="E855" s="8"/>
      <c r="F855" s="8"/>
      <c r="G855" s="8"/>
      <c r="H855" s="8"/>
    </row>
    <row r="856" ht="15.75" customHeight="1">
      <c r="A856" s="7"/>
      <c r="B856" s="7"/>
      <c r="C856" s="8"/>
      <c r="D856" s="8"/>
      <c r="E856" s="8"/>
      <c r="F856" s="8"/>
      <c r="G856" s="8"/>
      <c r="H856" s="8"/>
    </row>
    <row r="857" ht="15.75" customHeight="1">
      <c r="A857" s="7"/>
      <c r="B857" s="7"/>
      <c r="C857" s="8"/>
      <c r="D857" s="8"/>
      <c r="E857" s="8"/>
      <c r="F857" s="8"/>
      <c r="G857" s="8"/>
      <c r="H857" s="8"/>
    </row>
    <row r="858" ht="15.75" customHeight="1">
      <c r="A858" s="7"/>
      <c r="B858" s="7"/>
      <c r="C858" s="8"/>
      <c r="D858" s="8"/>
      <c r="E858" s="8"/>
      <c r="F858" s="8"/>
      <c r="G858" s="8"/>
      <c r="H858" s="8"/>
    </row>
    <row r="859" ht="15.75" customHeight="1">
      <c r="A859" s="7"/>
      <c r="B859" s="7"/>
      <c r="C859" s="8"/>
      <c r="D859" s="8"/>
      <c r="E859" s="8"/>
      <c r="F859" s="8"/>
      <c r="G859" s="8"/>
      <c r="H859" s="8"/>
    </row>
    <row r="860" ht="15.75" customHeight="1">
      <c r="A860" s="7"/>
      <c r="B860" s="7"/>
      <c r="C860" s="8"/>
      <c r="D860" s="8"/>
      <c r="E860" s="8"/>
      <c r="F860" s="8"/>
      <c r="G860" s="8"/>
      <c r="H860" s="8"/>
    </row>
    <row r="861" ht="15.75" customHeight="1">
      <c r="A861" s="7"/>
      <c r="B861" s="7"/>
      <c r="C861" s="8"/>
      <c r="D861" s="8"/>
      <c r="E861" s="8"/>
      <c r="F861" s="8"/>
      <c r="G861" s="8"/>
      <c r="H861" s="8"/>
    </row>
    <row r="862" ht="15.75" customHeight="1">
      <c r="A862" s="7"/>
      <c r="B862" s="7"/>
      <c r="C862" s="8"/>
      <c r="D862" s="8"/>
      <c r="E862" s="8"/>
      <c r="F862" s="8"/>
      <c r="G862" s="8"/>
      <c r="H862" s="8"/>
    </row>
    <row r="863" ht="15.75" customHeight="1">
      <c r="A863" s="7"/>
      <c r="B863" s="7"/>
      <c r="C863" s="8"/>
      <c r="D863" s="8"/>
      <c r="E863" s="8"/>
      <c r="F863" s="8"/>
      <c r="G863" s="8"/>
      <c r="H863" s="8"/>
    </row>
    <row r="864" ht="15.75" customHeight="1">
      <c r="A864" s="7"/>
      <c r="B864" s="7"/>
      <c r="C864" s="8"/>
      <c r="D864" s="8"/>
      <c r="E864" s="8"/>
      <c r="F864" s="8"/>
      <c r="G864" s="8"/>
      <c r="H864" s="8"/>
    </row>
    <row r="865" ht="15.75" customHeight="1">
      <c r="A865" s="7"/>
      <c r="B865" s="7"/>
      <c r="C865" s="8"/>
      <c r="D865" s="8"/>
      <c r="E865" s="8"/>
      <c r="F865" s="8"/>
      <c r="G865" s="8"/>
      <c r="H865" s="8"/>
    </row>
    <row r="866" ht="15.75" customHeight="1">
      <c r="A866" s="7"/>
      <c r="B866" s="7"/>
      <c r="C866" s="8"/>
      <c r="D866" s="8"/>
      <c r="E866" s="8"/>
      <c r="F866" s="8"/>
      <c r="G866" s="8"/>
      <c r="H866" s="8"/>
    </row>
    <row r="867" ht="15.75" customHeight="1">
      <c r="A867" s="7"/>
      <c r="B867" s="7"/>
      <c r="C867" s="8"/>
      <c r="D867" s="8"/>
      <c r="E867" s="8"/>
      <c r="F867" s="8"/>
      <c r="G867" s="8"/>
      <c r="H867" s="8"/>
    </row>
    <row r="868" ht="15.75" customHeight="1">
      <c r="A868" s="7"/>
      <c r="B868" s="7"/>
      <c r="C868" s="8"/>
      <c r="D868" s="8"/>
      <c r="E868" s="8"/>
      <c r="F868" s="8"/>
      <c r="G868" s="8"/>
      <c r="H868" s="8"/>
    </row>
    <row r="869" ht="15.75" customHeight="1">
      <c r="A869" s="7"/>
      <c r="B869" s="7"/>
      <c r="C869" s="8"/>
      <c r="D869" s="8"/>
      <c r="E869" s="8"/>
      <c r="F869" s="8"/>
      <c r="G869" s="8"/>
      <c r="H869" s="8"/>
    </row>
    <row r="870" ht="15.75" customHeight="1">
      <c r="A870" s="7"/>
      <c r="B870" s="7"/>
      <c r="C870" s="8"/>
      <c r="D870" s="8"/>
      <c r="E870" s="8"/>
      <c r="F870" s="8"/>
      <c r="G870" s="8"/>
      <c r="H870" s="8"/>
    </row>
    <row r="871" ht="15.75" customHeight="1">
      <c r="A871" s="7"/>
      <c r="B871" s="7"/>
      <c r="C871" s="8"/>
      <c r="D871" s="8"/>
      <c r="E871" s="8"/>
      <c r="F871" s="8"/>
      <c r="G871" s="8"/>
      <c r="H871" s="8"/>
    </row>
    <row r="872" ht="15.75" customHeight="1">
      <c r="A872" s="7"/>
      <c r="B872" s="7"/>
      <c r="C872" s="8"/>
      <c r="D872" s="8"/>
      <c r="E872" s="8"/>
      <c r="F872" s="8"/>
      <c r="G872" s="8"/>
      <c r="H872" s="8"/>
    </row>
    <row r="873" ht="15.75" customHeight="1">
      <c r="A873" s="7"/>
      <c r="B873" s="7"/>
      <c r="C873" s="8"/>
      <c r="D873" s="8"/>
      <c r="E873" s="8"/>
      <c r="F873" s="8"/>
      <c r="G873" s="8"/>
      <c r="H873" s="8"/>
    </row>
    <row r="874" ht="15.75" customHeight="1">
      <c r="A874" s="7"/>
      <c r="B874" s="7"/>
      <c r="C874" s="8"/>
      <c r="D874" s="8"/>
      <c r="E874" s="8"/>
      <c r="F874" s="8"/>
      <c r="G874" s="8"/>
      <c r="H874" s="8"/>
    </row>
    <row r="875" ht="15.75" customHeight="1">
      <c r="A875" s="7"/>
      <c r="B875" s="7"/>
      <c r="C875" s="8"/>
      <c r="D875" s="8"/>
      <c r="E875" s="8"/>
      <c r="F875" s="8"/>
      <c r="G875" s="8"/>
      <c r="H875" s="8"/>
    </row>
    <row r="876" ht="15.75" customHeight="1">
      <c r="A876" s="7"/>
      <c r="B876" s="7"/>
      <c r="C876" s="8"/>
      <c r="D876" s="8"/>
      <c r="E876" s="8"/>
      <c r="F876" s="8"/>
      <c r="G876" s="8"/>
      <c r="H876" s="8"/>
    </row>
    <row r="877" ht="15.75" customHeight="1">
      <c r="A877" s="7"/>
      <c r="B877" s="7"/>
      <c r="C877" s="8"/>
      <c r="D877" s="8"/>
      <c r="E877" s="8"/>
      <c r="F877" s="8"/>
      <c r="G877" s="8"/>
      <c r="H877" s="8"/>
    </row>
    <row r="878" ht="15.75" customHeight="1">
      <c r="A878" s="7"/>
      <c r="B878" s="7"/>
      <c r="C878" s="8"/>
      <c r="D878" s="8"/>
      <c r="E878" s="8"/>
      <c r="F878" s="8"/>
      <c r="G878" s="8"/>
      <c r="H878" s="8"/>
    </row>
    <row r="879" ht="15.75" customHeight="1">
      <c r="A879" s="7"/>
      <c r="B879" s="7"/>
      <c r="C879" s="8"/>
      <c r="D879" s="8"/>
      <c r="E879" s="8"/>
      <c r="F879" s="8"/>
      <c r="G879" s="8"/>
      <c r="H879" s="8"/>
    </row>
    <row r="880" ht="15.75" customHeight="1">
      <c r="A880" s="7"/>
      <c r="B880" s="7"/>
      <c r="C880" s="8"/>
      <c r="D880" s="8"/>
      <c r="E880" s="8"/>
      <c r="F880" s="8"/>
      <c r="G880" s="8"/>
      <c r="H880" s="8"/>
    </row>
    <row r="881" ht="15.75" customHeight="1">
      <c r="A881" s="7"/>
      <c r="B881" s="7"/>
      <c r="C881" s="8"/>
      <c r="D881" s="8"/>
      <c r="E881" s="8"/>
      <c r="F881" s="8"/>
      <c r="G881" s="8"/>
      <c r="H881" s="8"/>
    </row>
    <row r="882" ht="15.75" customHeight="1">
      <c r="A882" s="7"/>
      <c r="B882" s="7"/>
      <c r="C882" s="8"/>
      <c r="D882" s="8"/>
      <c r="E882" s="8"/>
      <c r="F882" s="8"/>
      <c r="G882" s="8"/>
      <c r="H882" s="8"/>
    </row>
    <row r="883" ht="15.75" customHeight="1">
      <c r="A883" s="7"/>
      <c r="B883" s="7"/>
      <c r="C883" s="8"/>
      <c r="D883" s="8"/>
      <c r="E883" s="8"/>
      <c r="F883" s="8"/>
      <c r="G883" s="8"/>
      <c r="H883" s="8"/>
    </row>
    <row r="884" ht="15.75" customHeight="1">
      <c r="A884" s="7"/>
      <c r="B884" s="7"/>
      <c r="C884" s="8"/>
      <c r="D884" s="8"/>
      <c r="E884" s="8"/>
      <c r="F884" s="8"/>
      <c r="G884" s="8"/>
      <c r="H884" s="8"/>
    </row>
    <row r="885" ht="15.75" customHeight="1">
      <c r="A885" s="7"/>
      <c r="B885" s="7"/>
      <c r="C885" s="8"/>
      <c r="D885" s="8"/>
      <c r="E885" s="8"/>
      <c r="F885" s="8"/>
      <c r="G885" s="8"/>
      <c r="H885" s="8"/>
    </row>
    <row r="886" ht="15.75" customHeight="1">
      <c r="A886" s="7"/>
      <c r="B886" s="7"/>
      <c r="C886" s="8"/>
      <c r="D886" s="8"/>
      <c r="E886" s="8"/>
      <c r="F886" s="8"/>
      <c r="G886" s="8"/>
      <c r="H886" s="8"/>
    </row>
    <row r="887" ht="15.75" customHeight="1">
      <c r="A887" s="7"/>
      <c r="B887" s="7"/>
      <c r="C887" s="8"/>
      <c r="D887" s="8"/>
      <c r="E887" s="8"/>
      <c r="F887" s="8"/>
      <c r="G887" s="8"/>
      <c r="H887" s="8"/>
    </row>
    <row r="888" ht="15.75" customHeight="1">
      <c r="A888" s="7"/>
      <c r="B888" s="7"/>
      <c r="C888" s="8"/>
      <c r="D888" s="8"/>
      <c r="E888" s="8"/>
      <c r="F888" s="8"/>
      <c r="G888" s="8"/>
      <c r="H888" s="8"/>
    </row>
    <row r="889" ht="15.75" customHeight="1">
      <c r="A889" s="7"/>
      <c r="B889" s="7"/>
      <c r="C889" s="8"/>
      <c r="D889" s="8"/>
      <c r="E889" s="8"/>
      <c r="F889" s="8"/>
      <c r="G889" s="8"/>
      <c r="H889" s="8"/>
    </row>
    <row r="890" ht="15.75" customHeight="1">
      <c r="A890" s="7"/>
      <c r="B890" s="7"/>
      <c r="C890" s="8"/>
      <c r="D890" s="8"/>
      <c r="E890" s="8"/>
      <c r="F890" s="8"/>
      <c r="G890" s="8"/>
      <c r="H890" s="8"/>
    </row>
    <row r="891" ht="15.75" customHeight="1">
      <c r="A891" s="7"/>
      <c r="B891" s="7"/>
      <c r="C891" s="8"/>
      <c r="D891" s="8"/>
      <c r="E891" s="8"/>
      <c r="F891" s="8"/>
      <c r="G891" s="8"/>
      <c r="H891" s="8"/>
    </row>
    <row r="892" ht="15.75" customHeight="1">
      <c r="A892" s="7"/>
      <c r="B892" s="7"/>
      <c r="C892" s="8"/>
      <c r="D892" s="8"/>
      <c r="E892" s="8"/>
      <c r="F892" s="8"/>
      <c r="G892" s="8"/>
      <c r="H892" s="8"/>
    </row>
    <row r="893" ht="15.75" customHeight="1">
      <c r="A893" s="7"/>
      <c r="B893" s="7"/>
      <c r="C893" s="8"/>
      <c r="D893" s="8"/>
      <c r="E893" s="8"/>
      <c r="F893" s="8"/>
      <c r="G893" s="8"/>
      <c r="H893" s="8"/>
    </row>
    <row r="894" ht="15.75" customHeight="1">
      <c r="A894" s="7"/>
      <c r="B894" s="7"/>
      <c r="C894" s="8"/>
      <c r="D894" s="8"/>
      <c r="E894" s="8"/>
      <c r="F894" s="8"/>
      <c r="G894" s="8"/>
      <c r="H894" s="8"/>
    </row>
    <row r="895" ht="15.75" customHeight="1">
      <c r="A895" s="7"/>
      <c r="B895" s="7"/>
      <c r="C895" s="8"/>
      <c r="D895" s="8"/>
      <c r="E895" s="8"/>
      <c r="F895" s="8"/>
      <c r="G895" s="8"/>
      <c r="H895" s="8"/>
    </row>
    <row r="896" ht="15.75" customHeight="1">
      <c r="A896" s="7"/>
      <c r="B896" s="7"/>
      <c r="C896" s="8"/>
      <c r="D896" s="8"/>
      <c r="E896" s="8"/>
      <c r="F896" s="8"/>
      <c r="G896" s="8"/>
      <c r="H896" s="8"/>
    </row>
    <row r="897" ht="15.75" customHeight="1">
      <c r="A897" s="7"/>
      <c r="B897" s="7"/>
      <c r="C897" s="8"/>
      <c r="D897" s="8"/>
      <c r="E897" s="8"/>
      <c r="F897" s="8"/>
      <c r="G897" s="8"/>
      <c r="H897" s="8"/>
    </row>
    <row r="898" ht="15.75" customHeight="1">
      <c r="A898" s="7"/>
      <c r="B898" s="7"/>
      <c r="C898" s="8"/>
      <c r="D898" s="8"/>
      <c r="E898" s="8"/>
      <c r="F898" s="8"/>
      <c r="G898" s="8"/>
      <c r="H898" s="8"/>
    </row>
    <row r="899" ht="15.75" customHeight="1">
      <c r="A899" s="7"/>
      <c r="B899" s="7"/>
      <c r="C899" s="8"/>
      <c r="D899" s="8"/>
      <c r="E899" s="8"/>
      <c r="F899" s="8"/>
      <c r="G899" s="8"/>
      <c r="H899" s="8"/>
    </row>
    <row r="900" ht="15.75" customHeight="1">
      <c r="A900" s="7"/>
      <c r="B900" s="7"/>
      <c r="C900" s="8"/>
      <c r="D900" s="8"/>
      <c r="E900" s="8"/>
      <c r="F900" s="8"/>
      <c r="G900" s="8"/>
      <c r="H900" s="8"/>
    </row>
    <row r="901" ht="15.75" customHeight="1">
      <c r="A901" s="7"/>
      <c r="B901" s="7"/>
      <c r="C901" s="8"/>
      <c r="D901" s="8"/>
      <c r="E901" s="8"/>
      <c r="F901" s="8"/>
      <c r="G901" s="8"/>
      <c r="H901" s="8"/>
    </row>
    <row r="902" ht="15.75" customHeight="1">
      <c r="A902" s="7"/>
      <c r="B902" s="7"/>
      <c r="C902" s="8"/>
      <c r="D902" s="8"/>
      <c r="E902" s="8"/>
      <c r="F902" s="8"/>
      <c r="G902" s="8"/>
      <c r="H902" s="8"/>
    </row>
    <row r="903" ht="15.75" customHeight="1">
      <c r="A903" s="7"/>
      <c r="B903" s="7"/>
      <c r="C903" s="8"/>
      <c r="D903" s="8"/>
      <c r="E903" s="8"/>
      <c r="F903" s="8"/>
      <c r="G903" s="8"/>
      <c r="H903" s="8"/>
    </row>
    <row r="904" ht="15.75" customHeight="1">
      <c r="A904" s="7"/>
      <c r="B904" s="7"/>
      <c r="C904" s="8"/>
      <c r="D904" s="8"/>
      <c r="E904" s="8"/>
      <c r="F904" s="8"/>
      <c r="G904" s="8"/>
      <c r="H904" s="8"/>
    </row>
    <row r="905" ht="15.75" customHeight="1">
      <c r="A905" s="7"/>
      <c r="B905" s="7"/>
      <c r="C905" s="8"/>
      <c r="D905" s="8"/>
      <c r="E905" s="8"/>
      <c r="F905" s="8"/>
      <c r="G905" s="8"/>
      <c r="H905" s="8"/>
    </row>
    <row r="906" ht="15.75" customHeight="1">
      <c r="A906" s="7"/>
      <c r="B906" s="7"/>
      <c r="C906" s="8"/>
      <c r="D906" s="8"/>
      <c r="E906" s="8"/>
      <c r="F906" s="8"/>
      <c r="G906" s="8"/>
      <c r="H906" s="8"/>
    </row>
    <row r="907" ht="15.75" customHeight="1">
      <c r="A907" s="7"/>
      <c r="B907" s="7"/>
      <c r="C907" s="8"/>
      <c r="D907" s="8"/>
      <c r="E907" s="8"/>
      <c r="F907" s="8"/>
      <c r="G907" s="8"/>
      <c r="H907" s="8"/>
    </row>
    <row r="908" ht="15.75" customHeight="1">
      <c r="A908" s="7"/>
      <c r="B908" s="7"/>
      <c r="C908" s="8"/>
      <c r="D908" s="8"/>
      <c r="E908" s="8"/>
      <c r="F908" s="8"/>
      <c r="G908" s="8"/>
      <c r="H908" s="8"/>
    </row>
    <row r="909" ht="15.75" customHeight="1">
      <c r="A909" s="7"/>
      <c r="B909" s="7"/>
      <c r="C909" s="8"/>
      <c r="D909" s="8"/>
      <c r="E909" s="8"/>
      <c r="F909" s="8"/>
      <c r="G909" s="8"/>
      <c r="H909" s="8"/>
    </row>
    <row r="910" ht="15.75" customHeight="1">
      <c r="A910" s="7"/>
      <c r="B910" s="7"/>
      <c r="C910" s="8"/>
      <c r="D910" s="8"/>
      <c r="E910" s="8"/>
      <c r="F910" s="8"/>
      <c r="G910" s="8"/>
      <c r="H910" s="8"/>
    </row>
    <row r="911" ht="15.75" customHeight="1">
      <c r="A911" s="7"/>
      <c r="B911" s="7"/>
      <c r="C911" s="8"/>
      <c r="D911" s="8"/>
      <c r="E911" s="8"/>
      <c r="F911" s="8"/>
      <c r="G911" s="8"/>
      <c r="H911" s="8"/>
    </row>
    <row r="912" ht="15.75" customHeight="1">
      <c r="A912" s="7"/>
      <c r="B912" s="7"/>
      <c r="C912" s="8"/>
      <c r="D912" s="8"/>
      <c r="E912" s="8"/>
      <c r="F912" s="8"/>
      <c r="G912" s="8"/>
      <c r="H912" s="8"/>
    </row>
    <row r="913" ht="15.75" customHeight="1">
      <c r="A913" s="7"/>
      <c r="B913" s="7"/>
      <c r="C913" s="8"/>
      <c r="D913" s="8"/>
      <c r="E913" s="8"/>
      <c r="F913" s="8"/>
      <c r="G913" s="8"/>
      <c r="H913" s="8"/>
    </row>
    <row r="914" ht="15.75" customHeight="1">
      <c r="A914" s="7"/>
      <c r="B914" s="7"/>
      <c r="C914" s="8"/>
      <c r="D914" s="8"/>
      <c r="E914" s="8"/>
      <c r="F914" s="8"/>
      <c r="G914" s="8"/>
      <c r="H914" s="8"/>
    </row>
    <row r="915" ht="15.75" customHeight="1">
      <c r="A915" s="7"/>
      <c r="B915" s="7"/>
      <c r="C915" s="8"/>
      <c r="D915" s="8"/>
      <c r="E915" s="8"/>
      <c r="F915" s="8"/>
      <c r="G915" s="8"/>
      <c r="H915" s="8"/>
    </row>
    <row r="916" ht="15.75" customHeight="1">
      <c r="A916" s="7"/>
      <c r="B916" s="7"/>
      <c r="C916" s="8"/>
      <c r="D916" s="8"/>
      <c r="E916" s="8"/>
      <c r="F916" s="8"/>
      <c r="G916" s="8"/>
      <c r="H916" s="8"/>
    </row>
    <row r="917" ht="15.75" customHeight="1">
      <c r="A917" s="7"/>
      <c r="B917" s="7"/>
      <c r="C917" s="8"/>
      <c r="D917" s="8"/>
      <c r="E917" s="8"/>
      <c r="F917" s="8"/>
      <c r="G917" s="8"/>
      <c r="H917" s="8"/>
    </row>
    <row r="918" ht="15.75" customHeight="1">
      <c r="A918" s="7"/>
      <c r="B918" s="7"/>
      <c r="C918" s="8"/>
      <c r="D918" s="8"/>
      <c r="E918" s="8"/>
      <c r="F918" s="8"/>
      <c r="G918" s="8"/>
      <c r="H918" s="8"/>
    </row>
    <row r="919" ht="15.75" customHeight="1">
      <c r="A919" s="7"/>
      <c r="B919" s="7"/>
      <c r="C919" s="8"/>
      <c r="D919" s="8"/>
      <c r="E919" s="8"/>
      <c r="F919" s="8"/>
      <c r="G919" s="8"/>
      <c r="H919" s="8"/>
    </row>
    <row r="920" ht="15.75" customHeight="1">
      <c r="A920" s="7"/>
      <c r="B920" s="7"/>
      <c r="C920" s="8"/>
      <c r="D920" s="8"/>
      <c r="E920" s="8"/>
      <c r="F920" s="8"/>
      <c r="G920" s="8"/>
      <c r="H920" s="8"/>
    </row>
    <row r="921" ht="15.75" customHeight="1">
      <c r="A921" s="7"/>
      <c r="B921" s="7"/>
      <c r="C921" s="8"/>
      <c r="D921" s="8"/>
      <c r="E921" s="8"/>
      <c r="F921" s="8"/>
      <c r="G921" s="8"/>
      <c r="H921" s="8"/>
    </row>
    <row r="922" ht="15.75" customHeight="1">
      <c r="A922" s="7"/>
      <c r="B922" s="7"/>
      <c r="C922" s="8"/>
      <c r="D922" s="8"/>
      <c r="E922" s="8"/>
      <c r="F922" s="8"/>
      <c r="G922" s="8"/>
      <c r="H922" s="8"/>
    </row>
    <row r="923" ht="15.75" customHeight="1">
      <c r="A923" s="7"/>
      <c r="B923" s="7"/>
      <c r="C923" s="8"/>
      <c r="D923" s="8"/>
      <c r="E923" s="8"/>
      <c r="F923" s="8"/>
      <c r="G923" s="8"/>
      <c r="H923" s="8"/>
    </row>
    <row r="924" ht="15.75" customHeight="1">
      <c r="A924" s="7"/>
      <c r="B924" s="7"/>
      <c r="C924" s="8"/>
      <c r="D924" s="8"/>
      <c r="E924" s="8"/>
      <c r="F924" s="8"/>
      <c r="G924" s="8"/>
      <c r="H924" s="8"/>
    </row>
    <row r="925" ht="15.75" customHeight="1">
      <c r="A925" s="7"/>
      <c r="B925" s="7"/>
      <c r="C925" s="8"/>
      <c r="D925" s="8"/>
      <c r="E925" s="8"/>
      <c r="F925" s="8"/>
      <c r="G925" s="8"/>
      <c r="H925" s="8"/>
    </row>
    <row r="926" ht="15.75" customHeight="1">
      <c r="A926" s="7"/>
      <c r="B926" s="7"/>
      <c r="C926" s="8"/>
      <c r="D926" s="8"/>
      <c r="E926" s="8"/>
      <c r="F926" s="8"/>
      <c r="G926" s="8"/>
      <c r="H926" s="8"/>
    </row>
    <row r="927" ht="15.75" customHeight="1">
      <c r="A927" s="7"/>
      <c r="B927" s="7"/>
      <c r="C927" s="8"/>
      <c r="D927" s="8"/>
      <c r="E927" s="8"/>
      <c r="F927" s="8"/>
      <c r="G927" s="8"/>
      <c r="H927" s="8"/>
    </row>
    <row r="928" ht="15.75" customHeight="1">
      <c r="A928" s="7"/>
      <c r="B928" s="7"/>
      <c r="C928" s="8"/>
      <c r="D928" s="8"/>
      <c r="E928" s="8"/>
      <c r="F928" s="8"/>
      <c r="G928" s="8"/>
      <c r="H928" s="8"/>
    </row>
    <row r="929" ht="15.75" customHeight="1">
      <c r="A929" s="7"/>
      <c r="B929" s="7"/>
      <c r="C929" s="8"/>
      <c r="D929" s="8"/>
      <c r="E929" s="8"/>
      <c r="F929" s="8"/>
      <c r="G929" s="8"/>
      <c r="H929" s="8"/>
    </row>
    <row r="930" ht="15.75" customHeight="1">
      <c r="A930" s="7"/>
      <c r="B930" s="7"/>
      <c r="C930" s="8"/>
      <c r="D930" s="8"/>
      <c r="E930" s="8"/>
      <c r="F930" s="8"/>
      <c r="G930" s="8"/>
      <c r="H930" s="8"/>
    </row>
    <row r="931" ht="15.75" customHeight="1">
      <c r="A931" s="7"/>
      <c r="B931" s="7"/>
      <c r="C931" s="8"/>
      <c r="D931" s="8"/>
      <c r="E931" s="8"/>
      <c r="F931" s="8"/>
      <c r="G931" s="8"/>
      <c r="H931" s="8"/>
    </row>
    <row r="932" ht="15.75" customHeight="1">
      <c r="A932" s="7"/>
      <c r="B932" s="7"/>
      <c r="C932" s="8"/>
      <c r="D932" s="8"/>
      <c r="E932" s="8"/>
      <c r="F932" s="8"/>
      <c r="G932" s="8"/>
      <c r="H932" s="8"/>
    </row>
    <row r="933" ht="15.75" customHeight="1">
      <c r="A933" s="7"/>
      <c r="B933" s="7"/>
      <c r="C933" s="8"/>
      <c r="D933" s="8"/>
      <c r="E933" s="8"/>
      <c r="F933" s="8"/>
      <c r="G933" s="8"/>
      <c r="H933" s="8"/>
    </row>
    <row r="934" ht="15.75" customHeight="1">
      <c r="A934" s="7"/>
      <c r="B934" s="7"/>
      <c r="C934" s="8"/>
      <c r="D934" s="8"/>
      <c r="E934" s="8"/>
      <c r="F934" s="8"/>
      <c r="G934" s="8"/>
      <c r="H934" s="8"/>
    </row>
    <row r="935" ht="15.75" customHeight="1">
      <c r="A935" s="7"/>
      <c r="B935" s="7"/>
      <c r="C935" s="8"/>
      <c r="D935" s="8"/>
      <c r="E935" s="8"/>
      <c r="F935" s="8"/>
      <c r="G935" s="8"/>
      <c r="H935" s="8"/>
    </row>
    <row r="936" ht="15.75" customHeight="1">
      <c r="A936" s="7"/>
      <c r="B936" s="7"/>
      <c r="C936" s="8"/>
      <c r="D936" s="8"/>
      <c r="E936" s="8"/>
      <c r="F936" s="8"/>
      <c r="G936" s="8"/>
      <c r="H936" s="8"/>
    </row>
    <row r="937" ht="15.75" customHeight="1">
      <c r="A937" s="7"/>
      <c r="B937" s="7"/>
      <c r="C937" s="8"/>
      <c r="D937" s="8"/>
      <c r="E937" s="8"/>
      <c r="F937" s="8"/>
      <c r="G937" s="8"/>
      <c r="H937" s="8"/>
    </row>
    <row r="938" ht="15.75" customHeight="1">
      <c r="A938" s="7"/>
      <c r="B938" s="7"/>
      <c r="C938" s="8"/>
      <c r="D938" s="8"/>
      <c r="E938" s="8"/>
      <c r="F938" s="8"/>
      <c r="G938" s="8"/>
      <c r="H938" s="8"/>
    </row>
    <row r="939" ht="15.75" customHeight="1">
      <c r="A939" s="7"/>
      <c r="B939" s="7"/>
      <c r="C939" s="8"/>
      <c r="D939" s="8"/>
      <c r="E939" s="8"/>
      <c r="F939" s="8"/>
      <c r="G939" s="8"/>
      <c r="H939" s="8"/>
    </row>
    <row r="940" ht="15.75" customHeight="1">
      <c r="A940" s="7"/>
      <c r="B940" s="7"/>
      <c r="C940" s="8"/>
      <c r="D940" s="8"/>
      <c r="E940" s="8"/>
      <c r="F940" s="8"/>
      <c r="G940" s="8"/>
      <c r="H940" s="8"/>
    </row>
    <row r="941" ht="15.75" customHeight="1">
      <c r="A941" s="7"/>
      <c r="B941" s="7"/>
      <c r="C941" s="8"/>
      <c r="D941" s="8"/>
      <c r="E941" s="8"/>
      <c r="F941" s="8"/>
      <c r="G941" s="8"/>
      <c r="H941" s="8"/>
    </row>
    <row r="942" ht="15.75" customHeight="1">
      <c r="A942" s="7"/>
      <c r="B942" s="7"/>
      <c r="C942" s="8"/>
      <c r="D942" s="8"/>
      <c r="E942" s="8"/>
      <c r="F942" s="8"/>
      <c r="G942" s="8"/>
      <c r="H942" s="8"/>
    </row>
    <row r="943" ht="15.75" customHeight="1">
      <c r="A943" s="7"/>
      <c r="B943" s="7"/>
      <c r="C943" s="8"/>
      <c r="D943" s="8"/>
      <c r="E943" s="8"/>
      <c r="F943" s="8"/>
      <c r="G943" s="8"/>
      <c r="H943" s="8"/>
    </row>
    <row r="944" ht="15.75" customHeight="1">
      <c r="A944" s="7"/>
      <c r="B944" s="7"/>
      <c r="C944" s="8"/>
      <c r="D944" s="8"/>
      <c r="E944" s="8"/>
      <c r="F944" s="8"/>
      <c r="G944" s="8"/>
      <c r="H944" s="8"/>
    </row>
    <row r="945" ht="15.75" customHeight="1">
      <c r="A945" s="7"/>
      <c r="B945" s="7"/>
      <c r="C945" s="8"/>
      <c r="D945" s="8"/>
      <c r="E945" s="8"/>
      <c r="F945" s="8"/>
      <c r="G945" s="8"/>
      <c r="H945" s="8"/>
    </row>
    <row r="946" ht="15.75" customHeight="1">
      <c r="A946" s="7"/>
      <c r="B946" s="7"/>
      <c r="C946" s="8"/>
      <c r="D946" s="8"/>
      <c r="E946" s="8"/>
      <c r="F946" s="8"/>
      <c r="G946" s="8"/>
      <c r="H946" s="8"/>
    </row>
    <row r="947" ht="15.75" customHeight="1">
      <c r="A947" s="7"/>
      <c r="B947" s="7"/>
      <c r="C947" s="8"/>
      <c r="D947" s="8"/>
      <c r="E947" s="8"/>
      <c r="F947" s="8"/>
      <c r="G947" s="8"/>
      <c r="H947" s="8"/>
    </row>
    <row r="948" ht="15.75" customHeight="1">
      <c r="A948" s="7"/>
      <c r="B948" s="7"/>
      <c r="C948" s="8"/>
      <c r="D948" s="8"/>
      <c r="E948" s="8"/>
      <c r="F948" s="8"/>
      <c r="G948" s="8"/>
      <c r="H948" s="8"/>
    </row>
    <row r="949" ht="15.75" customHeight="1">
      <c r="A949" s="7"/>
      <c r="B949" s="7"/>
      <c r="C949" s="8"/>
      <c r="D949" s="8"/>
      <c r="E949" s="8"/>
      <c r="F949" s="8"/>
      <c r="G949" s="8"/>
      <c r="H949" s="8"/>
    </row>
    <row r="950" ht="15.75" customHeight="1">
      <c r="A950" s="7"/>
      <c r="B950" s="7"/>
      <c r="C950" s="8"/>
      <c r="D950" s="8"/>
      <c r="E950" s="8"/>
      <c r="F950" s="8"/>
      <c r="G950" s="8"/>
      <c r="H950" s="8"/>
    </row>
    <row r="951" ht="15.75" customHeight="1">
      <c r="A951" s="7"/>
      <c r="B951" s="7"/>
      <c r="C951" s="8"/>
      <c r="D951" s="8"/>
      <c r="E951" s="8"/>
      <c r="F951" s="8"/>
      <c r="G951" s="8"/>
      <c r="H951" s="8"/>
    </row>
    <row r="952" ht="15.75" customHeight="1">
      <c r="A952" s="7"/>
      <c r="B952" s="7"/>
      <c r="C952" s="8"/>
      <c r="D952" s="8"/>
      <c r="E952" s="8"/>
      <c r="F952" s="8"/>
      <c r="G952" s="8"/>
      <c r="H952" s="8"/>
    </row>
    <row r="953" ht="15.75" customHeight="1">
      <c r="A953" s="7"/>
      <c r="B953" s="7"/>
      <c r="C953" s="8"/>
      <c r="D953" s="8"/>
      <c r="E953" s="8"/>
      <c r="F953" s="8"/>
      <c r="G953" s="8"/>
      <c r="H953" s="8"/>
    </row>
    <row r="954" ht="15.75" customHeight="1">
      <c r="A954" s="7"/>
      <c r="B954" s="7"/>
      <c r="C954" s="8"/>
      <c r="D954" s="8"/>
      <c r="E954" s="8"/>
      <c r="F954" s="8"/>
      <c r="G954" s="8"/>
      <c r="H954" s="8"/>
    </row>
    <row r="955" ht="15.75" customHeight="1">
      <c r="A955" s="7"/>
      <c r="B955" s="7"/>
      <c r="C955" s="8"/>
      <c r="D955" s="8"/>
      <c r="E955" s="8"/>
      <c r="F955" s="8"/>
      <c r="G955" s="8"/>
      <c r="H955" s="8"/>
    </row>
    <row r="956" ht="15.75" customHeight="1">
      <c r="A956" s="7"/>
      <c r="B956" s="7"/>
      <c r="C956" s="8"/>
      <c r="D956" s="8"/>
      <c r="E956" s="8"/>
      <c r="F956" s="8"/>
      <c r="G956" s="8"/>
      <c r="H956" s="8"/>
    </row>
    <row r="957" ht="15.75" customHeight="1">
      <c r="A957" s="7"/>
      <c r="B957" s="7"/>
      <c r="C957" s="8"/>
      <c r="D957" s="8"/>
      <c r="E957" s="8"/>
      <c r="F957" s="8"/>
      <c r="G957" s="8"/>
      <c r="H957" s="8"/>
    </row>
    <row r="958" ht="15.75" customHeight="1">
      <c r="A958" s="7"/>
      <c r="B958" s="7"/>
      <c r="C958" s="8"/>
      <c r="D958" s="8"/>
      <c r="E958" s="8"/>
      <c r="F958" s="8"/>
      <c r="G958" s="8"/>
      <c r="H958" s="8"/>
    </row>
    <row r="959" ht="15.75" customHeight="1">
      <c r="A959" s="7"/>
      <c r="B959" s="7"/>
      <c r="C959" s="8"/>
      <c r="D959" s="8"/>
      <c r="E959" s="8"/>
      <c r="F959" s="8"/>
      <c r="G959" s="8"/>
      <c r="H959" s="8"/>
    </row>
    <row r="960" ht="15.75" customHeight="1">
      <c r="A960" s="7"/>
      <c r="B960" s="7"/>
      <c r="C960" s="8"/>
      <c r="D960" s="8"/>
      <c r="E960" s="8"/>
      <c r="F960" s="8"/>
      <c r="G960" s="8"/>
      <c r="H960" s="8"/>
    </row>
    <row r="961" ht="15.75" customHeight="1">
      <c r="A961" s="7"/>
      <c r="B961" s="7"/>
      <c r="C961" s="8"/>
      <c r="D961" s="8"/>
      <c r="E961" s="8"/>
      <c r="F961" s="8"/>
      <c r="G961" s="8"/>
      <c r="H961" s="8"/>
    </row>
    <row r="962" ht="15.75" customHeight="1">
      <c r="A962" s="7"/>
      <c r="B962" s="7"/>
      <c r="C962" s="8"/>
      <c r="D962" s="8"/>
      <c r="E962" s="8"/>
      <c r="F962" s="8"/>
      <c r="G962" s="8"/>
      <c r="H962" s="8"/>
    </row>
    <row r="963" ht="15.75" customHeight="1">
      <c r="A963" s="7"/>
      <c r="B963" s="7"/>
      <c r="C963" s="8"/>
      <c r="D963" s="8"/>
      <c r="E963" s="8"/>
      <c r="F963" s="8"/>
      <c r="G963" s="8"/>
      <c r="H963" s="8"/>
    </row>
    <row r="964" ht="15.75" customHeight="1">
      <c r="A964" s="7"/>
      <c r="B964" s="7"/>
      <c r="C964" s="8"/>
      <c r="D964" s="8"/>
      <c r="E964" s="8"/>
      <c r="F964" s="8"/>
      <c r="G964" s="8"/>
      <c r="H964" s="8"/>
    </row>
    <row r="965" ht="15.75" customHeight="1">
      <c r="A965" s="7"/>
      <c r="B965" s="7"/>
      <c r="C965" s="8"/>
      <c r="D965" s="8"/>
      <c r="E965" s="8"/>
      <c r="F965" s="8"/>
      <c r="G965" s="8"/>
      <c r="H965" s="8"/>
    </row>
    <row r="966" ht="15.75" customHeight="1">
      <c r="A966" s="7"/>
      <c r="B966" s="7"/>
      <c r="C966" s="8"/>
      <c r="D966" s="8"/>
      <c r="E966" s="8"/>
      <c r="F966" s="8"/>
      <c r="G966" s="8"/>
      <c r="H966" s="8"/>
    </row>
    <row r="967" ht="15.75" customHeight="1">
      <c r="A967" s="7"/>
      <c r="B967" s="7"/>
      <c r="C967" s="8"/>
      <c r="D967" s="8"/>
      <c r="E967" s="8"/>
      <c r="F967" s="8"/>
      <c r="G967" s="8"/>
      <c r="H967" s="8"/>
    </row>
    <row r="968" ht="15.75" customHeight="1">
      <c r="A968" s="7"/>
      <c r="B968" s="7"/>
      <c r="C968" s="8"/>
      <c r="D968" s="8"/>
      <c r="E968" s="8"/>
      <c r="F968" s="8"/>
      <c r="G968" s="8"/>
      <c r="H968" s="8"/>
    </row>
    <row r="969" ht="15.75" customHeight="1">
      <c r="A969" s="7"/>
      <c r="B969" s="7"/>
      <c r="C969" s="8"/>
      <c r="D969" s="8"/>
      <c r="E969" s="8"/>
      <c r="F969" s="8"/>
      <c r="G969" s="8"/>
      <c r="H969" s="8"/>
    </row>
    <row r="970" ht="15.75" customHeight="1">
      <c r="A970" s="7"/>
      <c r="B970" s="7"/>
      <c r="C970" s="8"/>
      <c r="D970" s="8"/>
      <c r="E970" s="8"/>
      <c r="F970" s="8"/>
      <c r="G970" s="8"/>
      <c r="H970" s="8"/>
    </row>
    <row r="971" ht="15.75" customHeight="1">
      <c r="A971" s="7"/>
      <c r="B971" s="7"/>
      <c r="C971" s="8"/>
      <c r="D971" s="8"/>
      <c r="E971" s="8"/>
      <c r="F971" s="8"/>
      <c r="G971" s="8"/>
      <c r="H971" s="8"/>
    </row>
    <row r="972" ht="15.75" customHeight="1">
      <c r="A972" s="7"/>
      <c r="B972" s="7"/>
      <c r="C972" s="8"/>
      <c r="D972" s="8"/>
      <c r="E972" s="8"/>
      <c r="F972" s="8"/>
      <c r="G972" s="8"/>
      <c r="H972" s="8"/>
    </row>
    <row r="973" ht="15.75" customHeight="1">
      <c r="A973" s="7"/>
      <c r="B973" s="7"/>
      <c r="C973" s="8"/>
      <c r="D973" s="8"/>
      <c r="E973" s="8"/>
      <c r="F973" s="8"/>
      <c r="G973" s="8"/>
      <c r="H973" s="8"/>
    </row>
    <row r="974" ht="15.75" customHeight="1">
      <c r="A974" s="7"/>
      <c r="B974" s="7"/>
      <c r="C974" s="8"/>
      <c r="D974" s="8"/>
      <c r="E974" s="8"/>
      <c r="F974" s="8"/>
      <c r="G974" s="8"/>
      <c r="H974" s="8"/>
    </row>
    <row r="975" ht="15.75" customHeight="1">
      <c r="A975" s="7"/>
      <c r="B975" s="7"/>
      <c r="C975" s="8"/>
      <c r="D975" s="8"/>
      <c r="E975" s="8"/>
      <c r="F975" s="8"/>
      <c r="G975" s="8"/>
      <c r="H975" s="8"/>
    </row>
    <row r="976" ht="15.75" customHeight="1">
      <c r="A976" s="7"/>
      <c r="B976" s="7"/>
      <c r="C976" s="8"/>
      <c r="D976" s="8"/>
      <c r="E976" s="8"/>
      <c r="F976" s="8"/>
      <c r="G976" s="8"/>
      <c r="H976" s="8"/>
    </row>
    <row r="977" ht="15.75" customHeight="1">
      <c r="A977" s="7"/>
      <c r="B977" s="7"/>
      <c r="C977" s="8"/>
      <c r="D977" s="8"/>
      <c r="E977" s="8"/>
      <c r="F977" s="8"/>
      <c r="G977" s="8"/>
      <c r="H977" s="8"/>
    </row>
    <row r="978" ht="15.75" customHeight="1">
      <c r="A978" s="7"/>
      <c r="B978" s="7"/>
      <c r="C978" s="8"/>
      <c r="D978" s="8"/>
      <c r="E978" s="8"/>
      <c r="F978" s="8"/>
      <c r="G978" s="8"/>
      <c r="H978" s="8"/>
    </row>
    <row r="979" ht="15.75" customHeight="1">
      <c r="A979" s="7"/>
      <c r="B979" s="7"/>
      <c r="C979" s="8"/>
      <c r="D979" s="8"/>
      <c r="E979" s="8"/>
      <c r="F979" s="8"/>
      <c r="G979" s="8"/>
      <c r="H979" s="8"/>
    </row>
    <row r="980" ht="15.75" customHeight="1">
      <c r="A980" s="7"/>
      <c r="B980" s="7"/>
      <c r="C980" s="8"/>
      <c r="D980" s="8"/>
      <c r="E980" s="8"/>
      <c r="F980" s="8"/>
      <c r="G980" s="8"/>
      <c r="H980" s="8"/>
    </row>
    <row r="981" ht="15.75" customHeight="1">
      <c r="A981" s="7"/>
      <c r="B981" s="7"/>
      <c r="C981" s="8"/>
      <c r="D981" s="8"/>
      <c r="E981" s="8"/>
      <c r="F981" s="8"/>
      <c r="G981" s="8"/>
      <c r="H981" s="8"/>
    </row>
    <row r="982" ht="15.75" customHeight="1">
      <c r="A982" s="7"/>
      <c r="B982" s="7"/>
      <c r="C982" s="8"/>
      <c r="D982" s="8"/>
      <c r="E982" s="8"/>
      <c r="F982" s="8"/>
      <c r="G982" s="8"/>
      <c r="H982" s="8"/>
    </row>
    <row r="983" ht="15.75" customHeight="1">
      <c r="A983" s="7"/>
      <c r="B983" s="7"/>
      <c r="C983" s="8"/>
      <c r="D983" s="8"/>
      <c r="E983" s="8"/>
      <c r="F983" s="8"/>
      <c r="G983" s="8"/>
      <c r="H983" s="8"/>
    </row>
    <row r="984" ht="15.75" customHeight="1">
      <c r="A984" s="7"/>
      <c r="B984" s="7"/>
      <c r="C984" s="8"/>
      <c r="D984" s="8"/>
      <c r="E984" s="8"/>
      <c r="F984" s="8"/>
      <c r="G984" s="8"/>
      <c r="H984" s="8"/>
    </row>
    <row r="985" ht="15.75" customHeight="1">
      <c r="A985" s="7"/>
      <c r="B985" s="7"/>
      <c r="C985" s="8"/>
      <c r="D985" s="8"/>
      <c r="E985" s="8"/>
      <c r="F985" s="8"/>
      <c r="G985" s="8"/>
      <c r="H985" s="8"/>
    </row>
    <row r="986" ht="15.75" customHeight="1">
      <c r="A986" s="7"/>
      <c r="B986" s="7"/>
      <c r="C986" s="8"/>
      <c r="D986" s="8"/>
      <c r="E986" s="8"/>
      <c r="F986" s="8"/>
      <c r="G986" s="8"/>
      <c r="H986" s="8"/>
    </row>
    <row r="987" ht="15.75" customHeight="1">
      <c r="A987" s="7"/>
      <c r="B987" s="7"/>
      <c r="C987" s="8"/>
      <c r="D987" s="8"/>
      <c r="E987" s="8"/>
      <c r="F987" s="8"/>
      <c r="G987" s="8"/>
      <c r="H987" s="8"/>
    </row>
    <row r="988" ht="15.75" customHeight="1">
      <c r="A988" s="7"/>
      <c r="B988" s="7"/>
      <c r="C988" s="8"/>
      <c r="D988" s="8"/>
      <c r="E988" s="8"/>
      <c r="F988" s="8"/>
      <c r="G988" s="8"/>
      <c r="H988" s="8"/>
    </row>
    <row r="989" ht="15.75" customHeight="1">
      <c r="A989" s="7"/>
      <c r="B989" s="7"/>
      <c r="C989" s="8"/>
      <c r="D989" s="8"/>
      <c r="E989" s="8"/>
      <c r="F989" s="8"/>
      <c r="G989" s="8"/>
      <c r="H989" s="8"/>
    </row>
    <row r="990" ht="15.75" customHeight="1">
      <c r="A990" s="7"/>
      <c r="B990" s="7"/>
      <c r="C990" s="8"/>
      <c r="D990" s="8"/>
      <c r="E990" s="8"/>
      <c r="F990" s="8"/>
      <c r="G990" s="8"/>
      <c r="H990" s="8"/>
    </row>
    <row r="991" ht="15.75" customHeight="1">
      <c r="A991" s="7"/>
      <c r="B991" s="7"/>
      <c r="C991" s="8"/>
      <c r="D991" s="8"/>
      <c r="E991" s="8"/>
      <c r="F991" s="8"/>
      <c r="G991" s="8"/>
      <c r="H991" s="8"/>
    </row>
    <row r="992" ht="15.75" customHeight="1">
      <c r="A992" s="7"/>
      <c r="B992" s="7"/>
      <c r="C992" s="8"/>
      <c r="D992" s="8"/>
      <c r="E992" s="8"/>
      <c r="F992" s="8"/>
      <c r="G992" s="8"/>
      <c r="H992" s="8"/>
    </row>
    <row r="993" ht="15.75" customHeight="1">
      <c r="A993" s="7"/>
      <c r="B993" s="7"/>
      <c r="C993" s="8"/>
      <c r="D993" s="8"/>
      <c r="E993" s="8"/>
      <c r="F993" s="8"/>
      <c r="G993" s="8"/>
      <c r="H993" s="8"/>
    </row>
    <row r="994" ht="15.75" customHeight="1">
      <c r="A994" s="7"/>
      <c r="B994" s="7"/>
      <c r="C994" s="8"/>
      <c r="D994" s="8"/>
      <c r="E994" s="8"/>
      <c r="F994" s="8"/>
      <c r="G994" s="8"/>
      <c r="H994" s="8"/>
    </row>
    <row r="995" ht="15.75" customHeight="1">
      <c r="A995" s="7"/>
      <c r="B995" s="7"/>
      <c r="C995" s="8"/>
      <c r="D995" s="8"/>
      <c r="E995" s="8"/>
      <c r="F995" s="8"/>
      <c r="G995" s="8"/>
      <c r="H995" s="8"/>
    </row>
    <row r="996" ht="15.75" customHeight="1">
      <c r="A996" s="7"/>
      <c r="B996" s="7"/>
      <c r="C996" s="8"/>
      <c r="D996" s="8"/>
      <c r="E996" s="8"/>
      <c r="F996" s="8"/>
      <c r="G996" s="8"/>
      <c r="H996" s="8"/>
    </row>
    <row r="997" ht="15.75" customHeight="1">
      <c r="A997" s="7"/>
      <c r="B997" s="7"/>
      <c r="C997" s="8"/>
      <c r="D997" s="8"/>
      <c r="E997" s="8"/>
      <c r="F997" s="8"/>
      <c r="G997" s="8"/>
      <c r="H997" s="8"/>
    </row>
    <row r="998" ht="15.75" customHeight="1">
      <c r="A998" s="7"/>
      <c r="B998" s="7"/>
      <c r="C998" s="8"/>
      <c r="D998" s="8"/>
      <c r="E998" s="8"/>
      <c r="F998" s="8"/>
      <c r="G998" s="8"/>
      <c r="H998" s="8"/>
    </row>
    <row r="999" ht="15.75" customHeight="1">
      <c r="A999" s="7"/>
      <c r="B999" s="7"/>
      <c r="C999" s="8"/>
      <c r="D999" s="8"/>
      <c r="E999" s="8"/>
      <c r="F999" s="8"/>
      <c r="G999" s="8"/>
      <c r="H999" s="8"/>
    </row>
    <row r="1000" ht="15.75" customHeight="1">
      <c r="A1000" s="7"/>
      <c r="B1000" s="7"/>
      <c r="C1000" s="8"/>
      <c r="D1000" s="8"/>
      <c r="E1000" s="8"/>
      <c r="F1000" s="8"/>
      <c r="G1000" s="8"/>
      <c r="H1000" s="8"/>
    </row>
    <row r="1001" ht="15.75" customHeight="1">
      <c r="A1001" s="7"/>
      <c r="B1001" s="7"/>
      <c r="C1001" s="8"/>
      <c r="D1001" s="8"/>
      <c r="E1001" s="8"/>
      <c r="F1001" s="8"/>
      <c r="G1001" s="8"/>
      <c r="H1001" s="8"/>
    </row>
    <row r="1002" ht="15.75" customHeight="1">
      <c r="A1002" s="7"/>
      <c r="B1002" s="7"/>
      <c r="C1002" s="8"/>
      <c r="D1002" s="8"/>
      <c r="E1002" s="8"/>
      <c r="F1002" s="8"/>
      <c r="G1002" s="8"/>
      <c r="H1002" s="8"/>
    </row>
    <row r="1003" ht="15.75" customHeight="1">
      <c r="A1003" s="7"/>
      <c r="B1003" s="7"/>
      <c r="C1003" s="8"/>
      <c r="D1003" s="8"/>
      <c r="E1003" s="8"/>
      <c r="F1003" s="8"/>
      <c r="G1003" s="8"/>
      <c r="H1003" s="8"/>
    </row>
    <row r="1004" ht="15.75" customHeight="1">
      <c r="A1004" s="7"/>
      <c r="B1004" s="7"/>
      <c r="C1004" s="8"/>
      <c r="D1004" s="8"/>
      <c r="E1004" s="8"/>
      <c r="F1004" s="8"/>
      <c r="G1004" s="8"/>
      <c r="H1004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6.57"/>
    <col customWidth="1" min="3" max="4" width="46.86"/>
    <col customWidth="1" min="5" max="5" width="15.0"/>
    <col customWidth="1" min="6" max="6" width="14.14"/>
    <col customWidth="1" min="7" max="7" width="17.14"/>
    <col customWidth="1" min="8" max="8" width="17.71"/>
    <col customWidth="1" min="9" max="9" width="15.57"/>
    <col customWidth="1" min="10" max="10" width="16.43"/>
    <col customWidth="1" min="11" max="11" width="13.0"/>
    <col customWidth="1" min="12" max="12" width="16.14"/>
    <col customWidth="1" min="13" max="26" width="8.71"/>
  </cols>
  <sheetData>
    <row r="1">
      <c r="A1" s="3" t="s">
        <v>0</v>
      </c>
      <c r="B1" s="2" t="s">
        <v>1</v>
      </c>
      <c r="C1" s="3" t="s">
        <v>2</v>
      </c>
      <c r="D1" s="2" t="s">
        <v>3</v>
      </c>
      <c r="E1" s="3" t="s">
        <v>1860</v>
      </c>
      <c r="F1" s="10" t="s">
        <v>1861</v>
      </c>
      <c r="G1" s="2" t="s">
        <v>1862</v>
      </c>
      <c r="H1" s="2" t="s">
        <v>1863</v>
      </c>
      <c r="I1" s="10" t="s">
        <v>1864</v>
      </c>
      <c r="J1" s="10" t="s">
        <v>1865</v>
      </c>
      <c r="K1" s="11" t="s">
        <v>1866</v>
      </c>
      <c r="L1" s="11" t="s">
        <v>1867</v>
      </c>
    </row>
    <row r="2">
      <c r="A2" s="9" t="s">
        <v>9</v>
      </c>
      <c r="B2" s="12" t="str">
        <f t="array" ref="B2">IF(D2="","",
 INDEX(Product_Master!A:A,
       MATCH( INDEX(Pack_Master!B:B, MATCH(D2, Pack_Master!A:A, 0)),
              Product_Master!B:B, 0 )
))
</f>
        <v>#N/A</v>
      </c>
      <c r="C2" s="13" t="s">
        <v>1868</v>
      </c>
      <c r="D2" s="14" t="s">
        <v>1869</v>
      </c>
      <c r="E2" s="15">
        <v>999.0</v>
      </c>
      <c r="F2" s="16" t="str">
        <f t="array" ref="F2">IFERROR(
  VALUE( INDEX(Product_Master!$I:$I,
               MATCH( INDEX(Pack_Master!$B:$B, MATCH($D2, Pack_Master!$A:$A, 0)),
                      Product_Master!$B:$B, 0)
  )) 
  * VALUE( INDEX(Pack_Master!$C:$C, MATCH($D2, Pack_Master!$A:$A, 0)) )
  + VALUE( INDEX(Pack_Master!$D:$D, MATCH($D2, Pack_Master!$A:$A, 0)) ),
"")
</f>
        <v/>
      </c>
      <c r="G2" s="17" t="str">
        <f t="array" ref="G2">IFERROR(
 ( INDEX(Pack_Master!E:E, MATCH($D2, Pack_Master!A:A, 0))
   * INDEX(Pack_Master!F:F, MATCH($D2, Pack_Master!A:A, 0))
   * INDEX(Pack_Master!G:G, MATCH($D2, Pack_Master!A:A, 0))
 ) / INDEX(Config!C:C, MATCH($A2, Config!A:A, 0)),
"")
</f>
        <v/>
      </c>
      <c r="H2" s="17" t="str">
        <f t="array" ref="H2">MAX( INDEX(Pack_Master!H:H, MATCH($D2, Pack_Master!A:A, 0)),
      IFERROR(G2, 0) )
</f>
        <v>#N/A</v>
      </c>
      <c r="I2" s="18" t="str">
        <f>IFERROR(__xludf.DUMMYFUNCTION("IFERROR(
 INDEX(
   FILTER(Shipping_Rate_Card!B:F, Shipping_Rate_Card!A:A=$A2),
   MATCH($H2, FILTER(Shipping_Rate_Card!B:B, Shipping_Rate_Card!A:A=$A2), 1),
   IF( INDEX(Config!B:B, MATCH($A2, Config!A:A, 0))=""Local"", 2,
     IF( INDEX(Config!B:B, MATC"&amp;"H($A2, Config!A:A, 0))=""Regional"", 3, 4 )
   )
 ),
"""")
"),"")</f>
        <v/>
      </c>
      <c r="J2" s="16" t="str">
        <f>IFERROR(__xludf.DUMMYFUNCTION("IFERROR(
 ( E2 * INDEX(FILTER(Pricing_Rules!E:E, Pricing_Rules!A:A=A2, Pricing_Rules!B:B=B2, Pricing_Rules!C:C&lt;=E2, Pricing_Rules!D:D&gt;=E2), 1)
   + INDEX(FILTER(Pricing_Rules!F:F, Pricing_Rules!A:A=A2, Pricing_Rules!B:B=B2, Pricing_Rules!C:C&lt;=E2, Pricing_"&amp;"Rules!D:D&gt;=E2), 1)
 )
 * (1 + IFERROR( INDEX(Config!D:D, MATCH(A2, Config!A:A, 0)), 0 )),
"""")
"),"")</f>
        <v/>
      </c>
      <c r="K2" s="19">
        <f t="shared" ref="K2:K116" si="1">IFERROR(E2 - F2 - I2 - J2, "")</f>
        <v>999</v>
      </c>
      <c r="L2" s="20">
        <f t="shared" ref="L2:L116" si="2">IFERROR(K2 / E2, "")</f>
        <v>1</v>
      </c>
    </row>
    <row r="3">
      <c r="A3" s="9" t="s">
        <v>9</v>
      </c>
      <c r="B3" s="12" t="str">
        <f t="array" ref="B3">IF(D3="","",
 INDEX(Product_Master!A:A,
       MATCH( INDEX(Pack_Master!B:B, MATCH(D3, Pack_Master!A:A, 0)),
              Product_Master!B:B, 0 )
))
</f>
        <v>#N/A</v>
      </c>
      <c r="C3" s="13" t="s">
        <v>1870</v>
      </c>
      <c r="D3" s="14" t="s">
        <v>1871</v>
      </c>
      <c r="E3" s="15">
        <v>1899.0</v>
      </c>
      <c r="F3" s="16" t="str">
        <f t="array" ref="F3">IFERROR(
  VALUE( INDEX(Product_Master!$I:$I,
               MATCH( INDEX(Pack_Master!$B:$B, MATCH($D3, Pack_Master!$A:$A, 0)),
                      Product_Master!$B:$B, 0)
  )) 
  * VALUE( INDEX(Pack_Master!$C:$C, MATCH($D3, Pack_Master!$A:$A, 0)) )
  + VALUE( INDEX(Pack_Master!$D:$D, MATCH($D3, Pack_Master!$A:$A, 0)) ),
"")
</f>
        <v/>
      </c>
      <c r="G3" s="17" t="str">
        <f t="array" ref="G3">IFERROR(
 ( INDEX(Pack_Master!E:E, MATCH($D3, Pack_Master!A:A, 0))
   * INDEX(Pack_Master!F:F, MATCH($D3, Pack_Master!A:A, 0))
   * INDEX(Pack_Master!G:G, MATCH($D3, Pack_Master!A:A, 0))
 ) / INDEX(Config!C:C, MATCH($A3, Config!A:A, 0)),
"")
</f>
        <v/>
      </c>
      <c r="H3" s="17" t="str">
        <f t="array" ref="H3">MAX( INDEX(Pack_Master!H:H, MATCH($D3, Pack_Master!A:A, 0)),
      IFERROR(G3, 0) )
</f>
        <v>#N/A</v>
      </c>
      <c r="I3" s="18" t="str">
        <f>IFERROR(__xludf.DUMMYFUNCTION("IFERROR(
 INDEX(
   FILTER(Shipping_Rate_Card!B:F, Shipping_Rate_Card!A:A=$A3),
   MATCH($H3, FILTER(Shipping_Rate_Card!B:B, Shipping_Rate_Card!A:A=$A3), 1),
   IF( INDEX(Config!B:B, MATCH($A3, Config!A:A, 0))=""Local"", 2,
     IF( INDEX(Config!B:B, MATC"&amp;"H($A3, Config!A:A, 0))=""Regional"", 3, 4 )
   )
 ),
"""")
"),"")</f>
        <v/>
      </c>
      <c r="J3" s="16" t="str">
        <f>IFERROR(__xludf.DUMMYFUNCTION("IFERROR(
 ( E3 * INDEX(FILTER(Pricing_Rules!E:E, Pricing_Rules!A:A=A3, Pricing_Rules!B:B=B3, Pricing_Rules!C:C&lt;=E3, Pricing_Rules!D:D&gt;=E3), 1)
   + INDEX(FILTER(Pricing_Rules!F:F, Pricing_Rules!A:A=A3, Pricing_Rules!B:B=B3, Pricing_Rules!C:C&lt;=E3, Pricing_"&amp;"Rules!D:D&gt;=E3), 1)
 )
 * (1 + IFERROR( INDEX(Config!D:D, MATCH(A3, Config!A:A, 0)), 0 )),
"""")
"),"")</f>
        <v/>
      </c>
      <c r="K3" s="19">
        <f t="shared" si="1"/>
        <v>1899</v>
      </c>
      <c r="L3" s="20">
        <f t="shared" si="2"/>
        <v>1</v>
      </c>
    </row>
    <row r="4">
      <c r="A4" s="9" t="s">
        <v>9</v>
      </c>
      <c r="B4" s="12" t="str">
        <f t="array" ref="B4">IF(D4="","",
 INDEX(Product_Master!A:A,
       MATCH( INDEX(Pack_Master!B:B, MATCH(D4, Pack_Master!A:A, 0)),
              Product_Master!B:B, 0 )
))
</f>
        <v>Apparel_Caps_Beanies</v>
      </c>
      <c r="C4" s="21" t="s">
        <v>179</v>
      </c>
      <c r="D4" s="14" t="s">
        <v>179</v>
      </c>
      <c r="E4" s="15">
        <v>299.0</v>
      </c>
      <c r="F4" s="16">
        <f t="array" ref="F4">IFERROR(
  VALUE( INDEX(Product_Master!$I:$I,
               MATCH( INDEX(Pack_Master!$B:$B, MATCH($D4, Pack_Master!$A:$A, 0)),
                      Product_Master!$B:$B, 0)
  )) 
  * VALUE( INDEX(Pack_Master!$C:$C, MATCH($D4, Pack_Master!$A:$A, 0)) )
  + VALUE( INDEX(Pack_Master!$D:$D, MATCH($D4, Pack_Master!$A:$A, 0)) ),
"")
</f>
        <v>109</v>
      </c>
      <c r="G4" s="17">
        <f t="array" ref="G4">IFERROR(
 ( INDEX(Pack_Master!E:E, MATCH($D4, Pack_Master!A:A, 0))
   * INDEX(Pack_Master!F:F, MATCH($D4, Pack_Master!A:A, 0))
   * INDEX(Pack_Master!G:G, MATCH($D4, Pack_Master!A:A, 0))
 ) / INDEX(Config!C:C, MATCH($A4, Config!A:A, 0)),
"")
</f>
        <v>0.375</v>
      </c>
      <c r="H4" s="17">
        <f t="array" ref="H4">MAX( INDEX(Pack_Master!H:H, MATCH($D4, Pack_Master!A:A, 0)),
      IFERROR(G4, 0) )
</f>
        <v>0.5</v>
      </c>
      <c r="I4" s="18">
        <f>IFERROR(__xludf.DUMMYFUNCTION("IFERROR(
 INDEX(
   FILTER(Shipping_Rate_Card!B:F, Shipping_Rate_Card!A:A=$A4),
   MATCH($H4, FILTER(Shipping_Rate_Card!B:B, Shipping_Rate_Card!A:A=$A4), 1),
   IF( INDEX(Config!B:B, MATCH($A4, Config!A:A, 0))=""Local"", 2,
     IF( INDEX(Config!B:B, MATC"&amp;"H($A4, Config!A:A, 0))=""Regional"", 3, 4 )
   )
 ),
"""")
"),67.0)</f>
        <v>67</v>
      </c>
      <c r="J4" s="16">
        <f>IFERROR(__xludf.DUMMYFUNCTION("IFERROR(
 ( E4 * INDEX(FILTER(Pricing_Rules!E:E, Pricing_Rules!A:A=A4, Pricing_Rules!B:B=B4, Pricing_Rules!C:C&lt;=E4, Pricing_Rules!D:D&gt;=E4), 1)
   + INDEX(FILTER(Pricing_Rules!F:F, Pricing_Rules!A:A=A4, Pricing_Rules!B:B=B4, Pricing_Rules!C:C&lt;=E4, Pricing_"&amp;"Rules!D:D&gt;=E4), 1)
 )
 * (1 + IFERROR( INDEX(Config!D:D, MATCH(A4, Config!A:A, 0)), 0 )),
"""")
"),5.8999999999999995)</f>
        <v>5.9</v>
      </c>
      <c r="K4" s="19">
        <f t="shared" si="1"/>
        <v>117.1</v>
      </c>
      <c r="L4" s="20">
        <f t="shared" si="2"/>
        <v>0.391638796</v>
      </c>
    </row>
    <row r="5">
      <c r="A5" s="9" t="s">
        <v>9</v>
      </c>
      <c r="B5" s="12" t="str">
        <f t="array" ref="B5">IF(D5="","",
 INDEX(Product_Master!A:A,
       MATCH( INDEX(Pack_Master!B:B, MATCH(D5, Pack_Master!A:A, 0)),
              Product_Master!B:B, 0 )
))
</f>
        <v>Apparel_Caps_Beanies</v>
      </c>
      <c r="C5" s="21" t="s">
        <v>181</v>
      </c>
      <c r="D5" s="14" t="s">
        <v>181</v>
      </c>
      <c r="E5" s="15">
        <v>299.0</v>
      </c>
      <c r="F5" s="16">
        <f t="array" ref="F5">IFERROR(
  VALUE( INDEX(Product_Master!$I:$I,
               MATCH( INDEX(Pack_Master!$B:$B, MATCH($D5, Pack_Master!$A:$A, 0)),
                      Product_Master!$B:$B, 0)
  )) 
  * VALUE( INDEX(Pack_Master!$C:$C, MATCH($D5, Pack_Master!$A:$A, 0)) )
  + VALUE( INDEX(Pack_Master!$D:$D, MATCH($D5, Pack_Master!$A:$A, 0)) ),
"")
</f>
        <v>109</v>
      </c>
      <c r="G5" s="17">
        <f t="array" ref="G5">IFERROR(
 ( INDEX(Pack_Master!E:E, MATCH($D5, Pack_Master!A:A, 0))
   * INDEX(Pack_Master!F:F, MATCH($D5, Pack_Master!A:A, 0))
   * INDEX(Pack_Master!G:G, MATCH($D5, Pack_Master!A:A, 0))
 ) / INDEX(Config!C:C, MATCH($A5, Config!A:A, 0)),
"")
</f>
        <v>0.375</v>
      </c>
      <c r="H5" s="17">
        <f t="array" ref="H5">MAX( INDEX(Pack_Master!H:H, MATCH($D5, Pack_Master!A:A, 0)),
      IFERROR(G5, 0) )
</f>
        <v>0.5</v>
      </c>
      <c r="I5" s="18">
        <f>IFERROR(__xludf.DUMMYFUNCTION("IFERROR(
 INDEX(
   FILTER(Shipping_Rate_Card!B:F, Shipping_Rate_Card!A:A=$A5),
   MATCH($H5, FILTER(Shipping_Rate_Card!B:B, Shipping_Rate_Card!A:A=$A5), 1),
   IF( INDEX(Config!B:B, MATCH($A5, Config!A:A, 0))=""Local"", 2,
     IF( INDEX(Config!B:B, MATC"&amp;"H($A5, Config!A:A, 0))=""Regional"", 3, 4 )
   )
 ),
"""")
"),67.0)</f>
        <v>67</v>
      </c>
      <c r="J5" s="16">
        <f>IFERROR(__xludf.DUMMYFUNCTION("IFERROR(
 ( E5 * INDEX(FILTER(Pricing_Rules!E:E, Pricing_Rules!A:A=A5, Pricing_Rules!B:B=B5, Pricing_Rules!C:C&lt;=E5, Pricing_Rules!D:D&gt;=E5), 1)
   + INDEX(FILTER(Pricing_Rules!F:F, Pricing_Rules!A:A=A5, Pricing_Rules!B:B=B5, Pricing_Rules!C:C&lt;=E5, Pricing_"&amp;"Rules!D:D&gt;=E5), 1)
 )
 * (1 + IFERROR( INDEX(Config!D:D, MATCH(A5, Config!A:A, 0)), 0 )),
"""")
"),5.8999999999999995)</f>
        <v>5.9</v>
      </c>
      <c r="K5" s="19">
        <f t="shared" si="1"/>
        <v>117.1</v>
      </c>
      <c r="L5" s="20">
        <f t="shared" si="2"/>
        <v>0.391638796</v>
      </c>
    </row>
    <row r="6">
      <c r="A6" s="9" t="s">
        <v>9</v>
      </c>
      <c r="B6" s="12" t="str">
        <f t="array" ref="B6">IF(D6="","",
 INDEX(Product_Master!A:A,
       MATCH( INDEX(Pack_Master!B:B, MATCH(D6, Pack_Master!A:A, 0)),
              Product_Master!B:B, 0 )
))
</f>
        <v>Apparel_Caps_Beanies</v>
      </c>
      <c r="C6" s="21" t="s">
        <v>183</v>
      </c>
      <c r="D6" s="14" t="s">
        <v>183</v>
      </c>
      <c r="E6" s="15">
        <v>299.0</v>
      </c>
      <c r="F6" s="16">
        <f t="array" ref="F6">IFERROR(
  VALUE( INDEX(Product_Master!$I:$I,
               MATCH( INDEX(Pack_Master!$B:$B, MATCH($D6, Pack_Master!$A:$A, 0)),
                      Product_Master!$B:$B, 0)
  )) 
  * VALUE( INDEX(Pack_Master!$C:$C, MATCH($D6, Pack_Master!$A:$A, 0)) )
  + VALUE( INDEX(Pack_Master!$D:$D, MATCH($D6, Pack_Master!$A:$A, 0)) ),
"")
</f>
        <v>109</v>
      </c>
      <c r="G6" s="17">
        <f t="array" ref="G6">IFERROR(
 ( INDEX(Pack_Master!E:E, MATCH($D6, Pack_Master!A:A, 0))
   * INDEX(Pack_Master!F:F, MATCH($D6, Pack_Master!A:A, 0))
   * INDEX(Pack_Master!G:G, MATCH($D6, Pack_Master!A:A, 0))
 ) / INDEX(Config!C:C, MATCH($A6, Config!A:A, 0)),
"")
</f>
        <v>0.375</v>
      </c>
      <c r="H6" s="17">
        <f t="array" ref="H6">MAX( INDEX(Pack_Master!H:H, MATCH($D6, Pack_Master!A:A, 0)),
      IFERROR(G6, 0) )
</f>
        <v>0.5</v>
      </c>
      <c r="I6" s="18">
        <f>IFERROR(__xludf.DUMMYFUNCTION("IFERROR(
 INDEX(
   FILTER(Shipping_Rate_Card!B:F, Shipping_Rate_Card!A:A=$A6),
   MATCH($H6, FILTER(Shipping_Rate_Card!B:B, Shipping_Rate_Card!A:A=$A6), 1),
   IF( INDEX(Config!B:B, MATCH($A6, Config!A:A, 0))=""Local"", 2,
     IF( INDEX(Config!B:B, MATC"&amp;"H($A6, Config!A:A, 0))=""Regional"", 3, 4 )
   )
 ),
"""")
"),67.0)</f>
        <v>67</v>
      </c>
      <c r="J6" s="16">
        <f>IFERROR(__xludf.DUMMYFUNCTION("IFERROR(
 ( E6 * INDEX(FILTER(Pricing_Rules!E:E, Pricing_Rules!A:A=A6, Pricing_Rules!B:B=B6, Pricing_Rules!C:C&lt;=E6, Pricing_Rules!D:D&gt;=E6), 1)
   + INDEX(FILTER(Pricing_Rules!F:F, Pricing_Rules!A:A=A6, Pricing_Rules!B:B=B6, Pricing_Rules!C:C&lt;=E6, Pricing_"&amp;"Rules!D:D&gt;=E6), 1)
 )
 * (1 + IFERROR( INDEX(Config!D:D, MATCH(A6, Config!A:A, 0)), 0 )),
"""")
"),5.8999999999999995)</f>
        <v>5.9</v>
      </c>
      <c r="K6" s="19">
        <f t="shared" si="1"/>
        <v>117.1</v>
      </c>
      <c r="L6" s="20">
        <f t="shared" si="2"/>
        <v>0.391638796</v>
      </c>
    </row>
    <row r="7">
      <c r="A7" s="9" t="s">
        <v>9</v>
      </c>
      <c r="B7" s="12" t="str">
        <f t="array" ref="B7">IF(D7="","",
 INDEX(Product_Master!A:A,
       MATCH( INDEX(Pack_Master!B:B, MATCH(D7, Pack_Master!A:A, 0)),
              Product_Master!B:B, 0 )
))
</f>
        <v>Apparel_Caps_Beanies</v>
      </c>
      <c r="C7" s="21" t="s">
        <v>185</v>
      </c>
      <c r="D7" s="14" t="s">
        <v>185</v>
      </c>
      <c r="E7" s="15">
        <v>299.0</v>
      </c>
      <c r="F7" s="16">
        <f t="array" ref="F7">IFERROR(
  VALUE( INDEX(Product_Master!$I:$I,
               MATCH( INDEX(Pack_Master!$B:$B, MATCH($D7, Pack_Master!$A:$A, 0)),
                      Product_Master!$B:$B, 0)
  )) 
  * VALUE( INDEX(Pack_Master!$C:$C, MATCH($D7, Pack_Master!$A:$A, 0)) )
  + VALUE( INDEX(Pack_Master!$D:$D, MATCH($D7, Pack_Master!$A:$A, 0)) ),
"")
</f>
        <v>109</v>
      </c>
      <c r="G7" s="17">
        <f t="array" ref="G7">IFERROR(
 ( INDEX(Pack_Master!E:E, MATCH($D7, Pack_Master!A:A, 0))
   * INDEX(Pack_Master!F:F, MATCH($D7, Pack_Master!A:A, 0))
   * INDEX(Pack_Master!G:G, MATCH($D7, Pack_Master!A:A, 0))
 ) / INDEX(Config!C:C, MATCH($A7, Config!A:A, 0)),
"")
</f>
        <v>0.375</v>
      </c>
      <c r="H7" s="17">
        <f t="array" ref="H7">MAX( INDEX(Pack_Master!H:H, MATCH($D7, Pack_Master!A:A, 0)),
      IFERROR(G7, 0) )
</f>
        <v>0.5</v>
      </c>
      <c r="I7" s="18">
        <f>IFERROR(__xludf.DUMMYFUNCTION("IFERROR(
 INDEX(
   FILTER(Shipping_Rate_Card!B:F, Shipping_Rate_Card!A:A=$A7),
   MATCH($H7, FILTER(Shipping_Rate_Card!B:B, Shipping_Rate_Card!A:A=$A7), 1),
   IF( INDEX(Config!B:B, MATCH($A7, Config!A:A, 0))=""Local"", 2,
     IF( INDEX(Config!B:B, MATC"&amp;"H($A7, Config!A:A, 0))=""Regional"", 3, 4 )
   )
 ),
"""")
"),67.0)</f>
        <v>67</v>
      </c>
      <c r="J7" s="16">
        <f>IFERROR(__xludf.DUMMYFUNCTION("IFERROR(
 ( E7 * INDEX(FILTER(Pricing_Rules!E:E, Pricing_Rules!A:A=A7, Pricing_Rules!B:B=B7, Pricing_Rules!C:C&lt;=E7, Pricing_Rules!D:D&gt;=E7), 1)
   + INDEX(FILTER(Pricing_Rules!F:F, Pricing_Rules!A:A=A7, Pricing_Rules!B:B=B7, Pricing_Rules!C:C&lt;=E7, Pricing_"&amp;"Rules!D:D&gt;=E7), 1)
 )
 * (1 + IFERROR( INDEX(Config!D:D, MATCH(A7, Config!A:A, 0)), 0 )),
"""")
"),5.8999999999999995)</f>
        <v>5.9</v>
      </c>
      <c r="K7" s="19">
        <f t="shared" si="1"/>
        <v>117.1</v>
      </c>
      <c r="L7" s="20">
        <f t="shared" si="2"/>
        <v>0.391638796</v>
      </c>
    </row>
    <row r="8">
      <c r="A8" s="9" t="s">
        <v>9</v>
      </c>
      <c r="B8" s="12" t="str">
        <f t="array" ref="B8">IF(D8="","",
 INDEX(Product_Master!A:A,
       MATCH( INDEX(Pack_Master!B:B, MATCH(D8, Pack_Master!A:A, 0)),
              Product_Master!B:B, 0 )
))
</f>
        <v>Apparel_Caps_Beanies</v>
      </c>
      <c r="C8" s="21" t="s">
        <v>187</v>
      </c>
      <c r="D8" s="14" t="s">
        <v>187</v>
      </c>
      <c r="E8" s="15">
        <v>299.0</v>
      </c>
      <c r="F8" s="16">
        <f t="array" ref="F8">IFERROR(
  VALUE( INDEX(Product_Master!$I:$I,
               MATCH( INDEX(Pack_Master!$B:$B, MATCH($D8, Pack_Master!$A:$A, 0)),
                      Product_Master!$B:$B, 0)
  )) 
  * VALUE( INDEX(Pack_Master!$C:$C, MATCH($D8, Pack_Master!$A:$A, 0)) )
  + VALUE( INDEX(Pack_Master!$D:$D, MATCH($D8, Pack_Master!$A:$A, 0)) ),
"")
</f>
        <v>109</v>
      </c>
      <c r="G8" s="17">
        <f t="array" ref="G8">IFERROR(
 ( INDEX(Pack_Master!E:E, MATCH($D8, Pack_Master!A:A, 0))
   * INDEX(Pack_Master!F:F, MATCH($D8, Pack_Master!A:A, 0))
   * INDEX(Pack_Master!G:G, MATCH($D8, Pack_Master!A:A, 0))
 ) / INDEX(Config!C:C, MATCH($A8, Config!A:A, 0)),
"")
</f>
        <v>0.375</v>
      </c>
      <c r="H8" s="17">
        <f t="array" ref="H8">MAX( INDEX(Pack_Master!H:H, MATCH($D8, Pack_Master!A:A, 0)),
      IFERROR(G8, 0) )
</f>
        <v>0.5</v>
      </c>
      <c r="I8" s="18">
        <f>IFERROR(__xludf.DUMMYFUNCTION("IFERROR(
 INDEX(
   FILTER(Shipping_Rate_Card!B:F, Shipping_Rate_Card!A:A=$A8),
   MATCH($H8, FILTER(Shipping_Rate_Card!B:B, Shipping_Rate_Card!A:A=$A8), 1),
   IF( INDEX(Config!B:B, MATCH($A8, Config!A:A, 0))=""Local"", 2,
     IF( INDEX(Config!B:B, MATC"&amp;"H($A8, Config!A:A, 0))=""Regional"", 3, 4 )
   )
 ),
"""")
"),67.0)</f>
        <v>67</v>
      </c>
      <c r="J8" s="16">
        <f>IFERROR(__xludf.DUMMYFUNCTION("IFERROR(
 ( E8 * INDEX(FILTER(Pricing_Rules!E:E, Pricing_Rules!A:A=A8, Pricing_Rules!B:B=B8, Pricing_Rules!C:C&lt;=E8, Pricing_Rules!D:D&gt;=E8), 1)
   + INDEX(FILTER(Pricing_Rules!F:F, Pricing_Rules!A:A=A8, Pricing_Rules!B:B=B8, Pricing_Rules!C:C&lt;=E8, Pricing_"&amp;"Rules!D:D&gt;=E8), 1)
 )
 * (1 + IFERROR( INDEX(Config!D:D, MATCH(A8, Config!A:A, 0)), 0 )),
"""")
"),5.8999999999999995)</f>
        <v>5.9</v>
      </c>
      <c r="K8" s="19">
        <f t="shared" si="1"/>
        <v>117.1</v>
      </c>
      <c r="L8" s="20">
        <f t="shared" si="2"/>
        <v>0.391638796</v>
      </c>
    </row>
    <row r="9">
      <c r="A9" s="9" t="s">
        <v>9</v>
      </c>
      <c r="B9" s="12" t="str">
        <f t="array" ref="B9">IF(D9="","",
 INDEX(Product_Master!A:A,
       MATCH( INDEX(Pack_Master!B:B, MATCH(D9, Pack_Master!A:A, 0)),
              Product_Master!B:B, 0 )
))
</f>
        <v>Apparel_Caps_Beanies</v>
      </c>
      <c r="C9" s="21" t="s">
        <v>189</v>
      </c>
      <c r="D9" s="14" t="s">
        <v>189</v>
      </c>
      <c r="E9" s="15">
        <v>299.0</v>
      </c>
      <c r="F9" s="16">
        <f t="array" ref="F9">IFERROR(
  VALUE( INDEX(Product_Master!$I:$I,
               MATCH( INDEX(Pack_Master!$B:$B, MATCH($D9, Pack_Master!$A:$A, 0)),
                      Product_Master!$B:$B, 0)
  )) 
  * VALUE( INDEX(Pack_Master!$C:$C, MATCH($D9, Pack_Master!$A:$A, 0)) )
  + VALUE( INDEX(Pack_Master!$D:$D, MATCH($D9, Pack_Master!$A:$A, 0)) ),
"")
</f>
        <v>109</v>
      </c>
      <c r="G9" s="17">
        <f t="array" ref="G9">IFERROR(
 ( INDEX(Pack_Master!E:E, MATCH($D9, Pack_Master!A:A, 0))
   * INDEX(Pack_Master!F:F, MATCH($D9, Pack_Master!A:A, 0))
   * INDEX(Pack_Master!G:G, MATCH($D9, Pack_Master!A:A, 0))
 ) / INDEX(Config!C:C, MATCH($A9, Config!A:A, 0)),
"")
</f>
        <v>0.375</v>
      </c>
      <c r="H9" s="17">
        <f t="array" ref="H9">MAX( INDEX(Pack_Master!H:H, MATCH($D9, Pack_Master!A:A, 0)),
      IFERROR(G9, 0) )
</f>
        <v>0.5</v>
      </c>
      <c r="I9" s="18">
        <f>IFERROR(__xludf.DUMMYFUNCTION("IFERROR(
 INDEX(
   FILTER(Shipping_Rate_Card!B:F, Shipping_Rate_Card!A:A=$A9),
   MATCH($H9, FILTER(Shipping_Rate_Card!B:B, Shipping_Rate_Card!A:A=$A9), 1),
   IF( INDEX(Config!B:B, MATCH($A9, Config!A:A, 0))=""Local"", 2,
     IF( INDEX(Config!B:B, MATC"&amp;"H($A9, Config!A:A, 0))=""Regional"", 3, 4 )
   )
 ),
"""")
"),67.0)</f>
        <v>67</v>
      </c>
      <c r="J9" s="16">
        <f>IFERROR(__xludf.DUMMYFUNCTION("IFERROR(
 ( E9 * INDEX(FILTER(Pricing_Rules!E:E, Pricing_Rules!A:A=A9, Pricing_Rules!B:B=B9, Pricing_Rules!C:C&lt;=E9, Pricing_Rules!D:D&gt;=E9), 1)
   + INDEX(FILTER(Pricing_Rules!F:F, Pricing_Rules!A:A=A9, Pricing_Rules!B:B=B9, Pricing_Rules!C:C&lt;=E9, Pricing_"&amp;"Rules!D:D&gt;=E9), 1)
 )
 * (1 + IFERROR( INDEX(Config!D:D, MATCH(A9, Config!A:A, 0)), 0 )),
"""")
"),5.8999999999999995)</f>
        <v>5.9</v>
      </c>
      <c r="K9" s="19">
        <f t="shared" si="1"/>
        <v>117.1</v>
      </c>
      <c r="L9" s="20">
        <f t="shared" si="2"/>
        <v>0.391638796</v>
      </c>
    </row>
    <row r="10">
      <c r="A10" s="9" t="s">
        <v>9</v>
      </c>
      <c r="B10" s="12" t="str">
        <f t="array" ref="B10">IF(D10="","",
 INDEX(Product_Master!A:A,
       MATCH( INDEX(Pack_Master!B:B, MATCH(D10, Pack_Master!A:A, 0)),
              Product_Master!B:B, 0 )
))
</f>
        <v>Apparel_Caps_Beanies</v>
      </c>
      <c r="C10" s="21" t="s">
        <v>191</v>
      </c>
      <c r="D10" s="14" t="s">
        <v>191</v>
      </c>
      <c r="E10" s="15">
        <v>299.0</v>
      </c>
      <c r="F10" s="16">
        <f t="array" ref="F10">IFERROR(
  VALUE( INDEX(Product_Master!$I:$I,
               MATCH( INDEX(Pack_Master!$B:$B, MATCH($D10, Pack_Master!$A:$A, 0)),
                      Product_Master!$B:$B, 0)
  )) 
  * VALUE( INDEX(Pack_Master!$C:$C, MATCH($D10, Pack_Master!$A:$A, 0)) )
  + VALUE( INDEX(Pack_Master!$D:$D, MATCH($D10, Pack_Master!$A:$A, 0)) ),
"")
</f>
        <v>109</v>
      </c>
      <c r="G10" s="17">
        <f t="array" ref="G10">IFERROR(
 ( INDEX(Pack_Master!E:E, MATCH($D10, Pack_Master!A:A, 0))
   * INDEX(Pack_Master!F:F, MATCH($D10, Pack_Master!A:A, 0))
   * INDEX(Pack_Master!G:G, MATCH($D10, Pack_Master!A:A, 0))
 ) / INDEX(Config!C:C, MATCH($A10, Config!A:A, 0)),
"")
</f>
        <v>0.375</v>
      </c>
      <c r="H10" s="17">
        <f t="array" ref="H10">MAX( INDEX(Pack_Master!H:H, MATCH($D10, Pack_Master!A:A, 0)),
      IFERROR(G10, 0) )
</f>
        <v>0.5</v>
      </c>
      <c r="I10" s="18">
        <f>IFERROR(__xludf.DUMMYFUNCTION("IFERROR(
 INDEX(
   FILTER(Shipping_Rate_Card!B:F, Shipping_Rate_Card!A:A=$A10),
   MATCH($H10, FILTER(Shipping_Rate_Card!B:B, Shipping_Rate_Card!A:A=$A10), 1),
   IF( INDEX(Config!B:B, MATCH($A10, Config!A:A, 0))=""Local"", 2,
     IF( INDEX(Config!B:B, "&amp;"MATCH($A10, Config!A:A, 0))=""Regional"", 3, 4 )
   )
 ),
"""")
"),67.0)</f>
        <v>67</v>
      </c>
      <c r="J10" s="16">
        <f>IFERROR(__xludf.DUMMYFUNCTION("IFERROR(
 ( E10 * INDEX(FILTER(Pricing_Rules!E:E, Pricing_Rules!A:A=A10, Pricing_Rules!B:B=B10, Pricing_Rules!C:C&lt;=E10, Pricing_Rules!D:D&gt;=E10), 1)
   + INDEX(FILTER(Pricing_Rules!F:F, Pricing_Rules!A:A=A10, Pricing_Rules!B:B=B10, Pricing_Rules!C:C&lt;=E10, "&amp;"Pricing_Rules!D:D&gt;=E10), 1)
 )
 * (1 + IFERROR( INDEX(Config!D:D, MATCH(A10, Config!A:A, 0)), 0 )),
"""")
"),5.8999999999999995)</f>
        <v>5.9</v>
      </c>
      <c r="K10" s="19">
        <f t="shared" si="1"/>
        <v>117.1</v>
      </c>
      <c r="L10" s="20">
        <f t="shared" si="2"/>
        <v>0.391638796</v>
      </c>
    </row>
    <row r="11">
      <c r="A11" s="9" t="s">
        <v>9</v>
      </c>
      <c r="B11" s="12" t="str">
        <f t="array" ref="B11">IF(D11="","",
 INDEX(Product_Master!A:A,
       MATCH( INDEX(Pack_Master!B:B, MATCH(D11, Pack_Master!A:A, 0)),
              Product_Master!B:B, 0 )
))
</f>
        <v>Apparel_Caps_Beanies</v>
      </c>
      <c r="C11" s="21" t="s">
        <v>193</v>
      </c>
      <c r="D11" s="14" t="s">
        <v>193</v>
      </c>
      <c r="E11" s="15">
        <v>299.0</v>
      </c>
      <c r="F11" s="16">
        <f t="array" ref="F11">IFERROR(
  VALUE( INDEX(Product_Master!$I:$I,
               MATCH( INDEX(Pack_Master!$B:$B, MATCH($D11, Pack_Master!$A:$A, 0)),
                      Product_Master!$B:$B, 0)
  )) 
  * VALUE( INDEX(Pack_Master!$C:$C, MATCH($D11, Pack_Master!$A:$A, 0)) )
  + VALUE( INDEX(Pack_Master!$D:$D, MATCH($D11, Pack_Master!$A:$A, 0)) ),
"")
</f>
        <v>109</v>
      </c>
      <c r="G11" s="17">
        <f t="array" ref="G11">IFERROR(
 ( INDEX(Pack_Master!E:E, MATCH($D11, Pack_Master!A:A, 0))
   * INDEX(Pack_Master!F:F, MATCH($D11, Pack_Master!A:A, 0))
   * INDEX(Pack_Master!G:G, MATCH($D11, Pack_Master!A:A, 0))
 ) / INDEX(Config!C:C, MATCH($A11, Config!A:A, 0)),
"")
</f>
        <v>0.375</v>
      </c>
      <c r="H11" s="17">
        <f t="array" ref="H11">MAX( INDEX(Pack_Master!H:H, MATCH($D11, Pack_Master!A:A, 0)),
      IFERROR(G11, 0) )
</f>
        <v>0.5</v>
      </c>
      <c r="I11" s="18">
        <f>IFERROR(__xludf.DUMMYFUNCTION("IFERROR(
 INDEX(
   FILTER(Shipping_Rate_Card!B:F, Shipping_Rate_Card!A:A=$A11),
   MATCH($H11, FILTER(Shipping_Rate_Card!B:B, Shipping_Rate_Card!A:A=$A11), 1),
   IF( INDEX(Config!B:B, MATCH($A11, Config!A:A, 0))=""Local"", 2,
     IF( INDEX(Config!B:B, "&amp;"MATCH($A11, Config!A:A, 0))=""Regional"", 3, 4 )
   )
 ),
"""")
"),67.0)</f>
        <v>67</v>
      </c>
      <c r="J11" s="16">
        <f>IFERROR(__xludf.DUMMYFUNCTION("IFERROR(
 ( E11 * INDEX(FILTER(Pricing_Rules!E:E, Pricing_Rules!A:A=A11, Pricing_Rules!B:B=B11, Pricing_Rules!C:C&lt;=E11, Pricing_Rules!D:D&gt;=E11), 1)
   + INDEX(FILTER(Pricing_Rules!F:F, Pricing_Rules!A:A=A11, Pricing_Rules!B:B=B11, Pricing_Rules!C:C&lt;=E11, "&amp;"Pricing_Rules!D:D&gt;=E11), 1)
 )
 * (1 + IFERROR( INDEX(Config!D:D, MATCH(A11, Config!A:A, 0)), 0 )),
"""")
"),5.8999999999999995)</f>
        <v>5.9</v>
      </c>
      <c r="K11" s="19">
        <f t="shared" si="1"/>
        <v>117.1</v>
      </c>
      <c r="L11" s="20">
        <f t="shared" si="2"/>
        <v>0.391638796</v>
      </c>
    </row>
    <row r="12">
      <c r="A12" s="9" t="s">
        <v>9</v>
      </c>
      <c r="B12" s="12" t="str">
        <f t="array" ref="B12">IF(D12="","",
 INDEX(Product_Master!A:A,
       MATCH( INDEX(Pack_Master!B:B, MATCH(D12, Pack_Master!A:A, 0)),
              Product_Master!B:B, 0 )
))
</f>
        <v>Apparel_Caps_Beanies</v>
      </c>
      <c r="C12" s="21" t="s">
        <v>195</v>
      </c>
      <c r="D12" s="14" t="s">
        <v>195</v>
      </c>
      <c r="E12" s="15">
        <v>299.0</v>
      </c>
      <c r="F12" s="16">
        <f t="array" ref="F12">IFERROR(
  VALUE( INDEX(Product_Master!$I:$I,
               MATCH( INDEX(Pack_Master!$B:$B, MATCH($D12, Pack_Master!$A:$A, 0)),
                      Product_Master!$B:$B, 0)
  )) 
  * VALUE( INDEX(Pack_Master!$C:$C, MATCH($D12, Pack_Master!$A:$A, 0)) )
  + VALUE( INDEX(Pack_Master!$D:$D, MATCH($D12, Pack_Master!$A:$A, 0)) ),
"")
</f>
        <v>109</v>
      </c>
      <c r="G12" s="17">
        <f t="array" ref="G12">IFERROR(
 ( INDEX(Pack_Master!E:E, MATCH($D12, Pack_Master!A:A, 0))
   * INDEX(Pack_Master!F:F, MATCH($D12, Pack_Master!A:A, 0))
   * INDEX(Pack_Master!G:G, MATCH($D12, Pack_Master!A:A, 0))
 ) / INDEX(Config!C:C, MATCH($A12, Config!A:A, 0)),
"")
</f>
        <v>0.375</v>
      </c>
      <c r="H12" s="17">
        <f t="array" ref="H12">MAX( INDEX(Pack_Master!H:H, MATCH($D12, Pack_Master!A:A, 0)),
      IFERROR(G12, 0) )
</f>
        <v>0.5</v>
      </c>
      <c r="I12" s="18">
        <f>IFERROR(__xludf.DUMMYFUNCTION("IFERROR(
 INDEX(
   FILTER(Shipping_Rate_Card!B:F, Shipping_Rate_Card!A:A=$A12),
   MATCH($H12, FILTER(Shipping_Rate_Card!B:B, Shipping_Rate_Card!A:A=$A12), 1),
   IF( INDEX(Config!B:B, MATCH($A12, Config!A:A, 0))=""Local"", 2,
     IF( INDEX(Config!B:B, "&amp;"MATCH($A12, Config!A:A, 0))=""Regional"", 3, 4 )
   )
 ),
"""")
"),67.0)</f>
        <v>67</v>
      </c>
      <c r="J12" s="16">
        <f>IFERROR(__xludf.DUMMYFUNCTION("IFERROR(
 ( E12 * INDEX(FILTER(Pricing_Rules!E:E, Pricing_Rules!A:A=A12, Pricing_Rules!B:B=B12, Pricing_Rules!C:C&lt;=E12, Pricing_Rules!D:D&gt;=E12), 1)
   + INDEX(FILTER(Pricing_Rules!F:F, Pricing_Rules!A:A=A12, Pricing_Rules!B:B=B12, Pricing_Rules!C:C&lt;=E12, "&amp;"Pricing_Rules!D:D&gt;=E12), 1)
 )
 * (1 + IFERROR( INDEX(Config!D:D, MATCH(A12, Config!A:A, 0)), 0 )),
"""")
"),5.8999999999999995)</f>
        <v>5.9</v>
      </c>
      <c r="K12" s="19">
        <f t="shared" si="1"/>
        <v>117.1</v>
      </c>
      <c r="L12" s="20">
        <f t="shared" si="2"/>
        <v>0.391638796</v>
      </c>
    </row>
    <row r="13">
      <c r="A13" s="9" t="s">
        <v>9</v>
      </c>
      <c r="B13" s="12" t="str">
        <f t="array" ref="B13">IF(D13="","",
 INDEX(Product_Master!A:A,
       MATCH( INDEX(Pack_Master!B:B, MATCH(D13, Pack_Master!A:A, 0)),
              Product_Master!B:B, 0 )
))
</f>
        <v>Apparel_Caps_Beanies</v>
      </c>
      <c r="C13" s="21" t="s">
        <v>197</v>
      </c>
      <c r="D13" s="14" t="s">
        <v>197</v>
      </c>
      <c r="E13" s="15">
        <v>299.0</v>
      </c>
      <c r="F13" s="16">
        <f t="array" ref="F13">IFERROR(
  VALUE( INDEX(Product_Master!$I:$I,
               MATCH( INDEX(Pack_Master!$B:$B, MATCH($D13, Pack_Master!$A:$A, 0)),
                      Product_Master!$B:$B, 0)
  )) 
  * VALUE( INDEX(Pack_Master!$C:$C, MATCH($D13, Pack_Master!$A:$A, 0)) )
  + VALUE( INDEX(Pack_Master!$D:$D, MATCH($D13, Pack_Master!$A:$A, 0)) ),
"")
</f>
        <v>109</v>
      </c>
      <c r="G13" s="17">
        <f t="array" ref="G13">IFERROR(
 ( INDEX(Pack_Master!E:E, MATCH($D13, Pack_Master!A:A, 0))
   * INDEX(Pack_Master!F:F, MATCH($D13, Pack_Master!A:A, 0))
   * INDEX(Pack_Master!G:G, MATCH($D13, Pack_Master!A:A, 0))
 ) / INDEX(Config!C:C, MATCH($A13, Config!A:A, 0)),
"")
</f>
        <v>0.375</v>
      </c>
      <c r="H13" s="17">
        <f t="array" ref="H13">MAX( INDEX(Pack_Master!H:H, MATCH($D13, Pack_Master!A:A, 0)),
      IFERROR(G13, 0) )
</f>
        <v>0.5</v>
      </c>
      <c r="I13" s="18">
        <f>IFERROR(__xludf.DUMMYFUNCTION("IFERROR(
 INDEX(
   FILTER(Shipping_Rate_Card!B:F, Shipping_Rate_Card!A:A=$A13),
   MATCH($H13, FILTER(Shipping_Rate_Card!B:B, Shipping_Rate_Card!A:A=$A13), 1),
   IF( INDEX(Config!B:B, MATCH($A13, Config!A:A, 0))=""Local"", 2,
     IF( INDEX(Config!B:B, "&amp;"MATCH($A13, Config!A:A, 0))=""Regional"", 3, 4 )
   )
 ),
"""")
"),67.0)</f>
        <v>67</v>
      </c>
      <c r="J13" s="16">
        <f>IFERROR(__xludf.DUMMYFUNCTION("IFERROR(
 ( E13 * INDEX(FILTER(Pricing_Rules!E:E, Pricing_Rules!A:A=A13, Pricing_Rules!B:B=B13, Pricing_Rules!C:C&lt;=E13, Pricing_Rules!D:D&gt;=E13), 1)
   + INDEX(FILTER(Pricing_Rules!F:F, Pricing_Rules!A:A=A13, Pricing_Rules!B:B=B13, Pricing_Rules!C:C&lt;=E13, "&amp;"Pricing_Rules!D:D&gt;=E13), 1)
 )
 * (1 + IFERROR( INDEX(Config!D:D, MATCH(A13, Config!A:A, 0)), 0 )),
"""")
"),5.8999999999999995)</f>
        <v>5.9</v>
      </c>
      <c r="K13" s="19">
        <f t="shared" si="1"/>
        <v>117.1</v>
      </c>
      <c r="L13" s="20">
        <f t="shared" si="2"/>
        <v>0.391638796</v>
      </c>
    </row>
    <row r="14">
      <c r="A14" s="9" t="s">
        <v>9</v>
      </c>
      <c r="B14" s="12" t="str">
        <f t="array" ref="B14">IF(D14="","",
 INDEX(Product_Master!A:A,
       MATCH( INDEX(Pack_Master!B:B, MATCH(D14, Pack_Master!A:A, 0)),
              Product_Master!B:B, 0 )
))
</f>
        <v>Apparel_Caps_Beanies</v>
      </c>
      <c r="C14" s="21" t="s">
        <v>199</v>
      </c>
      <c r="D14" s="14" t="s">
        <v>199</v>
      </c>
      <c r="E14" s="15">
        <v>299.0</v>
      </c>
      <c r="F14" s="16">
        <f t="array" ref="F14">IFERROR(
  VALUE( INDEX(Product_Master!$I:$I,
               MATCH( INDEX(Pack_Master!$B:$B, MATCH($D14, Pack_Master!$A:$A, 0)),
                      Product_Master!$B:$B, 0)
  )) 
  * VALUE( INDEX(Pack_Master!$C:$C, MATCH($D14, Pack_Master!$A:$A, 0)) )
  + VALUE( INDEX(Pack_Master!$D:$D, MATCH($D14, Pack_Master!$A:$A, 0)) ),
"")
</f>
        <v>109</v>
      </c>
      <c r="G14" s="17">
        <f t="array" ref="G14">IFERROR(
 ( INDEX(Pack_Master!E:E, MATCH($D14, Pack_Master!A:A, 0))
   * INDEX(Pack_Master!F:F, MATCH($D14, Pack_Master!A:A, 0))
   * INDEX(Pack_Master!G:G, MATCH($D14, Pack_Master!A:A, 0))
 ) / INDEX(Config!C:C, MATCH($A14, Config!A:A, 0)),
"")
</f>
        <v>0.375</v>
      </c>
      <c r="H14" s="17">
        <f t="array" ref="H14">MAX( INDEX(Pack_Master!H:H, MATCH($D14, Pack_Master!A:A, 0)),
      IFERROR(G14, 0) )
</f>
        <v>0.5</v>
      </c>
      <c r="I14" s="18">
        <f>IFERROR(__xludf.DUMMYFUNCTION("IFERROR(
 INDEX(
   FILTER(Shipping_Rate_Card!B:F, Shipping_Rate_Card!A:A=$A14),
   MATCH($H14, FILTER(Shipping_Rate_Card!B:B, Shipping_Rate_Card!A:A=$A14), 1),
   IF( INDEX(Config!B:B, MATCH($A14, Config!A:A, 0))=""Local"", 2,
     IF( INDEX(Config!B:B, "&amp;"MATCH($A14, Config!A:A, 0))=""Regional"", 3, 4 )
   )
 ),
"""")
"),67.0)</f>
        <v>67</v>
      </c>
      <c r="J14" s="16">
        <f>IFERROR(__xludf.DUMMYFUNCTION("IFERROR(
 ( E14 * INDEX(FILTER(Pricing_Rules!E:E, Pricing_Rules!A:A=A14, Pricing_Rules!B:B=B14, Pricing_Rules!C:C&lt;=E14, Pricing_Rules!D:D&gt;=E14), 1)
   + INDEX(FILTER(Pricing_Rules!F:F, Pricing_Rules!A:A=A14, Pricing_Rules!B:B=B14, Pricing_Rules!C:C&lt;=E14, "&amp;"Pricing_Rules!D:D&gt;=E14), 1)
 )
 * (1 + IFERROR( INDEX(Config!D:D, MATCH(A14, Config!A:A, 0)), 0 )),
"""")
"),5.8999999999999995)</f>
        <v>5.9</v>
      </c>
      <c r="K14" s="19">
        <f t="shared" si="1"/>
        <v>117.1</v>
      </c>
      <c r="L14" s="20">
        <f t="shared" si="2"/>
        <v>0.391638796</v>
      </c>
    </row>
    <row r="15">
      <c r="A15" s="9" t="s">
        <v>9</v>
      </c>
      <c r="B15" s="12" t="str">
        <f t="array" ref="B15">IF(D15="","",
 INDEX(Product_Master!A:A,
       MATCH( INDEX(Pack_Master!B:B, MATCH(D15, Pack_Master!A:A, 0)),
              Product_Master!B:B, 0 )
))
</f>
        <v>Apparel_Caps_Beanies</v>
      </c>
      <c r="C15" s="21" t="s">
        <v>201</v>
      </c>
      <c r="D15" s="14" t="s">
        <v>201</v>
      </c>
      <c r="E15" s="15">
        <v>299.0</v>
      </c>
      <c r="F15" s="16">
        <f t="array" ref="F15">IFERROR(
  VALUE( INDEX(Product_Master!$I:$I,
               MATCH( INDEX(Pack_Master!$B:$B, MATCH($D15, Pack_Master!$A:$A, 0)),
                      Product_Master!$B:$B, 0)
  )) 
  * VALUE( INDEX(Pack_Master!$C:$C, MATCH($D15, Pack_Master!$A:$A, 0)) )
  + VALUE( INDEX(Pack_Master!$D:$D, MATCH($D15, Pack_Master!$A:$A, 0)) ),
"")
</f>
        <v>109</v>
      </c>
      <c r="G15" s="17">
        <f t="array" ref="G15">IFERROR(
 ( INDEX(Pack_Master!E:E, MATCH($D15, Pack_Master!A:A, 0))
   * INDEX(Pack_Master!F:F, MATCH($D15, Pack_Master!A:A, 0))
   * INDEX(Pack_Master!G:G, MATCH($D15, Pack_Master!A:A, 0))
 ) / INDEX(Config!C:C, MATCH($A15, Config!A:A, 0)),
"")
</f>
        <v>0.375</v>
      </c>
      <c r="H15" s="17">
        <f t="array" ref="H15">MAX( INDEX(Pack_Master!H:H, MATCH($D15, Pack_Master!A:A, 0)),
      IFERROR(G15, 0) )
</f>
        <v>0.5</v>
      </c>
      <c r="I15" s="18">
        <f>IFERROR(__xludf.DUMMYFUNCTION("IFERROR(
 INDEX(
   FILTER(Shipping_Rate_Card!B:F, Shipping_Rate_Card!A:A=$A15),
   MATCH($H15, FILTER(Shipping_Rate_Card!B:B, Shipping_Rate_Card!A:A=$A15), 1),
   IF( INDEX(Config!B:B, MATCH($A15, Config!A:A, 0))=""Local"", 2,
     IF( INDEX(Config!B:B, "&amp;"MATCH($A15, Config!A:A, 0))=""Regional"", 3, 4 )
   )
 ),
"""")
"),67.0)</f>
        <v>67</v>
      </c>
      <c r="J15" s="16">
        <f>IFERROR(__xludf.DUMMYFUNCTION("IFERROR(
 ( E15 * INDEX(FILTER(Pricing_Rules!E:E, Pricing_Rules!A:A=A15, Pricing_Rules!B:B=B15, Pricing_Rules!C:C&lt;=E15, Pricing_Rules!D:D&gt;=E15), 1)
   + INDEX(FILTER(Pricing_Rules!F:F, Pricing_Rules!A:A=A15, Pricing_Rules!B:B=B15, Pricing_Rules!C:C&lt;=E15, "&amp;"Pricing_Rules!D:D&gt;=E15), 1)
 )
 * (1 + IFERROR( INDEX(Config!D:D, MATCH(A15, Config!A:A, 0)), 0 )),
"""")
"),5.8999999999999995)</f>
        <v>5.9</v>
      </c>
      <c r="K15" s="19">
        <f t="shared" si="1"/>
        <v>117.1</v>
      </c>
      <c r="L15" s="20">
        <f t="shared" si="2"/>
        <v>0.391638796</v>
      </c>
    </row>
    <row r="16">
      <c r="A16" s="9" t="s">
        <v>9</v>
      </c>
      <c r="B16" s="12" t="str">
        <f t="array" ref="B16">IF(D16="","",
 INDEX(Product_Master!A:A,
       MATCH( INDEX(Pack_Master!B:B, MATCH(D16, Pack_Master!A:A, 0)),
              Product_Master!B:B, 0 )
))
</f>
        <v>Apparel_Caps_Beanies</v>
      </c>
      <c r="C16" s="21" t="s">
        <v>216</v>
      </c>
      <c r="D16" s="14" t="s">
        <v>216</v>
      </c>
      <c r="E16" s="15">
        <v>299.0</v>
      </c>
      <c r="F16" s="16">
        <f t="array" ref="F16">IFERROR(
  VALUE( INDEX(Product_Master!$I:$I,
               MATCH( INDEX(Pack_Master!$B:$B, MATCH($D16, Pack_Master!$A:$A, 0)),
                      Product_Master!$B:$B, 0)
  )) 
  * VALUE( INDEX(Pack_Master!$C:$C, MATCH($D16, Pack_Master!$A:$A, 0)) )
  + VALUE( INDEX(Pack_Master!$D:$D, MATCH($D16, Pack_Master!$A:$A, 0)) ),
"")
</f>
        <v>109</v>
      </c>
      <c r="G16" s="17">
        <f t="array" ref="G16">IFERROR(
 ( INDEX(Pack_Master!E:E, MATCH($D16, Pack_Master!A:A, 0))
   * INDEX(Pack_Master!F:F, MATCH($D16, Pack_Master!A:A, 0))
   * INDEX(Pack_Master!G:G, MATCH($D16, Pack_Master!A:A, 0))
 ) / INDEX(Config!C:C, MATCH($A16, Config!A:A, 0)),
"")
</f>
        <v>0.375</v>
      </c>
      <c r="H16" s="17">
        <f t="array" ref="H16">MAX( INDEX(Pack_Master!H:H, MATCH($D16, Pack_Master!A:A, 0)),
      IFERROR(G16, 0) )
</f>
        <v>0.5</v>
      </c>
      <c r="I16" s="18">
        <f>IFERROR(__xludf.DUMMYFUNCTION("IFERROR(
 INDEX(
   FILTER(Shipping_Rate_Card!B:F, Shipping_Rate_Card!A:A=$A16),
   MATCH($H16, FILTER(Shipping_Rate_Card!B:B, Shipping_Rate_Card!A:A=$A16), 1),
   IF( INDEX(Config!B:B, MATCH($A16, Config!A:A, 0))=""Local"", 2,
     IF( INDEX(Config!B:B, "&amp;"MATCH($A16, Config!A:A, 0))=""Regional"", 3, 4 )
   )
 ),
"""")
"),67.0)</f>
        <v>67</v>
      </c>
      <c r="J16" s="16">
        <f>IFERROR(__xludf.DUMMYFUNCTION("IFERROR(
 ( E16 * INDEX(FILTER(Pricing_Rules!E:E, Pricing_Rules!A:A=A16, Pricing_Rules!B:B=B16, Pricing_Rules!C:C&lt;=E16, Pricing_Rules!D:D&gt;=E16), 1)
   + INDEX(FILTER(Pricing_Rules!F:F, Pricing_Rules!A:A=A16, Pricing_Rules!B:B=B16, Pricing_Rules!C:C&lt;=E16, "&amp;"Pricing_Rules!D:D&gt;=E16), 1)
 )
 * (1 + IFERROR( INDEX(Config!D:D, MATCH(A16, Config!A:A, 0)), 0 )),
"""")
"),5.8999999999999995)</f>
        <v>5.9</v>
      </c>
      <c r="K16" s="19">
        <f t="shared" si="1"/>
        <v>117.1</v>
      </c>
      <c r="L16" s="20">
        <f t="shared" si="2"/>
        <v>0.391638796</v>
      </c>
    </row>
    <row r="17">
      <c r="A17" s="9" t="s">
        <v>9</v>
      </c>
      <c r="B17" s="12" t="str">
        <f t="array" ref="B17">IF(D17="","",
 INDEX(Product_Master!A:A,
       MATCH( INDEX(Pack_Master!B:B, MATCH(D17, Pack_Master!A:A, 0)),
              Product_Master!B:B, 0 )
))
</f>
        <v>Apparel_Caps_Beanies</v>
      </c>
      <c r="C17" s="21" t="s">
        <v>219</v>
      </c>
      <c r="D17" s="14" t="s">
        <v>219</v>
      </c>
      <c r="E17" s="15">
        <v>299.0</v>
      </c>
      <c r="F17" s="16">
        <f t="array" ref="F17">IFERROR(
  VALUE( INDEX(Product_Master!$I:$I,
               MATCH( INDEX(Pack_Master!$B:$B, MATCH($D17, Pack_Master!$A:$A, 0)),
                      Product_Master!$B:$B, 0)
  )) 
  * VALUE( INDEX(Pack_Master!$C:$C, MATCH($D17, Pack_Master!$A:$A, 0)) )
  + VALUE( INDEX(Pack_Master!$D:$D, MATCH($D17, Pack_Master!$A:$A, 0)) ),
"")
</f>
        <v>109</v>
      </c>
      <c r="G17" s="17">
        <f t="array" ref="G17">IFERROR(
 ( INDEX(Pack_Master!E:E, MATCH($D17, Pack_Master!A:A, 0))
   * INDEX(Pack_Master!F:F, MATCH($D17, Pack_Master!A:A, 0))
   * INDEX(Pack_Master!G:G, MATCH($D17, Pack_Master!A:A, 0))
 ) / INDEX(Config!C:C, MATCH($A17, Config!A:A, 0)),
"")
</f>
        <v>0.375</v>
      </c>
      <c r="H17" s="17">
        <f t="array" ref="H17">MAX( INDEX(Pack_Master!H:H, MATCH($D17, Pack_Master!A:A, 0)),
      IFERROR(G17, 0) )
</f>
        <v>0.5</v>
      </c>
      <c r="I17" s="18">
        <f>IFERROR(__xludf.DUMMYFUNCTION("IFERROR(
 INDEX(
   FILTER(Shipping_Rate_Card!B:F, Shipping_Rate_Card!A:A=$A17),
   MATCH($H17, FILTER(Shipping_Rate_Card!B:B, Shipping_Rate_Card!A:A=$A17), 1),
   IF( INDEX(Config!B:B, MATCH($A17, Config!A:A, 0))=""Local"", 2,
     IF( INDEX(Config!B:B, "&amp;"MATCH($A17, Config!A:A, 0))=""Regional"", 3, 4 )
   )
 ),
"""")
"),67.0)</f>
        <v>67</v>
      </c>
      <c r="J17" s="16">
        <f>IFERROR(__xludf.DUMMYFUNCTION("IFERROR(
 ( E17 * INDEX(FILTER(Pricing_Rules!E:E, Pricing_Rules!A:A=A17, Pricing_Rules!B:B=B17, Pricing_Rules!C:C&lt;=E17, Pricing_Rules!D:D&gt;=E17), 1)
   + INDEX(FILTER(Pricing_Rules!F:F, Pricing_Rules!A:A=A17, Pricing_Rules!B:B=B17, Pricing_Rules!C:C&lt;=E17, "&amp;"Pricing_Rules!D:D&gt;=E17), 1)
 )
 * (1 + IFERROR( INDEX(Config!D:D, MATCH(A17, Config!A:A, 0)), 0 )),
"""")
"),5.8999999999999995)</f>
        <v>5.9</v>
      </c>
      <c r="K17" s="19">
        <f t="shared" si="1"/>
        <v>117.1</v>
      </c>
      <c r="L17" s="20">
        <f t="shared" si="2"/>
        <v>0.391638796</v>
      </c>
    </row>
    <row r="18">
      <c r="A18" s="9" t="s">
        <v>9</v>
      </c>
      <c r="B18" s="12" t="str">
        <f t="array" ref="B18">IF(D18="","",
 INDEX(Product_Master!A:A,
       MATCH( INDEX(Pack_Master!B:B, MATCH(D18, Pack_Master!A:A, 0)),
              Product_Master!B:B, 0 )
))
</f>
        <v>Apparel_Caps_Beanies</v>
      </c>
      <c r="C18" s="21" t="s">
        <v>222</v>
      </c>
      <c r="D18" s="14" t="s">
        <v>222</v>
      </c>
      <c r="E18" s="15">
        <v>299.0</v>
      </c>
      <c r="F18" s="16">
        <f t="array" ref="F18">IFERROR(
  VALUE( INDEX(Product_Master!$I:$I,
               MATCH( INDEX(Pack_Master!$B:$B, MATCH($D18, Pack_Master!$A:$A, 0)),
                      Product_Master!$B:$B, 0)
  )) 
  * VALUE( INDEX(Pack_Master!$C:$C, MATCH($D18, Pack_Master!$A:$A, 0)) )
  + VALUE( INDEX(Pack_Master!$D:$D, MATCH($D18, Pack_Master!$A:$A, 0)) ),
"")
</f>
        <v>109</v>
      </c>
      <c r="G18" s="17">
        <f t="array" ref="G18">IFERROR(
 ( INDEX(Pack_Master!E:E, MATCH($D18, Pack_Master!A:A, 0))
   * INDEX(Pack_Master!F:F, MATCH($D18, Pack_Master!A:A, 0))
   * INDEX(Pack_Master!G:G, MATCH($D18, Pack_Master!A:A, 0))
 ) / INDEX(Config!C:C, MATCH($A18, Config!A:A, 0)),
"")
</f>
        <v>0.375</v>
      </c>
      <c r="H18" s="17">
        <f t="array" ref="H18">MAX( INDEX(Pack_Master!H:H, MATCH($D18, Pack_Master!A:A, 0)),
      IFERROR(G18, 0) )
</f>
        <v>0.5</v>
      </c>
      <c r="I18" s="18">
        <f>IFERROR(__xludf.DUMMYFUNCTION("IFERROR(
 INDEX(
   FILTER(Shipping_Rate_Card!B:F, Shipping_Rate_Card!A:A=$A18),
   MATCH($H18, FILTER(Shipping_Rate_Card!B:B, Shipping_Rate_Card!A:A=$A18), 1),
   IF( INDEX(Config!B:B, MATCH($A18, Config!A:A, 0))=""Local"", 2,
     IF( INDEX(Config!B:B, "&amp;"MATCH($A18, Config!A:A, 0))=""Regional"", 3, 4 )
   )
 ),
"""")
"),67.0)</f>
        <v>67</v>
      </c>
      <c r="J18" s="16">
        <f>IFERROR(__xludf.DUMMYFUNCTION("IFERROR(
 ( E18 * INDEX(FILTER(Pricing_Rules!E:E, Pricing_Rules!A:A=A18, Pricing_Rules!B:B=B18, Pricing_Rules!C:C&lt;=E18, Pricing_Rules!D:D&gt;=E18), 1)
   + INDEX(FILTER(Pricing_Rules!F:F, Pricing_Rules!A:A=A18, Pricing_Rules!B:B=B18, Pricing_Rules!C:C&lt;=E18, "&amp;"Pricing_Rules!D:D&gt;=E18), 1)
 )
 * (1 + IFERROR( INDEX(Config!D:D, MATCH(A18, Config!A:A, 0)), 0 )),
"""")
"),5.8999999999999995)</f>
        <v>5.9</v>
      </c>
      <c r="K18" s="19">
        <f t="shared" si="1"/>
        <v>117.1</v>
      </c>
      <c r="L18" s="20">
        <f t="shared" si="2"/>
        <v>0.391638796</v>
      </c>
    </row>
    <row r="19">
      <c r="A19" s="9" t="s">
        <v>9</v>
      </c>
      <c r="B19" s="12" t="str">
        <f t="array" ref="B19">IF(D19="","",
 INDEX(Product_Master!A:A,
       MATCH( INDEX(Pack_Master!B:B, MATCH(D19, Pack_Master!A:A, 0)),
              Product_Master!B:B, 0 )
))
</f>
        <v>Apparel_Caps_Beanies</v>
      </c>
      <c r="C19" s="21" t="s">
        <v>225</v>
      </c>
      <c r="D19" s="14" t="s">
        <v>225</v>
      </c>
      <c r="E19" s="15">
        <v>299.0</v>
      </c>
      <c r="F19" s="16">
        <f t="array" ref="F19">IFERROR(
  VALUE( INDEX(Product_Master!$I:$I,
               MATCH( INDEX(Pack_Master!$B:$B, MATCH($D19, Pack_Master!$A:$A, 0)),
                      Product_Master!$B:$B, 0)
  )) 
  * VALUE( INDEX(Pack_Master!$C:$C, MATCH($D19, Pack_Master!$A:$A, 0)) )
  + VALUE( INDEX(Pack_Master!$D:$D, MATCH($D19, Pack_Master!$A:$A, 0)) ),
"")
</f>
        <v>109</v>
      </c>
      <c r="G19" s="17">
        <f t="array" ref="G19">IFERROR(
 ( INDEX(Pack_Master!E:E, MATCH($D19, Pack_Master!A:A, 0))
   * INDEX(Pack_Master!F:F, MATCH($D19, Pack_Master!A:A, 0))
   * INDEX(Pack_Master!G:G, MATCH($D19, Pack_Master!A:A, 0))
 ) / INDEX(Config!C:C, MATCH($A19, Config!A:A, 0)),
"")
</f>
        <v>0.375</v>
      </c>
      <c r="H19" s="17">
        <f t="array" ref="H19">MAX( INDEX(Pack_Master!H:H, MATCH($D19, Pack_Master!A:A, 0)),
      IFERROR(G19, 0) )
</f>
        <v>0.5</v>
      </c>
      <c r="I19" s="18">
        <f>IFERROR(__xludf.DUMMYFUNCTION("IFERROR(
 INDEX(
   FILTER(Shipping_Rate_Card!B:F, Shipping_Rate_Card!A:A=$A19),
   MATCH($H19, FILTER(Shipping_Rate_Card!B:B, Shipping_Rate_Card!A:A=$A19), 1),
   IF( INDEX(Config!B:B, MATCH($A19, Config!A:A, 0))=""Local"", 2,
     IF( INDEX(Config!B:B, "&amp;"MATCH($A19, Config!A:A, 0))=""Regional"", 3, 4 )
   )
 ),
"""")
"),67.0)</f>
        <v>67</v>
      </c>
      <c r="J19" s="16">
        <f>IFERROR(__xludf.DUMMYFUNCTION("IFERROR(
 ( E19 * INDEX(FILTER(Pricing_Rules!E:E, Pricing_Rules!A:A=A19, Pricing_Rules!B:B=B19, Pricing_Rules!C:C&lt;=E19, Pricing_Rules!D:D&gt;=E19), 1)
   + INDEX(FILTER(Pricing_Rules!F:F, Pricing_Rules!A:A=A19, Pricing_Rules!B:B=B19, Pricing_Rules!C:C&lt;=E19, "&amp;"Pricing_Rules!D:D&gt;=E19), 1)
 )
 * (1 + IFERROR( INDEX(Config!D:D, MATCH(A19, Config!A:A, 0)), 0 )),
"""")
"),5.8999999999999995)</f>
        <v>5.9</v>
      </c>
      <c r="K19" s="19">
        <f t="shared" si="1"/>
        <v>117.1</v>
      </c>
      <c r="L19" s="20">
        <f t="shared" si="2"/>
        <v>0.391638796</v>
      </c>
    </row>
    <row r="20">
      <c r="A20" s="9" t="s">
        <v>9</v>
      </c>
      <c r="B20" s="12" t="str">
        <f t="array" ref="B20">IF(D20="","",
 INDEX(Product_Master!A:A,
       MATCH( INDEX(Pack_Master!B:B, MATCH(D20, Pack_Master!A:A, 0)),
              Product_Master!B:B, 0 )
))
</f>
        <v>Apparel_Caps_Beanies</v>
      </c>
      <c r="C20" s="21" t="s">
        <v>228</v>
      </c>
      <c r="D20" s="14" t="s">
        <v>228</v>
      </c>
      <c r="E20" s="15">
        <v>299.0</v>
      </c>
      <c r="F20" s="16">
        <f t="array" ref="F20">IFERROR(
  VALUE( INDEX(Product_Master!$I:$I,
               MATCH( INDEX(Pack_Master!$B:$B, MATCH($D20, Pack_Master!$A:$A, 0)),
                      Product_Master!$B:$B, 0)
  )) 
  * VALUE( INDEX(Pack_Master!$C:$C, MATCH($D20, Pack_Master!$A:$A, 0)) )
  + VALUE( INDEX(Pack_Master!$D:$D, MATCH($D20, Pack_Master!$A:$A, 0)) ),
"")
</f>
        <v>109</v>
      </c>
      <c r="G20" s="17">
        <f t="array" ref="G20">IFERROR(
 ( INDEX(Pack_Master!E:E, MATCH($D20, Pack_Master!A:A, 0))
   * INDEX(Pack_Master!F:F, MATCH($D20, Pack_Master!A:A, 0))
   * INDEX(Pack_Master!G:G, MATCH($D20, Pack_Master!A:A, 0))
 ) / INDEX(Config!C:C, MATCH($A20, Config!A:A, 0)),
"")
</f>
        <v>0.375</v>
      </c>
      <c r="H20" s="17">
        <f t="array" ref="H20">MAX( INDEX(Pack_Master!H:H, MATCH($D20, Pack_Master!A:A, 0)),
      IFERROR(G20, 0) )
</f>
        <v>0.5</v>
      </c>
      <c r="I20" s="18">
        <f>IFERROR(__xludf.DUMMYFUNCTION("IFERROR(
 INDEX(
   FILTER(Shipping_Rate_Card!B:F, Shipping_Rate_Card!A:A=$A20),
   MATCH($H20, FILTER(Shipping_Rate_Card!B:B, Shipping_Rate_Card!A:A=$A20), 1),
   IF( INDEX(Config!B:B, MATCH($A20, Config!A:A, 0))=""Local"", 2,
     IF( INDEX(Config!B:B, "&amp;"MATCH($A20, Config!A:A, 0))=""Regional"", 3, 4 )
   )
 ),
"""")
"),67.0)</f>
        <v>67</v>
      </c>
      <c r="J20" s="16">
        <f>IFERROR(__xludf.DUMMYFUNCTION("IFERROR(
 ( E20 * INDEX(FILTER(Pricing_Rules!E:E, Pricing_Rules!A:A=A20, Pricing_Rules!B:B=B20, Pricing_Rules!C:C&lt;=E20, Pricing_Rules!D:D&gt;=E20), 1)
   + INDEX(FILTER(Pricing_Rules!F:F, Pricing_Rules!A:A=A20, Pricing_Rules!B:B=B20, Pricing_Rules!C:C&lt;=E20, "&amp;"Pricing_Rules!D:D&gt;=E20), 1)
 )
 * (1 + IFERROR( INDEX(Config!D:D, MATCH(A20, Config!A:A, 0)), 0 )),
"""")
"),5.8999999999999995)</f>
        <v>5.9</v>
      </c>
      <c r="K20" s="19">
        <f t="shared" si="1"/>
        <v>117.1</v>
      </c>
      <c r="L20" s="20">
        <f t="shared" si="2"/>
        <v>0.391638796</v>
      </c>
    </row>
    <row r="21" ht="15.75" customHeight="1">
      <c r="A21" s="9" t="s">
        <v>9</v>
      </c>
      <c r="B21" s="12" t="str">
        <f t="array" ref="B21">IF(D21="","",
 INDEX(Product_Master!A:A,
       MATCH( INDEX(Pack_Master!B:B, MATCH(D21, Pack_Master!A:A, 0)),
              Product_Master!B:B, 0 )
))
</f>
        <v>Apparel_Caps_Beanies</v>
      </c>
      <c r="C21" s="21" t="s">
        <v>232</v>
      </c>
      <c r="D21" s="14" t="s">
        <v>232</v>
      </c>
      <c r="E21" s="15">
        <v>299.0</v>
      </c>
      <c r="F21" s="16">
        <f t="array" ref="F21">IFERROR(
  VALUE( INDEX(Product_Master!$I:$I,
               MATCH( INDEX(Pack_Master!$B:$B, MATCH($D21, Pack_Master!$A:$A, 0)),
                      Product_Master!$B:$B, 0)
  )) 
  * VALUE( INDEX(Pack_Master!$C:$C, MATCH($D21, Pack_Master!$A:$A, 0)) )
  + VALUE( INDEX(Pack_Master!$D:$D, MATCH($D21, Pack_Master!$A:$A, 0)) ),
"")
</f>
        <v>109</v>
      </c>
      <c r="G21" s="17">
        <f t="array" ref="G21">IFERROR(
 ( INDEX(Pack_Master!E:E, MATCH($D21, Pack_Master!A:A, 0))
   * INDEX(Pack_Master!F:F, MATCH($D21, Pack_Master!A:A, 0))
   * INDEX(Pack_Master!G:G, MATCH($D21, Pack_Master!A:A, 0))
 ) / INDEX(Config!C:C, MATCH($A21, Config!A:A, 0)),
"")
</f>
        <v>0.375</v>
      </c>
      <c r="H21" s="17">
        <f t="array" ref="H21">MAX( INDEX(Pack_Master!H:H, MATCH($D21, Pack_Master!A:A, 0)),
      IFERROR(G21, 0) )
</f>
        <v>0.5</v>
      </c>
      <c r="I21" s="18">
        <f>IFERROR(__xludf.DUMMYFUNCTION("IFERROR(
 INDEX(
   FILTER(Shipping_Rate_Card!B:F, Shipping_Rate_Card!A:A=$A21),
   MATCH($H21, FILTER(Shipping_Rate_Card!B:B, Shipping_Rate_Card!A:A=$A21), 1),
   IF( INDEX(Config!B:B, MATCH($A21, Config!A:A, 0))=""Local"", 2,
     IF( INDEX(Config!B:B, "&amp;"MATCH($A21, Config!A:A, 0))=""Regional"", 3, 4 )
   )
 ),
"""")
"),67.0)</f>
        <v>67</v>
      </c>
      <c r="J21" s="16">
        <f>IFERROR(__xludf.DUMMYFUNCTION("IFERROR(
 ( E21 * INDEX(FILTER(Pricing_Rules!E:E, Pricing_Rules!A:A=A21, Pricing_Rules!B:B=B21, Pricing_Rules!C:C&lt;=E21, Pricing_Rules!D:D&gt;=E21), 1)
   + INDEX(FILTER(Pricing_Rules!F:F, Pricing_Rules!A:A=A21, Pricing_Rules!B:B=B21, Pricing_Rules!C:C&lt;=E21, "&amp;"Pricing_Rules!D:D&gt;=E21), 1)
 )
 * (1 + IFERROR( INDEX(Config!D:D, MATCH(A21, Config!A:A, 0)), 0 )),
"""")
"),5.8999999999999995)</f>
        <v>5.9</v>
      </c>
      <c r="K21" s="19">
        <f t="shared" si="1"/>
        <v>117.1</v>
      </c>
      <c r="L21" s="20">
        <f t="shared" si="2"/>
        <v>0.391638796</v>
      </c>
    </row>
    <row r="22" ht="15.75" customHeight="1">
      <c r="A22" s="9" t="s">
        <v>9</v>
      </c>
      <c r="B22" s="12" t="str">
        <f t="array" ref="B22">IF(D22="","",
 INDEX(Product_Master!A:A,
       MATCH( INDEX(Pack_Master!B:B, MATCH(D22, Pack_Master!A:A, 0)),
              Product_Master!B:B, 0 )
))
</f>
        <v>Apparel_Caps_Beanies</v>
      </c>
      <c r="C22" s="21" t="s">
        <v>234</v>
      </c>
      <c r="D22" s="14" t="s">
        <v>234</v>
      </c>
      <c r="E22" s="15">
        <v>299.0</v>
      </c>
      <c r="F22" s="16">
        <f t="array" ref="F22">IFERROR(
  VALUE( INDEX(Product_Master!$I:$I,
               MATCH( INDEX(Pack_Master!$B:$B, MATCH($D22, Pack_Master!$A:$A, 0)),
                      Product_Master!$B:$B, 0)
  )) 
  * VALUE( INDEX(Pack_Master!$C:$C, MATCH($D22, Pack_Master!$A:$A, 0)) )
  + VALUE( INDEX(Pack_Master!$D:$D, MATCH($D22, Pack_Master!$A:$A, 0)) ),
"")
</f>
        <v>109</v>
      </c>
      <c r="G22" s="17">
        <f t="array" ref="G22">IFERROR(
 ( INDEX(Pack_Master!E:E, MATCH($D22, Pack_Master!A:A, 0))
   * INDEX(Pack_Master!F:F, MATCH($D22, Pack_Master!A:A, 0))
   * INDEX(Pack_Master!G:G, MATCH($D22, Pack_Master!A:A, 0))
 ) / INDEX(Config!C:C, MATCH($A22, Config!A:A, 0)),
"")
</f>
        <v>0.375</v>
      </c>
      <c r="H22" s="17">
        <f t="array" ref="H22">MAX( INDEX(Pack_Master!H:H, MATCH($D22, Pack_Master!A:A, 0)),
      IFERROR(G22, 0) )
</f>
        <v>0.5</v>
      </c>
      <c r="I22" s="18">
        <f>IFERROR(__xludf.DUMMYFUNCTION("IFERROR(
 INDEX(
   FILTER(Shipping_Rate_Card!B:F, Shipping_Rate_Card!A:A=$A22),
   MATCH($H22, FILTER(Shipping_Rate_Card!B:B, Shipping_Rate_Card!A:A=$A22), 1),
   IF( INDEX(Config!B:B, MATCH($A22, Config!A:A, 0))=""Local"", 2,
     IF( INDEX(Config!B:B, "&amp;"MATCH($A22, Config!A:A, 0))=""Regional"", 3, 4 )
   )
 ),
"""")
"),67.0)</f>
        <v>67</v>
      </c>
      <c r="J22" s="16">
        <f>IFERROR(__xludf.DUMMYFUNCTION("IFERROR(
 ( E22 * INDEX(FILTER(Pricing_Rules!E:E, Pricing_Rules!A:A=A22, Pricing_Rules!B:B=B22, Pricing_Rules!C:C&lt;=E22, Pricing_Rules!D:D&gt;=E22), 1)
   + INDEX(FILTER(Pricing_Rules!F:F, Pricing_Rules!A:A=A22, Pricing_Rules!B:B=B22, Pricing_Rules!C:C&lt;=E22, "&amp;"Pricing_Rules!D:D&gt;=E22), 1)
 )
 * (1 + IFERROR( INDEX(Config!D:D, MATCH(A22, Config!A:A, 0)), 0 )),
"""")
"),5.8999999999999995)</f>
        <v>5.9</v>
      </c>
      <c r="K22" s="19">
        <f t="shared" si="1"/>
        <v>117.1</v>
      </c>
      <c r="L22" s="20">
        <f t="shared" si="2"/>
        <v>0.391638796</v>
      </c>
    </row>
    <row r="23" ht="15.75" customHeight="1">
      <c r="A23" s="9" t="s">
        <v>9</v>
      </c>
      <c r="B23" s="12" t="str">
        <f t="array" ref="B23">IF(D23="","",
 INDEX(Product_Master!A:A,
       MATCH( INDEX(Pack_Master!B:B, MATCH(D23, Pack_Master!A:A, 0)),
              Product_Master!B:B, 0 )
))
</f>
        <v>Apparel_Caps_Beanies</v>
      </c>
      <c r="C23" s="21" t="s">
        <v>236</v>
      </c>
      <c r="D23" s="14" t="s">
        <v>236</v>
      </c>
      <c r="E23" s="15">
        <v>299.0</v>
      </c>
      <c r="F23" s="16">
        <f t="array" ref="F23">IFERROR(
  VALUE( INDEX(Product_Master!$I:$I,
               MATCH( INDEX(Pack_Master!$B:$B, MATCH($D23, Pack_Master!$A:$A, 0)),
                      Product_Master!$B:$B, 0)
  )) 
  * VALUE( INDEX(Pack_Master!$C:$C, MATCH($D23, Pack_Master!$A:$A, 0)) )
  + VALUE( INDEX(Pack_Master!$D:$D, MATCH($D23, Pack_Master!$A:$A, 0)) ),
"")
</f>
        <v>109</v>
      </c>
      <c r="G23" s="17">
        <f t="array" ref="G23">IFERROR(
 ( INDEX(Pack_Master!E:E, MATCH($D23, Pack_Master!A:A, 0))
   * INDEX(Pack_Master!F:F, MATCH($D23, Pack_Master!A:A, 0))
   * INDEX(Pack_Master!G:G, MATCH($D23, Pack_Master!A:A, 0))
 ) / INDEX(Config!C:C, MATCH($A23, Config!A:A, 0)),
"")
</f>
        <v>0.375</v>
      </c>
      <c r="H23" s="17">
        <f t="array" ref="H23">MAX( INDEX(Pack_Master!H:H, MATCH($D23, Pack_Master!A:A, 0)),
      IFERROR(G23, 0) )
</f>
        <v>0.5</v>
      </c>
      <c r="I23" s="18">
        <f>IFERROR(__xludf.DUMMYFUNCTION("IFERROR(
 INDEX(
   FILTER(Shipping_Rate_Card!B:F, Shipping_Rate_Card!A:A=$A23),
   MATCH($H23, FILTER(Shipping_Rate_Card!B:B, Shipping_Rate_Card!A:A=$A23), 1),
   IF( INDEX(Config!B:B, MATCH($A23, Config!A:A, 0))=""Local"", 2,
     IF( INDEX(Config!B:B, "&amp;"MATCH($A23, Config!A:A, 0))=""Regional"", 3, 4 )
   )
 ),
"""")
"),67.0)</f>
        <v>67</v>
      </c>
      <c r="J23" s="16">
        <f>IFERROR(__xludf.DUMMYFUNCTION("IFERROR(
 ( E23 * INDEX(FILTER(Pricing_Rules!E:E, Pricing_Rules!A:A=A23, Pricing_Rules!B:B=B23, Pricing_Rules!C:C&lt;=E23, Pricing_Rules!D:D&gt;=E23), 1)
   + INDEX(FILTER(Pricing_Rules!F:F, Pricing_Rules!A:A=A23, Pricing_Rules!B:B=B23, Pricing_Rules!C:C&lt;=E23, "&amp;"Pricing_Rules!D:D&gt;=E23), 1)
 )
 * (1 + IFERROR( INDEX(Config!D:D, MATCH(A23, Config!A:A, 0)), 0 )),
"""")
"),5.8999999999999995)</f>
        <v>5.9</v>
      </c>
      <c r="K23" s="19">
        <f t="shared" si="1"/>
        <v>117.1</v>
      </c>
      <c r="L23" s="20">
        <f t="shared" si="2"/>
        <v>0.391638796</v>
      </c>
    </row>
    <row r="24" ht="15.75" customHeight="1">
      <c r="A24" s="9" t="s">
        <v>9</v>
      </c>
      <c r="B24" s="12" t="str">
        <f t="array" ref="B24">IF(D24="","",
 INDEX(Product_Master!A:A,
       MATCH( INDEX(Pack_Master!B:B, MATCH(D24, Pack_Master!A:A, 0)),
              Product_Master!B:B, 0 )
))
</f>
        <v>Apparel_Caps_Beanies</v>
      </c>
      <c r="C24" s="21" t="s">
        <v>1200</v>
      </c>
      <c r="D24" s="14" t="s">
        <v>1200</v>
      </c>
      <c r="E24" s="15">
        <v>299.0</v>
      </c>
      <c r="F24" s="16">
        <f t="array" ref="F24">IFERROR(
  VALUE( INDEX(Product_Master!$I:$I,
               MATCH( INDEX(Pack_Master!$B:$B, MATCH($D24, Pack_Master!$A:$A, 0)),
                      Product_Master!$B:$B, 0)
  )) 
  * VALUE( INDEX(Pack_Master!$C:$C, MATCH($D24, Pack_Master!$A:$A, 0)) )
  + VALUE( INDEX(Pack_Master!$D:$D, MATCH($D24, Pack_Master!$A:$A, 0)) ),
"")
</f>
        <v>109</v>
      </c>
      <c r="G24" s="17">
        <f t="array" ref="G24">IFERROR(
 ( INDEX(Pack_Master!E:E, MATCH($D24, Pack_Master!A:A, 0))
   * INDEX(Pack_Master!F:F, MATCH($D24, Pack_Master!A:A, 0))
   * INDEX(Pack_Master!G:G, MATCH($D24, Pack_Master!A:A, 0))
 ) / INDEX(Config!C:C, MATCH($A24, Config!A:A, 0)),
"")
</f>
        <v>0.375</v>
      </c>
      <c r="H24" s="17">
        <f t="array" ref="H24">MAX( INDEX(Pack_Master!H:H, MATCH($D24, Pack_Master!A:A, 0)),
      IFERROR(G24, 0) )
</f>
        <v>0.5</v>
      </c>
      <c r="I24" s="18">
        <f>IFERROR(__xludf.DUMMYFUNCTION("IFERROR(
 INDEX(
   FILTER(Shipping_Rate_Card!B:F, Shipping_Rate_Card!A:A=$A24),
   MATCH($H24, FILTER(Shipping_Rate_Card!B:B, Shipping_Rate_Card!A:A=$A24), 1),
   IF( INDEX(Config!B:B, MATCH($A24, Config!A:A, 0))=""Local"", 2,
     IF( INDEX(Config!B:B, "&amp;"MATCH($A24, Config!A:A, 0))=""Regional"", 3, 4 )
   )
 ),
"""")
"),67.0)</f>
        <v>67</v>
      </c>
      <c r="J24" s="16">
        <f>IFERROR(__xludf.DUMMYFUNCTION("IFERROR(
 ( E24 * INDEX(FILTER(Pricing_Rules!E:E, Pricing_Rules!A:A=A24, Pricing_Rules!B:B=B24, Pricing_Rules!C:C&lt;=E24, Pricing_Rules!D:D&gt;=E24), 1)
   + INDEX(FILTER(Pricing_Rules!F:F, Pricing_Rules!A:A=A24, Pricing_Rules!B:B=B24, Pricing_Rules!C:C&lt;=E24, "&amp;"Pricing_Rules!D:D&gt;=E24), 1)
 )
 * (1 + IFERROR( INDEX(Config!D:D, MATCH(A24, Config!A:A, 0)), 0 )),
"""")
"),5.8999999999999995)</f>
        <v>5.9</v>
      </c>
      <c r="K24" s="19">
        <f t="shared" si="1"/>
        <v>117.1</v>
      </c>
      <c r="L24" s="20">
        <f t="shared" si="2"/>
        <v>0.391638796</v>
      </c>
    </row>
    <row r="25" ht="15.75" customHeight="1">
      <c r="A25" s="9" t="s">
        <v>9</v>
      </c>
      <c r="B25" s="12" t="str">
        <f t="array" ref="B25">IF(D25="","",
 INDEX(Product_Master!A:A,
       MATCH( INDEX(Pack_Master!B:B, MATCH(D25, Pack_Master!A:A, 0)),
              Product_Master!B:B, 0 )
))
</f>
        <v>Apparel_Caps_Beanies</v>
      </c>
      <c r="C25" s="21" t="s">
        <v>1202</v>
      </c>
      <c r="D25" s="14" t="s">
        <v>1202</v>
      </c>
      <c r="E25" s="15">
        <v>299.0</v>
      </c>
      <c r="F25" s="16">
        <f t="array" ref="F25">IFERROR(
  VALUE( INDEX(Product_Master!$I:$I,
               MATCH( INDEX(Pack_Master!$B:$B, MATCH($D25, Pack_Master!$A:$A, 0)),
                      Product_Master!$B:$B, 0)
  )) 
  * VALUE( INDEX(Pack_Master!$C:$C, MATCH($D25, Pack_Master!$A:$A, 0)) )
  + VALUE( INDEX(Pack_Master!$D:$D, MATCH($D25, Pack_Master!$A:$A, 0)) ),
"")
</f>
        <v>109</v>
      </c>
      <c r="G25" s="17">
        <f t="array" ref="G25">IFERROR(
 ( INDEX(Pack_Master!E:E, MATCH($D25, Pack_Master!A:A, 0))
   * INDEX(Pack_Master!F:F, MATCH($D25, Pack_Master!A:A, 0))
   * INDEX(Pack_Master!G:G, MATCH($D25, Pack_Master!A:A, 0))
 ) / INDEX(Config!C:C, MATCH($A25, Config!A:A, 0)),
"")
</f>
        <v>0.375</v>
      </c>
      <c r="H25" s="17">
        <f t="array" ref="H25">MAX( INDEX(Pack_Master!H:H, MATCH($D25, Pack_Master!A:A, 0)),
      IFERROR(G25, 0) )
</f>
        <v>0.5</v>
      </c>
      <c r="I25" s="18">
        <f>IFERROR(__xludf.DUMMYFUNCTION("IFERROR(
 INDEX(
   FILTER(Shipping_Rate_Card!B:F, Shipping_Rate_Card!A:A=$A25),
   MATCH($H25, FILTER(Shipping_Rate_Card!B:B, Shipping_Rate_Card!A:A=$A25), 1),
   IF( INDEX(Config!B:B, MATCH($A25, Config!A:A, 0))=""Local"", 2,
     IF( INDEX(Config!B:B, "&amp;"MATCH($A25, Config!A:A, 0))=""Regional"", 3, 4 )
   )
 ),
"""")
"),67.0)</f>
        <v>67</v>
      </c>
      <c r="J25" s="16">
        <f>IFERROR(__xludf.DUMMYFUNCTION("IFERROR(
 ( E25 * INDEX(FILTER(Pricing_Rules!E:E, Pricing_Rules!A:A=A25, Pricing_Rules!B:B=B25, Pricing_Rules!C:C&lt;=E25, Pricing_Rules!D:D&gt;=E25), 1)
   + INDEX(FILTER(Pricing_Rules!F:F, Pricing_Rules!A:A=A25, Pricing_Rules!B:B=B25, Pricing_Rules!C:C&lt;=E25, "&amp;"Pricing_Rules!D:D&gt;=E25), 1)
 )
 * (1 + IFERROR( INDEX(Config!D:D, MATCH(A25, Config!A:A, 0)), 0 )),
"""")
"),5.8999999999999995)</f>
        <v>5.9</v>
      </c>
      <c r="K25" s="19">
        <f t="shared" si="1"/>
        <v>117.1</v>
      </c>
      <c r="L25" s="20">
        <f t="shared" si="2"/>
        <v>0.391638796</v>
      </c>
    </row>
    <row r="26" ht="15.75" customHeight="1">
      <c r="A26" s="9" t="s">
        <v>9</v>
      </c>
      <c r="B26" s="12" t="str">
        <f t="array" ref="B26">IF(D26="","",
 INDEX(Product_Master!A:A,
       MATCH( INDEX(Pack_Master!B:B, MATCH(D26, Pack_Master!A:A, 0)),
              Product_Master!B:B, 0 )
))
</f>
        <v>Apparel_Caps_Beanies</v>
      </c>
      <c r="C26" s="21" t="s">
        <v>240</v>
      </c>
      <c r="D26" s="14" t="s">
        <v>240</v>
      </c>
      <c r="E26" s="15">
        <v>299.0</v>
      </c>
      <c r="F26" s="16">
        <f t="array" ref="F26">IFERROR(
  VALUE( INDEX(Product_Master!$I:$I,
               MATCH( INDEX(Pack_Master!$B:$B, MATCH($D26, Pack_Master!$A:$A, 0)),
                      Product_Master!$B:$B, 0)
  )) 
  * VALUE( INDEX(Pack_Master!$C:$C, MATCH($D26, Pack_Master!$A:$A, 0)) )
  + VALUE( INDEX(Pack_Master!$D:$D, MATCH($D26, Pack_Master!$A:$A, 0)) ),
"")
</f>
        <v>109</v>
      </c>
      <c r="G26" s="17">
        <f t="array" ref="G26">IFERROR(
 ( INDEX(Pack_Master!E:E, MATCH($D26, Pack_Master!A:A, 0))
   * INDEX(Pack_Master!F:F, MATCH($D26, Pack_Master!A:A, 0))
   * INDEX(Pack_Master!G:G, MATCH($D26, Pack_Master!A:A, 0))
 ) / INDEX(Config!C:C, MATCH($A26, Config!A:A, 0)),
"")
</f>
        <v>0.375</v>
      </c>
      <c r="H26" s="17">
        <f t="array" ref="H26">MAX( INDEX(Pack_Master!H:H, MATCH($D26, Pack_Master!A:A, 0)),
      IFERROR(G26, 0) )
</f>
        <v>0.5</v>
      </c>
      <c r="I26" s="18">
        <f>IFERROR(__xludf.DUMMYFUNCTION("IFERROR(
 INDEX(
   FILTER(Shipping_Rate_Card!B:F, Shipping_Rate_Card!A:A=$A26),
   MATCH($H26, FILTER(Shipping_Rate_Card!B:B, Shipping_Rate_Card!A:A=$A26), 1),
   IF( INDEX(Config!B:B, MATCH($A26, Config!A:A, 0))=""Local"", 2,
     IF( INDEX(Config!B:B, "&amp;"MATCH($A26, Config!A:A, 0))=""Regional"", 3, 4 )
   )
 ),
"""")
"),67.0)</f>
        <v>67</v>
      </c>
      <c r="J26" s="16">
        <f>IFERROR(__xludf.DUMMYFUNCTION("IFERROR(
 ( E26 * INDEX(FILTER(Pricing_Rules!E:E, Pricing_Rules!A:A=A26, Pricing_Rules!B:B=B26, Pricing_Rules!C:C&lt;=E26, Pricing_Rules!D:D&gt;=E26), 1)
   + INDEX(FILTER(Pricing_Rules!F:F, Pricing_Rules!A:A=A26, Pricing_Rules!B:B=B26, Pricing_Rules!C:C&lt;=E26, "&amp;"Pricing_Rules!D:D&gt;=E26), 1)
 )
 * (1 + IFERROR( INDEX(Config!D:D, MATCH(A26, Config!A:A, 0)), 0 )),
"""")
"),5.8999999999999995)</f>
        <v>5.9</v>
      </c>
      <c r="K26" s="19">
        <f t="shared" si="1"/>
        <v>117.1</v>
      </c>
      <c r="L26" s="20">
        <f t="shared" si="2"/>
        <v>0.391638796</v>
      </c>
    </row>
    <row r="27" ht="15.75" customHeight="1">
      <c r="A27" s="9" t="s">
        <v>9</v>
      </c>
      <c r="B27" s="12" t="str">
        <f t="array" ref="B27">IF(D27="","",
 INDEX(Product_Master!A:A,
       MATCH( INDEX(Pack_Master!B:B, MATCH(D27, Pack_Master!A:A, 0)),
              Product_Master!B:B, 0 )
))
</f>
        <v>Apparel_Caps_Beanies</v>
      </c>
      <c r="C27" s="21" t="s">
        <v>272</v>
      </c>
      <c r="D27" s="14" t="s">
        <v>272</v>
      </c>
      <c r="E27" s="15">
        <v>299.0</v>
      </c>
      <c r="F27" s="16">
        <f t="array" ref="F27">IFERROR(
  VALUE( INDEX(Product_Master!$I:$I,
               MATCH( INDEX(Pack_Master!$B:$B, MATCH($D27, Pack_Master!$A:$A, 0)),
                      Product_Master!$B:$B, 0)
  )) 
  * VALUE( INDEX(Pack_Master!$C:$C, MATCH($D27, Pack_Master!$A:$A, 0)) )
  + VALUE( INDEX(Pack_Master!$D:$D, MATCH($D27, Pack_Master!$A:$A, 0)) ),
"")
</f>
        <v>109</v>
      </c>
      <c r="G27" s="17">
        <f t="array" ref="G27">IFERROR(
 ( INDEX(Pack_Master!E:E, MATCH($D27, Pack_Master!A:A, 0))
   * INDEX(Pack_Master!F:F, MATCH($D27, Pack_Master!A:A, 0))
   * INDEX(Pack_Master!G:G, MATCH($D27, Pack_Master!A:A, 0))
 ) / INDEX(Config!C:C, MATCH($A27, Config!A:A, 0)),
"")
</f>
        <v>0.375</v>
      </c>
      <c r="H27" s="17">
        <f t="array" ref="H27">MAX( INDEX(Pack_Master!H:H, MATCH($D27, Pack_Master!A:A, 0)),
      IFERROR(G27, 0) )
</f>
        <v>0.5</v>
      </c>
      <c r="I27" s="18">
        <f>IFERROR(__xludf.DUMMYFUNCTION("IFERROR(
 INDEX(
   FILTER(Shipping_Rate_Card!B:F, Shipping_Rate_Card!A:A=$A27),
   MATCH($H27, FILTER(Shipping_Rate_Card!B:B, Shipping_Rate_Card!A:A=$A27), 1),
   IF( INDEX(Config!B:B, MATCH($A27, Config!A:A, 0))=""Local"", 2,
     IF( INDEX(Config!B:B, "&amp;"MATCH($A27, Config!A:A, 0))=""Regional"", 3, 4 )
   )
 ),
"""")
"),67.0)</f>
        <v>67</v>
      </c>
      <c r="J27" s="16">
        <f>IFERROR(__xludf.DUMMYFUNCTION("IFERROR(
 ( E27 * INDEX(FILTER(Pricing_Rules!E:E, Pricing_Rules!A:A=A27, Pricing_Rules!B:B=B27, Pricing_Rules!C:C&lt;=E27, Pricing_Rules!D:D&gt;=E27), 1)
   + INDEX(FILTER(Pricing_Rules!F:F, Pricing_Rules!A:A=A27, Pricing_Rules!B:B=B27, Pricing_Rules!C:C&lt;=E27, "&amp;"Pricing_Rules!D:D&gt;=E27), 1)
 )
 * (1 + IFERROR( INDEX(Config!D:D, MATCH(A27, Config!A:A, 0)), 0 )),
"""")
"),5.8999999999999995)</f>
        <v>5.9</v>
      </c>
      <c r="K27" s="19">
        <f t="shared" si="1"/>
        <v>117.1</v>
      </c>
      <c r="L27" s="20">
        <f t="shared" si="2"/>
        <v>0.391638796</v>
      </c>
    </row>
    <row r="28" ht="15.75" customHeight="1">
      <c r="A28" s="9" t="s">
        <v>9</v>
      </c>
      <c r="B28" s="12" t="str">
        <f t="array" ref="B28">IF(D28="","",
 INDEX(Product_Master!A:A,
       MATCH( INDEX(Pack_Master!B:B, MATCH(D28, Pack_Master!A:A, 0)),
              Product_Master!B:B, 0 )
))
</f>
        <v>Apparel_Caps_Beanies</v>
      </c>
      <c r="C28" s="21" t="s">
        <v>273</v>
      </c>
      <c r="D28" s="14" t="s">
        <v>273</v>
      </c>
      <c r="E28" s="15">
        <v>299.0</v>
      </c>
      <c r="F28" s="16">
        <f t="array" ref="F28">IFERROR(
  VALUE( INDEX(Product_Master!$I:$I,
               MATCH( INDEX(Pack_Master!$B:$B, MATCH($D28, Pack_Master!$A:$A, 0)),
                      Product_Master!$B:$B, 0)
  )) 
  * VALUE( INDEX(Pack_Master!$C:$C, MATCH($D28, Pack_Master!$A:$A, 0)) )
  + VALUE( INDEX(Pack_Master!$D:$D, MATCH($D28, Pack_Master!$A:$A, 0)) ),
"")
</f>
        <v>109</v>
      </c>
      <c r="G28" s="17">
        <f t="array" ref="G28">IFERROR(
 ( INDEX(Pack_Master!E:E, MATCH($D28, Pack_Master!A:A, 0))
   * INDEX(Pack_Master!F:F, MATCH($D28, Pack_Master!A:A, 0))
   * INDEX(Pack_Master!G:G, MATCH($D28, Pack_Master!A:A, 0))
 ) / INDEX(Config!C:C, MATCH($A28, Config!A:A, 0)),
"")
</f>
        <v>0.375</v>
      </c>
      <c r="H28" s="17">
        <f t="array" ref="H28">MAX( INDEX(Pack_Master!H:H, MATCH($D28, Pack_Master!A:A, 0)),
      IFERROR(G28, 0) )
</f>
        <v>0.5</v>
      </c>
      <c r="I28" s="18">
        <f>IFERROR(__xludf.DUMMYFUNCTION("IFERROR(
 INDEX(
   FILTER(Shipping_Rate_Card!B:F, Shipping_Rate_Card!A:A=$A28),
   MATCH($H28, FILTER(Shipping_Rate_Card!B:B, Shipping_Rate_Card!A:A=$A28), 1),
   IF( INDEX(Config!B:B, MATCH($A28, Config!A:A, 0))=""Local"", 2,
     IF( INDEX(Config!B:B, "&amp;"MATCH($A28, Config!A:A, 0))=""Regional"", 3, 4 )
   )
 ),
"""")
"),67.0)</f>
        <v>67</v>
      </c>
      <c r="J28" s="16">
        <f>IFERROR(__xludf.DUMMYFUNCTION("IFERROR(
 ( E28 * INDEX(FILTER(Pricing_Rules!E:E, Pricing_Rules!A:A=A28, Pricing_Rules!B:B=B28, Pricing_Rules!C:C&lt;=E28, Pricing_Rules!D:D&gt;=E28), 1)
   + INDEX(FILTER(Pricing_Rules!F:F, Pricing_Rules!A:A=A28, Pricing_Rules!B:B=B28, Pricing_Rules!C:C&lt;=E28, "&amp;"Pricing_Rules!D:D&gt;=E28), 1)
 )
 * (1 + IFERROR( INDEX(Config!D:D, MATCH(A28, Config!A:A, 0)), 0 )),
"""")
"),5.8999999999999995)</f>
        <v>5.9</v>
      </c>
      <c r="K28" s="19">
        <f t="shared" si="1"/>
        <v>117.1</v>
      </c>
      <c r="L28" s="20">
        <f t="shared" si="2"/>
        <v>0.391638796</v>
      </c>
    </row>
    <row r="29" ht="15.75" customHeight="1">
      <c r="A29" s="9" t="s">
        <v>9</v>
      </c>
      <c r="B29" s="12" t="str">
        <f t="array" ref="B29">IF(D29="","",
 INDEX(Product_Master!A:A,
       MATCH( INDEX(Pack_Master!B:B, MATCH(D29, Pack_Master!A:A, 0)),
              Product_Master!B:B, 0 )
))
</f>
        <v>Apparel_Caps_Beanies</v>
      </c>
      <c r="C29" s="21" t="s">
        <v>283</v>
      </c>
      <c r="D29" s="14" t="s">
        <v>283</v>
      </c>
      <c r="E29" s="15">
        <v>299.0</v>
      </c>
      <c r="F29" s="16">
        <f t="array" ref="F29">IFERROR(
  VALUE( INDEX(Product_Master!$I:$I,
               MATCH( INDEX(Pack_Master!$B:$B, MATCH($D29, Pack_Master!$A:$A, 0)),
                      Product_Master!$B:$B, 0)
  )) 
  * VALUE( INDEX(Pack_Master!$C:$C, MATCH($D29, Pack_Master!$A:$A, 0)) )
  + VALUE( INDEX(Pack_Master!$D:$D, MATCH($D29, Pack_Master!$A:$A, 0)) ),
"")
</f>
        <v>109</v>
      </c>
      <c r="G29" s="17">
        <f t="array" ref="G29">IFERROR(
 ( INDEX(Pack_Master!E:E, MATCH($D29, Pack_Master!A:A, 0))
   * INDEX(Pack_Master!F:F, MATCH($D29, Pack_Master!A:A, 0))
   * INDEX(Pack_Master!G:G, MATCH($D29, Pack_Master!A:A, 0))
 ) / INDEX(Config!C:C, MATCH($A29, Config!A:A, 0)),
"")
</f>
        <v>0.375</v>
      </c>
      <c r="H29" s="17">
        <f t="array" ref="H29">MAX( INDEX(Pack_Master!H:H, MATCH($D29, Pack_Master!A:A, 0)),
      IFERROR(G29, 0) )
</f>
        <v>0.5</v>
      </c>
      <c r="I29" s="18">
        <f>IFERROR(__xludf.DUMMYFUNCTION("IFERROR(
 INDEX(
   FILTER(Shipping_Rate_Card!B:F, Shipping_Rate_Card!A:A=$A29),
   MATCH($H29, FILTER(Shipping_Rate_Card!B:B, Shipping_Rate_Card!A:A=$A29), 1),
   IF( INDEX(Config!B:B, MATCH($A29, Config!A:A, 0))=""Local"", 2,
     IF( INDEX(Config!B:B, "&amp;"MATCH($A29, Config!A:A, 0))=""Regional"", 3, 4 )
   )
 ),
"""")
"),67.0)</f>
        <v>67</v>
      </c>
      <c r="J29" s="16">
        <f>IFERROR(__xludf.DUMMYFUNCTION("IFERROR(
 ( E29 * INDEX(FILTER(Pricing_Rules!E:E, Pricing_Rules!A:A=A29, Pricing_Rules!B:B=B29, Pricing_Rules!C:C&lt;=E29, Pricing_Rules!D:D&gt;=E29), 1)
   + INDEX(FILTER(Pricing_Rules!F:F, Pricing_Rules!A:A=A29, Pricing_Rules!B:B=B29, Pricing_Rules!C:C&lt;=E29, "&amp;"Pricing_Rules!D:D&gt;=E29), 1)
 )
 * (1 + IFERROR( INDEX(Config!D:D, MATCH(A29, Config!A:A, 0)), 0 )),
"""")
"),5.8999999999999995)</f>
        <v>5.9</v>
      </c>
      <c r="K29" s="19">
        <f t="shared" si="1"/>
        <v>117.1</v>
      </c>
      <c r="L29" s="20">
        <f t="shared" si="2"/>
        <v>0.391638796</v>
      </c>
    </row>
    <row r="30" ht="15.75" customHeight="1">
      <c r="A30" s="9" t="s">
        <v>9</v>
      </c>
      <c r="B30" s="12" t="str">
        <f t="array" ref="B30">IF(D30="","",
 INDEX(Product_Master!A:A,
       MATCH( INDEX(Pack_Master!B:B, MATCH(D30, Pack_Master!A:A, 0)),
              Product_Master!B:B, 0 )
))
</f>
        <v>Apparel_Caps_Beanies</v>
      </c>
      <c r="C30" s="21" t="s">
        <v>281</v>
      </c>
      <c r="D30" s="14" t="s">
        <v>281</v>
      </c>
      <c r="E30" s="15">
        <v>299.0</v>
      </c>
      <c r="F30" s="16">
        <f t="array" ref="F30">IFERROR(
  VALUE( INDEX(Product_Master!$I:$I,
               MATCH( INDEX(Pack_Master!$B:$B, MATCH($D30, Pack_Master!$A:$A, 0)),
                      Product_Master!$B:$B, 0)
  )) 
  * VALUE( INDEX(Pack_Master!$C:$C, MATCH($D30, Pack_Master!$A:$A, 0)) )
  + VALUE( INDEX(Pack_Master!$D:$D, MATCH($D30, Pack_Master!$A:$A, 0)) ),
"")
</f>
        <v>109</v>
      </c>
      <c r="G30" s="17">
        <f t="array" ref="G30">IFERROR(
 ( INDEX(Pack_Master!E:E, MATCH($D30, Pack_Master!A:A, 0))
   * INDEX(Pack_Master!F:F, MATCH($D30, Pack_Master!A:A, 0))
   * INDEX(Pack_Master!G:G, MATCH($D30, Pack_Master!A:A, 0))
 ) / INDEX(Config!C:C, MATCH($A30, Config!A:A, 0)),
"")
</f>
        <v>0.375</v>
      </c>
      <c r="H30" s="17">
        <f t="array" ref="H30">MAX( INDEX(Pack_Master!H:H, MATCH($D30, Pack_Master!A:A, 0)),
      IFERROR(G30, 0) )
</f>
        <v>0.5</v>
      </c>
      <c r="I30" s="18">
        <f>IFERROR(__xludf.DUMMYFUNCTION("IFERROR(
 INDEX(
   FILTER(Shipping_Rate_Card!B:F, Shipping_Rate_Card!A:A=$A30),
   MATCH($H30, FILTER(Shipping_Rate_Card!B:B, Shipping_Rate_Card!A:A=$A30), 1),
   IF( INDEX(Config!B:B, MATCH($A30, Config!A:A, 0))=""Local"", 2,
     IF( INDEX(Config!B:B, "&amp;"MATCH($A30, Config!A:A, 0))=""Regional"", 3, 4 )
   )
 ),
"""")
"),67.0)</f>
        <v>67</v>
      </c>
      <c r="J30" s="16">
        <f>IFERROR(__xludf.DUMMYFUNCTION("IFERROR(
 ( E30 * INDEX(FILTER(Pricing_Rules!E:E, Pricing_Rules!A:A=A30, Pricing_Rules!B:B=B30, Pricing_Rules!C:C&lt;=E30, Pricing_Rules!D:D&gt;=E30), 1)
   + INDEX(FILTER(Pricing_Rules!F:F, Pricing_Rules!A:A=A30, Pricing_Rules!B:B=B30, Pricing_Rules!C:C&lt;=E30, "&amp;"Pricing_Rules!D:D&gt;=E30), 1)
 )
 * (1 + IFERROR( INDEX(Config!D:D, MATCH(A30, Config!A:A, 0)), 0 )),
"""")
"),5.8999999999999995)</f>
        <v>5.9</v>
      </c>
      <c r="K30" s="19">
        <f t="shared" si="1"/>
        <v>117.1</v>
      </c>
      <c r="L30" s="20">
        <f t="shared" si="2"/>
        <v>0.391638796</v>
      </c>
    </row>
    <row r="31" ht="15.75" customHeight="1">
      <c r="A31" s="9" t="s">
        <v>9</v>
      </c>
      <c r="B31" s="12" t="str">
        <f t="array" ref="B31">IF(D31="","",
 INDEX(Product_Master!A:A,
       MATCH( INDEX(Pack_Master!B:B, MATCH(D31, Pack_Master!A:A, 0)),
              Product_Master!B:B, 0 )
))
</f>
        <v>Apparel_Caps_Beanies</v>
      </c>
      <c r="C31" s="21" t="s">
        <v>1226</v>
      </c>
      <c r="D31" s="14" t="s">
        <v>281</v>
      </c>
      <c r="E31" s="15">
        <v>299.0</v>
      </c>
      <c r="F31" s="16">
        <f t="array" ref="F31">IFERROR(
  VALUE( INDEX(Product_Master!$I:$I,
               MATCH( INDEX(Pack_Master!$B:$B, MATCH($D31, Pack_Master!$A:$A, 0)),
                      Product_Master!$B:$B, 0)
  )) 
  * VALUE( INDEX(Pack_Master!$C:$C, MATCH($D31, Pack_Master!$A:$A, 0)) )
  + VALUE( INDEX(Pack_Master!$D:$D, MATCH($D31, Pack_Master!$A:$A, 0)) ),
"")
</f>
        <v>109</v>
      </c>
      <c r="G31" s="17">
        <f t="array" ref="G31">IFERROR(
 ( INDEX(Pack_Master!E:E, MATCH($D31, Pack_Master!A:A, 0))
   * INDEX(Pack_Master!F:F, MATCH($D31, Pack_Master!A:A, 0))
   * INDEX(Pack_Master!G:G, MATCH($D31, Pack_Master!A:A, 0))
 ) / INDEX(Config!C:C, MATCH($A31, Config!A:A, 0)),
"")
</f>
        <v>0.375</v>
      </c>
      <c r="H31" s="17">
        <f t="array" ref="H31">MAX( INDEX(Pack_Master!H:H, MATCH($D31, Pack_Master!A:A, 0)),
      IFERROR(G31, 0) )
</f>
        <v>0.5</v>
      </c>
      <c r="I31" s="18">
        <f>IFERROR(__xludf.DUMMYFUNCTION("IFERROR(
 INDEX(
   FILTER(Shipping_Rate_Card!B:F, Shipping_Rate_Card!A:A=$A31),
   MATCH($H31, FILTER(Shipping_Rate_Card!B:B, Shipping_Rate_Card!A:A=$A31), 1),
   IF( INDEX(Config!B:B, MATCH($A31, Config!A:A, 0))=""Local"", 2,
     IF( INDEX(Config!B:B, "&amp;"MATCH($A31, Config!A:A, 0))=""Regional"", 3, 4 )
   )
 ),
"""")
"),67.0)</f>
        <v>67</v>
      </c>
      <c r="J31" s="16">
        <f>IFERROR(__xludf.DUMMYFUNCTION("IFERROR(
 ( E31 * INDEX(FILTER(Pricing_Rules!E:E, Pricing_Rules!A:A=A31, Pricing_Rules!B:B=B31, Pricing_Rules!C:C&lt;=E31, Pricing_Rules!D:D&gt;=E31), 1)
   + INDEX(FILTER(Pricing_Rules!F:F, Pricing_Rules!A:A=A31, Pricing_Rules!B:B=B31, Pricing_Rules!C:C&lt;=E31, "&amp;"Pricing_Rules!D:D&gt;=E31), 1)
 )
 * (1 + IFERROR( INDEX(Config!D:D, MATCH(A31, Config!A:A, 0)), 0 )),
"""")
"),5.8999999999999995)</f>
        <v>5.9</v>
      </c>
      <c r="K31" s="19">
        <f t="shared" si="1"/>
        <v>117.1</v>
      </c>
      <c r="L31" s="20">
        <f t="shared" si="2"/>
        <v>0.391638796</v>
      </c>
    </row>
    <row r="32" ht="15.75" customHeight="1">
      <c r="A32" s="9" t="s">
        <v>9</v>
      </c>
      <c r="B32" s="12" t="str">
        <f t="array" ref="B32">IF(D32="","",
 INDEX(Product_Master!A:A,
       MATCH( INDEX(Pack_Master!B:B, MATCH(D32, Pack_Master!A:A, 0)),
              Product_Master!B:B, 0 )
))
</f>
        <v>Apparel_Caps_Beanies</v>
      </c>
      <c r="C32" s="21" t="s">
        <v>1213</v>
      </c>
      <c r="D32" s="14" t="s">
        <v>286</v>
      </c>
      <c r="E32" s="15">
        <v>299.0</v>
      </c>
      <c r="F32" s="16">
        <f t="array" ref="F32">IFERROR(
  VALUE( INDEX(Product_Master!$I:$I,
               MATCH( INDEX(Pack_Master!$B:$B, MATCH($D32, Pack_Master!$A:$A, 0)),
                      Product_Master!$B:$B, 0)
  )) 
  * VALUE( INDEX(Pack_Master!$C:$C, MATCH($D32, Pack_Master!$A:$A, 0)) )
  + VALUE( INDEX(Pack_Master!$D:$D, MATCH($D32, Pack_Master!$A:$A, 0)) ),
"")
</f>
        <v>109</v>
      </c>
      <c r="G32" s="17">
        <f t="array" ref="G32">IFERROR(
 ( INDEX(Pack_Master!E:E, MATCH($D32, Pack_Master!A:A, 0))
   * INDEX(Pack_Master!F:F, MATCH($D32, Pack_Master!A:A, 0))
   * INDEX(Pack_Master!G:G, MATCH($D32, Pack_Master!A:A, 0))
 ) / INDEX(Config!C:C, MATCH($A32, Config!A:A, 0)),
"")
</f>
        <v>0.375</v>
      </c>
      <c r="H32" s="17">
        <f t="array" ref="H32">MAX( INDEX(Pack_Master!H:H, MATCH($D32, Pack_Master!A:A, 0)),
      IFERROR(G32, 0) )
</f>
        <v>0.5</v>
      </c>
      <c r="I32" s="18">
        <f>IFERROR(__xludf.DUMMYFUNCTION("IFERROR(
 INDEX(
   FILTER(Shipping_Rate_Card!B:F, Shipping_Rate_Card!A:A=$A32),
   MATCH($H32, FILTER(Shipping_Rate_Card!B:B, Shipping_Rate_Card!A:A=$A32), 1),
   IF( INDEX(Config!B:B, MATCH($A32, Config!A:A, 0))=""Local"", 2,
     IF( INDEX(Config!B:B, "&amp;"MATCH($A32, Config!A:A, 0))=""Regional"", 3, 4 )
   )
 ),
"""")
"),67.0)</f>
        <v>67</v>
      </c>
      <c r="J32" s="16">
        <f>IFERROR(__xludf.DUMMYFUNCTION("IFERROR(
 ( E32 * INDEX(FILTER(Pricing_Rules!E:E, Pricing_Rules!A:A=A32, Pricing_Rules!B:B=B32, Pricing_Rules!C:C&lt;=E32, Pricing_Rules!D:D&gt;=E32), 1)
   + INDEX(FILTER(Pricing_Rules!F:F, Pricing_Rules!A:A=A32, Pricing_Rules!B:B=B32, Pricing_Rules!C:C&lt;=E32, "&amp;"Pricing_Rules!D:D&gt;=E32), 1)
 )
 * (1 + IFERROR( INDEX(Config!D:D, MATCH(A32, Config!A:A, 0)), 0 )),
"""")
"),5.8999999999999995)</f>
        <v>5.9</v>
      </c>
      <c r="K32" s="19">
        <f t="shared" si="1"/>
        <v>117.1</v>
      </c>
      <c r="L32" s="20">
        <f t="shared" si="2"/>
        <v>0.391638796</v>
      </c>
    </row>
    <row r="33" ht="15.75" customHeight="1">
      <c r="A33" s="9" t="s">
        <v>9</v>
      </c>
      <c r="B33" s="12" t="str">
        <f t="array" ref="B33">IF(D33="","",
 INDEX(Product_Master!A:A,
       MATCH( INDEX(Pack_Master!B:B, MATCH(D33, Pack_Master!A:A, 0)),
              Product_Master!B:B, 0 )
))
</f>
        <v>Apparel_Caps_Beanies</v>
      </c>
      <c r="C33" s="21" t="s">
        <v>288</v>
      </c>
      <c r="D33" s="14" t="s">
        <v>288</v>
      </c>
      <c r="E33" s="15">
        <v>299.0</v>
      </c>
      <c r="F33" s="16">
        <f t="array" ref="F33">IFERROR(
  VALUE( INDEX(Product_Master!$I:$I,
               MATCH( INDEX(Pack_Master!$B:$B, MATCH($D33, Pack_Master!$A:$A, 0)),
                      Product_Master!$B:$B, 0)
  )) 
  * VALUE( INDEX(Pack_Master!$C:$C, MATCH($D33, Pack_Master!$A:$A, 0)) )
  + VALUE( INDEX(Pack_Master!$D:$D, MATCH($D33, Pack_Master!$A:$A, 0)) ),
"")
</f>
        <v>109</v>
      </c>
      <c r="G33" s="17">
        <f t="array" ref="G33">IFERROR(
 ( INDEX(Pack_Master!E:E, MATCH($D33, Pack_Master!A:A, 0))
   * INDEX(Pack_Master!F:F, MATCH($D33, Pack_Master!A:A, 0))
   * INDEX(Pack_Master!G:G, MATCH($D33, Pack_Master!A:A, 0))
 ) / INDEX(Config!C:C, MATCH($A33, Config!A:A, 0)),
"")
</f>
        <v>0.375</v>
      </c>
      <c r="H33" s="17">
        <f t="array" ref="H33">MAX( INDEX(Pack_Master!H:H, MATCH($D33, Pack_Master!A:A, 0)),
      IFERROR(G33, 0) )
</f>
        <v>0.5</v>
      </c>
      <c r="I33" s="18">
        <f>IFERROR(__xludf.DUMMYFUNCTION("IFERROR(
 INDEX(
   FILTER(Shipping_Rate_Card!B:F, Shipping_Rate_Card!A:A=$A33),
   MATCH($H33, FILTER(Shipping_Rate_Card!B:B, Shipping_Rate_Card!A:A=$A33), 1),
   IF( INDEX(Config!B:B, MATCH($A33, Config!A:A, 0))=""Local"", 2,
     IF( INDEX(Config!B:B, "&amp;"MATCH($A33, Config!A:A, 0))=""Regional"", 3, 4 )
   )
 ),
"""")
"),67.0)</f>
        <v>67</v>
      </c>
      <c r="J33" s="16">
        <f>IFERROR(__xludf.DUMMYFUNCTION("IFERROR(
 ( E33 * INDEX(FILTER(Pricing_Rules!E:E, Pricing_Rules!A:A=A33, Pricing_Rules!B:B=B33, Pricing_Rules!C:C&lt;=E33, Pricing_Rules!D:D&gt;=E33), 1)
   + INDEX(FILTER(Pricing_Rules!F:F, Pricing_Rules!A:A=A33, Pricing_Rules!B:B=B33, Pricing_Rules!C:C&lt;=E33, "&amp;"Pricing_Rules!D:D&gt;=E33), 1)
 )
 * (1 + IFERROR( INDEX(Config!D:D, MATCH(A33, Config!A:A, 0)), 0 )),
"""")
"),5.8999999999999995)</f>
        <v>5.9</v>
      </c>
      <c r="K33" s="19">
        <f t="shared" si="1"/>
        <v>117.1</v>
      </c>
      <c r="L33" s="20">
        <f t="shared" si="2"/>
        <v>0.391638796</v>
      </c>
    </row>
    <row r="34" ht="15.75" customHeight="1">
      <c r="A34" s="9" t="s">
        <v>9</v>
      </c>
      <c r="B34" s="12" t="str">
        <f t="array" ref="B34">IF(D34="","",
 INDEX(Product_Master!A:A,
       MATCH( INDEX(Pack_Master!B:B, MATCH(D34, Pack_Master!A:A, 0)),
              Product_Master!B:B, 0 )
))
</f>
        <v>Apparel_Caps_Beanies</v>
      </c>
      <c r="C34" s="21" t="s">
        <v>291</v>
      </c>
      <c r="D34" s="14" t="s">
        <v>291</v>
      </c>
      <c r="E34" s="15">
        <v>299.0</v>
      </c>
      <c r="F34" s="16">
        <f t="array" ref="F34">IFERROR(
  VALUE( INDEX(Product_Master!$I:$I,
               MATCH( INDEX(Pack_Master!$B:$B, MATCH($D34, Pack_Master!$A:$A, 0)),
                      Product_Master!$B:$B, 0)
  )) 
  * VALUE( INDEX(Pack_Master!$C:$C, MATCH($D34, Pack_Master!$A:$A, 0)) )
  + VALUE( INDEX(Pack_Master!$D:$D, MATCH($D34, Pack_Master!$A:$A, 0)) ),
"")
</f>
        <v>109</v>
      </c>
      <c r="G34" s="17">
        <f t="array" ref="G34">IFERROR(
 ( INDEX(Pack_Master!E:E, MATCH($D34, Pack_Master!A:A, 0))
   * INDEX(Pack_Master!F:F, MATCH($D34, Pack_Master!A:A, 0))
   * INDEX(Pack_Master!G:G, MATCH($D34, Pack_Master!A:A, 0))
 ) / INDEX(Config!C:C, MATCH($A34, Config!A:A, 0)),
"")
</f>
        <v>0.375</v>
      </c>
      <c r="H34" s="17">
        <f t="array" ref="H34">MAX( INDEX(Pack_Master!H:H, MATCH($D34, Pack_Master!A:A, 0)),
      IFERROR(G34, 0) )
</f>
        <v>0.5</v>
      </c>
      <c r="I34" s="18">
        <f>IFERROR(__xludf.DUMMYFUNCTION("IFERROR(
 INDEX(
   FILTER(Shipping_Rate_Card!B:F, Shipping_Rate_Card!A:A=$A34),
   MATCH($H34, FILTER(Shipping_Rate_Card!B:B, Shipping_Rate_Card!A:A=$A34), 1),
   IF( INDEX(Config!B:B, MATCH($A34, Config!A:A, 0))=""Local"", 2,
     IF( INDEX(Config!B:B, "&amp;"MATCH($A34, Config!A:A, 0))=""Regional"", 3, 4 )
   )
 ),
"""")
"),67.0)</f>
        <v>67</v>
      </c>
      <c r="J34" s="16">
        <f>IFERROR(__xludf.DUMMYFUNCTION("IFERROR(
 ( E34 * INDEX(FILTER(Pricing_Rules!E:E, Pricing_Rules!A:A=A34, Pricing_Rules!B:B=B34, Pricing_Rules!C:C&lt;=E34, Pricing_Rules!D:D&gt;=E34), 1)
   + INDEX(FILTER(Pricing_Rules!F:F, Pricing_Rules!A:A=A34, Pricing_Rules!B:B=B34, Pricing_Rules!C:C&lt;=E34, "&amp;"Pricing_Rules!D:D&gt;=E34), 1)
 )
 * (1 + IFERROR( INDEX(Config!D:D, MATCH(A34, Config!A:A, 0)), 0 )),
"""")
"),5.8999999999999995)</f>
        <v>5.9</v>
      </c>
      <c r="K34" s="19">
        <f t="shared" si="1"/>
        <v>117.1</v>
      </c>
      <c r="L34" s="20">
        <f t="shared" si="2"/>
        <v>0.391638796</v>
      </c>
    </row>
    <row r="35" ht="15.75" customHeight="1">
      <c r="A35" s="9" t="s">
        <v>9</v>
      </c>
      <c r="B35" s="12" t="str">
        <f t="array" ref="B35">IF(D35="","",
 INDEX(Product_Master!A:A,
       MATCH( INDEX(Pack_Master!B:B, MATCH(D35, Pack_Master!A:A, 0)),
              Product_Master!B:B, 0 )
))
</f>
        <v>Apparel_Caps_Beanies</v>
      </c>
      <c r="C35" s="21" t="s">
        <v>293</v>
      </c>
      <c r="D35" s="14" t="s">
        <v>293</v>
      </c>
      <c r="E35" s="15">
        <v>299.0</v>
      </c>
      <c r="F35" s="16">
        <f t="array" ref="F35">IFERROR(
  VALUE( INDEX(Product_Master!$I:$I,
               MATCH( INDEX(Pack_Master!$B:$B, MATCH($D35, Pack_Master!$A:$A, 0)),
                      Product_Master!$B:$B, 0)
  )) 
  * VALUE( INDEX(Pack_Master!$C:$C, MATCH($D35, Pack_Master!$A:$A, 0)) )
  + VALUE( INDEX(Pack_Master!$D:$D, MATCH($D35, Pack_Master!$A:$A, 0)) ),
"")
</f>
        <v>109</v>
      </c>
      <c r="G35" s="17">
        <f t="array" ref="G35">IFERROR(
 ( INDEX(Pack_Master!E:E, MATCH($D35, Pack_Master!A:A, 0))
   * INDEX(Pack_Master!F:F, MATCH($D35, Pack_Master!A:A, 0))
   * INDEX(Pack_Master!G:G, MATCH($D35, Pack_Master!A:A, 0))
 ) / INDEX(Config!C:C, MATCH($A35, Config!A:A, 0)),
"")
</f>
        <v>0.375</v>
      </c>
      <c r="H35" s="17">
        <f t="array" ref="H35">MAX( INDEX(Pack_Master!H:H, MATCH($D35, Pack_Master!A:A, 0)),
      IFERROR(G35, 0) )
</f>
        <v>0.5</v>
      </c>
      <c r="I35" s="18">
        <f>IFERROR(__xludf.DUMMYFUNCTION("IFERROR(
 INDEX(
   FILTER(Shipping_Rate_Card!B:F, Shipping_Rate_Card!A:A=$A35),
   MATCH($H35, FILTER(Shipping_Rate_Card!B:B, Shipping_Rate_Card!A:A=$A35), 1),
   IF( INDEX(Config!B:B, MATCH($A35, Config!A:A, 0))=""Local"", 2,
     IF( INDEX(Config!B:B, "&amp;"MATCH($A35, Config!A:A, 0))=""Regional"", 3, 4 )
   )
 ),
"""")
"),67.0)</f>
        <v>67</v>
      </c>
      <c r="J35" s="16">
        <f>IFERROR(__xludf.DUMMYFUNCTION("IFERROR(
 ( E35 * INDEX(FILTER(Pricing_Rules!E:E, Pricing_Rules!A:A=A35, Pricing_Rules!B:B=B35, Pricing_Rules!C:C&lt;=E35, Pricing_Rules!D:D&gt;=E35), 1)
   + INDEX(FILTER(Pricing_Rules!F:F, Pricing_Rules!A:A=A35, Pricing_Rules!B:B=B35, Pricing_Rules!C:C&lt;=E35, "&amp;"Pricing_Rules!D:D&gt;=E35), 1)
 )
 * (1 + IFERROR( INDEX(Config!D:D, MATCH(A35, Config!A:A, 0)), 0 )),
"""")
"),5.8999999999999995)</f>
        <v>5.9</v>
      </c>
      <c r="K35" s="19">
        <f t="shared" si="1"/>
        <v>117.1</v>
      </c>
      <c r="L35" s="20">
        <f t="shared" si="2"/>
        <v>0.391638796</v>
      </c>
    </row>
    <row r="36" ht="15.75" customHeight="1">
      <c r="A36" s="9" t="s">
        <v>9</v>
      </c>
      <c r="B36" s="12" t="str">
        <f t="array" ref="B36">IF(D36="","",
 INDEX(Product_Master!A:A,
       MATCH( INDEX(Pack_Master!B:B, MATCH(D36, Pack_Master!A:A, 0)),
              Product_Master!B:B, 0 )
))
</f>
        <v>Apparel_Caps_Beanies</v>
      </c>
      <c r="C36" s="21" t="s">
        <v>256</v>
      </c>
      <c r="D36" s="14" t="s">
        <v>257</v>
      </c>
      <c r="E36" s="15">
        <v>299.0</v>
      </c>
      <c r="F36" s="16">
        <f t="array" ref="F36">IFERROR(
  VALUE( INDEX(Product_Master!$I:$I,
               MATCH( INDEX(Pack_Master!$B:$B, MATCH($D36, Pack_Master!$A:$A, 0)),
                      Product_Master!$B:$B, 0)
  )) 
  * VALUE( INDEX(Pack_Master!$C:$C, MATCH($D36, Pack_Master!$A:$A, 0)) )
  + VALUE( INDEX(Pack_Master!$D:$D, MATCH($D36, Pack_Master!$A:$A, 0)) ),
"")
</f>
        <v>109</v>
      </c>
      <c r="G36" s="17">
        <f t="array" ref="G36">IFERROR(
 ( INDEX(Pack_Master!E:E, MATCH($D36, Pack_Master!A:A, 0))
   * INDEX(Pack_Master!F:F, MATCH($D36, Pack_Master!A:A, 0))
   * INDEX(Pack_Master!G:G, MATCH($D36, Pack_Master!A:A, 0))
 ) / INDEX(Config!C:C, MATCH($A36, Config!A:A, 0)),
"")
</f>
        <v>0.375</v>
      </c>
      <c r="H36" s="17">
        <f t="array" ref="H36">MAX( INDEX(Pack_Master!H:H, MATCH($D36, Pack_Master!A:A, 0)),
      IFERROR(G36, 0) )
</f>
        <v>0.5</v>
      </c>
      <c r="I36" s="18">
        <f>IFERROR(__xludf.DUMMYFUNCTION("IFERROR(
 INDEX(
   FILTER(Shipping_Rate_Card!B:F, Shipping_Rate_Card!A:A=$A36),
   MATCH($H36, FILTER(Shipping_Rate_Card!B:B, Shipping_Rate_Card!A:A=$A36), 1),
   IF( INDEX(Config!B:B, MATCH($A36, Config!A:A, 0))=""Local"", 2,
     IF( INDEX(Config!B:B, "&amp;"MATCH($A36, Config!A:A, 0))=""Regional"", 3, 4 )
   )
 ),
"""")
"),67.0)</f>
        <v>67</v>
      </c>
      <c r="J36" s="16">
        <f>IFERROR(__xludf.DUMMYFUNCTION("IFERROR(
 ( E36 * INDEX(FILTER(Pricing_Rules!E:E, Pricing_Rules!A:A=A36, Pricing_Rules!B:B=B36, Pricing_Rules!C:C&lt;=E36, Pricing_Rules!D:D&gt;=E36), 1)
   + INDEX(FILTER(Pricing_Rules!F:F, Pricing_Rules!A:A=A36, Pricing_Rules!B:B=B36, Pricing_Rules!C:C&lt;=E36, "&amp;"Pricing_Rules!D:D&gt;=E36), 1)
 )
 * (1 + IFERROR( INDEX(Config!D:D, MATCH(A36, Config!A:A, 0)), 0 )),
"""")
"),5.8999999999999995)</f>
        <v>5.9</v>
      </c>
      <c r="K36" s="19">
        <f t="shared" si="1"/>
        <v>117.1</v>
      </c>
      <c r="L36" s="20">
        <f t="shared" si="2"/>
        <v>0.391638796</v>
      </c>
    </row>
    <row r="37" ht="15.75" customHeight="1">
      <c r="A37" s="9" t="s">
        <v>9</v>
      </c>
      <c r="B37" s="12" t="str">
        <f t="array" ref="B37">IF(D37="","",
 INDEX(Product_Master!A:A,
       MATCH( INDEX(Pack_Master!B:B, MATCH(D37, Pack_Master!A:A, 0)),
              Product_Master!B:B, 0 )
))
</f>
        <v>Apparel_Caps_Beanies</v>
      </c>
      <c r="C37" s="21" t="s">
        <v>258</v>
      </c>
      <c r="D37" s="14" t="s">
        <v>259</v>
      </c>
      <c r="E37" s="15">
        <v>299.0</v>
      </c>
      <c r="F37" s="16">
        <f t="array" ref="F37">IFERROR(
  VALUE( INDEX(Product_Master!$I:$I,
               MATCH( INDEX(Pack_Master!$B:$B, MATCH($D37, Pack_Master!$A:$A, 0)),
                      Product_Master!$B:$B, 0)
  )) 
  * VALUE( INDEX(Pack_Master!$C:$C, MATCH($D37, Pack_Master!$A:$A, 0)) )
  + VALUE( INDEX(Pack_Master!$D:$D, MATCH($D37, Pack_Master!$A:$A, 0)) ),
"")
</f>
        <v>109</v>
      </c>
      <c r="G37" s="17">
        <f t="array" ref="G37">IFERROR(
 ( INDEX(Pack_Master!E:E, MATCH($D37, Pack_Master!A:A, 0))
   * INDEX(Pack_Master!F:F, MATCH($D37, Pack_Master!A:A, 0))
   * INDEX(Pack_Master!G:G, MATCH($D37, Pack_Master!A:A, 0))
 ) / INDEX(Config!C:C, MATCH($A37, Config!A:A, 0)),
"")
</f>
        <v>0.375</v>
      </c>
      <c r="H37" s="17">
        <f t="array" ref="H37">MAX( INDEX(Pack_Master!H:H, MATCH($D37, Pack_Master!A:A, 0)),
      IFERROR(G37, 0) )
</f>
        <v>0.5</v>
      </c>
      <c r="I37" s="18">
        <f>IFERROR(__xludf.DUMMYFUNCTION("IFERROR(
 INDEX(
   FILTER(Shipping_Rate_Card!B:F, Shipping_Rate_Card!A:A=$A37),
   MATCH($H37, FILTER(Shipping_Rate_Card!B:B, Shipping_Rate_Card!A:A=$A37), 1),
   IF( INDEX(Config!B:B, MATCH($A37, Config!A:A, 0))=""Local"", 2,
     IF( INDEX(Config!B:B, "&amp;"MATCH($A37, Config!A:A, 0))=""Regional"", 3, 4 )
   )
 ),
"""")
"),67.0)</f>
        <v>67</v>
      </c>
      <c r="J37" s="16">
        <f>IFERROR(__xludf.DUMMYFUNCTION("IFERROR(
 ( E37 * INDEX(FILTER(Pricing_Rules!E:E, Pricing_Rules!A:A=A37, Pricing_Rules!B:B=B37, Pricing_Rules!C:C&lt;=E37, Pricing_Rules!D:D&gt;=E37), 1)
   + INDEX(FILTER(Pricing_Rules!F:F, Pricing_Rules!A:A=A37, Pricing_Rules!B:B=B37, Pricing_Rules!C:C&lt;=E37, "&amp;"Pricing_Rules!D:D&gt;=E37), 1)
 )
 * (1 + IFERROR( INDEX(Config!D:D, MATCH(A37, Config!A:A, 0)), 0 )),
"""")
"),5.8999999999999995)</f>
        <v>5.9</v>
      </c>
      <c r="K37" s="19">
        <f t="shared" si="1"/>
        <v>117.1</v>
      </c>
      <c r="L37" s="20">
        <f t="shared" si="2"/>
        <v>0.391638796</v>
      </c>
    </row>
    <row r="38" ht="15.75" customHeight="1">
      <c r="A38" s="9" t="s">
        <v>9</v>
      </c>
      <c r="B38" s="12" t="str">
        <f t="array" ref="B38">IF(D38="","",
 INDEX(Product_Master!A:A,
       MATCH( INDEX(Pack_Master!B:B, MATCH(D38, Pack_Master!A:A, 0)),
              Product_Master!B:B, 0 )
))
</f>
        <v>Apparel_Caps_Beanies</v>
      </c>
      <c r="C38" s="21" t="s">
        <v>263</v>
      </c>
      <c r="D38" s="14" t="s">
        <v>263</v>
      </c>
      <c r="E38" s="15">
        <v>299.0</v>
      </c>
      <c r="F38" s="16">
        <f t="array" ref="F38">IFERROR(
  VALUE( INDEX(Product_Master!$I:$I,
               MATCH( INDEX(Pack_Master!$B:$B, MATCH($D38, Pack_Master!$A:$A, 0)),
                      Product_Master!$B:$B, 0)
  )) 
  * VALUE( INDEX(Pack_Master!$C:$C, MATCH($D38, Pack_Master!$A:$A, 0)) )
  + VALUE( INDEX(Pack_Master!$D:$D, MATCH($D38, Pack_Master!$A:$A, 0)) ),
"")
</f>
        <v>109</v>
      </c>
      <c r="G38" s="17">
        <f t="array" ref="G38">IFERROR(
 ( INDEX(Pack_Master!E:E, MATCH($D38, Pack_Master!A:A, 0))
   * INDEX(Pack_Master!F:F, MATCH($D38, Pack_Master!A:A, 0))
   * INDEX(Pack_Master!G:G, MATCH($D38, Pack_Master!A:A, 0))
 ) / INDEX(Config!C:C, MATCH($A38, Config!A:A, 0)),
"")
</f>
        <v>0.375</v>
      </c>
      <c r="H38" s="17">
        <f t="array" ref="H38">MAX( INDEX(Pack_Master!H:H, MATCH($D38, Pack_Master!A:A, 0)),
      IFERROR(G38, 0) )
</f>
        <v>0.5</v>
      </c>
      <c r="I38" s="18">
        <f>IFERROR(__xludf.DUMMYFUNCTION("IFERROR(
 INDEX(
   FILTER(Shipping_Rate_Card!B:F, Shipping_Rate_Card!A:A=$A38),
   MATCH($H38, FILTER(Shipping_Rate_Card!B:B, Shipping_Rate_Card!A:A=$A38), 1),
   IF( INDEX(Config!B:B, MATCH($A38, Config!A:A, 0))=""Local"", 2,
     IF( INDEX(Config!B:B, "&amp;"MATCH($A38, Config!A:A, 0))=""Regional"", 3, 4 )
   )
 ),
"""")
"),67.0)</f>
        <v>67</v>
      </c>
      <c r="J38" s="16">
        <f>IFERROR(__xludf.DUMMYFUNCTION("IFERROR(
 ( E38 * INDEX(FILTER(Pricing_Rules!E:E, Pricing_Rules!A:A=A38, Pricing_Rules!B:B=B38, Pricing_Rules!C:C&lt;=E38, Pricing_Rules!D:D&gt;=E38), 1)
   + INDEX(FILTER(Pricing_Rules!F:F, Pricing_Rules!A:A=A38, Pricing_Rules!B:B=B38, Pricing_Rules!C:C&lt;=E38, "&amp;"Pricing_Rules!D:D&gt;=E38), 1)
 )
 * (1 + IFERROR( INDEX(Config!D:D, MATCH(A38, Config!A:A, 0)), 0 )),
"""")
"),5.8999999999999995)</f>
        <v>5.9</v>
      </c>
      <c r="K38" s="19">
        <f t="shared" si="1"/>
        <v>117.1</v>
      </c>
      <c r="L38" s="20">
        <f t="shared" si="2"/>
        <v>0.391638796</v>
      </c>
    </row>
    <row r="39" ht="15.75" customHeight="1">
      <c r="A39" s="9" t="s">
        <v>1162</v>
      </c>
      <c r="B39" s="12" t="str">
        <f t="array" ref="B39">IF(D39="","",
 INDEX(Product_Master!A:A,
       MATCH( INDEX(Pack_Master!B:B, MATCH(D39, Pack_Master!A:A, 0)),
              Product_Master!B:B, 0 )
))
</f>
        <v>Apparel_Caps_Beanies</v>
      </c>
      <c r="C39" s="21" t="s">
        <v>264</v>
      </c>
      <c r="D39" s="14" t="s">
        <v>1207</v>
      </c>
      <c r="E39" s="15">
        <v>299.0</v>
      </c>
      <c r="F39" s="16">
        <f t="array" ref="F39">IFERROR(
  VALUE( INDEX(Product_Master!$I:$I,
               MATCH( INDEX(Pack_Master!$B:$B, MATCH($D39, Pack_Master!$A:$A, 0)),
                      Product_Master!$B:$B, 0)
  )) 
  * VALUE( INDEX(Pack_Master!$C:$C, MATCH($D39, Pack_Master!$A:$A, 0)) )
  + VALUE( INDEX(Pack_Master!$D:$D, MATCH($D39, Pack_Master!$A:$A, 0)) ),
"")
</f>
        <v>109</v>
      </c>
      <c r="G39" s="17">
        <f t="array" ref="G39">IFERROR(
 ( INDEX(Pack_Master!E:E, MATCH($D39, Pack_Master!A:A, 0))
   * INDEX(Pack_Master!F:F, MATCH($D39, Pack_Master!A:A, 0))
   * INDEX(Pack_Master!G:G, MATCH($D39, Pack_Master!A:A, 0))
 ) / INDEX(Config!C:C, MATCH($A39, Config!A:A, 0)),
"")
</f>
        <v>0.375</v>
      </c>
      <c r="H39" s="17">
        <f t="array" ref="H39">MAX( INDEX(Pack_Master!H:H, MATCH($D39, Pack_Master!A:A, 0)),
      IFERROR(G39, 0) )
</f>
        <v>0.5</v>
      </c>
      <c r="I39" s="18">
        <f>IFERROR(__xludf.DUMMYFUNCTION("IFERROR(
 INDEX(
   FILTER(Shipping_Rate_Card!B:F, Shipping_Rate_Card!A:A=$A39),
   MATCH($H39, FILTER(Shipping_Rate_Card!B:B, Shipping_Rate_Card!A:A=$A39), 1),
   IF( INDEX(Config!B:B, MATCH($A39, Config!A:A, 0))=""Local"", 2,
     IF( INDEX(Config!B:B, "&amp;"MATCH($A39, Config!A:A, 0))=""Regional"", 3, 4 )
   )
 ),
"""")
"),75.0)</f>
        <v>75</v>
      </c>
      <c r="J39" s="16">
        <f>IFERROR(__xludf.DUMMYFUNCTION("IFERROR(
 ( E39 * INDEX(FILTER(Pricing_Rules!E:E, Pricing_Rules!A:A=A39, Pricing_Rules!B:B=B39, Pricing_Rules!C:C&lt;=E39, Pricing_Rules!D:D&gt;=E39), 1)
   + INDEX(FILTER(Pricing_Rules!F:F, Pricing_Rules!A:A=A39, Pricing_Rules!B:B=B39, Pricing_Rules!C:C&lt;=E39, "&amp;"Pricing_Rules!D:D&gt;=E39), 1)
 )
 * (1 + IFERROR( INDEX(Config!D:D, MATCH(A39, Config!A:A, 0)), 0 )),
"""")
"),15.34)</f>
        <v>15.34</v>
      </c>
      <c r="K39" s="19">
        <f t="shared" si="1"/>
        <v>99.66</v>
      </c>
      <c r="L39" s="20">
        <f t="shared" si="2"/>
        <v>0.3333110368</v>
      </c>
    </row>
    <row r="40" ht="15.75" customHeight="1">
      <c r="A40" s="9" t="s">
        <v>1162</v>
      </c>
      <c r="B40" s="12" t="str">
        <f t="array" ref="B40">IF(D40="","",
 INDEX(Product_Master!A:A,
       MATCH( INDEX(Pack_Master!B:B, MATCH(D40, Pack_Master!A:A, 0)),
              Product_Master!B:B, 0 )
))
</f>
        <v>Apparel_Caps_Beanies</v>
      </c>
      <c r="C40" s="21" t="s">
        <v>267</v>
      </c>
      <c r="D40" s="14" t="s">
        <v>267</v>
      </c>
      <c r="E40" s="15">
        <v>299.0</v>
      </c>
      <c r="F40" s="16">
        <f t="array" ref="F40">IFERROR(
  VALUE( INDEX(Product_Master!$I:$I,
               MATCH( INDEX(Pack_Master!$B:$B, MATCH($D40, Pack_Master!$A:$A, 0)),
                      Product_Master!$B:$B, 0)
  )) 
  * VALUE( INDEX(Pack_Master!$C:$C, MATCH($D40, Pack_Master!$A:$A, 0)) )
  + VALUE( INDEX(Pack_Master!$D:$D, MATCH($D40, Pack_Master!$A:$A, 0)) ),
"")
</f>
        <v>109</v>
      </c>
      <c r="G40" s="17">
        <f t="array" ref="G40">IFERROR(
 ( INDEX(Pack_Master!E:E, MATCH($D40, Pack_Master!A:A, 0))
   * INDEX(Pack_Master!F:F, MATCH($D40, Pack_Master!A:A, 0))
   * INDEX(Pack_Master!G:G, MATCH($D40, Pack_Master!A:A, 0))
 ) / INDEX(Config!C:C, MATCH($A40, Config!A:A, 0)),
"")
</f>
        <v>0.375</v>
      </c>
      <c r="H40" s="17">
        <f t="array" ref="H40">MAX( INDEX(Pack_Master!H:H, MATCH($D40, Pack_Master!A:A, 0)),
      IFERROR(G40, 0) )
</f>
        <v>0.5</v>
      </c>
      <c r="I40" s="18">
        <f>IFERROR(__xludf.DUMMYFUNCTION("IFERROR(
 INDEX(
   FILTER(Shipping_Rate_Card!B:F, Shipping_Rate_Card!A:A=$A40),
   MATCH($H40, FILTER(Shipping_Rate_Card!B:B, Shipping_Rate_Card!A:A=$A40), 1),
   IF( INDEX(Config!B:B, MATCH($A40, Config!A:A, 0))=""Local"", 2,
     IF( INDEX(Config!B:B, "&amp;"MATCH($A40, Config!A:A, 0))=""Regional"", 3, 4 )
   )
 ),
"""")
"),75.0)</f>
        <v>75</v>
      </c>
      <c r="J40" s="16">
        <f>IFERROR(__xludf.DUMMYFUNCTION("IFERROR(
 ( E40 * INDEX(FILTER(Pricing_Rules!E:E, Pricing_Rules!A:A=A40, Pricing_Rules!B:B=B40, Pricing_Rules!C:C&lt;=E40, Pricing_Rules!D:D&gt;=E40), 1)
   + INDEX(FILTER(Pricing_Rules!F:F, Pricing_Rules!A:A=A40, Pricing_Rules!B:B=B40, Pricing_Rules!C:C&lt;=E40, "&amp;"Pricing_Rules!D:D&gt;=E40), 1)
 )
 * (1 + IFERROR( INDEX(Config!D:D, MATCH(A40, Config!A:A, 0)), 0 )),
"""")
"),15.34)</f>
        <v>15.34</v>
      </c>
      <c r="K40" s="19">
        <f t="shared" si="1"/>
        <v>99.66</v>
      </c>
      <c r="L40" s="20">
        <f t="shared" si="2"/>
        <v>0.3333110368</v>
      </c>
    </row>
    <row r="41" ht="15.75" customHeight="1">
      <c r="A41" s="9" t="s">
        <v>1162</v>
      </c>
      <c r="B41" s="12" t="str">
        <f t="array" ref="B41">IF(D41="","",
 INDEX(Product_Master!A:A,
       MATCH( INDEX(Pack_Master!B:B, MATCH(D41, Pack_Master!A:A, 0)),
              Product_Master!B:B, 0 )
))
</f>
        <v>Apparel_Caps_Beanies</v>
      </c>
      <c r="C41" s="21" t="s">
        <v>305</v>
      </c>
      <c r="D41" s="14" t="s">
        <v>305</v>
      </c>
      <c r="E41" s="15">
        <v>299.0</v>
      </c>
      <c r="F41" s="16">
        <f t="array" ref="F41">IFERROR(
  VALUE( INDEX(Product_Master!$I:$I,
               MATCH( INDEX(Pack_Master!$B:$B, MATCH($D41, Pack_Master!$A:$A, 0)),
                      Product_Master!$B:$B, 0)
  )) 
  * VALUE( INDEX(Pack_Master!$C:$C, MATCH($D41, Pack_Master!$A:$A, 0)) )
  + VALUE( INDEX(Pack_Master!$D:$D, MATCH($D41, Pack_Master!$A:$A, 0)) ),
"")
</f>
        <v>109</v>
      </c>
      <c r="G41" s="17">
        <f t="array" ref="G41">IFERROR(
 ( INDEX(Pack_Master!E:E, MATCH($D41, Pack_Master!A:A, 0))
   * INDEX(Pack_Master!F:F, MATCH($D41, Pack_Master!A:A, 0))
   * INDEX(Pack_Master!G:G, MATCH($D41, Pack_Master!A:A, 0))
 ) / INDEX(Config!C:C, MATCH($A41, Config!A:A, 0)),
"")
</f>
        <v>0.375</v>
      </c>
      <c r="H41" s="17">
        <f t="array" ref="H41">MAX( INDEX(Pack_Master!H:H, MATCH($D41, Pack_Master!A:A, 0)),
      IFERROR(G41, 0) )
</f>
        <v>0.5</v>
      </c>
      <c r="I41" s="18">
        <f>IFERROR(__xludf.DUMMYFUNCTION("IFERROR(
 INDEX(
   FILTER(Shipping_Rate_Card!B:F, Shipping_Rate_Card!A:A=$A41),
   MATCH($H41, FILTER(Shipping_Rate_Card!B:B, Shipping_Rate_Card!A:A=$A41), 1),
   IF( INDEX(Config!B:B, MATCH($A41, Config!A:A, 0))=""Local"", 2,
     IF( INDEX(Config!B:B, "&amp;"MATCH($A41, Config!A:A, 0))=""Regional"", 3, 4 )
   )
 ),
"""")
"),75.0)</f>
        <v>75</v>
      </c>
      <c r="J41" s="16">
        <f>IFERROR(__xludf.DUMMYFUNCTION("IFERROR(
 ( E41 * INDEX(FILTER(Pricing_Rules!E:E, Pricing_Rules!A:A=A41, Pricing_Rules!B:B=B41, Pricing_Rules!C:C&lt;=E41, Pricing_Rules!D:D&gt;=E41), 1)
   + INDEX(FILTER(Pricing_Rules!F:F, Pricing_Rules!A:A=A41, Pricing_Rules!B:B=B41, Pricing_Rules!C:C&lt;=E41, "&amp;"Pricing_Rules!D:D&gt;=E41), 1)
 )
 * (1 + IFERROR( INDEX(Config!D:D, MATCH(A41, Config!A:A, 0)), 0 )),
"""")
"),15.34)</f>
        <v>15.34</v>
      </c>
      <c r="K41" s="19">
        <f t="shared" si="1"/>
        <v>99.66</v>
      </c>
      <c r="L41" s="20">
        <f t="shared" si="2"/>
        <v>0.3333110368</v>
      </c>
    </row>
    <row r="42" ht="15.75" customHeight="1">
      <c r="A42" s="9" t="s">
        <v>1162</v>
      </c>
      <c r="B42" s="12" t="str">
        <f t="array" ref="B42">IF(D42="","",
 INDEX(Product_Master!A:A,
       MATCH( INDEX(Pack_Master!B:B, MATCH(D42, Pack_Master!A:A, 0)),
              Product_Master!B:B, 0 )
))
</f>
        <v>Apparel_Caps_Beanies</v>
      </c>
      <c r="C42" s="21" t="s">
        <v>311</v>
      </c>
      <c r="D42" s="14" t="s">
        <v>311</v>
      </c>
      <c r="E42" s="15">
        <v>299.0</v>
      </c>
      <c r="F42" s="16">
        <f t="array" ref="F42">IFERROR(
  VALUE( INDEX(Product_Master!$I:$I,
               MATCH( INDEX(Pack_Master!$B:$B, MATCH($D42, Pack_Master!$A:$A, 0)),
                      Product_Master!$B:$B, 0)
  )) 
  * VALUE( INDEX(Pack_Master!$C:$C, MATCH($D42, Pack_Master!$A:$A, 0)) )
  + VALUE( INDEX(Pack_Master!$D:$D, MATCH($D42, Pack_Master!$A:$A, 0)) ),
"")
</f>
        <v>109</v>
      </c>
      <c r="G42" s="17">
        <f t="array" ref="G42">IFERROR(
 ( INDEX(Pack_Master!E:E, MATCH($D42, Pack_Master!A:A, 0))
   * INDEX(Pack_Master!F:F, MATCH($D42, Pack_Master!A:A, 0))
   * INDEX(Pack_Master!G:G, MATCH($D42, Pack_Master!A:A, 0))
 ) / INDEX(Config!C:C, MATCH($A42, Config!A:A, 0)),
"")
</f>
        <v>0.375</v>
      </c>
      <c r="H42" s="17">
        <f t="array" ref="H42">MAX( INDEX(Pack_Master!H:H, MATCH($D42, Pack_Master!A:A, 0)),
      IFERROR(G42, 0) )
</f>
        <v>0.5</v>
      </c>
      <c r="I42" s="18">
        <f>IFERROR(__xludf.DUMMYFUNCTION("IFERROR(
 INDEX(
   FILTER(Shipping_Rate_Card!B:F, Shipping_Rate_Card!A:A=$A42),
   MATCH($H42, FILTER(Shipping_Rate_Card!B:B, Shipping_Rate_Card!A:A=$A42), 1),
   IF( INDEX(Config!B:B, MATCH($A42, Config!A:A, 0))=""Local"", 2,
     IF( INDEX(Config!B:B, "&amp;"MATCH($A42, Config!A:A, 0))=""Regional"", 3, 4 )
   )
 ),
"""")
"),75.0)</f>
        <v>75</v>
      </c>
      <c r="J42" s="16">
        <f>IFERROR(__xludf.DUMMYFUNCTION("IFERROR(
 ( E42 * INDEX(FILTER(Pricing_Rules!E:E, Pricing_Rules!A:A=A42, Pricing_Rules!B:B=B42, Pricing_Rules!C:C&lt;=E42, Pricing_Rules!D:D&gt;=E42), 1)
   + INDEX(FILTER(Pricing_Rules!F:F, Pricing_Rules!A:A=A42, Pricing_Rules!B:B=B42, Pricing_Rules!C:C&lt;=E42, "&amp;"Pricing_Rules!D:D&gt;=E42), 1)
 )
 * (1 + IFERROR( INDEX(Config!D:D, MATCH(A42, Config!A:A, 0)), 0 )),
"""")
"),15.34)</f>
        <v>15.34</v>
      </c>
      <c r="K42" s="19">
        <f t="shared" si="1"/>
        <v>99.66</v>
      </c>
      <c r="L42" s="20">
        <f t="shared" si="2"/>
        <v>0.3333110368</v>
      </c>
    </row>
    <row r="43" ht="15.75" customHeight="1">
      <c r="A43" s="9" t="s">
        <v>1162</v>
      </c>
      <c r="B43" s="12" t="str">
        <f t="array" ref="B43">IF(D43="","",
 INDEX(Product_Master!A:A,
       MATCH( INDEX(Pack_Master!B:B, MATCH(D43, Pack_Master!A:A, 0)),
              Product_Master!B:B, 0 )
))
</f>
        <v>Apparel_Caps_Beanies</v>
      </c>
      <c r="C43" s="21" t="s">
        <v>313</v>
      </c>
      <c r="D43" s="14" t="s">
        <v>313</v>
      </c>
      <c r="E43" s="15">
        <v>299.0</v>
      </c>
      <c r="F43" s="16">
        <f t="array" ref="F43">IFERROR(
  VALUE( INDEX(Product_Master!$I:$I,
               MATCH( INDEX(Pack_Master!$B:$B, MATCH($D43, Pack_Master!$A:$A, 0)),
                      Product_Master!$B:$B, 0)
  )) 
  * VALUE( INDEX(Pack_Master!$C:$C, MATCH($D43, Pack_Master!$A:$A, 0)) )
  + VALUE( INDEX(Pack_Master!$D:$D, MATCH($D43, Pack_Master!$A:$A, 0)) ),
"")
</f>
        <v>109</v>
      </c>
      <c r="G43" s="17">
        <f t="array" ref="G43">IFERROR(
 ( INDEX(Pack_Master!E:E, MATCH($D43, Pack_Master!A:A, 0))
   * INDEX(Pack_Master!F:F, MATCH($D43, Pack_Master!A:A, 0))
   * INDEX(Pack_Master!G:G, MATCH($D43, Pack_Master!A:A, 0))
 ) / INDEX(Config!C:C, MATCH($A43, Config!A:A, 0)),
"")
</f>
        <v>0.375</v>
      </c>
      <c r="H43" s="17">
        <f t="array" ref="H43">MAX( INDEX(Pack_Master!H:H, MATCH($D43, Pack_Master!A:A, 0)),
      IFERROR(G43, 0) )
</f>
        <v>0.5</v>
      </c>
      <c r="I43" s="18">
        <f>IFERROR(__xludf.DUMMYFUNCTION("IFERROR(
 INDEX(
   FILTER(Shipping_Rate_Card!B:F, Shipping_Rate_Card!A:A=$A43),
   MATCH($H43, FILTER(Shipping_Rate_Card!B:B, Shipping_Rate_Card!A:A=$A43), 1),
   IF( INDEX(Config!B:B, MATCH($A43, Config!A:A, 0))=""Local"", 2,
     IF( INDEX(Config!B:B, "&amp;"MATCH($A43, Config!A:A, 0))=""Regional"", 3, 4 )
   )
 ),
"""")
"),75.0)</f>
        <v>75</v>
      </c>
      <c r="J43" s="16">
        <f>IFERROR(__xludf.DUMMYFUNCTION("IFERROR(
 ( E43 * INDEX(FILTER(Pricing_Rules!E:E, Pricing_Rules!A:A=A43, Pricing_Rules!B:B=B43, Pricing_Rules!C:C&lt;=E43, Pricing_Rules!D:D&gt;=E43), 1)
   + INDEX(FILTER(Pricing_Rules!F:F, Pricing_Rules!A:A=A43, Pricing_Rules!B:B=B43, Pricing_Rules!C:C&lt;=E43, "&amp;"Pricing_Rules!D:D&gt;=E43), 1)
 )
 * (1 + IFERROR( INDEX(Config!D:D, MATCH(A43, Config!A:A, 0)), 0 )),
"""")
"),15.34)</f>
        <v>15.34</v>
      </c>
      <c r="K43" s="19">
        <f t="shared" si="1"/>
        <v>99.66</v>
      </c>
      <c r="L43" s="20">
        <f t="shared" si="2"/>
        <v>0.3333110368</v>
      </c>
    </row>
    <row r="44" ht="15.75" customHeight="1">
      <c r="A44" s="9" t="s">
        <v>1162</v>
      </c>
      <c r="B44" s="12" t="str">
        <f t="array" ref="B44">IF(D44="","",
 INDEX(Product_Master!A:A,
       MATCH( INDEX(Pack_Master!B:B, MATCH(D44, Pack_Master!A:A, 0)),
              Product_Master!B:B, 0 )
))
</f>
        <v>Apparel_Caps_Beanies</v>
      </c>
      <c r="C44" s="21" t="s">
        <v>316</v>
      </c>
      <c r="D44" s="14" t="s">
        <v>316</v>
      </c>
      <c r="E44" s="15">
        <v>299.0</v>
      </c>
      <c r="F44" s="16">
        <f t="array" ref="F44">IFERROR(
  VALUE( INDEX(Product_Master!$I:$I,
               MATCH( INDEX(Pack_Master!$B:$B, MATCH($D44, Pack_Master!$A:$A, 0)),
                      Product_Master!$B:$B, 0)
  )) 
  * VALUE( INDEX(Pack_Master!$C:$C, MATCH($D44, Pack_Master!$A:$A, 0)) )
  + VALUE( INDEX(Pack_Master!$D:$D, MATCH($D44, Pack_Master!$A:$A, 0)) ),
"")
</f>
        <v>109</v>
      </c>
      <c r="G44" s="17">
        <f t="array" ref="G44">IFERROR(
 ( INDEX(Pack_Master!E:E, MATCH($D44, Pack_Master!A:A, 0))
   * INDEX(Pack_Master!F:F, MATCH($D44, Pack_Master!A:A, 0))
   * INDEX(Pack_Master!G:G, MATCH($D44, Pack_Master!A:A, 0))
 ) / INDEX(Config!C:C, MATCH($A44, Config!A:A, 0)),
"")
</f>
        <v>0.375</v>
      </c>
      <c r="H44" s="17">
        <f t="array" ref="H44">MAX( INDEX(Pack_Master!H:H, MATCH($D44, Pack_Master!A:A, 0)),
      IFERROR(G44, 0) )
</f>
        <v>0.5</v>
      </c>
      <c r="I44" s="18">
        <f>IFERROR(__xludf.DUMMYFUNCTION("IFERROR(
 INDEX(
   FILTER(Shipping_Rate_Card!B:F, Shipping_Rate_Card!A:A=$A44),
   MATCH($H44, FILTER(Shipping_Rate_Card!B:B, Shipping_Rate_Card!A:A=$A44), 1),
   IF( INDEX(Config!B:B, MATCH($A44, Config!A:A, 0))=""Local"", 2,
     IF( INDEX(Config!B:B, "&amp;"MATCH($A44, Config!A:A, 0))=""Regional"", 3, 4 )
   )
 ),
"""")
"),75.0)</f>
        <v>75</v>
      </c>
      <c r="J44" s="16">
        <f>IFERROR(__xludf.DUMMYFUNCTION("IFERROR(
 ( E44 * INDEX(FILTER(Pricing_Rules!E:E, Pricing_Rules!A:A=A44, Pricing_Rules!B:B=B44, Pricing_Rules!C:C&lt;=E44, Pricing_Rules!D:D&gt;=E44), 1)
   + INDEX(FILTER(Pricing_Rules!F:F, Pricing_Rules!A:A=A44, Pricing_Rules!B:B=B44, Pricing_Rules!C:C&lt;=E44, "&amp;"Pricing_Rules!D:D&gt;=E44), 1)
 )
 * (1 + IFERROR( INDEX(Config!D:D, MATCH(A44, Config!A:A, 0)), 0 )),
"""")
"),15.34)</f>
        <v>15.34</v>
      </c>
      <c r="K44" s="19">
        <f t="shared" si="1"/>
        <v>99.66</v>
      </c>
      <c r="L44" s="20">
        <f t="shared" si="2"/>
        <v>0.3333110368</v>
      </c>
    </row>
    <row r="45" ht="15.75" customHeight="1">
      <c r="A45" s="9" t="s">
        <v>1162</v>
      </c>
      <c r="B45" s="12" t="str">
        <f t="array" ref="B45">IF(D45="","",
 INDEX(Product_Master!A:A,
       MATCH( INDEX(Pack_Master!B:B, MATCH(D45, Pack_Master!A:A, 0)),
              Product_Master!B:B, 0 )
))
</f>
        <v>Apparel_Caps_Beanies</v>
      </c>
      <c r="C45" s="21" t="s">
        <v>269</v>
      </c>
      <c r="D45" s="14" t="s">
        <v>269</v>
      </c>
      <c r="E45" s="15">
        <v>299.0</v>
      </c>
      <c r="F45" s="16">
        <f t="array" ref="F45">IFERROR(
  VALUE( INDEX(Product_Master!$I:$I,
               MATCH( INDEX(Pack_Master!$B:$B, MATCH($D45, Pack_Master!$A:$A, 0)),
                      Product_Master!$B:$B, 0)
  )) 
  * VALUE( INDEX(Pack_Master!$C:$C, MATCH($D45, Pack_Master!$A:$A, 0)) )
  + VALUE( INDEX(Pack_Master!$D:$D, MATCH($D45, Pack_Master!$A:$A, 0)) ),
"")
</f>
        <v>109</v>
      </c>
      <c r="G45" s="17">
        <f t="array" ref="G45">IFERROR(
 ( INDEX(Pack_Master!E:E, MATCH($D45, Pack_Master!A:A, 0))
   * INDEX(Pack_Master!F:F, MATCH($D45, Pack_Master!A:A, 0))
   * INDEX(Pack_Master!G:G, MATCH($D45, Pack_Master!A:A, 0))
 ) / INDEX(Config!C:C, MATCH($A45, Config!A:A, 0)),
"")
</f>
        <v>0.375</v>
      </c>
      <c r="H45" s="17">
        <f t="array" ref="H45">MAX( INDEX(Pack_Master!H:H, MATCH($D45, Pack_Master!A:A, 0)),
      IFERROR(G45, 0) )
</f>
        <v>0.5</v>
      </c>
      <c r="I45" s="18">
        <f>IFERROR(__xludf.DUMMYFUNCTION("IFERROR(
 INDEX(
   FILTER(Shipping_Rate_Card!B:F, Shipping_Rate_Card!A:A=$A45),
   MATCH($H45, FILTER(Shipping_Rate_Card!B:B, Shipping_Rate_Card!A:A=$A45), 1),
   IF( INDEX(Config!B:B, MATCH($A45, Config!A:A, 0))=""Local"", 2,
     IF( INDEX(Config!B:B, "&amp;"MATCH($A45, Config!A:A, 0))=""Regional"", 3, 4 )
   )
 ),
"""")
"),75.0)</f>
        <v>75</v>
      </c>
      <c r="J45" s="16">
        <f>IFERROR(__xludf.DUMMYFUNCTION("IFERROR(
 ( E45 * INDEX(FILTER(Pricing_Rules!E:E, Pricing_Rules!A:A=A45, Pricing_Rules!B:B=B45, Pricing_Rules!C:C&lt;=E45, Pricing_Rules!D:D&gt;=E45), 1)
   + INDEX(FILTER(Pricing_Rules!F:F, Pricing_Rules!A:A=A45, Pricing_Rules!B:B=B45, Pricing_Rules!C:C&lt;=E45, "&amp;"Pricing_Rules!D:D&gt;=E45), 1)
 )
 * (1 + IFERROR( INDEX(Config!D:D, MATCH(A45, Config!A:A, 0)), 0 )),
"""")
"),15.34)</f>
        <v>15.34</v>
      </c>
      <c r="K45" s="19">
        <f t="shared" si="1"/>
        <v>99.66</v>
      </c>
      <c r="L45" s="20">
        <f t="shared" si="2"/>
        <v>0.3333110368</v>
      </c>
    </row>
    <row r="46" ht="15.75" customHeight="1">
      <c r="A46" s="9" t="s">
        <v>1162</v>
      </c>
      <c r="B46" s="12" t="str">
        <f t="array" ref="B46">IF(D46="","",
 INDEX(Product_Master!A:A,
       MATCH( INDEX(Pack_Master!B:B, MATCH(D46, Pack_Master!A:A, 0)),
              Product_Master!B:B, 0 )
))
</f>
        <v>Apparel_Caps_Beanies</v>
      </c>
      <c r="C46" s="21" t="s">
        <v>321</v>
      </c>
      <c r="D46" s="14" t="s">
        <v>321</v>
      </c>
      <c r="E46" s="15">
        <v>299.0</v>
      </c>
      <c r="F46" s="16">
        <f t="array" ref="F46">IFERROR(
  VALUE( INDEX(Product_Master!$I:$I,
               MATCH( INDEX(Pack_Master!$B:$B, MATCH($D46, Pack_Master!$A:$A, 0)),
                      Product_Master!$B:$B, 0)
  )) 
  * VALUE( INDEX(Pack_Master!$C:$C, MATCH($D46, Pack_Master!$A:$A, 0)) )
  + VALUE( INDEX(Pack_Master!$D:$D, MATCH($D46, Pack_Master!$A:$A, 0)) ),
"")
</f>
        <v>109</v>
      </c>
      <c r="G46" s="17">
        <f t="array" ref="G46">IFERROR(
 ( INDEX(Pack_Master!E:E, MATCH($D46, Pack_Master!A:A, 0))
   * INDEX(Pack_Master!F:F, MATCH($D46, Pack_Master!A:A, 0))
   * INDEX(Pack_Master!G:G, MATCH($D46, Pack_Master!A:A, 0))
 ) / INDEX(Config!C:C, MATCH($A46, Config!A:A, 0)),
"")
</f>
        <v>0.375</v>
      </c>
      <c r="H46" s="17">
        <f t="array" ref="H46">MAX( INDEX(Pack_Master!H:H, MATCH($D46, Pack_Master!A:A, 0)),
      IFERROR(G46, 0) )
</f>
        <v>0.5</v>
      </c>
      <c r="I46" s="18">
        <f>IFERROR(__xludf.DUMMYFUNCTION("IFERROR(
 INDEX(
   FILTER(Shipping_Rate_Card!B:F, Shipping_Rate_Card!A:A=$A46),
   MATCH($H46, FILTER(Shipping_Rate_Card!B:B, Shipping_Rate_Card!A:A=$A46), 1),
   IF( INDEX(Config!B:B, MATCH($A46, Config!A:A, 0))=""Local"", 2,
     IF( INDEX(Config!B:B, "&amp;"MATCH($A46, Config!A:A, 0))=""Regional"", 3, 4 )
   )
 ),
"""")
"),75.0)</f>
        <v>75</v>
      </c>
      <c r="J46" s="16">
        <f>IFERROR(__xludf.DUMMYFUNCTION("IFERROR(
 ( E46 * INDEX(FILTER(Pricing_Rules!E:E, Pricing_Rules!A:A=A46, Pricing_Rules!B:B=B46, Pricing_Rules!C:C&lt;=E46, Pricing_Rules!D:D&gt;=E46), 1)
   + INDEX(FILTER(Pricing_Rules!F:F, Pricing_Rules!A:A=A46, Pricing_Rules!B:B=B46, Pricing_Rules!C:C&lt;=E46, "&amp;"Pricing_Rules!D:D&gt;=E46), 1)
 )
 * (1 + IFERROR( INDEX(Config!D:D, MATCH(A46, Config!A:A, 0)), 0 )),
"""")
"),15.34)</f>
        <v>15.34</v>
      </c>
      <c r="K46" s="19">
        <f t="shared" si="1"/>
        <v>99.66</v>
      </c>
      <c r="L46" s="20">
        <f t="shared" si="2"/>
        <v>0.3333110368</v>
      </c>
    </row>
    <row r="47" ht="15.75" customHeight="1">
      <c r="A47" s="9" t="s">
        <v>1162</v>
      </c>
      <c r="B47" s="12" t="str">
        <f t="array" ref="B47">IF(D47="","",
 INDEX(Product_Master!A:A,
       MATCH( INDEX(Pack_Master!B:B, MATCH(D47, Pack_Master!A:A, 0)),
              Product_Master!B:B, 0 )
))
</f>
        <v>Apparel_Caps_Beanies</v>
      </c>
      <c r="C47" s="21" t="s">
        <v>333</v>
      </c>
      <c r="D47" s="14" t="s">
        <v>333</v>
      </c>
      <c r="E47" s="15">
        <v>299.0</v>
      </c>
      <c r="F47" s="16">
        <f t="array" ref="F47">IFERROR(
  VALUE( INDEX(Product_Master!$I:$I,
               MATCH( INDEX(Pack_Master!$B:$B, MATCH($D47, Pack_Master!$A:$A, 0)),
                      Product_Master!$B:$B, 0)
  )) 
  * VALUE( INDEX(Pack_Master!$C:$C, MATCH($D47, Pack_Master!$A:$A, 0)) )
  + VALUE( INDEX(Pack_Master!$D:$D, MATCH($D47, Pack_Master!$A:$A, 0)) ),
"")
</f>
        <v>109</v>
      </c>
      <c r="G47" s="17">
        <f t="array" ref="G47">IFERROR(
 ( INDEX(Pack_Master!E:E, MATCH($D47, Pack_Master!A:A, 0))
   * INDEX(Pack_Master!F:F, MATCH($D47, Pack_Master!A:A, 0))
   * INDEX(Pack_Master!G:G, MATCH($D47, Pack_Master!A:A, 0))
 ) / INDEX(Config!C:C, MATCH($A47, Config!A:A, 0)),
"")
</f>
        <v>0.375</v>
      </c>
      <c r="H47" s="17">
        <f t="array" ref="H47">MAX( INDEX(Pack_Master!H:H, MATCH($D47, Pack_Master!A:A, 0)),
      IFERROR(G47, 0) )
</f>
        <v>0.5</v>
      </c>
      <c r="I47" s="18">
        <f>IFERROR(__xludf.DUMMYFUNCTION("IFERROR(
 INDEX(
   FILTER(Shipping_Rate_Card!B:F, Shipping_Rate_Card!A:A=$A47),
   MATCH($H47, FILTER(Shipping_Rate_Card!B:B, Shipping_Rate_Card!A:A=$A47), 1),
   IF( INDEX(Config!B:B, MATCH($A47, Config!A:A, 0))=""Local"", 2,
     IF( INDEX(Config!B:B, "&amp;"MATCH($A47, Config!A:A, 0))=""Regional"", 3, 4 )
   )
 ),
"""")
"),75.0)</f>
        <v>75</v>
      </c>
      <c r="J47" s="16">
        <f>IFERROR(__xludf.DUMMYFUNCTION("IFERROR(
 ( E47 * INDEX(FILTER(Pricing_Rules!E:E, Pricing_Rules!A:A=A47, Pricing_Rules!B:B=B47, Pricing_Rules!C:C&lt;=E47, Pricing_Rules!D:D&gt;=E47), 1)
   + INDEX(FILTER(Pricing_Rules!F:F, Pricing_Rules!A:A=A47, Pricing_Rules!B:B=B47, Pricing_Rules!C:C&lt;=E47, "&amp;"Pricing_Rules!D:D&gt;=E47), 1)
 )
 * (1 + IFERROR( INDEX(Config!D:D, MATCH(A47, Config!A:A, 0)), 0 )),
"""")
"),15.34)</f>
        <v>15.34</v>
      </c>
      <c r="K47" s="19">
        <f t="shared" si="1"/>
        <v>99.66</v>
      </c>
      <c r="L47" s="20">
        <f t="shared" si="2"/>
        <v>0.3333110368</v>
      </c>
    </row>
    <row r="48" ht="15.75" customHeight="1">
      <c r="A48" s="9" t="s">
        <v>1162</v>
      </c>
      <c r="B48" s="12" t="str">
        <f t="array" ref="B48">IF(D48="","",
 INDEX(Product_Master!A:A,
       MATCH( INDEX(Pack_Master!B:B, MATCH(D48, Pack_Master!A:A, 0)),
              Product_Master!B:B, 0 )
))
</f>
        <v>Apparel_Caps_Beanies</v>
      </c>
      <c r="C48" s="13" t="s">
        <v>363</v>
      </c>
      <c r="D48" s="14" t="s">
        <v>1859</v>
      </c>
      <c r="E48" s="15">
        <v>349.0</v>
      </c>
      <c r="F48" s="16">
        <f t="array" ref="F48">IFERROR(
  VALUE( INDEX(Product_Master!$I:$I,
               MATCH( INDEX(Pack_Master!$B:$B, MATCH($D48, Pack_Master!$A:$A, 0)),
                      Product_Master!$B:$B, 0)
  )) 
  * VALUE( INDEX(Pack_Master!$C:$C, MATCH($D48, Pack_Master!$A:$A, 0)) )
  + VALUE( INDEX(Pack_Master!$D:$D, MATCH($D48, Pack_Master!$A:$A, 0)) ),
"")
</f>
        <v>106</v>
      </c>
      <c r="G48" s="17">
        <f t="array" ref="G48">IFERROR(
 ( INDEX(Pack_Master!E:E, MATCH($D48, Pack_Master!A:A, 0))
   * INDEX(Pack_Master!F:F, MATCH($D48, Pack_Master!A:A, 0))
   * INDEX(Pack_Master!G:G, MATCH($D48, Pack_Master!A:A, 0))
 ) / INDEX(Config!C:C, MATCH($A48, Config!A:A, 0)),
"")
</f>
        <v>0.375</v>
      </c>
      <c r="H48" s="17">
        <f t="array" ref="H48">MAX( INDEX(Pack_Master!H:H, MATCH($D48, Pack_Master!A:A, 0)),
      IFERROR(G48, 0) )
</f>
        <v>0.5</v>
      </c>
      <c r="I48" s="18">
        <f>IFERROR(__xludf.DUMMYFUNCTION("IFERROR(
 INDEX(
   FILTER(Shipping_Rate_Card!B:F, Shipping_Rate_Card!A:A=$A48),
   MATCH($H48, FILTER(Shipping_Rate_Card!B:B, Shipping_Rate_Card!A:A=$A48), 1),
   IF( INDEX(Config!B:B, MATCH($A48, Config!A:A, 0))=""Local"", 2,
     IF( INDEX(Config!B:B, "&amp;"MATCH($A48, Config!A:A, 0))=""Regional"", 3, 4 )
   )
 ),
"""")
"),75.0)</f>
        <v>75</v>
      </c>
      <c r="J48" s="16">
        <f>IFERROR(__xludf.DUMMYFUNCTION("IFERROR(
 ( E48 * INDEX(FILTER(Pricing_Rules!E:E, Pricing_Rules!A:A=A48, Pricing_Rules!B:B=B48, Pricing_Rules!C:C&lt;=E48, Pricing_Rules!D:D&gt;=E48), 1)
   + INDEX(FILTER(Pricing_Rules!F:F, Pricing_Rules!A:A=A48, Pricing_Rules!B:B=B48, Pricing_Rules!C:C&lt;=E48, "&amp;"Pricing_Rules!D:D&gt;=E48), 1)
 )
 * (1 + IFERROR( INDEX(Config!D:D, MATCH(A48, Config!A:A, 0)), 0 )),
"""")
"),72.4166)</f>
        <v>72.4166</v>
      </c>
      <c r="K48" s="19">
        <f t="shared" si="1"/>
        <v>95.5834</v>
      </c>
      <c r="L48" s="20">
        <f t="shared" si="2"/>
        <v>0.273877937</v>
      </c>
    </row>
    <row r="49" ht="15.75" customHeight="1">
      <c r="A49" s="9" t="s">
        <v>1162</v>
      </c>
      <c r="B49" s="12" t="str">
        <f t="array" ref="B49">IF(D49="","",
 INDEX(Product_Master!A:A,
       MATCH( INDEX(Pack_Master!B:B, MATCH(D49, Pack_Master!A:A, 0)),
              Product_Master!B:B, 0 )
))
</f>
        <v>Kitchen_Containers</v>
      </c>
      <c r="C49" s="13" t="s">
        <v>415</v>
      </c>
      <c r="D49" s="14" t="s">
        <v>416</v>
      </c>
      <c r="E49" s="15">
        <v>999.0</v>
      </c>
      <c r="F49" s="16">
        <f t="array" ref="F49">IFERROR(
  VALUE( INDEX(Product_Master!$I:$I,
               MATCH( INDEX(Pack_Master!$B:$B, MATCH($D49, Pack_Master!$A:$A, 0)),
                      Product_Master!$B:$B, 0)
  )) 
  * VALUE( INDEX(Pack_Master!$C:$C, MATCH($D49, Pack_Master!$A:$A, 0)) )
  + VALUE( INDEX(Pack_Master!$D:$D, MATCH($D49, Pack_Master!$A:$A, 0)) ),
"")
</f>
        <v>361</v>
      </c>
      <c r="G49" s="17">
        <f t="array" ref="G49">IFERROR(
 ( INDEX(Pack_Master!E:E, MATCH($D49, Pack_Master!A:A, 0))
   * INDEX(Pack_Master!F:F, MATCH($D49, Pack_Master!A:A, 0))
   * INDEX(Pack_Master!G:G, MATCH($D49, Pack_Master!A:A, 0))
 ) / INDEX(Config!C:C, MATCH($A49, Config!A:A, 0)),
"")
</f>
        <v>1.6</v>
      </c>
      <c r="H49" s="17">
        <f t="array" ref="H49">MAX( INDEX(Pack_Master!H:H, MATCH($D49, Pack_Master!A:A, 0)),
      IFERROR(G49, 0) )
</f>
        <v>1.6</v>
      </c>
      <c r="I49" s="18">
        <f>IFERROR(__xludf.DUMMYFUNCTION("IFERROR(
 INDEX(
   FILTER(Shipping_Rate_Card!B:F, Shipping_Rate_Card!A:A=$A49),
   MATCH($H49, FILTER(Shipping_Rate_Card!B:B, Shipping_Rate_Card!A:A=$A49), 1),
   IF( INDEX(Config!B:B, MATCH($A49, Config!A:A, 0))=""Local"", 2,
     IF( INDEX(Config!B:B, "&amp;"MATCH($A49, Config!A:A, 0))=""Regional"", 3, 4 )
   )
 ),
"""")
"),138.0)</f>
        <v>138</v>
      </c>
      <c r="J49" s="16">
        <f>IFERROR(__xludf.DUMMYFUNCTION("IFERROR(
 ( E49 * INDEX(FILTER(Pricing_Rules!E:E, Pricing_Rules!A:A=A49, Pricing_Rules!B:B=B49, Pricing_Rules!C:C&lt;=E49, Pricing_Rules!D:D&gt;=E49), 1)
   + INDEX(FILTER(Pricing_Rules!F:F, Pricing_Rules!A:A=A49, Pricing_Rules!B:B=B49, Pricing_Rules!C:C&lt;=E49, "&amp;"Pricing_Rules!D:D&gt;=E49), 1)
 )
 * (1 + IFERROR( INDEX(Config!D:D, MATCH(A49, Config!A:A, 0)), 0 )),
"""")
"),179.21839999999997)</f>
        <v>179.2184</v>
      </c>
      <c r="K49" s="19">
        <f t="shared" si="1"/>
        <v>320.7816</v>
      </c>
      <c r="L49" s="20">
        <f t="shared" si="2"/>
        <v>0.3211027027</v>
      </c>
    </row>
    <row r="50" ht="15.75" customHeight="1">
      <c r="A50" s="9" t="s">
        <v>1162</v>
      </c>
      <c r="B50" s="12" t="str">
        <f t="array" ref="B50">IF(D50="","",
 INDEX(Product_Master!A:A,
       MATCH( INDEX(Pack_Master!B:B, MATCH(D50, Pack_Master!A:A, 0)),
              Product_Master!B:B, 0 )
))
</f>
        <v>Kitchen_Containers</v>
      </c>
      <c r="C50" s="13" t="s">
        <v>415</v>
      </c>
      <c r="D50" s="14" t="s">
        <v>416</v>
      </c>
      <c r="E50" s="15">
        <v>999.0</v>
      </c>
      <c r="F50" s="16">
        <f t="array" ref="F50">IFERROR(
  VALUE( INDEX(Product_Master!$I:$I,
               MATCH( INDEX(Pack_Master!$B:$B, MATCH($D50, Pack_Master!$A:$A, 0)),
                      Product_Master!$B:$B, 0)
  )) 
  * VALUE( INDEX(Pack_Master!$C:$C, MATCH($D50, Pack_Master!$A:$A, 0)) )
  + VALUE( INDEX(Pack_Master!$D:$D, MATCH($D50, Pack_Master!$A:$A, 0)) ),
"")
</f>
        <v>361</v>
      </c>
      <c r="G50" s="17">
        <f t="array" ref="G50">IFERROR(
 ( INDEX(Pack_Master!E:E, MATCH($D50, Pack_Master!A:A, 0))
   * INDEX(Pack_Master!F:F, MATCH($D50, Pack_Master!A:A, 0))
   * INDEX(Pack_Master!G:G, MATCH($D50, Pack_Master!A:A, 0))
 ) / INDEX(Config!C:C, MATCH($A50, Config!A:A, 0)),
"")
</f>
        <v>1.6</v>
      </c>
      <c r="H50" s="17">
        <f t="array" ref="H50">MAX( INDEX(Pack_Master!H:H, MATCH($D50, Pack_Master!A:A, 0)),
      IFERROR(G50, 0) )
</f>
        <v>1.6</v>
      </c>
      <c r="I50" s="18">
        <f>IFERROR(__xludf.DUMMYFUNCTION("IFERROR(
 INDEX(
   FILTER(Shipping_Rate_Card!B:F, Shipping_Rate_Card!A:A=$A50),
   MATCH($H50, FILTER(Shipping_Rate_Card!B:B, Shipping_Rate_Card!A:A=$A50), 1),
   IF( INDEX(Config!B:B, MATCH($A50, Config!A:A, 0))=""Local"", 2,
     IF( INDEX(Config!B:B, "&amp;"MATCH($A50, Config!A:A, 0))=""Regional"", 3, 4 )
   )
 ),
"""")
"),138.0)</f>
        <v>138</v>
      </c>
      <c r="J50" s="16">
        <f>IFERROR(__xludf.DUMMYFUNCTION("IFERROR(
 ( E50 * INDEX(FILTER(Pricing_Rules!E:E, Pricing_Rules!A:A=A50, Pricing_Rules!B:B=B50, Pricing_Rules!C:C&lt;=E50, Pricing_Rules!D:D&gt;=E50), 1)
   + INDEX(FILTER(Pricing_Rules!F:F, Pricing_Rules!A:A=A50, Pricing_Rules!B:B=B50, Pricing_Rules!C:C&lt;=E50, "&amp;"Pricing_Rules!D:D&gt;=E50), 1)
 )
 * (1 + IFERROR( INDEX(Config!D:D, MATCH(A50, Config!A:A, 0)), 0 )),
"""")
"),179.21839999999997)</f>
        <v>179.2184</v>
      </c>
      <c r="K50" s="19">
        <f t="shared" si="1"/>
        <v>320.7816</v>
      </c>
      <c r="L50" s="20">
        <f t="shared" si="2"/>
        <v>0.3211027027</v>
      </c>
    </row>
    <row r="51" ht="15.75" customHeight="1">
      <c r="A51" s="9" t="s">
        <v>1162</v>
      </c>
      <c r="B51" s="12" t="str">
        <f t="array" ref="B51">IF(D51="","",
 INDEX(Product_Master!A:A,
       MATCH( INDEX(Pack_Master!B:B, MATCH(D51, Pack_Master!A:A, 0)),
              Product_Master!B:B, 0 )
))
</f>
        <v>Kitchen_Containers</v>
      </c>
      <c r="C51" s="13" t="s">
        <v>417</v>
      </c>
      <c r="D51" s="14" t="s">
        <v>418</v>
      </c>
      <c r="E51" s="15">
        <v>999.0</v>
      </c>
      <c r="F51" s="16">
        <f t="array" ref="F51">IFERROR(
  VALUE( INDEX(Product_Master!$I:$I,
               MATCH( INDEX(Pack_Master!$B:$B, MATCH($D51, Pack_Master!$A:$A, 0)),
                      Product_Master!$B:$B, 0)
  )) 
  * VALUE( INDEX(Pack_Master!$C:$C, MATCH($D51, Pack_Master!$A:$A, 0)) )
  + VALUE( INDEX(Pack_Master!$D:$D, MATCH($D51, Pack_Master!$A:$A, 0)) ),
"")
</f>
        <v>81</v>
      </c>
      <c r="G51" s="17">
        <f t="array" ref="G51">IFERROR(
 ( INDEX(Pack_Master!E:E, MATCH($D51, Pack_Master!A:A, 0))
   * INDEX(Pack_Master!F:F, MATCH($D51, Pack_Master!A:A, 0))
   * INDEX(Pack_Master!G:G, MATCH($D51, Pack_Master!A:A, 0))
 ) / INDEX(Config!C:C, MATCH($A51, Config!A:A, 0)),
"")
</f>
        <v>1.6</v>
      </c>
      <c r="H51" s="17">
        <f t="array" ref="H51">MAX( INDEX(Pack_Master!H:H, MATCH($D51, Pack_Master!A:A, 0)),
      IFERROR(G51, 0) )
</f>
        <v>1.6</v>
      </c>
      <c r="I51" s="18">
        <f>IFERROR(__xludf.DUMMYFUNCTION("IFERROR(
 INDEX(
   FILTER(Shipping_Rate_Card!B:F, Shipping_Rate_Card!A:A=$A51),
   MATCH($H51, FILTER(Shipping_Rate_Card!B:B, Shipping_Rate_Card!A:A=$A51), 1),
   IF( INDEX(Config!B:B, MATCH($A51, Config!A:A, 0))=""Local"", 2,
     IF( INDEX(Config!B:B, "&amp;"MATCH($A51, Config!A:A, 0))=""Regional"", 3, 4 )
   )
 ),
"""")
"),138.0)</f>
        <v>138</v>
      </c>
      <c r="J51" s="16">
        <f>IFERROR(__xludf.DUMMYFUNCTION("IFERROR(
 ( E51 * INDEX(FILTER(Pricing_Rules!E:E, Pricing_Rules!A:A=A51, Pricing_Rules!B:B=B51, Pricing_Rules!C:C&lt;=E51, Pricing_Rules!D:D&gt;=E51), 1)
   + INDEX(FILTER(Pricing_Rules!F:F, Pricing_Rules!A:A=A51, Pricing_Rules!B:B=B51, Pricing_Rules!C:C&lt;=E51, "&amp;"Pricing_Rules!D:D&gt;=E51), 1)
 )
 * (1 + IFERROR( INDEX(Config!D:D, MATCH(A51, Config!A:A, 0)), 0 )),
"""")
"),179.21839999999997)</f>
        <v>179.2184</v>
      </c>
      <c r="K51" s="19">
        <f t="shared" si="1"/>
        <v>600.7816</v>
      </c>
      <c r="L51" s="20">
        <f t="shared" si="2"/>
        <v>0.601382983</v>
      </c>
    </row>
    <row r="52" ht="15.75" customHeight="1">
      <c r="A52" s="9" t="s">
        <v>1162</v>
      </c>
      <c r="B52" s="12" t="str">
        <f t="array" ref="B52">IF(D52="","",
 INDEX(Product_Master!A:A,
       MATCH( INDEX(Pack_Master!B:B, MATCH(D52, Pack_Master!A:A, 0)),
              Product_Master!B:B, 0 )
))
</f>
        <v>Kitchen_Containers</v>
      </c>
      <c r="C52" s="13" t="s">
        <v>417</v>
      </c>
      <c r="D52" s="14" t="s">
        <v>418</v>
      </c>
      <c r="E52" s="15">
        <v>999.0</v>
      </c>
      <c r="F52" s="16">
        <f t="array" ref="F52">IFERROR(
  VALUE( INDEX(Product_Master!$I:$I,
               MATCH( INDEX(Pack_Master!$B:$B, MATCH($D52, Pack_Master!$A:$A, 0)),
                      Product_Master!$B:$B, 0)
  )) 
  * VALUE( INDEX(Pack_Master!$C:$C, MATCH($D52, Pack_Master!$A:$A, 0)) )
  + VALUE( INDEX(Pack_Master!$D:$D, MATCH($D52, Pack_Master!$A:$A, 0)) ),
"")
</f>
        <v>81</v>
      </c>
      <c r="G52" s="17">
        <f t="array" ref="G52">IFERROR(
 ( INDEX(Pack_Master!E:E, MATCH($D52, Pack_Master!A:A, 0))
   * INDEX(Pack_Master!F:F, MATCH($D52, Pack_Master!A:A, 0))
   * INDEX(Pack_Master!G:G, MATCH($D52, Pack_Master!A:A, 0))
 ) / INDEX(Config!C:C, MATCH($A52, Config!A:A, 0)),
"")
</f>
        <v>1.6</v>
      </c>
      <c r="H52" s="17">
        <f t="array" ref="H52">MAX( INDEX(Pack_Master!H:H, MATCH($D52, Pack_Master!A:A, 0)),
      IFERROR(G52, 0) )
</f>
        <v>1.6</v>
      </c>
      <c r="I52" s="18">
        <f>IFERROR(__xludf.DUMMYFUNCTION("IFERROR(
 INDEX(
   FILTER(Shipping_Rate_Card!B:F, Shipping_Rate_Card!A:A=$A52),
   MATCH($H52, FILTER(Shipping_Rate_Card!B:B, Shipping_Rate_Card!A:A=$A52), 1),
   IF( INDEX(Config!B:B, MATCH($A52, Config!A:A, 0))=""Local"", 2,
     IF( INDEX(Config!B:B, "&amp;"MATCH($A52, Config!A:A, 0))=""Regional"", 3, 4 )
   )
 ),
"""")
"),138.0)</f>
        <v>138</v>
      </c>
      <c r="J52" s="16">
        <f>IFERROR(__xludf.DUMMYFUNCTION("IFERROR(
 ( E52 * INDEX(FILTER(Pricing_Rules!E:E, Pricing_Rules!A:A=A52, Pricing_Rules!B:B=B52, Pricing_Rules!C:C&lt;=E52, Pricing_Rules!D:D&gt;=E52), 1)
   + INDEX(FILTER(Pricing_Rules!F:F, Pricing_Rules!A:A=A52, Pricing_Rules!B:B=B52, Pricing_Rules!C:C&lt;=E52, "&amp;"Pricing_Rules!D:D&gt;=E52), 1)
 )
 * (1 + IFERROR( INDEX(Config!D:D, MATCH(A52, Config!A:A, 0)), 0 )),
"""")
"),179.21839999999997)</f>
        <v>179.2184</v>
      </c>
      <c r="K52" s="19">
        <f t="shared" si="1"/>
        <v>600.7816</v>
      </c>
      <c r="L52" s="20">
        <f t="shared" si="2"/>
        <v>0.601382983</v>
      </c>
    </row>
    <row r="53" ht="15.75" customHeight="1">
      <c r="A53" s="9" t="s">
        <v>1162</v>
      </c>
      <c r="B53" s="12" t="str">
        <f t="array" ref="B53">IF(D53="","",
 INDEX(Product_Master!A:A,
       MATCH( INDEX(Pack_Master!B:B, MATCH(D53, Pack_Master!A:A, 0)),
              Product_Master!B:B, 0 )
))
</f>
        <v>Kitchen_Containers</v>
      </c>
      <c r="C53" s="13" t="s">
        <v>419</v>
      </c>
      <c r="D53" s="14" t="s">
        <v>420</v>
      </c>
      <c r="E53" s="15">
        <v>999.0</v>
      </c>
      <c r="F53" s="16">
        <f t="array" ref="F53">IFERROR(
  VALUE( INDEX(Product_Master!$I:$I,
               MATCH( INDEX(Pack_Master!$B:$B, MATCH($D53, Pack_Master!$A:$A, 0)),
                      Product_Master!$B:$B, 0)
  )) 
  * VALUE( INDEX(Pack_Master!$C:$C, MATCH($D53, Pack_Master!$A:$A, 0)) )
  + VALUE( INDEX(Pack_Master!$D:$D, MATCH($D53, Pack_Master!$A:$A, 0)) ),
"")
</f>
        <v>193</v>
      </c>
      <c r="G53" s="17">
        <f t="array" ref="G53">IFERROR(
 ( INDEX(Pack_Master!E:E, MATCH($D53, Pack_Master!A:A, 0))
   * INDEX(Pack_Master!F:F, MATCH($D53, Pack_Master!A:A, 0))
   * INDEX(Pack_Master!G:G, MATCH($D53, Pack_Master!A:A, 0))
 ) / INDEX(Config!C:C, MATCH($A53, Config!A:A, 0)),
"")
</f>
        <v>1.6</v>
      </c>
      <c r="H53" s="17">
        <f t="array" ref="H53">MAX( INDEX(Pack_Master!H:H, MATCH($D53, Pack_Master!A:A, 0)),
      IFERROR(G53, 0) )
</f>
        <v>1.6</v>
      </c>
      <c r="I53" s="18">
        <f>IFERROR(__xludf.DUMMYFUNCTION("IFERROR(
 INDEX(
   FILTER(Shipping_Rate_Card!B:F, Shipping_Rate_Card!A:A=$A53),
   MATCH($H53, FILTER(Shipping_Rate_Card!B:B, Shipping_Rate_Card!A:A=$A53), 1),
   IF( INDEX(Config!B:B, MATCH($A53, Config!A:A, 0))=""Local"", 2,
     IF( INDEX(Config!B:B, "&amp;"MATCH($A53, Config!A:A, 0))=""Regional"", 3, 4 )
   )
 ),
"""")
"),138.0)</f>
        <v>138</v>
      </c>
      <c r="J53" s="16">
        <f>IFERROR(__xludf.DUMMYFUNCTION("IFERROR(
 ( E53 * INDEX(FILTER(Pricing_Rules!E:E, Pricing_Rules!A:A=A53, Pricing_Rules!B:B=B53, Pricing_Rules!C:C&lt;=E53, Pricing_Rules!D:D&gt;=E53), 1)
   + INDEX(FILTER(Pricing_Rules!F:F, Pricing_Rules!A:A=A53, Pricing_Rules!B:B=B53, Pricing_Rules!C:C&lt;=E53, "&amp;"Pricing_Rules!D:D&gt;=E53), 1)
 )
 * (1 + IFERROR( INDEX(Config!D:D, MATCH(A53, Config!A:A, 0)), 0 )),
"""")
"),179.21839999999997)</f>
        <v>179.2184</v>
      </c>
      <c r="K53" s="19">
        <f t="shared" si="1"/>
        <v>488.7816</v>
      </c>
      <c r="L53" s="20">
        <f t="shared" si="2"/>
        <v>0.4892708709</v>
      </c>
    </row>
    <row r="54" ht="15.75" customHeight="1">
      <c r="A54" s="9" t="s">
        <v>1162</v>
      </c>
      <c r="B54" s="12" t="str">
        <f t="array" ref="B54">IF(D54="","",
 INDEX(Product_Master!A:A,
       MATCH( INDEX(Pack_Master!B:B, MATCH(D54, Pack_Master!A:A, 0)),
              Product_Master!B:B, 0 )
))
</f>
        <v>Kitchen_Containers</v>
      </c>
      <c r="C54" s="13" t="s">
        <v>419</v>
      </c>
      <c r="D54" s="14" t="s">
        <v>420</v>
      </c>
      <c r="E54" s="15">
        <v>999.0</v>
      </c>
      <c r="F54" s="16">
        <f t="array" ref="F54">IFERROR(
  VALUE( INDEX(Product_Master!$I:$I,
               MATCH( INDEX(Pack_Master!$B:$B, MATCH($D54, Pack_Master!$A:$A, 0)),
                      Product_Master!$B:$B, 0)
  )) 
  * VALUE( INDEX(Pack_Master!$C:$C, MATCH($D54, Pack_Master!$A:$A, 0)) )
  + VALUE( INDEX(Pack_Master!$D:$D, MATCH($D54, Pack_Master!$A:$A, 0)) ),
"")
</f>
        <v>193</v>
      </c>
      <c r="G54" s="17">
        <f t="array" ref="G54">IFERROR(
 ( INDEX(Pack_Master!E:E, MATCH($D54, Pack_Master!A:A, 0))
   * INDEX(Pack_Master!F:F, MATCH($D54, Pack_Master!A:A, 0))
   * INDEX(Pack_Master!G:G, MATCH($D54, Pack_Master!A:A, 0))
 ) / INDEX(Config!C:C, MATCH($A54, Config!A:A, 0)),
"")
</f>
        <v>1.6</v>
      </c>
      <c r="H54" s="17">
        <f t="array" ref="H54">MAX( INDEX(Pack_Master!H:H, MATCH($D54, Pack_Master!A:A, 0)),
      IFERROR(G54, 0) )
</f>
        <v>1.6</v>
      </c>
      <c r="I54" s="18">
        <f>IFERROR(__xludf.DUMMYFUNCTION("IFERROR(
 INDEX(
   FILTER(Shipping_Rate_Card!B:F, Shipping_Rate_Card!A:A=$A54),
   MATCH($H54, FILTER(Shipping_Rate_Card!B:B, Shipping_Rate_Card!A:A=$A54), 1),
   IF( INDEX(Config!B:B, MATCH($A54, Config!A:A, 0))=""Local"", 2,
     IF( INDEX(Config!B:B, "&amp;"MATCH($A54, Config!A:A, 0))=""Regional"", 3, 4 )
   )
 ),
"""")
"),138.0)</f>
        <v>138</v>
      </c>
      <c r="J54" s="16">
        <f>IFERROR(__xludf.DUMMYFUNCTION("IFERROR(
 ( E54 * INDEX(FILTER(Pricing_Rules!E:E, Pricing_Rules!A:A=A54, Pricing_Rules!B:B=B54, Pricing_Rules!C:C&lt;=E54, Pricing_Rules!D:D&gt;=E54), 1)
   + INDEX(FILTER(Pricing_Rules!F:F, Pricing_Rules!A:A=A54, Pricing_Rules!B:B=B54, Pricing_Rules!C:C&lt;=E54, "&amp;"Pricing_Rules!D:D&gt;=E54), 1)
 )
 * (1 + IFERROR( INDEX(Config!D:D, MATCH(A54, Config!A:A, 0)), 0 )),
"""")
"),179.21839999999997)</f>
        <v>179.2184</v>
      </c>
      <c r="K54" s="19">
        <f t="shared" si="1"/>
        <v>488.7816</v>
      </c>
      <c r="L54" s="20">
        <f t="shared" si="2"/>
        <v>0.4892708709</v>
      </c>
    </row>
    <row r="55" ht="15.75" customHeight="1">
      <c r="A55" s="9" t="s">
        <v>1162</v>
      </c>
      <c r="B55" s="12" t="str">
        <f t="array" ref="B55">IF(D55="","",
 INDEX(Product_Master!A:A,
       MATCH( INDEX(Pack_Master!B:B, MATCH(D55, Pack_Master!A:A, 0)),
              Product_Master!B:B, 0 )
))
</f>
        <v>Kitchen_Containers</v>
      </c>
      <c r="C55" s="13" t="s">
        <v>421</v>
      </c>
      <c r="D55" s="14" t="s">
        <v>422</v>
      </c>
      <c r="E55" s="15">
        <v>999.0</v>
      </c>
      <c r="F55" s="16">
        <f t="array" ref="F55">IFERROR(
  VALUE( INDEX(Product_Master!$I:$I,
               MATCH( INDEX(Pack_Master!$B:$B, MATCH($D55, Pack_Master!$A:$A, 0)),
                      Product_Master!$B:$B, 0)
  )) 
  * VALUE( INDEX(Pack_Master!$C:$C, MATCH($D55, Pack_Master!$A:$A, 0)) )
  + VALUE( INDEX(Pack_Master!$D:$D, MATCH($D55, Pack_Master!$A:$A, 0)) ),
"")
</f>
        <v>409</v>
      </c>
      <c r="G55" s="17">
        <f t="array" ref="G55">IFERROR(
 ( INDEX(Pack_Master!E:E, MATCH($D55, Pack_Master!A:A, 0))
   * INDEX(Pack_Master!F:F, MATCH($D55, Pack_Master!A:A, 0))
   * INDEX(Pack_Master!G:G, MATCH($D55, Pack_Master!A:A, 0))
 ) / INDEX(Config!C:C, MATCH($A55, Config!A:A, 0)),
"")
</f>
        <v>1.6</v>
      </c>
      <c r="H55" s="17">
        <f t="array" ref="H55">MAX( INDEX(Pack_Master!H:H, MATCH($D55, Pack_Master!A:A, 0)),
      IFERROR(G55, 0) )
</f>
        <v>1.6</v>
      </c>
      <c r="I55" s="18">
        <f>IFERROR(__xludf.DUMMYFUNCTION("IFERROR(
 INDEX(
   FILTER(Shipping_Rate_Card!B:F, Shipping_Rate_Card!A:A=$A55),
   MATCH($H55, FILTER(Shipping_Rate_Card!B:B, Shipping_Rate_Card!A:A=$A55), 1),
   IF( INDEX(Config!B:B, MATCH($A55, Config!A:A, 0))=""Local"", 2,
     IF( INDEX(Config!B:B, "&amp;"MATCH($A55, Config!A:A, 0))=""Regional"", 3, 4 )
   )
 ),
"""")
"),138.0)</f>
        <v>138</v>
      </c>
      <c r="J55" s="16">
        <f>IFERROR(__xludf.DUMMYFUNCTION("IFERROR(
 ( E55 * INDEX(FILTER(Pricing_Rules!E:E, Pricing_Rules!A:A=A55, Pricing_Rules!B:B=B55, Pricing_Rules!C:C&lt;=E55, Pricing_Rules!D:D&gt;=E55), 1)
   + INDEX(FILTER(Pricing_Rules!F:F, Pricing_Rules!A:A=A55, Pricing_Rules!B:B=B55, Pricing_Rules!C:C&lt;=E55, "&amp;"Pricing_Rules!D:D&gt;=E55), 1)
 )
 * (1 + IFERROR( INDEX(Config!D:D, MATCH(A55, Config!A:A, 0)), 0 )),
"""")
"),179.21839999999997)</f>
        <v>179.2184</v>
      </c>
      <c r="K55" s="19">
        <f t="shared" si="1"/>
        <v>272.7816</v>
      </c>
      <c r="L55" s="20">
        <f t="shared" si="2"/>
        <v>0.2730546547</v>
      </c>
    </row>
    <row r="56" ht="15.75" customHeight="1">
      <c r="A56" s="9" t="s">
        <v>1162</v>
      </c>
      <c r="B56" s="12" t="str">
        <f t="array" ref="B56">IF(D56="","",
 INDEX(Product_Master!A:A,
       MATCH( INDEX(Pack_Master!B:B, MATCH(D56, Pack_Master!A:A, 0)),
              Product_Master!B:B, 0 )
))
</f>
        <v>Kitchen_Containers</v>
      </c>
      <c r="C56" s="13" t="s">
        <v>421</v>
      </c>
      <c r="D56" s="14" t="s">
        <v>422</v>
      </c>
      <c r="E56" s="15">
        <v>999.0</v>
      </c>
      <c r="F56" s="16">
        <f t="array" ref="F56">IFERROR(
  VALUE( INDEX(Product_Master!$I:$I,
               MATCH( INDEX(Pack_Master!$B:$B, MATCH($D56, Pack_Master!$A:$A, 0)),
                      Product_Master!$B:$B, 0)
  )) 
  * VALUE( INDEX(Pack_Master!$C:$C, MATCH($D56, Pack_Master!$A:$A, 0)) )
  + VALUE( INDEX(Pack_Master!$D:$D, MATCH($D56, Pack_Master!$A:$A, 0)) ),
"")
</f>
        <v>409</v>
      </c>
      <c r="G56" s="17">
        <f t="array" ref="G56">IFERROR(
 ( INDEX(Pack_Master!E:E, MATCH($D56, Pack_Master!A:A, 0))
   * INDEX(Pack_Master!F:F, MATCH($D56, Pack_Master!A:A, 0))
   * INDEX(Pack_Master!G:G, MATCH($D56, Pack_Master!A:A, 0))
 ) / INDEX(Config!C:C, MATCH($A56, Config!A:A, 0)),
"")
</f>
        <v>1.6</v>
      </c>
      <c r="H56" s="17">
        <f t="array" ref="H56">MAX( INDEX(Pack_Master!H:H, MATCH($D56, Pack_Master!A:A, 0)),
      IFERROR(G56, 0) )
</f>
        <v>1.6</v>
      </c>
      <c r="I56" s="18">
        <f>IFERROR(__xludf.DUMMYFUNCTION("IFERROR(
 INDEX(
   FILTER(Shipping_Rate_Card!B:F, Shipping_Rate_Card!A:A=$A56),
   MATCH($H56, FILTER(Shipping_Rate_Card!B:B, Shipping_Rate_Card!A:A=$A56), 1),
   IF( INDEX(Config!B:B, MATCH($A56, Config!A:A, 0))=""Local"", 2,
     IF( INDEX(Config!B:B, "&amp;"MATCH($A56, Config!A:A, 0))=""Regional"", 3, 4 )
   )
 ),
"""")
"),138.0)</f>
        <v>138</v>
      </c>
      <c r="J56" s="16">
        <f>IFERROR(__xludf.DUMMYFUNCTION("IFERROR(
 ( E56 * INDEX(FILTER(Pricing_Rules!E:E, Pricing_Rules!A:A=A56, Pricing_Rules!B:B=B56, Pricing_Rules!C:C&lt;=E56, Pricing_Rules!D:D&gt;=E56), 1)
   + INDEX(FILTER(Pricing_Rules!F:F, Pricing_Rules!A:A=A56, Pricing_Rules!B:B=B56, Pricing_Rules!C:C&lt;=E56, "&amp;"Pricing_Rules!D:D&gt;=E56), 1)
 )
 * (1 + IFERROR( INDEX(Config!D:D, MATCH(A56, Config!A:A, 0)), 0 )),
"""")
"),179.21839999999997)</f>
        <v>179.2184</v>
      </c>
      <c r="K56" s="19">
        <f t="shared" si="1"/>
        <v>272.7816</v>
      </c>
      <c r="L56" s="20">
        <f t="shared" si="2"/>
        <v>0.2730546547</v>
      </c>
    </row>
    <row r="57" ht="15.75" customHeight="1">
      <c r="A57" s="9" t="s">
        <v>1162</v>
      </c>
      <c r="B57" s="12" t="str">
        <f t="array" ref="B57">IF(D57="","",
 INDEX(Product_Master!A:A,
       MATCH( INDEX(Pack_Master!B:B, MATCH(D57, Pack_Master!A:A, 0)),
              Product_Master!B:B, 0 )
))
</f>
        <v>Kitchen_Containers</v>
      </c>
      <c r="C57" s="13" t="s">
        <v>423</v>
      </c>
      <c r="D57" s="14" t="s">
        <v>424</v>
      </c>
      <c r="E57" s="15">
        <v>999.0</v>
      </c>
      <c r="F57" s="16">
        <f t="array" ref="F57">IFERROR(
  VALUE( INDEX(Product_Master!$I:$I,
               MATCH( INDEX(Pack_Master!$B:$B, MATCH($D57, Pack_Master!$A:$A, 0)),
                      Product_Master!$B:$B, 0)
  )) 
  * VALUE( INDEX(Pack_Master!$C:$C, MATCH($D57, Pack_Master!$A:$A, 0)) )
  + VALUE( INDEX(Pack_Master!$D:$D, MATCH($D57, Pack_Master!$A:$A, 0)) ),
"")
</f>
        <v>89</v>
      </c>
      <c r="G57" s="17">
        <f t="array" ref="G57">IFERROR(
 ( INDEX(Pack_Master!E:E, MATCH($D57, Pack_Master!A:A, 0))
   * INDEX(Pack_Master!F:F, MATCH($D57, Pack_Master!A:A, 0))
   * INDEX(Pack_Master!G:G, MATCH($D57, Pack_Master!A:A, 0))
 ) / INDEX(Config!C:C, MATCH($A57, Config!A:A, 0)),
"")
</f>
        <v>1.6</v>
      </c>
      <c r="H57" s="17">
        <f t="array" ref="H57">MAX( INDEX(Pack_Master!H:H, MATCH($D57, Pack_Master!A:A, 0)),
      IFERROR(G57, 0) )
</f>
        <v>1.6</v>
      </c>
      <c r="I57" s="18">
        <f>IFERROR(__xludf.DUMMYFUNCTION("IFERROR(
 INDEX(
   FILTER(Shipping_Rate_Card!B:F, Shipping_Rate_Card!A:A=$A57),
   MATCH($H57, FILTER(Shipping_Rate_Card!B:B, Shipping_Rate_Card!A:A=$A57), 1),
   IF( INDEX(Config!B:B, MATCH($A57, Config!A:A, 0))=""Local"", 2,
     IF( INDEX(Config!B:B, "&amp;"MATCH($A57, Config!A:A, 0))=""Regional"", 3, 4 )
   )
 ),
"""")
"),138.0)</f>
        <v>138</v>
      </c>
      <c r="J57" s="16">
        <f>IFERROR(__xludf.DUMMYFUNCTION("IFERROR(
 ( E57 * INDEX(FILTER(Pricing_Rules!E:E, Pricing_Rules!A:A=A57, Pricing_Rules!B:B=B57, Pricing_Rules!C:C&lt;=E57, Pricing_Rules!D:D&gt;=E57), 1)
   + INDEX(FILTER(Pricing_Rules!F:F, Pricing_Rules!A:A=A57, Pricing_Rules!B:B=B57, Pricing_Rules!C:C&lt;=E57, "&amp;"Pricing_Rules!D:D&gt;=E57), 1)
 )
 * (1 + IFERROR( INDEX(Config!D:D, MATCH(A57, Config!A:A, 0)), 0 )),
"""")
"),179.21839999999997)</f>
        <v>179.2184</v>
      </c>
      <c r="K57" s="19">
        <f t="shared" si="1"/>
        <v>592.7816</v>
      </c>
      <c r="L57" s="20">
        <f t="shared" si="2"/>
        <v>0.593374975</v>
      </c>
    </row>
    <row r="58" ht="15.75" customHeight="1">
      <c r="A58" s="9" t="s">
        <v>1162</v>
      </c>
      <c r="B58" s="12" t="str">
        <f t="array" ref="B58">IF(D58="","",
 INDEX(Product_Master!A:A,
       MATCH( INDEX(Pack_Master!B:B, MATCH(D58, Pack_Master!A:A, 0)),
              Product_Master!B:B, 0 )
))
</f>
        <v>Kitchen_Containers</v>
      </c>
      <c r="C58" s="13" t="s">
        <v>423</v>
      </c>
      <c r="D58" s="14" t="s">
        <v>424</v>
      </c>
      <c r="E58" s="15">
        <v>999.0</v>
      </c>
      <c r="F58" s="16">
        <f t="array" ref="F58">IFERROR(
  VALUE( INDEX(Product_Master!$I:$I,
               MATCH( INDEX(Pack_Master!$B:$B, MATCH($D58, Pack_Master!$A:$A, 0)),
                      Product_Master!$B:$B, 0)
  )) 
  * VALUE( INDEX(Pack_Master!$C:$C, MATCH($D58, Pack_Master!$A:$A, 0)) )
  + VALUE( INDEX(Pack_Master!$D:$D, MATCH($D58, Pack_Master!$A:$A, 0)) ),
"")
</f>
        <v>89</v>
      </c>
      <c r="G58" s="17">
        <f t="array" ref="G58">IFERROR(
 ( INDEX(Pack_Master!E:E, MATCH($D58, Pack_Master!A:A, 0))
   * INDEX(Pack_Master!F:F, MATCH($D58, Pack_Master!A:A, 0))
   * INDEX(Pack_Master!G:G, MATCH($D58, Pack_Master!A:A, 0))
 ) / INDEX(Config!C:C, MATCH($A58, Config!A:A, 0)),
"")
</f>
        <v>1.6</v>
      </c>
      <c r="H58" s="17">
        <f t="array" ref="H58">MAX( INDEX(Pack_Master!H:H, MATCH($D58, Pack_Master!A:A, 0)),
      IFERROR(G58, 0) )
</f>
        <v>1.6</v>
      </c>
      <c r="I58" s="18">
        <f>IFERROR(__xludf.DUMMYFUNCTION("IFERROR(
 INDEX(
   FILTER(Shipping_Rate_Card!B:F, Shipping_Rate_Card!A:A=$A58),
   MATCH($H58, FILTER(Shipping_Rate_Card!B:B, Shipping_Rate_Card!A:A=$A58), 1),
   IF( INDEX(Config!B:B, MATCH($A58, Config!A:A, 0))=""Local"", 2,
     IF( INDEX(Config!B:B, "&amp;"MATCH($A58, Config!A:A, 0))=""Regional"", 3, 4 )
   )
 ),
"""")
"),138.0)</f>
        <v>138</v>
      </c>
      <c r="J58" s="16">
        <f>IFERROR(__xludf.DUMMYFUNCTION("IFERROR(
 ( E58 * INDEX(FILTER(Pricing_Rules!E:E, Pricing_Rules!A:A=A58, Pricing_Rules!B:B=B58, Pricing_Rules!C:C&lt;=E58, Pricing_Rules!D:D&gt;=E58), 1)
   + INDEX(FILTER(Pricing_Rules!F:F, Pricing_Rules!A:A=A58, Pricing_Rules!B:B=B58, Pricing_Rules!C:C&lt;=E58, "&amp;"Pricing_Rules!D:D&gt;=E58), 1)
 )
 * (1 + IFERROR( INDEX(Config!D:D, MATCH(A58, Config!A:A, 0)), 0 )),
"""")
"),179.21839999999997)</f>
        <v>179.2184</v>
      </c>
      <c r="K58" s="19">
        <f t="shared" si="1"/>
        <v>592.7816</v>
      </c>
      <c r="L58" s="20">
        <f t="shared" si="2"/>
        <v>0.593374975</v>
      </c>
    </row>
    <row r="59" ht="15.75" customHeight="1">
      <c r="A59" s="9" t="s">
        <v>1162</v>
      </c>
      <c r="B59" s="12" t="str">
        <f t="array" ref="B59">IF(D59="","",
 INDEX(Product_Master!A:A,
       MATCH( INDEX(Pack_Master!B:B, MATCH(D59, Pack_Master!A:A, 0)),
              Product_Master!B:B, 0 )
))
</f>
        <v>Kitchen_Containers</v>
      </c>
      <c r="C59" s="13" t="s">
        <v>425</v>
      </c>
      <c r="D59" s="14" t="s">
        <v>426</v>
      </c>
      <c r="E59" s="15">
        <v>999.0</v>
      </c>
      <c r="F59" s="16">
        <f t="array" ref="F59">IFERROR(
  VALUE( INDEX(Product_Master!$I:$I,
               MATCH( INDEX(Pack_Master!$B:$B, MATCH($D59, Pack_Master!$A:$A, 0)),
                      Product_Master!$B:$B, 0)
  )) 
  * VALUE( INDEX(Pack_Master!$C:$C, MATCH($D59, Pack_Master!$A:$A, 0)) )
  + VALUE( INDEX(Pack_Master!$D:$D, MATCH($D59, Pack_Master!$A:$A, 0)) ),
"")
</f>
        <v>217</v>
      </c>
      <c r="G59" s="17">
        <f t="array" ref="G59">IFERROR(
 ( INDEX(Pack_Master!E:E, MATCH($D59, Pack_Master!A:A, 0))
   * INDEX(Pack_Master!F:F, MATCH($D59, Pack_Master!A:A, 0))
   * INDEX(Pack_Master!G:G, MATCH($D59, Pack_Master!A:A, 0))
 ) / INDEX(Config!C:C, MATCH($A59, Config!A:A, 0)),
"")
</f>
        <v>1.6</v>
      </c>
      <c r="H59" s="17">
        <f t="array" ref="H59">MAX( INDEX(Pack_Master!H:H, MATCH($D59, Pack_Master!A:A, 0)),
      IFERROR(G59, 0) )
</f>
        <v>1.6</v>
      </c>
      <c r="I59" s="18">
        <f>IFERROR(__xludf.DUMMYFUNCTION("IFERROR(
 INDEX(
   FILTER(Shipping_Rate_Card!B:F, Shipping_Rate_Card!A:A=$A59),
   MATCH($H59, FILTER(Shipping_Rate_Card!B:B, Shipping_Rate_Card!A:A=$A59), 1),
   IF( INDEX(Config!B:B, MATCH($A59, Config!A:A, 0))=""Local"", 2,
     IF( INDEX(Config!B:B, "&amp;"MATCH($A59, Config!A:A, 0))=""Regional"", 3, 4 )
   )
 ),
"""")
"),138.0)</f>
        <v>138</v>
      </c>
      <c r="J59" s="16">
        <f>IFERROR(__xludf.DUMMYFUNCTION("IFERROR(
 ( E59 * INDEX(FILTER(Pricing_Rules!E:E, Pricing_Rules!A:A=A59, Pricing_Rules!B:B=B59, Pricing_Rules!C:C&lt;=E59, Pricing_Rules!D:D&gt;=E59), 1)
   + INDEX(FILTER(Pricing_Rules!F:F, Pricing_Rules!A:A=A59, Pricing_Rules!B:B=B59, Pricing_Rules!C:C&lt;=E59, "&amp;"Pricing_Rules!D:D&gt;=E59), 1)
 )
 * (1 + IFERROR( INDEX(Config!D:D, MATCH(A59, Config!A:A, 0)), 0 )),
"""")
"),179.21839999999997)</f>
        <v>179.2184</v>
      </c>
      <c r="K59" s="19">
        <f t="shared" si="1"/>
        <v>464.7816</v>
      </c>
      <c r="L59" s="20">
        <f t="shared" si="2"/>
        <v>0.4652468468</v>
      </c>
    </row>
    <row r="60" ht="15.75" customHeight="1">
      <c r="A60" s="9" t="s">
        <v>1162</v>
      </c>
      <c r="B60" s="12" t="str">
        <f t="array" ref="B60">IF(D60="","",
 INDEX(Product_Master!A:A,
       MATCH( INDEX(Pack_Master!B:B, MATCH(D60, Pack_Master!A:A, 0)),
              Product_Master!B:B, 0 )
))
</f>
        <v>Kitchen_Containers</v>
      </c>
      <c r="C60" s="13" t="s">
        <v>425</v>
      </c>
      <c r="D60" s="14" t="s">
        <v>426</v>
      </c>
      <c r="E60" s="15">
        <v>999.0</v>
      </c>
      <c r="F60" s="16">
        <f t="array" ref="F60">IFERROR(
  VALUE( INDEX(Product_Master!$I:$I,
               MATCH( INDEX(Pack_Master!$B:$B, MATCH($D60, Pack_Master!$A:$A, 0)),
                      Product_Master!$B:$B, 0)
  )) 
  * VALUE( INDEX(Pack_Master!$C:$C, MATCH($D60, Pack_Master!$A:$A, 0)) )
  + VALUE( INDEX(Pack_Master!$D:$D, MATCH($D60, Pack_Master!$A:$A, 0)) ),
"")
</f>
        <v>217</v>
      </c>
      <c r="G60" s="17">
        <f t="array" ref="G60">IFERROR(
 ( INDEX(Pack_Master!E:E, MATCH($D60, Pack_Master!A:A, 0))
   * INDEX(Pack_Master!F:F, MATCH($D60, Pack_Master!A:A, 0))
   * INDEX(Pack_Master!G:G, MATCH($D60, Pack_Master!A:A, 0))
 ) / INDEX(Config!C:C, MATCH($A60, Config!A:A, 0)),
"")
</f>
        <v>1.6</v>
      </c>
      <c r="H60" s="17">
        <f t="array" ref="H60">MAX( INDEX(Pack_Master!H:H, MATCH($D60, Pack_Master!A:A, 0)),
      IFERROR(G60, 0) )
</f>
        <v>1.6</v>
      </c>
      <c r="I60" s="18">
        <f>IFERROR(__xludf.DUMMYFUNCTION("IFERROR(
 INDEX(
   FILTER(Shipping_Rate_Card!B:F, Shipping_Rate_Card!A:A=$A60),
   MATCH($H60, FILTER(Shipping_Rate_Card!B:B, Shipping_Rate_Card!A:A=$A60), 1),
   IF( INDEX(Config!B:B, MATCH($A60, Config!A:A, 0))=""Local"", 2,
     IF( INDEX(Config!B:B, "&amp;"MATCH($A60, Config!A:A, 0))=""Regional"", 3, 4 )
   )
 ),
"""")
"),138.0)</f>
        <v>138</v>
      </c>
      <c r="J60" s="16">
        <f>IFERROR(__xludf.DUMMYFUNCTION("IFERROR(
 ( E60 * INDEX(FILTER(Pricing_Rules!E:E, Pricing_Rules!A:A=A60, Pricing_Rules!B:B=B60, Pricing_Rules!C:C&lt;=E60, Pricing_Rules!D:D&gt;=E60), 1)
   + INDEX(FILTER(Pricing_Rules!F:F, Pricing_Rules!A:A=A60, Pricing_Rules!B:B=B60, Pricing_Rules!C:C&lt;=E60, "&amp;"Pricing_Rules!D:D&gt;=E60), 1)
 )
 * (1 + IFERROR( INDEX(Config!D:D, MATCH(A60, Config!A:A, 0)), 0 )),
"""")
"),179.21839999999997)</f>
        <v>179.2184</v>
      </c>
      <c r="K60" s="19">
        <f t="shared" si="1"/>
        <v>464.7816</v>
      </c>
      <c r="L60" s="20">
        <f t="shared" si="2"/>
        <v>0.4652468468</v>
      </c>
    </row>
    <row r="61" ht="15.75" customHeight="1">
      <c r="A61" s="9" t="s">
        <v>1162</v>
      </c>
      <c r="B61" s="12" t="str">
        <f t="array" ref="B61">IF(D61="","",
 INDEX(Product_Master!A:A,
       MATCH( INDEX(Pack_Master!B:B, MATCH(D61, Pack_Master!A:A, 0)),
              Product_Master!B:B, 0 )
))
</f>
        <v>Kitchen_Containers</v>
      </c>
      <c r="C61" s="13" t="s">
        <v>427</v>
      </c>
      <c r="D61" s="14" t="s">
        <v>428</v>
      </c>
      <c r="E61" s="15">
        <v>999.0</v>
      </c>
      <c r="F61" s="16">
        <f t="array" ref="F61">IFERROR(
  VALUE( INDEX(Product_Master!$I:$I,
               MATCH( INDEX(Pack_Master!$B:$B, MATCH($D61, Pack_Master!$A:$A, 0)),
                      Product_Master!$B:$B, 0)
  )) 
  * VALUE( INDEX(Pack_Master!$C:$C, MATCH($D61, Pack_Master!$A:$A, 0)) )
  + VALUE( INDEX(Pack_Master!$D:$D, MATCH($D61, Pack_Master!$A:$A, 0)) ),
"")
</f>
        <v>529</v>
      </c>
      <c r="G61" s="17">
        <f t="array" ref="G61">IFERROR(
 ( INDEX(Pack_Master!E:E, MATCH($D61, Pack_Master!A:A, 0))
   * INDEX(Pack_Master!F:F, MATCH($D61, Pack_Master!A:A, 0))
   * INDEX(Pack_Master!G:G, MATCH($D61, Pack_Master!A:A, 0))
 ) / INDEX(Config!C:C, MATCH($A61, Config!A:A, 0)),
"")
</f>
        <v>1.6</v>
      </c>
      <c r="H61" s="17">
        <f t="array" ref="H61">MAX( INDEX(Pack_Master!H:H, MATCH($D61, Pack_Master!A:A, 0)),
      IFERROR(G61, 0) )
</f>
        <v>1.6</v>
      </c>
      <c r="I61" s="18">
        <f>IFERROR(__xludf.DUMMYFUNCTION("IFERROR(
 INDEX(
   FILTER(Shipping_Rate_Card!B:F, Shipping_Rate_Card!A:A=$A61),
   MATCH($H61, FILTER(Shipping_Rate_Card!B:B, Shipping_Rate_Card!A:A=$A61), 1),
   IF( INDEX(Config!B:B, MATCH($A61, Config!A:A, 0))=""Local"", 2,
     IF( INDEX(Config!B:B, "&amp;"MATCH($A61, Config!A:A, 0))=""Regional"", 3, 4 )
   )
 ),
"""")
"),138.0)</f>
        <v>138</v>
      </c>
      <c r="J61" s="16">
        <f>IFERROR(__xludf.DUMMYFUNCTION("IFERROR(
 ( E61 * INDEX(FILTER(Pricing_Rules!E:E, Pricing_Rules!A:A=A61, Pricing_Rules!B:B=B61, Pricing_Rules!C:C&lt;=E61, Pricing_Rules!D:D&gt;=E61), 1)
   + INDEX(FILTER(Pricing_Rules!F:F, Pricing_Rules!A:A=A61, Pricing_Rules!B:B=B61, Pricing_Rules!C:C&lt;=E61, "&amp;"Pricing_Rules!D:D&gt;=E61), 1)
 )
 * (1 + IFERROR( INDEX(Config!D:D, MATCH(A61, Config!A:A, 0)), 0 )),
"""")
"),179.21839999999997)</f>
        <v>179.2184</v>
      </c>
      <c r="K61" s="19">
        <f t="shared" si="1"/>
        <v>152.7816</v>
      </c>
      <c r="L61" s="20">
        <f t="shared" si="2"/>
        <v>0.1529345345</v>
      </c>
    </row>
    <row r="62" ht="15.75" customHeight="1">
      <c r="A62" s="9" t="s">
        <v>1162</v>
      </c>
      <c r="B62" s="12" t="str">
        <f t="array" ref="B62">IF(D62="","",
 INDEX(Product_Master!A:A,
       MATCH( INDEX(Pack_Master!B:B, MATCH(D62, Pack_Master!A:A, 0)),
              Product_Master!B:B, 0 )
))
</f>
        <v>Kitchen_Containers</v>
      </c>
      <c r="C62" s="13" t="s">
        <v>427</v>
      </c>
      <c r="D62" s="14" t="s">
        <v>428</v>
      </c>
      <c r="E62" s="15">
        <v>999.0</v>
      </c>
      <c r="F62" s="16">
        <f t="array" ref="F62">IFERROR(
  VALUE( INDEX(Product_Master!$I:$I,
               MATCH( INDEX(Pack_Master!$B:$B, MATCH($D62, Pack_Master!$A:$A, 0)),
                      Product_Master!$B:$B, 0)
  )) 
  * VALUE( INDEX(Pack_Master!$C:$C, MATCH($D62, Pack_Master!$A:$A, 0)) )
  + VALUE( INDEX(Pack_Master!$D:$D, MATCH($D62, Pack_Master!$A:$A, 0)) ),
"")
</f>
        <v>529</v>
      </c>
      <c r="G62" s="17">
        <f t="array" ref="G62">IFERROR(
 ( INDEX(Pack_Master!E:E, MATCH($D62, Pack_Master!A:A, 0))
   * INDEX(Pack_Master!F:F, MATCH($D62, Pack_Master!A:A, 0))
   * INDEX(Pack_Master!G:G, MATCH($D62, Pack_Master!A:A, 0))
 ) / INDEX(Config!C:C, MATCH($A62, Config!A:A, 0)),
"")
</f>
        <v>1.6</v>
      </c>
      <c r="H62" s="17">
        <f t="array" ref="H62">MAX( INDEX(Pack_Master!H:H, MATCH($D62, Pack_Master!A:A, 0)),
      IFERROR(G62, 0) )
</f>
        <v>1.6</v>
      </c>
      <c r="I62" s="18">
        <f>IFERROR(__xludf.DUMMYFUNCTION("IFERROR(
 INDEX(
   FILTER(Shipping_Rate_Card!B:F, Shipping_Rate_Card!A:A=$A62),
   MATCH($H62, FILTER(Shipping_Rate_Card!B:B, Shipping_Rate_Card!A:A=$A62), 1),
   IF( INDEX(Config!B:B, MATCH($A62, Config!A:A, 0))=""Local"", 2,
     IF( INDEX(Config!B:B, "&amp;"MATCH($A62, Config!A:A, 0))=""Regional"", 3, 4 )
   )
 ),
"""")
"),138.0)</f>
        <v>138</v>
      </c>
      <c r="J62" s="16">
        <f>IFERROR(__xludf.DUMMYFUNCTION("IFERROR(
 ( E62 * INDEX(FILTER(Pricing_Rules!E:E, Pricing_Rules!A:A=A62, Pricing_Rules!B:B=B62, Pricing_Rules!C:C&lt;=E62, Pricing_Rules!D:D&gt;=E62), 1)
   + INDEX(FILTER(Pricing_Rules!F:F, Pricing_Rules!A:A=A62, Pricing_Rules!B:B=B62, Pricing_Rules!C:C&lt;=E62, "&amp;"Pricing_Rules!D:D&gt;=E62), 1)
 )
 * (1 + IFERROR( INDEX(Config!D:D, MATCH(A62, Config!A:A, 0)), 0 )),
"""")
"),179.21839999999997)</f>
        <v>179.2184</v>
      </c>
      <c r="K62" s="19">
        <f t="shared" si="1"/>
        <v>152.7816</v>
      </c>
      <c r="L62" s="20">
        <f t="shared" si="2"/>
        <v>0.1529345345</v>
      </c>
    </row>
    <row r="63" ht="15.75" customHeight="1">
      <c r="A63" s="9" t="s">
        <v>1162</v>
      </c>
      <c r="B63" s="12" t="str">
        <f t="array" ref="B63">IF(D63="","",
 INDEX(Product_Master!A:A,
       MATCH( INDEX(Pack_Master!B:B, MATCH(D63, Pack_Master!A:A, 0)),
              Product_Master!B:B, 0 )
))
</f>
        <v>Kitchen_Containers</v>
      </c>
      <c r="C63" s="13" t="s">
        <v>429</v>
      </c>
      <c r="D63" s="14" t="s">
        <v>430</v>
      </c>
      <c r="E63" s="15">
        <v>999.0</v>
      </c>
      <c r="F63" s="16">
        <f t="array" ref="F63">IFERROR(
  VALUE( INDEX(Product_Master!$I:$I,
               MATCH( INDEX(Pack_Master!$B:$B, MATCH($D63, Pack_Master!$A:$A, 0)),
                      Product_Master!$B:$B, 0)
  )) 
  * VALUE( INDEX(Pack_Master!$C:$C, MATCH($D63, Pack_Master!$A:$A, 0)) )
  + VALUE( INDEX(Pack_Master!$D:$D, MATCH($D63, Pack_Master!$A:$A, 0)) ),
"")
</f>
        <v>109</v>
      </c>
      <c r="G63" s="17">
        <f t="array" ref="G63">IFERROR(
 ( INDEX(Pack_Master!E:E, MATCH($D63, Pack_Master!A:A, 0))
   * INDEX(Pack_Master!F:F, MATCH($D63, Pack_Master!A:A, 0))
   * INDEX(Pack_Master!G:G, MATCH($D63, Pack_Master!A:A, 0))
 ) / INDEX(Config!C:C, MATCH($A63, Config!A:A, 0)),
"")
</f>
        <v>1.6</v>
      </c>
      <c r="H63" s="17">
        <f t="array" ref="H63">MAX( INDEX(Pack_Master!H:H, MATCH($D63, Pack_Master!A:A, 0)),
      IFERROR(G63, 0) )
</f>
        <v>1.6</v>
      </c>
      <c r="I63" s="18">
        <f>IFERROR(__xludf.DUMMYFUNCTION("IFERROR(
 INDEX(
   FILTER(Shipping_Rate_Card!B:F, Shipping_Rate_Card!A:A=$A63),
   MATCH($H63, FILTER(Shipping_Rate_Card!B:B, Shipping_Rate_Card!A:A=$A63), 1),
   IF( INDEX(Config!B:B, MATCH($A63, Config!A:A, 0))=""Local"", 2,
     IF( INDEX(Config!B:B, "&amp;"MATCH($A63, Config!A:A, 0))=""Regional"", 3, 4 )
   )
 ),
"""")
"),138.0)</f>
        <v>138</v>
      </c>
      <c r="J63" s="16">
        <f>IFERROR(__xludf.DUMMYFUNCTION("IFERROR(
 ( E63 * INDEX(FILTER(Pricing_Rules!E:E, Pricing_Rules!A:A=A63, Pricing_Rules!B:B=B63, Pricing_Rules!C:C&lt;=E63, Pricing_Rules!D:D&gt;=E63), 1)
   + INDEX(FILTER(Pricing_Rules!F:F, Pricing_Rules!A:A=A63, Pricing_Rules!B:B=B63, Pricing_Rules!C:C&lt;=E63, "&amp;"Pricing_Rules!D:D&gt;=E63), 1)
 )
 * (1 + IFERROR( INDEX(Config!D:D, MATCH(A63, Config!A:A, 0)), 0 )),
"""")
"),179.21839999999997)</f>
        <v>179.2184</v>
      </c>
      <c r="K63" s="19">
        <f t="shared" si="1"/>
        <v>572.7816</v>
      </c>
      <c r="L63" s="20">
        <f t="shared" si="2"/>
        <v>0.573354955</v>
      </c>
    </row>
    <row r="64" ht="15.75" customHeight="1">
      <c r="A64" s="9" t="s">
        <v>1162</v>
      </c>
      <c r="B64" s="12" t="str">
        <f t="array" ref="B64">IF(D64="","",
 INDEX(Product_Master!A:A,
       MATCH( INDEX(Pack_Master!B:B, MATCH(D64, Pack_Master!A:A, 0)),
              Product_Master!B:B, 0 )
))
</f>
        <v>Kitchen_Containers</v>
      </c>
      <c r="C64" s="13" t="s">
        <v>429</v>
      </c>
      <c r="D64" s="14" t="s">
        <v>430</v>
      </c>
      <c r="E64" s="15">
        <v>999.0</v>
      </c>
      <c r="F64" s="16">
        <f t="array" ref="F64">IFERROR(
  VALUE( INDEX(Product_Master!$I:$I,
               MATCH( INDEX(Pack_Master!$B:$B, MATCH($D64, Pack_Master!$A:$A, 0)),
                      Product_Master!$B:$B, 0)
  )) 
  * VALUE( INDEX(Pack_Master!$C:$C, MATCH($D64, Pack_Master!$A:$A, 0)) )
  + VALUE( INDEX(Pack_Master!$D:$D, MATCH($D64, Pack_Master!$A:$A, 0)) ),
"")
</f>
        <v>109</v>
      </c>
      <c r="G64" s="17">
        <f t="array" ref="G64">IFERROR(
 ( INDEX(Pack_Master!E:E, MATCH($D64, Pack_Master!A:A, 0))
   * INDEX(Pack_Master!F:F, MATCH($D64, Pack_Master!A:A, 0))
   * INDEX(Pack_Master!G:G, MATCH($D64, Pack_Master!A:A, 0))
 ) / INDEX(Config!C:C, MATCH($A64, Config!A:A, 0)),
"")
</f>
        <v>1.6</v>
      </c>
      <c r="H64" s="17">
        <f t="array" ref="H64">MAX( INDEX(Pack_Master!H:H, MATCH($D64, Pack_Master!A:A, 0)),
      IFERROR(G64, 0) )
</f>
        <v>1.6</v>
      </c>
      <c r="I64" s="18">
        <f>IFERROR(__xludf.DUMMYFUNCTION("IFERROR(
 INDEX(
   FILTER(Shipping_Rate_Card!B:F, Shipping_Rate_Card!A:A=$A64),
   MATCH($H64, FILTER(Shipping_Rate_Card!B:B, Shipping_Rate_Card!A:A=$A64), 1),
   IF( INDEX(Config!B:B, MATCH($A64, Config!A:A, 0))=""Local"", 2,
     IF( INDEX(Config!B:B, "&amp;"MATCH($A64, Config!A:A, 0))=""Regional"", 3, 4 )
   )
 ),
"""")
"),138.0)</f>
        <v>138</v>
      </c>
      <c r="J64" s="16">
        <f>IFERROR(__xludf.DUMMYFUNCTION("IFERROR(
 ( E64 * INDEX(FILTER(Pricing_Rules!E:E, Pricing_Rules!A:A=A64, Pricing_Rules!B:B=B64, Pricing_Rules!C:C&lt;=E64, Pricing_Rules!D:D&gt;=E64), 1)
   + INDEX(FILTER(Pricing_Rules!F:F, Pricing_Rules!A:A=A64, Pricing_Rules!B:B=B64, Pricing_Rules!C:C&lt;=E64, "&amp;"Pricing_Rules!D:D&gt;=E64), 1)
 )
 * (1 + IFERROR( INDEX(Config!D:D, MATCH(A64, Config!A:A, 0)), 0 )),
"""")
"),179.21839999999997)</f>
        <v>179.2184</v>
      </c>
      <c r="K64" s="19">
        <f t="shared" si="1"/>
        <v>572.7816</v>
      </c>
      <c r="L64" s="20">
        <f t="shared" si="2"/>
        <v>0.573354955</v>
      </c>
    </row>
    <row r="65" ht="15.75" customHeight="1">
      <c r="A65" s="9" t="s">
        <v>1162</v>
      </c>
      <c r="B65" s="12" t="str">
        <f t="array" ref="B65">IF(D65="","",
 INDEX(Product_Master!A:A,
       MATCH( INDEX(Pack_Master!B:B, MATCH(D65, Pack_Master!A:A, 0)),
              Product_Master!B:B, 0 )
))
</f>
        <v>Kitchen_Containers</v>
      </c>
      <c r="C65" s="13" t="s">
        <v>431</v>
      </c>
      <c r="D65" s="14" t="s">
        <v>432</v>
      </c>
      <c r="E65" s="15">
        <v>999.0</v>
      </c>
      <c r="F65" s="16">
        <f t="array" ref="F65">IFERROR(
  VALUE( INDEX(Product_Master!$I:$I,
               MATCH( INDEX(Pack_Master!$B:$B, MATCH($D65, Pack_Master!$A:$A, 0)),
                      Product_Master!$B:$B, 0)
  )) 
  * VALUE( INDEX(Pack_Master!$C:$C, MATCH($D65, Pack_Master!$A:$A, 0)) )
  + VALUE( INDEX(Pack_Master!$D:$D, MATCH($D65, Pack_Master!$A:$A, 0)) ),
"")
</f>
        <v>277</v>
      </c>
      <c r="G65" s="17">
        <f t="array" ref="G65">IFERROR(
 ( INDEX(Pack_Master!E:E, MATCH($D65, Pack_Master!A:A, 0))
   * INDEX(Pack_Master!F:F, MATCH($D65, Pack_Master!A:A, 0))
   * INDEX(Pack_Master!G:G, MATCH($D65, Pack_Master!A:A, 0))
 ) / INDEX(Config!C:C, MATCH($A65, Config!A:A, 0)),
"")
</f>
        <v>1.6</v>
      </c>
      <c r="H65" s="17">
        <f t="array" ref="H65">MAX( INDEX(Pack_Master!H:H, MATCH($D65, Pack_Master!A:A, 0)),
      IFERROR(G65, 0) )
</f>
        <v>1.6</v>
      </c>
      <c r="I65" s="18">
        <f>IFERROR(__xludf.DUMMYFUNCTION("IFERROR(
 INDEX(
   FILTER(Shipping_Rate_Card!B:F, Shipping_Rate_Card!A:A=$A65),
   MATCH($H65, FILTER(Shipping_Rate_Card!B:B, Shipping_Rate_Card!A:A=$A65), 1),
   IF( INDEX(Config!B:B, MATCH($A65, Config!A:A, 0))=""Local"", 2,
     IF( INDEX(Config!B:B, "&amp;"MATCH($A65, Config!A:A, 0))=""Regional"", 3, 4 )
   )
 ),
"""")
"),138.0)</f>
        <v>138</v>
      </c>
      <c r="J65" s="16">
        <f>IFERROR(__xludf.DUMMYFUNCTION("IFERROR(
 ( E65 * INDEX(FILTER(Pricing_Rules!E:E, Pricing_Rules!A:A=A65, Pricing_Rules!B:B=B65, Pricing_Rules!C:C&lt;=E65, Pricing_Rules!D:D&gt;=E65), 1)
   + INDEX(FILTER(Pricing_Rules!F:F, Pricing_Rules!A:A=A65, Pricing_Rules!B:B=B65, Pricing_Rules!C:C&lt;=E65, "&amp;"Pricing_Rules!D:D&gt;=E65), 1)
 )
 * (1 + IFERROR( INDEX(Config!D:D, MATCH(A65, Config!A:A, 0)), 0 )),
"""")
"),179.21839999999997)</f>
        <v>179.2184</v>
      </c>
      <c r="K65" s="19">
        <f t="shared" si="1"/>
        <v>404.7816</v>
      </c>
      <c r="L65" s="20">
        <f t="shared" si="2"/>
        <v>0.4051867868</v>
      </c>
    </row>
    <row r="66" ht="15.75" customHeight="1">
      <c r="A66" s="9" t="s">
        <v>1162</v>
      </c>
      <c r="B66" s="12" t="str">
        <f t="array" ref="B66">IF(D66="","",
 INDEX(Product_Master!A:A,
       MATCH( INDEX(Pack_Master!B:B, MATCH(D66, Pack_Master!A:A, 0)),
              Product_Master!B:B, 0 )
))
</f>
        <v>Kitchen_Containers</v>
      </c>
      <c r="C66" s="13" t="s">
        <v>431</v>
      </c>
      <c r="D66" s="14" t="s">
        <v>432</v>
      </c>
      <c r="E66" s="15">
        <v>999.0</v>
      </c>
      <c r="F66" s="16">
        <f t="array" ref="F66">IFERROR(
  VALUE( INDEX(Product_Master!$I:$I,
               MATCH( INDEX(Pack_Master!$B:$B, MATCH($D66, Pack_Master!$A:$A, 0)),
                      Product_Master!$B:$B, 0)
  )) 
  * VALUE( INDEX(Pack_Master!$C:$C, MATCH($D66, Pack_Master!$A:$A, 0)) )
  + VALUE( INDEX(Pack_Master!$D:$D, MATCH($D66, Pack_Master!$A:$A, 0)) ),
"")
</f>
        <v>277</v>
      </c>
      <c r="G66" s="17">
        <f t="array" ref="G66">IFERROR(
 ( INDEX(Pack_Master!E:E, MATCH($D66, Pack_Master!A:A, 0))
   * INDEX(Pack_Master!F:F, MATCH($D66, Pack_Master!A:A, 0))
   * INDEX(Pack_Master!G:G, MATCH($D66, Pack_Master!A:A, 0))
 ) / INDEX(Config!C:C, MATCH($A66, Config!A:A, 0)),
"")
</f>
        <v>1.6</v>
      </c>
      <c r="H66" s="17">
        <f t="array" ref="H66">MAX( INDEX(Pack_Master!H:H, MATCH($D66, Pack_Master!A:A, 0)),
      IFERROR(G66, 0) )
</f>
        <v>1.6</v>
      </c>
      <c r="I66" s="18">
        <f>IFERROR(__xludf.DUMMYFUNCTION("IFERROR(
 INDEX(
   FILTER(Shipping_Rate_Card!B:F, Shipping_Rate_Card!A:A=$A66),
   MATCH($H66, FILTER(Shipping_Rate_Card!B:B, Shipping_Rate_Card!A:A=$A66), 1),
   IF( INDEX(Config!B:B, MATCH($A66, Config!A:A, 0))=""Local"", 2,
     IF( INDEX(Config!B:B, "&amp;"MATCH($A66, Config!A:A, 0))=""Regional"", 3, 4 )
   )
 ),
"""")
"),138.0)</f>
        <v>138</v>
      </c>
      <c r="J66" s="16">
        <f>IFERROR(__xludf.DUMMYFUNCTION("IFERROR(
 ( E66 * INDEX(FILTER(Pricing_Rules!E:E, Pricing_Rules!A:A=A66, Pricing_Rules!B:B=B66, Pricing_Rules!C:C&lt;=E66, Pricing_Rules!D:D&gt;=E66), 1)
   + INDEX(FILTER(Pricing_Rules!F:F, Pricing_Rules!A:A=A66, Pricing_Rules!B:B=B66, Pricing_Rules!C:C&lt;=E66, "&amp;"Pricing_Rules!D:D&gt;=E66), 1)
 )
 * (1 + IFERROR( INDEX(Config!D:D, MATCH(A66, Config!A:A, 0)), 0 )),
"""")
"),179.21839999999997)</f>
        <v>179.2184</v>
      </c>
      <c r="K66" s="19">
        <f t="shared" si="1"/>
        <v>404.7816</v>
      </c>
      <c r="L66" s="20">
        <f t="shared" si="2"/>
        <v>0.4051867868</v>
      </c>
    </row>
    <row r="67" ht="15.75" customHeight="1">
      <c r="A67" s="9" t="s">
        <v>1162</v>
      </c>
      <c r="B67" s="12" t="str">
        <f t="array" ref="B67">IF(D67="","",
 INDEX(Product_Master!A:A,
       MATCH( INDEX(Pack_Master!B:B, MATCH(D67, Pack_Master!A:A, 0)),
              Product_Master!B:B, 0 )
))
</f>
        <v>Kitchen_Containers</v>
      </c>
      <c r="C67" s="13" t="s">
        <v>433</v>
      </c>
      <c r="D67" s="14" t="s">
        <v>434</v>
      </c>
      <c r="E67" s="15">
        <v>999.0</v>
      </c>
      <c r="F67" s="16">
        <f t="array" ref="F67">IFERROR(
  VALUE( INDEX(Product_Master!$I:$I,
               MATCH( INDEX(Pack_Master!$B:$B, MATCH($D67, Pack_Master!$A:$A, 0)),
                      Product_Master!$B:$B, 0)
  )) 
  * VALUE( INDEX(Pack_Master!$C:$C, MATCH($D67, Pack_Master!$A:$A, 0)) )
  + VALUE( INDEX(Pack_Master!$D:$D, MATCH($D67, Pack_Master!$A:$A, 0)) ),
"")
</f>
        <v>697</v>
      </c>
      <c r="G67" s="17">
        <f t="array" ref="G67">IFERROR(
 ( INDEX(Pack_Master!E:E, MATCH($D67, Pack_Master!A:A, 0))
   * INDEX(Pack_Master!F:F, MATCH($D67, Pack_Master!A:A, 0))
   * INDEX(Pack_Master!G:G, MATCH($D67, Pack_Master!A:A, 0))
 ) / INDEX(Config!C:C, MATCH($A67, Config!A:A, 0)),
"")
</f>
        <v>1.6</v>
      </c>
      <c r="H67" s="17">
        <f t="array" ref="H67">MAX( INDEX(Pack_Master!H:H, MATCH($D67, Pack_Master!A:A, 0)),
      IFERROR(G67, 0) )
</f>
        <v>1.6</v>
      </c>
      <c r="I67" s="18">
        <f>IFERROR(__xludf.DUMMYFUNCTION("IFERROR(
 INDEX(
   FILTER(Shipping_Rate_Card!B:F, Shipping_Rate_Card!A:A=$A67),
   MATCH($H67, FILTER(Shipping_Rate_Card!B:B, Shipping_Rate_Card!A:A=$A67), 1),
   IF( INDEX(Config!B:B, MATCH($A67, Config!A:A, 0))=""Local"", 2,
     IF( INDEX(Config!B:B, "&amp;"MATCH($A67, Config!A:A, 0))=""Regional"", 3, 4 )
   )
 ),
"""")
"),138.0)</f>
        <v>138</v>
      </c>
      <c r="J67" s="16">
        <f>IFERROR(__xludf.DUMMYFUNCTION("IFERROR(
 ( E67 * INDEX(FILTER(Pricing_Rules!E:E, Pricing_Rules!A:A=A67, Pricing_Rules!B:B=B67, Pricing_Rules!C:C&lt;=E67, Pricing_Rules!D:D&gt;=E67), 1)
   + INDEX(FILTER(Pricing_Rules!F:F, Pricing_Rules!A:A=A67, Pricing_Rules!B:B=B67, Pricing_Rules!C:C&lt;=E67, "&amp;"Pricing_Rules!D:D&gt;=E67), 1)
 )
 * (1 + IFERROR( INDEX(Config!D:D, MATCH(A67, Config!A:A, 0)), 0 )),
"""")
"),179.21839999999997)</f>
        <v>179.2184</v>
      </c>
      <c r="K67" s="19">
        <f t="shared" si="1"/>
        <v>-15.2184</v>
      </c>
      <c r="L67" s="20">
        <f t="shared" si="2"/>
        <v>-0.01523363363</v>
      </c>
    </row>
    <row r="68" ht="15.75" customHeight="1">
      <c r="A68" s="9" t="s">
        <v>1162</v>
      </c>
      <c r="B68" s="12" t="str">
        <f t="array" ref="B68">IF(D68="","",
 INDEX(Product_Master!A:A,
       MATCH( INDEX(Pack_Master!B:B, MATCH(D68, Pack_Master!A:A, 0)),
              Product_Master!B:B, 0 )
))
</f>
        <v>Kitchen_Containers</v>
      </c>
      <c r="C68" s="13" t="s">
        <v>433</v>
      </c>
      <c r="D68" s="14" t="s">
        <v>434</v>
      </c>
      <c r="E68" s="15">
        <v>999.0</v>
      </c>
      <c r="F68" s="16">
        <f t="array" ref="F68">IFERROR(
  VALUE( INDEX(Product_Master!$I:$I,
               MATCH( INDEX(Pack_Master!$B:$B, MATCH($D68, Pack_Master!$A:$A, 0)),
                      Product_Master!$B:$B, 0)
  )) 
  * VALUE( INDEX(Pack_Master!$C:$C, MATCH($D68, Pack_Master!$A:$A, 0)) )
  + VALUE( INDEX(Pack_Master!$D:$D, MATCH($D68, Pack_Master!$A:$A, 0)) ),
"")
</f>
        <v>697</v>
      </c>
      <c r="G68" s="17">
        <f t="array" ref="G68">IFERROR(
 ( INDEX(Pack_Master!E:E, MATCH($D68, Pack_Master!A:A, 0))
   * INDEX(Pack_Master!F:F, MATCH($D68, Pack_Master!A:A, 0))
   * INDEX(Pack_Master!G:G, MATCH($D68, Pack_Master!A:A, 0))
 ) / INDEX(Config!C:C, MATCH($A68, Config!A:A, 0)),
"")
</f>
        <v>1.6</v>
      </c>
      <c r="H68" s="17">
        <f t="array" ref="H68">MAX( INDEX(Pack_Master!H:H, MATCH($D68, Pack_Master!A:A, 0)),
      IFERROR(G68, 0) )
</f>
        <v>1.6</v>
      </c>
      <c r="I68" s="18">
        <f>IFERROR(__xludf.DUMMYFUNCTION("IFERROR(
 INDEX(
   FILTER(Shipping_Rate_Card!B:F, Shipping_Rate_Card!A:A=$A68),
   MATCH($H68, FILTER(Shipping_Rate_Card!B:B, Shipping_Rate_Card!A:A=$A68), 1),
   IF( INDEX(Config!B:B, MATCH($A68, Config!A:A, 0))=""Local"", 2,
     IF( INDEX(Config!B:B, "&amp;"MATCH($A68, Config!A:A, 0))=""Regional"", 3, 4 )
   )
 ),
"""")
"),138.0)</f>
        <v>138</v>
      </c>
      <c r="J68" s="16">
        <f>IFERROR(__xludf.DUMMYFUNCTION("IFERROR(
 ( E68 * INDEX(FILTER(Pricing_Rules!E:E, Pricing_Rules!A:A=A68, Pricing_Rules!B:B=B68, Pricing_Rules!C:C&lt;=E68, Pricing_Rules!D:D&gt;=E68), 1)
   + INDEX(FILTER(Pricing_Rules!F:F, Pricing_Rules!A:A=A68, Pricing_Rules!B:B=B68, Pricing_Rules!C:C&lt;=E68, "&amp;"Pricing_Rules!D:D&gt;=E68), 1)
 )
 * (1 + IFERROR( INDEX(Config!D:D, MATCH(A68, Config!A:A, 0)), 0 )),
"""")
"),179.21839999999997)</f>
        <v>179.2184</v>
      </c>
      <c r="K68" s="19">
        <f t="shared" si="1"/>
        <v>-15.2184</v>
      </c>
      <c r="L68" s="20">
        <f t="shared" si="2"/>
        <v>-0.01523363363</v>
      </c>
    </row>
    <row r="69" ht="15.75" customHeight="1">
      <c r="A69" s="9" t="s">
        <v>1162</v>
      </c>
      <c r="B69" s="12" t="str">
        <f t="array" ref="B69">IF(D69="","",
 INDEX(Product_Master!A:A,
       MATCH( INDEX(Pack_Master!B:B, MATCH(D69, Pack_Master!A:A, 0)),
              Product_Master!B:B, 0 )
))
</f>
        <v>Kitchen_Containers</v>
      </c>
      <c r="C69" s="13" t="s">
        <v>435</v>
      </c>
      <c r="D69" s="14" t="s">
        <v>436</v>
      </c>
      <c r="E69" s="15">
        <v>999.0</v>
      </c>
      <c r="F69" s="16">
        <f t="array" ref="F69">IFERROR(
  VALUE( INDEX(Product_Master!$I:$I,
               MATCH( INDEX(Pack_Master!$B:$B, MATCH($D69, Pack_Master!$A:$A, 0)),
                      Product_Master!$B:$B, 0)
  )) 
  * VALUE( INDEX(Pack_Master!$C:$C, MATCH($D69, Pack_Master!$A:$A, 0)) )
  + VALUE( INDEX(Pack_Master!$D:$D, MATCH($D69, Pack_Master!$A:$A, 0)) ),
"")
</f>
        <v>137</v>
      </c>
      <c r="G69" s="17">
        <f t="array" ref="G69">IFERROR(
 ( INDEX(Pack_Master!E:E, MATCH($D69, Pack_Master!A:A, 0))
   * INDEX(Pack_Master!F:F, MATCH($D69, Pack_Master!A:A, 0))
   * INDEX(Pack_Master!G:G, MATCH($D69, Pack_Master!A:A, 0))
 ) / INDEX(Config!C:C, MATCH($A69, Config!A:A, 0)),
"")
</f>
        <v>1.6</v>
      </c>
      <c r="H69" s="17">
        <f t="array" ref="H69">MAX( INDEX(Pack_Master!H:H, MATCH($D69, Pack_Master!A:A, 0)),
      IFERROR(G69, 0) )
</f>
        <v>1.6</v>
      </c>
      <c r="I69" s="18">
        <f>IFERROR(__xludf.DUMMYFUNCTION("IFERROR(
 INDEX(
   FILTER(Shipping_Rate_Card!B:F, Shipping_Rate_Card!A:A=$A69),
   MATCH($H69, FILTER(Shipping_Rate_Card!B:B, Shipping_Rate_Card!A:A=$A69), 1),
   IF( INDEX(Config!B:B, MATCH($A69, Config!A:A, 0))=""Local"", 2,
     IF( INDEX(Config!B:B, "&amp;"MATCH($A69, Config!A:A, 0))=""Regional"", 3, 4 )
   )
 ),
"""")
"),138.0)</f>
        <v>138</v>
      </c>
      <c r="J69" s="16">
        <f>IFERROR(__xludf.DUMMYFUNCTION("IFERROR(
 ( E69 * INDEX(FILTER(Pricing_Rules!E:E, Pricing_Rules!A:A=A69, Pricing_Rules!B:B=B69, Pricing_Rules!C:C&lt;=E69, Pricing_Rules!D:D&gt;=E69), 1)
   + INDEX(FILTER(Pricing_Rules!F:F, Pricing_Rules!A:A=A69, Pricing_Rules!B:B=B69, Pricing_Rules!C:C&lt;=E69, "&amp;"Pricing_Rules!D:D&gt;=E69), 1)
 )
 * (1 + IFERROR( INDEX(Config!D:D, MATCH(A69, Config!A:A, 0)), 0 )),
"""")
"),179.21839999999997)</f>
        <v>179.2184</v>
      </c>
      <c r="K69" s="19">
        <f t="shared" si="1"/>
        <v>544.7816</v>
      </c>
      <c r="L69" s="20">
        <f t="shared" si="2"/>
        <v>0.5453269269</v>
      </c>
    </row>
    <row r="70" ht="15.75" customHeight="1">
      <c r="A70" s="9" t="s">
        <v>1162</v>
      </c>
      <c r="B70" s="12" t="str">
        <f t="array" ref="B70">IF(D70="","",
 INDEX(Product_Master!A:A,
       MATCH( INDEX(Pack_Master!B:B, MATCH(D70, Pack_Master!A:A, 0)),
              Product_Master!B:B, 0 )
))
</f>
        <v>Kitchen_Containers</v>
      </c>
      <c r="C70" s="13" t="s">
        <v>435</v>
      </c>
      <c r="D70" s="14" t="s">
        <v>436</v>
      </c>
      <c r="E70" s="15">
        <v>999.0</v>
      </c>
      <c r="F70" s="16">
        <f t="array" ref="F70">IFERROR(
  VALUE( INDEX(Product_Master!$I:$I,
               MATCH( INDEX(Pack_Master!$B:$B, MATCH($D70, Pack_Master!$A:$A, 0)),
                      Product_Master!$B:$B, 0)
  )) 
  * VALUE( INDEX(Pack_Master!$C:$C, MATCH($D70, Pack_Master!$A:$A, 0)) )
  + VALUE( INDEX(Pack_Master!$D:$D, MATCH($D70, Pack_Master!$A:$A, 0)) ),
"")
</f>
        <v>137</v>
      </c>
      <c r="G70" s="17">
        <f t="array" ref="G70">IFERROR(
 ( INDEX(Pack_Master!E:E, MATCH($D70, Pack_Master!A:A, 0))
   * INDEX(Pack_Master!F:F, MATCH($D70, Pack_Master!A:A, 0))
   * INDEX(Pack_Master!G:G, MATCH($D70, Pack_Master!A:A, 0))
 ) / INDEX(Config!C:C, MATCH($A70, Config!A:A, 0)),
"")
</f>
        <v>1.6</v>
      </c>
      <c r="H70" s="17">
        <f t="array" ref="H70">MAX( INDEX(Pack_Master!H:H, MATCH($D70, Pack_Master!A:A, 0)),
      IFERROR(G70, 0) )
</f>
        <v>1.6</v>
      </c>
      <c r="I70" s="18">
        <f>IFERROR(__xludf.DUMMYFUNCTION("IFERROR(
 INDEX(
   FILTER(Shipping_Rate_Card!B:F, Shipping_Rate_Card!A:A=$A70),
   MATCH($H70, FILTER(Shipping_Rate_Card!B:B, Shipping_Rate_Card!A:A=$A70), 1),
   IF( INDEX(Config!B:B, MATCH($A70, Config!A:A, 0))=""Local"", 2,
     IF( INDEX(Config!B:B, "&amp;"MATCH($A70, Config!A:A, 0))=""Regional"", 3, 4 )
   )
 ),
"""")
"),138.0)</f>
        <v>138</v>
      </c>
      <c r="J70" s="16">
        <f>IFERROR(__xludf.DUMMYFUNCTION("IFERROR(
 ( E70 * INDEX(FILTER(Pricing_Rules!E:E, Pricing_Rules!A:A=A70, Pricing_Rules!B:B=B70, Pricing_Rules!C:C&lt;=E70, Pricing_Rules!D:D&gt;=E70), 1)
   + INDEX(FILTER(Pricing_Rules!F:F, Pricing_Rules!A:A=A70, Pricing_Rules!B:B=B70, Pricing_Rules!C:C&lt;=E70, "&amp;"Pricing_Rules!D:D&gt;=E70), 1)
 )
 * (1 + IFERROR( INDEX(Config!D:D, MATCH(A70, Config!A:A, 0)), 0 )),
"""")
"),179.21839999999997)</f>
        <v>179.2184</v>
      </c>
      <c r="K70" s="19">
        <f t="shared" si="1"/>
        <v>544.7816</v>
      </c>
      <c r="L70" s="20">
        <f t="shared" si="2"/>
        <v>0.5453269269</v>
      </c>
    </row>
    <row r="71" ht="15.75" customHeight="1">
      <c r="A71" s="9" t="s">
        <v>1162</v>
      </c>
      <c r="B71" s="12" t="str">
        <f t="array" ref="B71">IF(D71="","",
 INDEX(Product_Master!A:A,
       MATCH( INDEX(Pack_Master!B:B, MATCH(D71, Pack_Master!A:A, 0)),
              Product_Master!B:B, 0 )
))
</f>
        <v>Kitchen_Containers</v>
      </c>
      <c r="C71" s="13" t="s">
        <v>437</v>
      </c>
      <c r="D71" s="14" t="s">
        <v>438</v>
      </c>
      <c r="E71" s="15">
        <v>999.0</v>
      </c>
      <c r="F71" s="16">
        <f t="array" ref="F71">IFERROR(
  VALUE( INDEX(Product_Master!$I:$I,
               MATCH( INDEX(Pack_Master!$B:$B, MATCH($D71, Pack_Master!$A:$A, 0)),
                      Product_Master!$B:$B, 0)
  )) 
  * VALUE( INDEX(Pack_Master!$C:$C, MATCH($D71, Pack_Master!$A:$A, 0)) )
  + VALUE( INDEX(Pack_Master!$D:$D, MATCH($D71, Pack_Master!$A:$A, 0)) ),
"")
</f>
        <v>361</v>
      </c>
      <c r="G71" s="17">
        <f t="array" ref="G71">IFERROR(
 ( INDEX(Pack_Master!E:E, MATCH($D71, Pack_Master!A:A, 0))
   * INDEX(Pack_Master!F:F, MATCH($D71, Pack_Master!A:A, 0))
   * INDEX(Pack_Master!G:G, MATCH($D71, Pack_Master!A:A, 0))
 ) / INDEX(Config!C:C, MATCH($A71, Config!A:A, 0)),
"")
</f>
        <v>1.6</v>
      </c>
      <c r="H71" s="17">
        <f t="array" ref="H71">MAX( INDEX(Pack_Master!H:H, MATCH($D71, Pack_Master!A:A, 0)),
      IFERROR(G71, 0) )
</f>
        <v>1.6</v>
      </c>
      <c r="I71" s="18">
        <f>IFERROR(__xludf.DUMMYFUNCTION("IFERROR(
 INDEX(
   FILTER(Shipping_Rate_Card!B:F, Shipping_Rate_Card!A:A=$A71),
   MATCH($H71, FILTER(Shipping_Rate_Card!B:B, Shipping_Rate_Card!A:A=$A71), 1),
   IF( INDEX(Config!B:B, MATCH($A71, Config!A:A, 0))=""Local"", 2,
     IF( INDEX(Config!B:B, "&amp;"MATCH($A71, Config!A:A, 0))=""Regional"", 3, 4 )
   )
 ),
"""")
"),138.0)</f>
        <v>138</v>
      </c>
      <c r="J71" s="16">
        <f>IFERROR(__xludf.DUMMYFUNCTION("IFERROR(
 ( E71 * INDEX(FILTER(Pricing_Rules!E:E, Pricing_Rules!A:A=A71, Pricing_Rules!B:B=B71, Pricing_Rules!C:C&lt;=E71, Pricing_Rules!D:D&gt;=E71), 1)
   + INDEX(FILTER(Pricing_Rules!F:F, Pricing_Rules!A:A=A71, Pricing_Rules!B:B=B71, Pricing_Rules!C:C&lt;=E71, "&amp;"Pricing_Rules!D:D&gt;=E71), 1)
 )
 * (1 + IFERROR( INDEX(Config!D:D, MATCH(A71, Config!A:A, 0)), 0 )),
"""")
"),179.21839999999997)</f>
        <v>179.2184</v>
      </c>
      <c r="K71" s="19">
        <f t="shared" si="1"/>
        <v>320.7816</v>
      </c>
      <c r="L71" s="20">
        <f t="shared" si="2"/>
        <v>0.3211027027</v>
      </c>
    </row>
    <row r="72" ht="15.75" customHeight="1">
      <c r="A72" s="9" t="s">
        <v>1162</v>
      </c>
      <c r="B72" s="12" t="str">
        <f t="array" ref="B72">IF(D72="","",
 INDEX(Product_Master!A:A,
       MATCH( INDEX(Pack_Master!B:B, MATCH(D72, Pack_Master!A:A, 0)),
              Product_Master!B:B, 0 )
))
</f>
        <v>Kitchen_Containers</v>
      </c>
      <c r="C72" s="13" t="s">
        <v>437</v>
      </c>
      <c r="D72" s="14" t="s">
        <v>438</v>
      </c>
      <c r="E72" s="15">
        <v>999.0</v>
      </c>
      <c r="F72" s="16">
        <f t="array" ref="F72">IFERROR(
  VALUE( INDEX(Product_Master!$I:$I,
               MATCH( INDEX(Pack_Master!$B:$B, MATCH($D72, Pack_Master!$A:$A, 0)),
                      Product_Master!$B:$B, 0)
  )) 
  * VALUE( INDEX(Pack_Master!$C:$C, MATCH($D72, Pack_Master!$A:$A, 0)) )
  + VALUE( INDEX(Pack_Master!$D:$D, MATCH($D72, Pack_Master!$A:$A, 0)) ),
"")
</f>
        <v>361</v>
      </c>
      <c r="G72" s="17">
        <f t="array" ref="G72">IFERROR(
 ( INDEX(Pack_Master!E:E, MATCH($D72, Pack_Master!A:A, 0))
   * INDEX(Pack_Master!F:F, MATCH($D72, Pack_Master!A:A, 0))
   * INDEX(Pack_Master!G:G, MATCH($D72, Pack_Master!A:A, 0))
 ) / INDEX(Config!C:C, MATCH($A72, Config!A:A, 0)),
"")
</f>
        <v>1.6</v>
      </c>
      <c r="H72" s="17">
        <f t="array" ref="H72">MAX( INDEX(Pack_Master!H:H, MATCH($D72, Pack_Master!A:A, 0)),
      IFERROR(G72, 0) )
</f>
        <v>1.6</v>
      </c>
      <c r="I72" s="18">
        <f>IFERROR(__xludf.DUMMYFUNCTION("IFERROR(
 INDEX(
   FILTER(Shipping_Rate_Card!B:F, Shipping_Rate_Card!A:A=$A72),
   MATCH($H72, FILTER(Shipping_Rate_Card!B:B, Shipping_Rate_Card!A:A=$A72), 1),
   IF( INDEX(Config!B:B, MATCH($A72, Config!A:A, 0))=""Local"", 2,
     IF( INDEX(Config!B:B, "&amp;"MATCH($A72, Config!A:A, 0))=""Regional"", 3, 4 )
   )
 ),
"""")
"),138.0)</f>
        <v>138</v>
      </c>
      <c r="J72" s="16">
        <f>IFERROR(__xludf.DUMMYFUNCTION("IFERROR(
 ( E72 * INDEX(FILTER(Pricing_Rules!E:E, Pricing_Rules!A:A=A72, Pricing_Rules!B:B=B72, Pricing_Rules!C:C&lt;=E72, Pricing_Rules!D:D&gt;=E72), 1)
   + INDEX(FILTER(Pricing_Rules!F:F, Pricing_Rules!A:A=A72, Pricing_Rules!B:B=B72, Pricing_Rules!C:C&lt;=E72, "&amp;"Pricing_Rules!D:D&gt;=E72), 1)
 )
 * (1 + IFERROR( INDEX(Config!D:D, MATCH(A72, Config!A:A, 0)), 0 )),
"""")
"),179.21839999999997)</f>
        <v>179.2184</v>
      </c>
      <c r="K72" s="19">
        <f t="shared" si="1"/>
        <v>320.7816</v>
      </c>
      <c r="L72" s="20">
        <f t="shared" si="2"/>
        <v>0.3211027027</v>
      </c>
    </row>
    <row r="73" ht="15.75" customHeight="1">
      <c r="A73" s="9" t="s">
        <v>1162</v>
      </c>
      <c r="B73" s="12" t="str">
        <f t="array" ref="B73">IF(D73="","",
 INDEX(Product_Master!A:A,
       MATCH( INDEX(Pack_Master!B:B, MATCH(D73, Pack_Master!A:A, 0)),
              Product_Master!B:B, 0 )
))
</f>
        <v>Kitchen_Containers</v>
      </c>
      <c r="C73" s="13" t="s">
        <v>439</v>
      </c>
      <c r="D73" s="14" t="s">
        <v>440</v>
      </c>
      <c r="E73" s="15">
        <v>999.0</v>
      </c>
      <c r="F73" s="16">
        <f t="array" ref="F73">IFERROR(
  VALUE( INDEX(Product_Master!$I:$I,
               MATCH( INDEX(Pack_Master!$B:$B, MATCH($D73, Pack_Master!$A:$A, 0)),
                      Product_Master!$B:$B, 0)
  )) 
  * VALUE( INDEX(Pack_Master!$C:$C, MATCH($D73, Pack_Master!$A:$A, 0)) )
  + VALUE( INDEX(Pack_Master!$D:$D, MATCH($D73, Pack_Master!$A:$A, 0)) ),
"")
</f>
        <v>949</v>
      </c>
      <c r="G73" s="17">
        <f t="array" ref="G73">IFERROR(
 ( INDEX(Pack_Master!E:E, MATCH($D73, Pack_Master!A:A, 0))
   * INDEX(Pack_Master!F:F, MATCH($D73, Pack_Master!A:A, 0))
   * INDEX(Pack_Master!G:G, MATCH($D73, Pack_Master!A:A, 0))
 ) / INDEX(Config!C:C, MATCH($A73, Config!A:A, 0)),
"")
</f>
        <v>1.6</v>
      </c>
      <c r="H73" s="17">
        <f t="array" ref="H73">MAX( INDEX(Pack_Master!H:H, MATCH($D73, Pack_Master!A:A, 0)),
      IFERROR(G73, 0) )
</f>
        <v>1.6</v>
      </c>
      <c r="I73" s="18">
        <f>IFERROR(__xludf.DUMMYFUNCTION("IFERROR(
 INDEX(
   FILTER(Shipping_Rate_Card!B:F, Shipping_Rate_Card!A:A=$A73),
   MATCH($H73, FILTER(Shipping_Rate_Card!B:B, Shipping_Rate_Card!A:A=$A73), 1),
   IF( INDEX(Config!B:B, MATCH($A73, Config!A:A, 0))=""Local"", 2,
     IF( INDEX(Config!B:B, "&amp;"MATCH($A73, Config!A:A, 0))=""Regional"", 3, 4 )
   )
 ),
"""")
"),138.0)</f>
        <v>138</v>
      </c>
      <c r="J73" s="16">
        <f>IFERROR(__xludf.DUMMYFUNCTION("IFERROR(
 ( E73 * INDEX(FILTER(Pricing_Rules!E:E, Pricing_Rules!A:A=A73, Pricing_Rules!B:B=B73, Pricing_Rules!C:C&lt;=E73, Pricing_Rules!D:D&gt;=E73), 1)
   + INDEX(FILTER(Pricing_Rules!F:F, Pricing_Rules!A:A=A73, Pricing_Rules!B:B=B73, Pricing_Rules!C:C&lt;=E73, "&amp;"Pricing_Rules!D:D&gt;=E73), 1)
 )
 * (1 + IFERROR( INDEX(Config!D:D, MATCH(A73, Config!A:A, 0)), 0 )),
"""")
"),179.21839999999997)</f>
        <v>179.2184</v>
      </c>
      <c r="K73" s="19">
        <f t="shared" si="1"/>
        <v>-267.2184</v>
      </c>
      <c r="L73" s="20">
        <f t="shared" si="2"/>
        <v>-0.2674858859</v>
      </c>
    </row>
    <row r="74" ht="15.75" customHeight="1">
      <c r="A74" s="9" t="s">
        <v>1162</v>
      </c>
      <c r="B74" s="12" t="str">
        <f t="array" ref="B74">IF(D74="","",
 INDEX(Product_Master!A:A,
       MATCH( INDEX(Pack_Master!B:B, MATCH(D74, Pack_Master!A:A, 0)),
              Product_Master!B:B, 0 )
))
</f>
        <v>Kitchen_Containers</v>
      </c>
      <c r="C74" s="13" t="s">
        <v>439</v>
      </c>
      <c r="D74" s="14" t="s">
        <v>440</v>
      </c>
      <c r="E74" s="15">
        <v>999.0</v>
      </c>
      <c r="F74" s="16">
        <f t="array" ref="F74">IFERROR(
  VALUE( INDEX(Product_Master!$I:$I,
               MATCH( INDEX(Pack_Master!$B:$B, MATCH($D74, Pack_Master!$A:$A, 0)),
                      Product_Master!$B:$B, 0)
  )) 
  * VALUE( INDEX(Pack_Master!$C:$C, MATCH($D74, Pack_Master!$A:$A, 0)) )
  + VALUE( INDEX(Pack_Master!$D:$D, MATCH($D74, Pack_Master!$A:$A, 0)) ),
"")
</f>
        <v>949</v>
      </c>
      <c r="G74" s="17">
        <f t="array" ref="G74">IFERROR(
 ( INDEX(Pack_Master!E:E, MATCH($D74, Pack_Master!A:A, 0))
   * INDEX(Pack_Master!F:F, MATCH($D74, Pack_Master!A:A, 0))
   * INDEX(Pack_Master!G:G, MATCH($D74, Pack_Master!A:A, 0))
 ) / INDEX(Config!C:C, MATCH($A74, Config!A:A, 0)),
"")
</f>
        <v>1.6</v>
      </c>
      <c r="H74" s="17">
        <f t="array" ref="H74">MAX( INDEX(Pack_Master!H:H, MATCH($D74, Pack_Master!A:A, 0)),
      IFERROR(G74, 0) )
</f>
        <v>1.6</v>
      </c>
      <c r="I74" s="18">
        <f>IFERROR(__xludf.DUMMYFUNCTION("IFERROR(
 INDEX(
   FILTER(Shipping_Rate_Card!B:F, Shipping_Rate_Card!A:A=$A74),
   MATCH($H74, FILTER(Shipping_Rate_Card!B:B, Shipping_Rate_Card!A:A=$A74), 1),
   IF( INDEX(Config!B:B, MATCH($A74, Config!A:A, 0))=""Local"", 2,
     IF( INDEX(Config!B:B, "&amp;"MATCH($A74, Config!A:A, 0))=""Regional"", 3, 4 )
   )
 ),
"""")
"),138.0)</f>
        <v>138</v>
      </c>
      <c r="J74" s="16">
        <f>IFERROR(__xludf.DUMMYFUNCTION("IFERROR(
 ( E74 * INDEX(FILTER(Pricing_Rules!E:E, Pricing_Rules!A:A=A74, Pricing_Rules!B:B=B74, Pricing_Rules!C:C&lt;=E74, Pricing_Rules!D:D&gt;=E74), 1)
   + INDEX(FILTER(Pricing_Rules!F:F, Pricing_Rules!A:A=A74, Pricing_Rules!B:B=B74, Pricing_Rules!C:C&lt;=E74, "&amp;"Pricing_Rules!D:D&gt;=E74), 1)
 )
 * (1 + IFERROR( INDEX(Config!D:D, MATCH(A74, Config!A:A, 0)), 0 )),
"""")
"),179.21839999999997)</f>
        <v>179.2184</v>
      </c>
      <c r="K74" s="19">
        <f t="shared" si="1"/>
        <v>-267.2184</v>
      </c>
      <c r="L74" s="20">
        <f t="shared" si="2"/>
        <v>-0.2674858859</v>
      </c>
    </row>
    <row r="75" ht="15.75" customHeight="1">
      <c r="A75" s="9" t="s">
        <v>1162</v>
      </c>
      <c r="B75" s="12" t="str">
        <f t="array" ref="B75">IF(D75="","",
 INDEX(Product_Master!A:A,
       MATCH( INDEX(Pack_Master!B:B, MATCH(D75, Pack_Master!A:A, 0)),
              Product_Master!B:B, 0 )
))
</f>
        <v>Kitchen_Containers</v>
      </c>
      <c r="C75" s="13" t="s">
        <v>441</v>
      </c>
      <c r="D75" s="14" t="s">
        <v>442</v>
      </c>
      <c r="E75" s="15">
        <v>999.0</v>
      </c>
      <c r="F75" s="16">
        <f t="array" ref="F75">IFERROR(
  VALUE( INDEX(Product_Master!$I:$I,
               MATCH( INDEX(Pack_Master!$B:$B, MATCH($D75, Pack_Master!$A:$A, 0)),
                      Product_Master!$B:$B, 0)
  )) 
  * VALUE( INDEX(Pack_Master!$C:$C, MATCH($D75, Pack_Master!$A:$A, 0)) )
  + VALUE( INDEX(Pack_Master!$D:$D, MATCH($D75, Pack_Master!$A:$A, 0)) ),
"")
</f>
        <v>179</v>
      </c>
      <c r="G75" s="17">
        <f t="array" ref="G75">IFERROR(
 ( INDEX(Pack_Master!E:E, MATCH($D75, Pack_Master!A:A, 0))
   * INDEX(Pack_Master!F:F, MATCH($D75, Pack_Master!A:A, 0))
   * INDEX(Pack_Master!G:G, MATCH($D75, Pack_Master!A:A, 0))
 ) / INDEX(Config!C:C, MATCH($A75, Config!A:A, 0)),
"")
</f>
        <v>1.6</v>
      </c>
      <c r="H75" s="17">
        <f t="array" ref="H75">MAX( INDEX(Pack_Master!H:H, MATCH($D75, Pack_Master!A:A, 0)),
      IFERROR(G75, 0) )
</f>
        <v>1.6</v>
      </c>
      <c r="I75" s="18">
        <f>IFERROR(__xludf.DUMMYFUNCTION("IFERROR(
 INDEX(
   FILTER(Shipping_Rate_Card!B:F, Shipping_Rate_Card!A:A=$A75),
   MATCH($H75, FILTER(Shipping_Rate_Card!B:B, Shipping_Rate_Card!A:A=$A75), 1),
   IF( INDEX(Config!B:B, MATCH($A75, Config!A:A, 0))=""Local"", 2,
     IF( INDEX(Config!B:B, "&amp;"MATCH($A75, Config!A:A, 0))=""Regional"", 3, 4 )
   )
 ),
"""")
"),138.0)</f>
        <v>138</v>
      </c>
      <c r="J75" s="16">
        <f>IFERROR(__xludf.DUMMYFUNCTION("IFERROR(
 ( E75 * INDEX(FILTER(Pricing_Rules!E:E, Pricing_Rules!A:A=A75, Pricing_Rules!B:B=B75, Pricing_Rules!C:C&lt;=E75, Pricing_Rules!D:D&gt;=E75), 1)
   + INDEX(FILTER(Pricing_Rules!F:F, Pricing_Rules!A:A=A75, Pricing_Rules!B:B=B75, Pricing_Rules!C:C&lt;=E75, "&amp;"Pricing_Rules!D:D&gt;=E75), 1)
 )
 * (1 + IFERROR( INDEX(Config!D:D, MATCH(A75, Config!A:A, 0)), 0 )),
"""")
"),179.21839999999997)</f>
        <v>179.2184</v>
      </c>
      <c r="K75" s="19">
        <f t="shared" si="1"/>
        <v>502.7816</v>
      </c>
      <c r="L75" s="20">
        <f t="shared" si="2"/>
        <v>0.5032848849</v>
      </c>
    </row>
    <row r="76" ht="15.75" customHeight="1">
      <c r="A76" s="9" t="s">
        <v>1162</v>
      </c>
      <c r="B76" s="12" t="str">
        <f t="array" ref="B76">IF(D76="","",
 INDEX(Product_Master!A:A,
       MATCH( INDEX(Pack_Master!B:B, MATCH(D76, Pack_Master!A:A, 0)),
              Product_Master!B:B, 0 )
))
</f>
        <v>Kitchen_Containers</v>
      </c>
      <c r="C76" s="13" t="s">
        <v>441</v>
      </c>
      <c r="D76" s="14" t="s">
        <v>442</v>
      </c>
      <c r="E76" s="15">
        <v>999.0</v>
      </c>
      <c r="F76" s="16">
        <f t="array" ref="F76">IFERROR(
  VALUE( INDEX(Product_Master!$I:$I,
               MATCH( INDEX(Pack_Master!$B:$B, MATCH($D76, Pack_Master!$A:$A, 0)),
                      Product_Master!$B:$B, 0)
  )) 
  * VALUE( INDEX(Pack_Master!$C:$C, MATCH($D76, Pack_Master!$A:$A, 0)) )
  + VALUE( INDEX(Pack_Master!$D:$D, MATCH($D76, Pack_Master!$A:$A, 0)) ),
"")
</f>
        <v>179</v>
      </c>
      <c r="G76" s="17">
        <f t="array" ref="G76">IFERROR(
 ( INDEX(Pack_Master!E:E, MATCH($D76, Pack_Master!A:A, 0))
   * INDEX(Pack_Master!F:F, MATCH($D76, Pack_Master!A:A, 0))
   * INDEX(Pack_Master!G:G, MATCH($D76, Pack_Master!A:A, 0))
 ) / INDEX(Config!C:C, MATCH($A76, Config!A:A, 0)),
"")
</f>
        <v>1.6</v>
      </c>
      <c r="H76" s="17">
        <f t="array" ref="H76">MAX( INDEX(Pack_Master!H:H, MATCH($D76, Pack_Master!A:A, 0)),
      IFERROR(G76, 0) )
</f>
        <v>1.6</v>
      </c>
      <c r="I76" s="18">
        <f>IFERROR(__xludf.DUMMYFUNCTION("IFERROR(
 INDEX(
   FILTER(Shipping_Rate_Card!B:F, Shipping_Rate_Card!A:A=$A76),
   MATCH($H76, FILTER(Shipping_Rate_Card!B:B, Shipping_Rate_Card!A:A=$A76), 1),
   IF( INDEX(Config!B:B, MATCH($A76, Config!A:A, 0))=""Local"", 2,
     IF( INDEX(Config!B:B, "&amp;"MATCH($A76, Config!A:A, 0))=""Regional"", 3, 4 )
   )
 ),
"""")
"),138.0)</f>
        <v>138</v>
      </c>
      <c r="J76" s="16">
        <f>IFERROR(__xludf.DUMMYFUNCTION("IFERROR(
 ( E76 * INDEX(FILTER(Pricing_Rules!E:E, Pricing_Rules!A:A=A76, Pricing_Rules!B:B=B76, Pricing_Rules!C:C&lt;=E76, Pricing_Rules!D:D&gt;=E76), 1)
   + INDEX(FILTER(Pricing_Rules!F:F, Pricing_Rules!A:A=A76, Pricing_Rules!B:B=B76, Pricing_Rules!C:C&lt;=E76, "&amp;"Pricing_Rules!D:D&gt;=E76), 1)
 )
 * (1 + IFERROR( INDEX(Config!D:D, MATCH(A76, Config!A:A, 0)), 0 )),
"""")
"),179.21839999999997)</f>
        <v>179.2184</v>
      </c>
      <c r="K76" s="19">
        <f t="shared" si="1"/>
        <v>502.7816</v>
      </c>
      <c r="L76" s="20">
        <f t="shared" si="2"/>
        <v>0.5032848849</v>
      </c>
    </row>
    <row r="77" ht="15.75" customHeight="1">
      <c r="A77" s="9" t="s">
        <v>1162</v>
      </c>
      <c r="B77" s="12" t="str">
        <f t="array" ref="B77">IF(D77="","",
 INDEX(Product_Master!A:A,
       MATCH( INDEX(Pack_Master!B:B, MATCH(D77, Pack_Master!A:A, 0)),
              Product_Master!B:B, 0 )
))
</f>
        <v>Kitchen_Containers</v>
      </c>
      <c r="C77" s="13" t="s">
        <v>443</v>
      </c>
      <c r="D77" s="14" t="s">
        <v>444</v>
      </c>
      <c r="E77" s="15">
        <v>999.0</v>
      </c>
      <c r="F77" s="16">
        <f t="array" ref="F77">IFERROR(
  VALUE( INDEX(Product_Master!$I:$I,
               MATCH( INDEX(Pack_Master!$B:$B, MATCH($D77, Pack_Master!$A:$A, 0)),
                      Product_Master!$B:$B, 0)
  )) 
  * VALUE( INDEX(Pack_Master!$C:$C, MATCH($D77, Pack_Master!$A:$A, 0)) )
  + VALUE( INDEX(Pack_Master!$D:$D, MATCH($D77, Pack_Master!$A:$A, 0)) ),
"")
</f>
        <v>487</v>
      </c>
      <c r="G77" s="17">
        <f t="array" ref="G77">IFERROR(
 ( INDEX(Pack_Master!E:E, MATCH($D77, Pack_Master!A:A, 0))
   * INDEX(Pack_Master!F:F, MATCH($D77, Pack_Master!A:A, 0))
   * INDEX(Pack_Master!G:G, MATCH($D77, Pack_Master!A:A, 0))
 ) / INDEX(Config!C:C, MATCH($A77, Config!A:A, 0)),
"")
</f>
        <v>1.6</v>
      </c>
      <c r="H77" s="17">
        <f t="array" ref="H77">MAX( INDEX(Pack_Master!H:H, MATCH($D77, Pack_Master!A:A, 0)),
      IFERROR(G77, 0) )
</f>
        <v>1.6</v>
      </c>
      <c r="I77" s="18">
        <f>IFERROR(__xludf.DUMMYFUNCTION("IFERROR(
 INDEX(
   FILTER(Shipping_Rate_Card!B:F, Shipping_Rate_Card!A:A=$A77),
   MATCH($H77, FILTER(Shipping_Rate_Card!B:B, Shipping_Rate_Card!A:A=$A77), 1),
   IF( INDEX(Config!B:B, MATCH($A77, Config!A:A, 0))=""Local"", 2,
     IF( INDEX(Config!B:B, "&amp;"MATCH($A77, Config!A:A, 0))=""Regional"", 3, 4 )
   )
 ),
"""")
"),138.0)</f>
        <v>138</v>
      </c>
      <c r="J77" s="16">
        <f>IFERROR(__xludf.DUMMYFUNCTION("IFERROR(
 ( E77 * INDEX(FILTER(Pricing_Rules!E:E, Pricing_Rules!A:A=A77, Pricing_Rules!B:B=B77, Pricing_Rules!C:C&lt;=E77, Pricing_Rules!D:D&gt;=E77), 1)
   + INDEX(FILTER(Pricing_Rules!F:F, Pricing_Rules!A:A=A77, Pricing_Rules!B:B=B77, Pricing_Rules!C:C&lt;=E77, "&amp;"Pricing_Rules!D:D&gt;=E77), 1)
 )
 * (1 + IFERROR( INDEX(Config!D:D, MATCH(A77, Config!A:A, 0)), 0 )),
"""")
"),179.21839999999997)</f>
        <v>179.2184</v>
      </c>
      <c r="K77" s="19">
        <f t="shared" si="1"/>
        <v>194.7816</v>
      </c>
      <c r="L77" s="20">
        <f t="shared" si="2"/>
        <v>0.1949765766</v>
      </c>
    </row>
    <row r="78" ht="15.75" customHeight="1">
      <c r="A78" s="9" t="s">
        <v>1162</v>
      </c>
      <c r="B78" s="12" t="str">
        <f t="array" ref="B78">IF(D78="","",
 INDEX(Product_Master!A:A,
       MATCH( INDEX(Pack_Master!B:B, MATCH(D78, Pack_Master!A:A, 0)),
              Product_Master!B:B, 0 )
))
</f>
        <v>Kitchen_Containers</v>
      </c>
      <c r="C78" s="13" t="s">
        <v>443</v>
      </c>
      <c r="D78" s="14" t="s">
        <v>444</v>
      </c>
      <c r="E78" s="15">
        <v>999.0</v>
      </c>
      <c r="F78" s="16">
        <f t="array" ref="F78">IFERROR(
  VALUE( INDEX(Product_Master!$I:$I,
               MATCH( INDEX(Pack_Master!$B:$B, MATCH($D78, Pack_Master!$A:$A, 0)),
                      Product_Master!$B:$B, 0)
  )) 
  * VALUE( INDEX(Pack_Master!$C:$C, MATCH($D78, Pack_Master!$A:$A, 0)) )
  + VALUE( INDEX(Pack_Master!$D:$D, MATCH($D78, Pack_Master!$A:$A, 0)) ),
"")
</f>
        <v>487</v>
      </c>
      <c r="G78" s="17">
        <f t="array" ref="G78">IFERROR(
 ( INDEX(Pack_Master!E:E, MATCH($D78, Pack_Master!A:A, 0))
   * INDEX(Pack_Master!F:F, MATCH($D78, Pack_Master!A:A, 0))
   * INDEX(Pack_Master!G:G, MATCH($D78, Pack_Master!A:A, 0))
 ) / INDEX(Config!C:C, MATCH($A78, Config!A:A, 0)),
"")
</f>
        <v>1.6</v>
      </c>
      <c r="H78" s="17">
        <f t="array" ref="H78">MAX( INDEX(Pack_Master!H:H, MATCH($D78, Pack_Master!A:A, 0)),
      IFERROR(G78, 0) )
</f>
        <v>1.6</v>
      </c>
      <c r="I78" s="18">
        <f>IFERROR(__xludf.DUMMYFUNCTION("IFERROR(
 INDEX(
   FILTER(Shipping_Rate_Card!B:F, Shipping_Rate_Card!A:A=$A78),
   MATCH($H78, FILTER(Shipping_Rate_Card!B:B, Shipping_Rate_Card!A:A=$A78), 1),
   IF( INDEX(Config!B:B, MATCH($A78, Config!A:A, 0))=""Local"", 2,
     IF( INDEX(Config!B:B, "&amp;"MATCH($A78, Config!A:A, 0))=""Regional"", 3, 4 )
   )
 ),
"""")
"),138.0)</f>
        <v>138</v>
      </c>
      <c r="J78" s="16">
        <f>IFERROR(__xludf.DUMMYFUNCTION("IFERROR(
 ( E78 * INDEX(FILTER(Pricing_Rules!E:E, Pricing_Rules!A:A=A78, Pricing_Rules!B:B=B78, Pricing_Rules!C:C&lt;=E78, Pricing_Rules!D:D&gt;=E78), 1)
   + INDEX(FILTER(Pricing_Rules!F:F, Pricing_Rules!A:A=A78, Pricing_Rules!B:B=B78, Pricing_Rules!C:C&lt;=E78, "&amp;"Pricing_Rules!D:D&gt;=E78), 1)
 )
 * (1 + IFERROR( INDEX(Config!D:D, MATCH(A78, Config!A:A, 0)), 0 )),
"""")
"),179.21839999999997)</f>
        <v>179.2184</v>
      </c>
      <c r="K78" s="19">
        <f t="shared" si="1"/>
        <v>194.7816</v>
      </c>
      <c r="L78" s="20">
        <f t="shared" si="2"/>
        <v>0.1949765766</v>
      </c>
    </row>
    <row r="79" ht="15.75" customHeight="1">
      <c r="A79" s="9" t="s">
        <v>1162</v>
      </c>
      <c r="B79" s="12" t="str">
        <f t="array" ref="B79">IF(D79="","",
 INDEX(Product_Master!A:A,
       MATCH( INDEX(Pack_Master!B:B, MATCH(D79, Pack_Master!A:A, 0)),
              Product_Master!B:B, 0 )
))
</f>
        <v>Kitchen_Containers</v>
      </c>
      <c r="C79" s="13" t="s">
        <v>445</v>
      </c>
      <c r="D79" s="14" t="s">
        <v>446</v>
      </c>
      <c r="E79" s="15">
        <v>999.0</v>
      </c>
      <c r="F79" s="16">
        <f t="array" ref="F79">IFERROR(
  VALUE( INDEX(Product_Master!$I:$I,
               MATCH( INDEX(Pack_Master!$B:$B, MATCH($D79, Pack_Master!$A:$A, 0)),
                      Product_Master!$B:$B, 0)
  )) 
  * VALUE( INDEX(Pack_Master!$C:$C, MATCH($D79, Pack_Master!$A:$A, 0)) )
  + VALUE( INDEX(Pack_Master!$D:$D, MATCH($D79, Pack_Master!$A:$A, 0)) ),
"")
</f>
        <v>1393</v>
      </c>
      <c r="G79" s="17">
        <f t="array" ref="G79">IFERROR(
 ( INDEX(Pack_Master!E:E, MATCH($D79, Pack_Master!A:A, 0))
   * INDEX(Pack_Master!F:F, MATCH($D79, Pack_Master!A:A, 0))
   * INDEX(Pack_Master!G:G, MATCH($D79, Pack_Master!A:A, 0))
 ) / INDEX(Config!C:C, MATCH($A79, Config!A:A, 0)),
"")
</f>
        <v>1.6</v>
      </c>
      <c r="H79" s="17">
        <f t="array" ref="H79">MAX( INDEX(Pack_Master!H:H, MATCH($D79, Pack_Master!A:A, 0)),
      IFERROR(G79, 0) )
</f>
        <v>1.6</v>
      </c>
      <c r="I79" s="18">
        <f>IFERROR(__xludf.DUMMYFUNCTION("IFERROR(
 INDEX(
   FILTER(Shipping_Rate_Card!B:F, Shipping_Rate_Card!A:A=$A79),
   MATCH($H79, FILTER(Shipping_Rate_Card!B:B, Shipping_Rate_Card!A:A=$A79), 1),
   IF( INDEX(Config!B:B, MATCH($A79, Config!A:A, 0))=""Local"", 2,
     IF( INDEX(Config!B:B, "&amp;"MATCH($A79, Config!A:A, 0))=""Regional"", 3, 4 )
   )
 ),
"""")
"),138.0)</f>
        <v>138</v>
      </c>
      <c r="J79" s="16">
        <f>IFERROR(__xludf.DUMMYFUNCTION("IFERROR(
 ( E79 * INDEX(FILTER(Pricing_Rules!E:E, Pricing_Rules!A:A=A79, Pricing_Rules!B:B=B79, Pricing_Rules!C:C&lt;=E79, Pricing_Rules!D:D&gt;=E79), 1)
   + INDEX(FILTER(Pricing_Rules!F:F, Pricing_Rules!A:A=A79, Pricing_Rules!B:B=B79, Pricing_Rules!C:C&lt;=E79, "&amp;"Pricing_Rules!D:D&gt;=E79), 1)
 )
 * (1 + IFERROR( INDEX(Config!D:D, MATCH(A79, Config!A:A, 0)), 0 )),
"""")
"),179.21839999999997)</f>
        <v>179.2184</v>
      </c>
      <c r="K79" s="19">
        <f t="shared" si="1"/>
        <v>-711.2184</v>
      </c>
      <c r="L79" s="20">
        <f t="shared" si="2"/>
        <v>-0.7119303303</v>
      </c>
    </row>
    <row r="80" ht="15.75" customHeight="1">
      <c r="A80" s="9" t="s">
        <v>1162</v>
      </c>
      <c r="B80" s="12" t="str">
        <f t="array" ref="B80">IF(D80="","",
 INDEX(Product_Master!A:A,
       MATCH( INDEX(Pack_Master!B:B, MATCH(D80, Pack_Master!A:A, 0)),
              Product_Master!B:B, 0 )
))
</f>
        <v>Kitchen_Containers</v>
      </c>
      <c r="C80" s="13" t="s">
        <v>445</v>
      </c>
      <c r="D80" s="14" t="s">
        <v>446</v>
      </c>
      <c r="E80" s="15">
        <v>999.0</v>
      </c>
      <c r="F80" s="16">
        <f t="array" ref="F80">IFERROR(
  VALUE( INDEX(Product_Master!$I:$I,
               MATCH( INDEX(Pack_Master!$B:$B, MATCH($D80, Pack_Master!$A:$A, 0)),
                      Product_Master!$B:$B, 0)
  )) 
  * VALUE( INDEX(Pack_Master!$C:$C, MATCH($D80, Pack_Master!$A:$A, 0)) )
  + VALUE( INDEX(Pack_Master!$D:$D, MATCH($D80, Pack_Master!$A:$A, 0)) ),
"")
</f>
        <v>1393</v>
      </c>
      <c r="G80" s="17">
        <f t="array" ref="G80">IFERROR(
 ( INDEX(Pack_Master!E:E, MATCH($D80, Pack_Master!A:A, 0))
   * INDEX(Pack_Master!F:F, MATCH($D80, Pack_Master!A:A, 0))
   * INDEX(Pack_Master!G:G, MATCH($D80, Pack_Master!A:A, 0))
 ) / INDEX(Config!C:C, MATCH($A80, Config!A:A, 0)),
"")
</f>
        <v>1.6</v>
      </c>
      <c r="H80" s="17">
        <f t="array" ref="H80">MAX( INDEX(Pack_Master!H:H, MATCH($D80, Pack_Master!A:A, 0)),
      IFERROR(G80, 0) )
</f>
        <v>1.6</v>
      </c>
      <c r="I80" s="18">
        <f>IFERROR(__xludf.DUMMYFUNCTION("IFERROR(
 INDEX(
   FILTER(Shipping_Rate_Card!B:F, Shipping_Rate_Card!A:A=$A80),
   MATCH($H80, FILTER(Shipping_Rate_Card!B:B, Shipping_Rate_Card!A:A=$A80), 1),
   IF( INDEX(Config!B:B, MATCH($A80, Config!A:A, 0))=""Local"", 2,
     IF( INDEX(Config!B:B, "&amp;"MATCH($A80, Config!A:A, 0))=""Regional"", 3, 4 )
   )
 ),
"""")
"),138.0)</f>
        <v>138</v>
      </c>
      <c r="J80" s="16">
        <f>IFERROR(__xludf.DUMMYFUNCTION("IFERROR(
 ( E80 * INDEX(FILTER(Pricing_Rules!E:E, Pricing_Rules!A:A=A80, Pricing_Rules!B:B=B80, Pricing_Rules!C:C&lt;=E80, Pricing_Rules!D:D&gt;=E80), 1)
   + INDEX(FILTER(Pricing_Rules!F:F, Pricing_Rules!A:A=A80, Pricing_Rules!B:B=B80, Pricing_Rules!C:C&lt;=E80, "&amp;"Pricing_Rules!D:D&gt;=E80), 1)
 )
 * (1 + IFERROR( INDEX(Config!D:D, MATCH(A80, Config!A:A, 0)), 0 )),
"""")
"),179.21839999999997)</f>
        <v>179.2184</v>
      </c>
      <c r="K80" s="19">
        <f t="shared" si="1"/>
        <v>-711.2184</v>
      </c>
      <c r="L80" s="20">
        <f t="shared" si="2"/>
        <v>-0.7119303303</v>
      </c>
    </row>
    <row r="81" ht="15.75" customHeight="1">
      <c r="A81" s="9" t="s">
        <v>1162</v>
      </c>
      <c r="B81" s="12" t="str">
        <f t="array" ref="B81">IF(D81="","",
 INDEX(Product_Master!A:A,
       MATCH( INDEX(Pack_Master!B:B, MATCH(D81, Pack_Master!A:A, 0)),
              Product_Master!B:B, 0 )
))
</f>
        <v>Kitchen_Containers</v>
      </c>
      <c r="C81" s="13" t="s">
        <v>447</v>
      </c>
      <c r="D81" s="14" t="s">
        <v>448</v>
      </c>
      <c r="E81" s="15">
        <v>999.0</v>
      </c>
      <c r="F81" s="16">
        <f t="array" ref="F81">IFERROR(
  VALUE( INDEX(Product_Master!$I:$I,
               MATCH( INDEX(Pack_Master!$B:$B, MATCH($D81, Pack_Master!$A:$A, 0)),
                      Product_Master!$B:$B, 0)
  )) 
  * VALUE( INDEX(Pack_Master!$C:$C, MATCH($D81, Pack_Master!$A:$A, 0)) )
  + VALUE( INDEX(Pack_Master!$D:$D, MATCH($D81, Pack_Master!$A:$A, 0)) ),
"")
</f>
        <v>253</v>
      </c>
      <c r="G81" s="17">
        <f t="array" ref="G81">IFERROR(
 ( INDEX(Pack_Master!E:E, MATCH($D81, Pack_Master!A:A, 0))
   * INDEX(Pack_Master!F:F, MATCH($D81, Pack_Master!A:A, 0))
   * INDEX(Pack_Master!G:G, MATCH($D81, Pack_Master!A:A, 0))
 ) / INDEX(Config!C:C, MATCH($A81, Config!A:A, 0)),
"")
</f>
        <v>1.6</v>
      </c>
      <c r="H81" s="17">
        <f t="array" ref="H81">MAX( INDEX(Pack_Master!H:H, MATCH($D81, Pack_Master!A:A, 0)),
      IFERROR(G81, 0) )
</f>
        <v>1.6</v>
      </c>
      <c r="I81" s="18">
        <f>IFERROR(__xludf.DUMMYFUNCTION("IFERROR(
 INDEX(
   FILTER(Shipping_Rate_Card!B:F, Shipping_Rate_Card!A:A=$A81),
   MATCH($H81, FILTER(Shipping_Rate_Card!B:B, Shipping_Rate_Card!A:A=$A81), 1),
   IF( INDEX(Config!B:B, MATCH($A81, Config!A:A, 0))=""Local"", 2,
     IF( INDEX(Config!B:B, "&amp;"MATCH($A81, Config!A:A, 0))=""Regional"", 3, 4 )
   )
 ),
"""")
"),138.0)</f>
        <v>138</v>
      </c>
      <c r="J81" s="16">
        <f>IFERROR(__xludf.DUMMYFUNCTION("IFERROR(
 ( E81 * INDEX(FILTER(Pricing_Rules!E:E, Pricing_Rules!A:A=A81, Pricing_Rules!B:B=B81, Pricing_Rules!C:C&lt;=E81, Pricing_Rules!D:D&gt;=E81), 1)
   + INDEX(FILTER(Pricing_Rules!F:F, Pricing_Rules!A:A=A81, Pricing_Rules!B:B=B81, Pricing_Rules!C:C&lt;=E81, "&amp;"Pricing_Rules!D:D&gt;=E81), 1)
 )
 * (1 + IFERROR( INDEX(Config!D:D, MATCH(A81, Config!A:A, 0)), 0 )),
"""")
"),179.21839999999997)</f>
        <v>179.2184</v>
      </c>
      <c r="K81" s="19">
        <f t="shared" si="1"/>
        <v>428.7816</v>
      </c>
      <c r="L81" s="20">
        <f t="shared" si="2"/>
        <v>0.4292108108</v>
      </c>
    </row>
    <row r="82" ht="15.75" customHeight="1">
      <c r="A82" s="9" t="s">
        <v>1162</v>
      </c>
      <c r="B82" s="12" t="str">
        <f t="array" ref="B82">IF(D82="","",
 INDEX(Product_Master!A:A,
       MATCH( INDEX(Pack_Master!B:B, MATCH(D82, Pack_Master!A:A, 0)),
              Product_Master!B:B, 0 )
))
</f>
        <v>Kitchen_Containers</v>
      </c>
      <c r="C82" s="13" t="s">
        <v>447</v>
      </c>
      <c r="D82" s="14" t="s">
        <v>448</v>
      </c>
      <c r="E82" s="15">
        <v>999.0</v>
      </c>
      <c r="F82" s="16">
        <f t="array" ref="F82">IFERROR(
  VALUE( INDEX(Product_Master!$I:$I,
               MATCH( INDEX(Pack_Master!$B:$B, MATCH($D82, Pack_Master!$A:$A, 0)),
                      Product_Master!$B:$B, 0)
  )) 
  * VALUE( INDEX(Pack_Master!$C:$C, MATCH($D82, Pack_Master!$A:$A, 0)) )
  + VALUE( INDEX(Pack_Master!$D:$D, MATCH($D82, Pack_Master!$A:$A, 0)) ),
"")
</f>
        <v>253</v>
      </c>
      <c r="G82" s="17">
        <f t="array" ref="G82">IFERROR(
 ( INDEX(Pack_Master!E:E, MATCH($D82, Pack_Master!A:A, 0))
   * INDEX(Pack_Master!F:F, MATCH($D82, Pack_Master!A:A, 0))
   * INDEX(Pack_Master!G:G, MATCH($D82, Pack_Master!A:A, 0))
 ) / INDEX(Config!C:C, MATCH($A82, Config!A:A, 0)),
"")
</f>
        <v>1.6</v>
      </c>
      <c r="H82" s="17">
        <f t="array" ref="H82">MAX( INDEX(Pack_Master!H:H, MATCH($D82, Pack_Master!A:A, 0)),
      IFERROR(G82, 0) )
</f>
        <v>1.6</v>
      </c>
      <c r="I82" s="18">
        <f>IFERROR(__xludf.DUMMYFUNCTION("IFERROR(
 INDEX(
   FILTER(Shipping_Rate_Card!B:F, Shipping_Rate_Card!A:A=$A82),
   MATCH($H82, FILTER(Shipping_Rate_Card!B:B, Shipping_Rate_Card!A:A=$A82), 1),
   IF( INDEX(Config!B:B, MATCH($A82, Config!A:A, 0))=""Local"", 2,
     IF( INDEX(Config!B:B, "&amp;"MATCH($A82, Config!A:A, 0))=""Regional"", 3, 4 )
   )
 ),
"""")
"),138.0)</f>
        <v>138</v>
      </c>
      <c r="J82" s="16">
        <f>IFERROR(__xludf.DUMMYFUNCTION("IFERROR(
 ( E82 * INDEX(FILTER(Pricing_Rules!E:E, Pricing_Rules!A:A=A82, Pricing_Rules!B:B=B82, Pricing_Rules!C:C&lt;=E82, Pricing_Rules!D:D&gt;=E82), 1)
   + INDEX(FILTER(Pricing_Rules!F:F, Pricing_Rules!A:A=A82, Pricing_Rules!B:B=B82, Pricing_Rules!C:C&lt;=E82, "&amp;"Pricing_Rules!D:D&gt;=E82), 1)
 )
 * (1 + IFERROR( INDEX(Config!D:D, MATCH(A82, Config!A:A, 0)), 0 )),
"""")
"),179.21839999999997)</f>
        <v>179.2184</v>
      </c>
      <c r="K82" s="19">
        <f t="shared" si="1"/>
        <v>428.7816</v>
      </c>
      <c r="L82" s="20">
        <f t="shared" si="2"/>
        <v>0.4292108108</v>
      </c>
    </row>
    <row r="83" ht="15.75" customHeight="1">
      <c r="A83" s="9" t="s">
        <v>1162</v>
      </c>
      <c r="B83" s="12" t="str">
        <f t="array" ref="B83">IF(D83="","",
 INDEX(Product_Master!A:A,
       MATCH( INDEX(Pack_Master!B:B, MATCH(D83, Pack_Master!A:A, 0)),
              Product_Master!B:B, 0 )
))
</f>
        <v>Kitchen_Containers</v>
      </c>
      <c r="C83" s="13" t="s">
        <v>449</v>
      </c>
      <c r="D83" s="14" t="s">
        <v>450</v>
      </c>
      <c r="E83" s="15">
        <v>999.0</v>
      </c>
      <c r="F83" s="16">
        <f t="array" ref="F83">IFERROR(
  VALUE( INDEX(Product_Master!$I:$I,
               MATCH( INDEX(Pack_Master!$B:$B, MATCH($D83, Pack_Master!$A:$A, 0)),
                      Product_Master!$B:$B, 0)
  )) 
  * VALUE( INDEX(Pack_Master!$C:$C, MATCH($D83, Pack_Master!$A:$A, 0)) )
  + VALUE( INDEX(Pack_Master!$D:$D, MATCH($D83, Pack_Master!$A:$A, 0)) ),
"")
</f>
        <v>709</v>
      </c>
      <c r="G83" s="17">
        <f t="array" ref="G83">IFERROR(
 ( INDEX(Pack_Master!E:E, MATCH($D83, Pack_Master!A:A, 0))
   * INDEX(Pack_Master!F:F, MATCH($D83, Pack_Master!A:A, 0))
   * INDEX(Pack_Master!G:G, MATCH($D83, Pack_Master!A:A, 0))
 ) / INDEX(Config!C:C, MATCH($A83, Config!A:A, 0)),
"")
</f>
        <v>1.6</v>
      </c>
      <c r="H83" s="17">
        <f t="array" ref="H83">MAX( INDEX(Pack_Master!H:H, MATCH($D83, Pack_Master!A:A, 0)),
      IFERROR(G83, 0) )
</f>
        <v>1.6</v>
      </c>
      <c r="I83" s="18">
        <f>IFERROR(__xludf.DUMMYFUNCTION("IFERROR(
 INDEX(
   FILTER(Shipping_Rate_Card!B:F, Shipping_Rate_Card!A:A=$A83),
   MATCH($H83, FILTER(Shipping_Rate_Card!B:B, Shipping_Rate_Card!A:A=$A83), 1),
   IF( INDEX(Config!B:B, MATCH($A83, Config!A:A, 0))=""Local"", 2,
     IF( INDEX(Config!B:B, "&amp;"MATCH($A83, Config!A:A, 0))=""Regional"", 3, 4 )
   )
 ),
"""")
"),138.0)</f>
        <v>138</v>
      </c>
      <c r="J83" s="16">
        <f>IFERROR(__xludf.DUMMYFUNCTION("IFERROR(
 ( E83 * INDEX(FILTER(Pricing_Rules!E:E, Pricing_Rules!A:A=A83, Pricing_Rules!B:B=B83, Pricing_Rules!C:C&lt;=E83, Pricing_Rules!D:D&gt;=E83), 1)
   + INDEX(FILTER(Pricing_Rules!F:F, Pricing_Rules!A:A=A83, Pricing_Rules!B:B=B83, Pricing_Rules!C:C&lt;=E83, "&amp;"Pricing_Rules!D:D&gt;=E83), 1)
 )
 * (1 + IFERROR( INDEX(Config!D:D, MATCH(A83, Config!A:A, 0)), 0 )),
"""")
"),179.21839999999997)</f>
        <v>179.2184</v>
      </c>
      <c r="K83" s="19">
        <f t="shared" si="1"/>
        <v>-27.2184</v>
      </c>
      <c r="L83" s="20">
        <f t="shared" si="2"/>
        <v>-0.02724564565</v>
      </c>
    </row>
    <row r="84" ht="15.75" customHeight="1">
      <c r="A84" s="9" t="s">
        <v>1162</v>
      </c>
      <c r="B84" s="12" t="str">
        <f t="array" ref="B84">IF(D84="","",
 INDEX(Product_Master!A:A,
       MATCH( INDEX(Pack_Master!B:B, MATCH(D84, Pack_Master!A:A, 0)),
              Product_Master!B:B, 0 )
))
</f>
        <v>Kitchen_Containers</v>
      </c>
      <c r="C84" s="13" t="s">
        <v>449</v>
      </c>
      <c r="D84" s="14" t="s">
        <v>450</v>
      </c>
      <c r="E84" s="15">
        <v>999.0</v>
      </c>
      <c r="F84" s="16">
        <f t="array" ref="F84">IFERROR(
  VALUE( INDEX(Product_Master!$I:$I,
               MATCH( INDEX(Pack_Master!$B:$B, MATCH($D84, Pack_Master!$A:$A, 0)),
                      Product_Master!$B:$B, 0)
  )) 
  * VALUE( INDEX(Pack_Master!$C:$C, MATCH($D84, Pack_Master!$A:$A, 0)) )
  + VALUE( INDEX(Pack_Master!$D:$D, MATCH($D84, Pack_Master!$A:$A, 0)) ),
"")
</f>
        <v>709</v>
      </c>
      <c r="G84" s="17">
        <f t="array" ref="G84">IFERROR(
 ( INDEX(Pack_Master!E:E, MATCH($D84, Pack_Master!A:A, 0))
   * INDEX(Pack_Master!F:F, MATCH($D84, Pack_Master!A:A, 0))
   * INDEX(Pack_Master!G:G, MATCH($D84, Pack_Master!A:A, 0))
 ) / INDEX(Config!C:C, MATCH($A84, Config!A:A, 0)),
"")
</f>
        <v>1.6</v>
      </c>
      <c r="H84" s="17">
        <f t="array" ref="H84">MAX( INDEX(Pack_Master!H:H, MATCH($D84, Pack_Master!A:A, 0)),
      IFERROR(G84, 0) )
</f>
        <v>1.6</v>
      </c>
      <c r="I84" s="18">
        <f>IFERROR(__xludf.DUMMYFUNCTION("IFERROR(
 INDEX(
   FILTER(Shipping_Rate_Card!B:F, Shipping_Rate_Card!A:A=$A84),
   MATCH($H84, FILTER(Shipping_Rate_Card!B:B, Shipping_Rate_Card!A:A=$A84), 1),
   IF( INDEX(Config!B:B, MATCH($A84, Config!A:A, 0))=""Local"", 2,
     IF( INDEX(Config!B:B, "&amp;"MATCH($A84, Config!A:A, 0))=""Regional"", 3, 4 )
   )
 ),
"""")
"),138.0)</f>
        <v>138</v>
      </c>
      <c r="J84" s="16">
        <f>IFERROR(__xludf.DUMMYFUNCTION("IFERROR(
 ( E84 * INDEX(FILTER(Pricing_Rules!E:E, Pricing_Rules!A:A=A84, Pricing_Rules!B:B=B84, Pricing_Rules!C:C&lt;=E84, Pricing_Rules!D:D&gt;=E84), 1)
   + INDEX(FILTER(Pricing_Rules!F:F, Pricing_Rules!A:A=A84, Pricing_Rules!B:B=B84, Pricing_Rules!C:C&lt;=E84, "&amp;"Pricing_Rules!D:D&gt;=E84), 1)
 )
 * (1 + IFERROR( INDEX(Config!D:D, MATCH(A84, Config!A:A, 0)), 0 )),
"""")
"),179.21839999999997)</f>
        <v>179.2184</v>
      </c>
      <c r="K84" s="19">
        <f t="shared" si="1"/>
        <v>-27.2184</v>
      </c>
      <c r="L84" s="20">
        <f t="shared" si="2"/>
        <v>-0.02724564565</v>
      </c>
    </row>
    <row r="85" ht="15.75" customHeight="1">
      <c r="A85" s="9" t="s">
        <v>1162</v>
      </c>
      <c r="B85" s="12" t="str">
        <f t="array" ref="B85">IF(D85="","",
 INDEX(Product_Master!A:A,
       MATCH( INDEX(Pack_Master!B:B, MATCH(D85, Pack_Master!A:A, 0)),
              Product_Master!B:B, 0 )
))
</f>
        <v>Garden_Planters</v>
      </c>
      <c r="C85" s="13" t="s">
        <v>996</v>
      </c>
      <c r="D85" s="14" t="s">
        <v>871</v>
      </c>
      <c r="E85" s="15">
        <v>299.0</v>
      </c>
      <c r="F85" s="16">
        <f t="array" ref="F85">IFERROR(
  VALUE( INDEX(Product_Master!$I:$I,
               MATCH( INDEX(Pack_Master!$B:$B, MATCH($D85, Pack_Master!$A:$A, 0)),
                      Product_Master!$B:$B, 0)
  )) 
  * VALUE( INDEX(Pack_Master!$C:$C, MATCH($D85, Pack_Master!$A:$A, 0)) )
  + VALUE( INDEX(Pack_Master!$D:$D, MATCH($D85, Pack_Master!$A:$A, 0)) ),
"")
</f>
        <v>86.5</v>
      </c>
      <c r="G85" s="17">
        <f t="array" ref="G85">IFERROR(
 ( INDEX(Pack_Master!E:E, MATCH($D85, Pack_Master!A:A, 0))
   * INDEX(Pack_Master!F:F, MATCH($D85, Pack_Master!A:A, 0))
   * INDEX(Pack_Master!G:G, MATCH($D85, Pack_Master!A:A, 0))
 ) / INDEX(Config!C:C, MATCH($A85, Config!A:A, 0)),
"")
</f>
        <v>2.8392</v>
      </c>
      <c r="H85" s="17">
        <f t="array" ref="H85">MAX( INDEX(Pack_Master!H:H, MATCH($D85, Pack_Master!A:A, 0)),
      IFERROR(G85, 0) )
</f>
        <v>2.8392</v>
      </c>
      <c r="I85" s="18">
        <f>IFERROR(__xludf.DUMMYFUNCTION("IFERROR(
 INDEX(
   FILTER(Shipping_Rate_Card!B:F, Shipping_Rate_Card!A:A=$A85),
   MATCH($H85, FILTER(Shipping_Rate_Card!B:B, Shipping_Rate_Card!A:A=$A85), 1),
   IF( INDEX(Config!B:B, MATCH($A85, Config!A:A, 0))=""Local"", 2,
     IF( INDEX(Config!B:B, "&amp;"MATCH($A85, Config!A:A, 0))=""Regional"", 3, 4 )
   )
 ),
"""")
"),173.0)</f>
        <v>173</v>
      </c>
      <c r="J85" s="16">
        <f>IFERROR(__xludf.DUMMYFUNCTION("IFERROR(
 ( E85 * INDEX(FILTER(Pricing_Rules!E:E, Pricing_Rules!A:A=A85, Pricing_Rules!B:B=B85, Pricing_Rules!C:C&lt;=E85, Pricing_Rules!D:D&gt;=E85), 1)
   + INDEX(FILTER(Pricing_Rules!F:F, Pricing_Rules!A:A=A85, Pricing_Rules!B:B=B85, Pricing_Rules!C:C&lt;=E85, "&amp;"Pricing_Rules!D:D&gt;=E85), 1)
 )
 * (1 + IFERROR( INDEX(Config!D:D, MATCH(A85, Config!A:A, 0)), 0 )),
"""")
"),15.34)</f>
        <v>15.34</v>
      </c>
      <c r="K85" s="19">
        <f t="shared" si="1"/>
        <v>24.16</v>
      </c>
      <c r="L85" s="20">
        <f t="shared" si="2"/>
        <v>0.08080267559</v>
      </c>
    </row>
    <row r="86" ht="15.75" customHeight="1">
      <c r="A86" s="9" t="s">
        <v>1162</v>
      </c>
      <c r="B86" s="12" t="str">
        <f t="array" ref="B86">IF(D86="","",
 INDEX(Product_Master!A:A,
       MATCH( INDEX(Pack_Master!B:B, MATCH(D86, Pack_Master!A:A, 0)),
              Product_Master!B:B, 0 )
))
</f>
        <v>Garden_Planters</v>
      </c>
      <c r="C86" s="13" t="s">
        <v>996</v>
      </c>
      <c r="D86" s="14" t="s">
        <v>871</v>
      </c>
      <c r="E86" s="15">
        <v>299.0</v>
      </c>
      <c r="F86" s="16">
        <f t="array" ref="F86">IFERROR(
  VALUE( INDEX(Product_Master!$I:$I,
               MATCH( INDEX(Pack_Master!$B:$B, MATCH($D86, Pack_Master!$A:$A, 0)),
                      Product_Master!$B:$B, 0)
  )) 
  * VALUE( INDEX(Pack_Master!$C:$C, MATCH($D86, Pack_Master!$A:$A, 0)) )
  + VALUE( INDEX(Pack_Master!$D:$D, MATCH($D86, Pack_Master!$A:$A, 0)) ),
"")
</f>
        <v>86.5</v>
      </c>
      <c r="G86" s="17">
        <f t="array" ref="G86">IFERROR(
 ( INDEX(Pack_Master!E:E, MATCH($D86, Pack_Master!A:A, 0))
   * INDEX(Pack_Master!F:F, MATCH($D86, Pack_Master!A:A, 0))
   * INDEX(Pack_Master!G:G, MATCH($D86, Pack_Master!A:A, 0))
 ) / INDEX(Config!C:C, MATCH($A86, Config!A:A, 0)),
"")
</f>
        <v>2.8392</v>
      </c>
      <c r="H86" s="17">
        <f t="array" ref="H86">MAX( INDEX(Pack_Master!H:H, MATCH($D86, Pack_Master!A:A, 0)),
      IFERROR(G86, 0) )
</f>
        <v>2.8392</v>
      </c>
      <c r="I86" s="18">
        <f>IFERROR(__xludf.DUMMYFUNCTION("IFERROR(
 INDEX(
   FILTER(Shipping_Rate_Card!B:F, Shipping_Rate_Card!A:A=$A86),
   MATCH($H86, FILTER(Shipping_Rate_Card!B:B, Shipping_Rate_Card!A:A=$A86), 1),
   IF( INDEX(Config!B:B, MATCH($A86, Config!A:A, 0))=""Local"", 2,
     IF( INDEX(Config!B:B, "&amp;"MATCH($A86, Config!A:A, 0))=""Regional"", 3, 4 )
   )
 ),
"""")
"),173.0)</f>
        <v>173</v>
      </c>
      <c r="J86" s="16">
        <f>IFERROR(__xludf.DUMMYFUNCTION("IFERROR(
 ( E86 * INDEX(FILTER(Pricing_Rules!E:E, Pricing_Rules!A:A=A86, Pricing_Rules!B:B=B86, Pricing_Rules!C:C&lt;=E86, Pricing_Rules!D:D&gt;=E86), 1)
   + INDEX(FILTER(Pricing_Rules!F:F, Pricing_Rules!A:A=A86, Pricing_Rules!B:B=B86, Pricing_Rules!C:C&lt;=E86, "&amp;"Pricing_Rules!D:D&gt;=E86), 1)
 )
 * (1 + IFERROR( INDEX(Config!D:D, MATCH(A86, Config!A:A, 0)), 0 )),
"""")
"),15.34)</f>
        <v>15.34</v>
      </c>
      <c r="K86" s="19">
        <f t="shared" si="1"/>
        <v>24.16</v>
      </c>
      <c r="L86" s="20">
        <f t="shared" si="2"/>
        <v>0.08080267559</v>
      </c>
    </row>
    <row r="87" ht="15.75" customHeight="1">
      <c r="A87" s="9" t="s">
        <v>1162</v>
      </c>
      <c r="B87" s="12" t="str">
        <f t="array" ref="B87">IF(D87="","",
 INDEX(Product_Master!A:A,
       MATCH( INDEX(Pack_Master!B:B, MATCH(D87, Pack_Master!A:A, 0)),
              Product_Master!B:B, 0 )
))
</f>
        <v>Garden_Planters</v>
      </c>
      <c r="C87" s="13" t="s">
        <v>1001</v>
      </c>
      <c r="D87" s="14" t="s">
        <v>1002</v>
      </c>
      <c r="E87" s="15">
        <v>1449.0</v>
      </c>
      <c r="F87" s="16">
        <f t="array" ref="F87">IFERROR(
  VALUE( INDEX(Product_Master!$I:$I,
               MATCH( INDEX(Pack_Master!$B:$B, MATCH($D87, Pack_Master!$A:$A, 0)),
                      Product_Master!$B:$B, 0)
  )) 
  * VALUE( INDEX(Pack_Master!$C:$C, MATCH($D87, Pack_Master!$A:$A, 0)) )
  + VALUE( INDEX(Pack_Master!$D:$D, MATCH($D87, Pack_Master!$A:$A, 0)) ),
"")
</f>
        <v>488</v>
      </c>
      <c r="G87" s="17">
        <f t="array" ref="G87">IFERROR(
 ( INDEX(Pack_Master!E:E, MATCH($D87, Pack_Master!A:A, 0))
   * INDEX(Pack_Master!F:F, MATCH($D87, Pack_Master!A:A, 0))
   * INDEX(Pack_Master!G:G, MATCH($D87, Pack_Master!A:A, 0))
 ) / INDEX(Config!C:C, MATCH($A87, Config!A:A, 0)),
"")
</f>
        <v>6.2192</v>
      </c>
      <c r="H87" s="17">
        <f t="array" ref="H87">MAX( INDEX(Pack_Master!H:H, MATCH($D87, Pack_Master!A:A, 0)),
      IFERROR(G87, 0) )
</f>
        <v>6.2192</v>
      </c>
      <c r="I87" s="18">
        <f>IFERROR(__xludf.DUMMYFUNCTION("IFERROR(
 INDEX(
   FILTER(Shipping_Rate_Card!B:F, Shipping_Rate_Card!A:A=$A87),
   MATCH($H87, FILTER(Shipping_Rate_Card!B:B, Shipping_Rate_Card!A:A=$A87), 1),
   IF( INDEX(Config!B:B, MATCH($A87, Config!A:A, 0))=""Local"", 2,
     IF( INDEX(Config!B:B, "&amp;"MATCH($A87, Config!A:A, 0))=""Regional"", 3, 4 )
   )
 ),
"""")
"),383.0)</f>
        <v>383</v>
      </c>
      <c r="J87" s="16">
        <f>IFERROR(__xludf.DUMMYFUNCTION("IFERROR(
 ( E87 * INDEX(FILTER(Pricing_Rules!E:E, Pricing_Rules!A:A=A87, Pricing_Rules!B:B=B87, Pricing_Rules!C:C&lt;=E87, Pricing_Rules!D:D&gt;=E87), 1)
   + INDEX(FILTER(Pricing_Rules!F:F, Pricing_Rules!A:A=A87, Pricing_Rules!B:B=B87, Pricing_Rules!C:C&lt;=E87, "&amp;"Pricing_Rules!D:D&gt;=E87), 1)
 )
 * (1 + IFERROR( INDEX(Config!D:D, MATCH(A87, Config!A:A, 0)), 0 )),
"""")
"),242.93839999999997)</f>
        <v>242.9384</v>
      </c>
      <c r="K87" s="19">
        <f t="shared" si="1"/>
        <v>335.0616</v>
      </c>
      <c r="L87" s="20">
        <f t="shared" si="2"/>
        <v>0.2312364389</v>
      </c>
    </row>
    <row r="88" ht="15.75" customHeight="1">
      <c r="A88" s="9" t="s">
        <v>1162</v>
      </c>
      <c r="B88" s="12" t="str">
        <f t="array" ref="B88">IF(D88="","",
 INDEX(Product_Master!A:A,
       MATCH( INDEX(Pack_Master!B:B, MATCH(D88, Pack_Master!A:A, 0)),
              Product_Master!B:B, 0 )
))
</f>
        <v>Garden_Planters</v>
      </c>
      <c r="C88" s="13" t="s">
        <v>1001</v>
      </c>
      <c r="D88" s="14" t="s">
        <v>1002</v>
      </c>
      <c r="E88" s="15">
        <v>1449.0</v>
      </c>
      <c r="F88" s="16">
        <f t="array" ref="F88">IFERROR(
  VALUE( INDEX(Product_Master!$I:$I,
               MATCH( INDEX(Pack_Master!$B:$B, MATCH($D88, Pack_Master!$A:$A, 0)),
                      Product_Master!$B:$B, 0)
  )) 
  * VALUE( INDEX(Pack_Master!$C:$C, MATCH($D88, Pack_Master!$A:$A, 0)) )
  + VALUE( INDEX(Pack_Master!$D:$D, MATCH($D88, Pack_Master!$A:$A, 0)) ),
"")
</f>
        <v>488</v>
      </c>
      <c r="G88" s="17">
        <f t="array" ref="G88">IFERROR(
 ( INDEX(Pack_Master!E:E, MATCH($D88, Pack_Master!A:A, 0))
   * INDEX(Pack_Master!F:F, MATCH($D88, Pack_Master!A:A, 0))
   * INDEX(Pack_Master!G:G, MATCH($D88, Pack_Master!A:A, 0))
 ) / INDEX(Config!C:C, MATCH($A88, Config!A:A, 0)),
"")
</f>
        <v>6.2192</v>
      </c>
      <c r="H88" s="17">
        <f t="array" ref="H88">MAX( INDEX(Pack_Master!H:H, MATCH($D88, Pack_Master!A:A, 0)),
      IFERROR(G88, 0) )
</f>
        <v>6.2192</v>
      </c>
      <c r="I88" s="18">
        <f>IFERROR(__xludf.DUMMYFUNCTION("IFERROR(
 INDEX(
   FILTER(Shipping_Rate_Card!B:F, Shipping_Rate_Card!A:A=$A88),
   MATCH($H88, FILTER(Shipping_Rate_Card!B:B, Shipping_Rate_Card!A:A=$A88), 1),
   IF( INDEX(Config!B:B, MATCH($A88, Config!A:A, 0))=""Local"", 2,
     IF( INDEX(Config!B:B, "&amp;"MATCH($A88, Config!A:A, 0))=""Regional"", 3, 4 )
   )
 ),
"""")
"),383.0)</f>
        <v>383</v>
      </c>
      <c r="J88" s="16">
        <f>IFERROR(__xludf.DUMMYFUNCTION("IFERROR(
 ( E88 * INDEX(FILTER(Pricing_Rules!E:E, Pricing_Rules!A:A=A88, Pricing_Rules!B:B=B88, Pricing_Rules!C:C&lt;=E88, Pricing_Rules!D:D&gt;=E88), 1)
   + INDEX(FILTER(Pricing_Rules!F:F, Pricing_Rules!A:A=A88, Pricing_Rules!B:B=B88, Pricing_Rules!C:C&lt;=E88, "&amp;"Pricing_Rules!D:D&gt;=E88), 1)
 )
 * (1 + IFERROR( INDEX(Config!D:D, MATCH(A88, Config!A:A, 0)), 0 )),
"""")
"),242.93839999999997)</f>
        <v>242.9384</v>
      </c>
      <c r="K88" s="19">
        <f t="shared" si="1"/>
        <v>335.0616</v>
      </c>
      <c r="L88" s="20">
        <f t="shared" si="2"/>
        <v>0.2312364389</v>
      </c>
    </row>
    <row r="89" ht="15.75" customHeight="1">
      <c r="A89" s="9" t="s">
        <v>1162</v>
      </c>
      <c r="B89" s="12" t="str">
        <f t="array" ref="B89">IF(D89="","",
 INDEX(Product_Master!A:A,
       MATCH( INDEX(Pack_Master!B:B, MATCH(D89, Pack_Master!A:A, 0)),
              Product_Master!B:B, 0 )
))
</f>
        <v>Garden_Planters</v>
      </c>
      <c r="C89" s="13" t="s">
        <v>997</v>
      </c>
      <c r="D89" s="14" t="s">
        <v>998</v>
      </c>
      <c r="E89" s="15">
        <v>499.0</v>
      </c>
      <c r="F89" s="16">
        <f t="array" ref="F89">IFERROR(
  VALUE( INDEX(Product_Master!$I:$I,
               MATCH( INDEX(Pack_Master!$B:$B, MATCH($D89, Pack_Master!$A:$A, 0)),
                      Product_Master!$B:$B, 0)
  )) 
  * VALUE( INDEX(Pack_Master!$C:$C, MATCH($D89, Pack_Master!$A:$A, 0)) )
  + VALUE( INDEX(Pack_Master!$D:$D, MATCH($D89, Pack_Master!$A:$A, 0)) ),
"")
</f>
        <v>159.5</v>
      </c>
      <c r="G89" s="17">
        <f t="array" ref="G89">IFERROR(
 ( INDEX(Pack_Master!E:E, MATCH($D89, Pack_Master!A:A, 0))
   * INDEX(Pack_Master!F:F, MATCH($D89, Pack_Master!A:A, 0))
   * INDEX(Pack_Master!G:G, MATCH($D89, Pack_Master!A:A, 0))
 ) / INDEX(Config!C:C, MATCH($A89, Config!A:A, 0)),
"")
</f>
        <v>3.5152</v>
      </c>
      <c r="H89" s="17">
        <f t="array" ref="H89">MAX( INDEX(Pack_Master!H:H, MATCH($D89, Pack_Master!A:A, 0)),
      IFERROR(G89, 0) )
</f>
        <v>3.5152</v>
      </c>
      <c r="I89" s="18">
        <f>IFERROR(__xludf.DUMMYFUNCTION("IFERROR(
 INDEX(
   FILTER(Shipping_Rate_Card!B:F, Shipping_Rate_Card!A:A=$A89),
   MATCH($H89, FILTER(Shipping_Rate_Card!B:B, Shipping_Rate_Card!A:A=$A89), 1),
   IF( INDEX(Config!B:B, MATCH($A89, Config!A:A, 0))=""Local"", 2,
     IF( INDEX(Config!B:B, "&amp;"MATCH($A89, Config!A:A, 0))=""Regional"", 3, 4 )
   )
 ),
"""")
"),243.0)</f>
        <v>243</v>
      </c>
      <c r="J89" s="16">
        <f>IFERROR(__xludf.DUMMYFUNCTION("IFERROR(
 ( E89 * INDEX(FILTER(Pricing_Rules!E:E, Pricing_Rules!A:A=A89, Pricing_Rules!B:B=B89, Pricing_Rules!C:C&lt;=E89, Pricing_Rules!D:D&gt;=E89), 1)
   + INDEX(FILTER(Pricing_Rules!F:F, Pricing_Rules!A:A=A89, Pricing_Rules!B:B=B89, Pricing_Rules!C:C&lt;=E89, "&amp;"Pricing_Rules!D:D&gt;=E89), 1)
 )
 * (1 + IFERROR( INDEX(Config!D:D, MATCH(A89, Config!A:A, 0)), 0 )),
"""")
"),77.762)</f>
        <v>77.762</v>
      </c>
      <c r="K89" s="19">
        <f t="shared" si="1"/>
        <v>18.738</v>
      </c>
      <c r="L89" s="20">
        <f t="shared" si="2"/>
        <v>0.0375511022</v>
      </c>
    </row>
    <row r="90" ht="15.75" customHeight="1">
      <c r="A90" s="9" t="s">
        <v>1162</v>
      </c>
      <c r="B90" s="12" t="str">
        <f t="array" ref="B90">IF(D90="","",
 INDEX(Product_Master!A:A,
       MATCH( INDEX(Pack_Master!B:B, MATCH(D90, Pack_Master!A:A, 0)),
              Product_Master!B:B, 0 )
))
</f>
        <v>Garden_Planters</v>
      </c>
      <c r="C90" s="13" t="s">
        <v>997</v>
      </c>
      <c r="D90" s="14" t="s">
        <v>998</v>
      </c>
      <c r="E90" s="15">
        <v>499.0</v>
      </c>
      <c r="F90" s="16">
        <f t="array" ref="F90">IFERROR(
  VALUE( INDEX(Product_Master!$I:$I,
               MATCH( INDEX(Pack_Master!$B:$B, MATCH($D90, Pack_Master!$A:$A, 0)),
                      Product_Master!$B:$B, 0)
  )) 
  * VALUE( INDEX(Pack_Master!$C:$C, MATCH($D90, Pack_Master!$A:$A, 0)) )
  + VALUE( INDEX(Pack_Master!$D:$D, MATCH($D90, Pack_Master!$A:$A, 0)) ),
"")
</f>
        <v>159.5</v>
      </c>
      <c r="G90" s="17">
        <f t="array" ref="G90">IFERROR(
 ( INDEX(Pack_Master!E:E, MATCH($D90, Pack_Master!A:A, 0))
   * INDEX(Pack_Master!F:F, MATCH($D90, Pack_Master!A:A, 0))
   * INDEX(Pack_Master!G:G, MATCH($D90, Pack_Master!A:A, 0))
 ) / INDEX(Config!C:C, MATCH($A90, Config!A:A, 0)),
"")
</f>
        <v>3.5152</v>
      </c>
      <c r="H90" s="17">
        <f t="array" ref="H90">MAX( INDEX(Pack_Master!H:H, MATCH($D90, Pack_Master!A:A, 0)),
      IFERROR(G90, 0) )
</f>
        <v>3.5152</v>
      </c>
      <c r="I90" s="18">
        <f>IFERROR(__xludf.DUMMYFUNCTION("IFERROR(
 INDEX(
   FILTER(Shipping_Rate_Card!B:F, Shipping_Rate_Card!A:A=$A90),
   MATCH($H90, FILTER(Shipping_Rate_Card!B:B, Shipping_Rate_Card!A:A=$A90), 1),
   IF( INDEX(Config!B:B, MATCH($A90, Config!A:A, 0))=""Local"", 2,
     IF( INDEX(Config!B:B, "&amp;"MATCH($A90, Config!A:A, 0))=""Regional"", 3, 4 )
   )
 ),
"""")
"),243.0)</f>
        <v>243</v>
      </c>
      <c r="J90" s="16">
        <f>IFERROR(__xludf.DUMMYFUNCTION("IFERROR(
 ( E90 * INDEX(FILTER(Pricing_Rules!E:E, Pricing_Rules!A:A=A90, Pricing_Rules!B:B=B90, Pricing_Rules!C:C&lt;=E90, Pricing_Rules!D:D&gt;=E90), 1)
   + INDEX(FILTER(Pricing_Rules!F:F, Pricing_Rules!A:A=A90, Pricing_Rules!B:B=B90, Pricing_Rules!C:C&lt;=E90, "&amp;"Pricing_Rules!D:D&gt;=E90), 1)
 )
 * (1 + IFERROR( INDEX(Config!D:D, MATCH(A90, Config!A:A, 0)), 0 )),
"""")
"),77.762)</f>
        <v>77.762</v>
      </c>
      <c r="K90" s="19">
        <f t="shared" si="1"/>
        <v>18.738</v>
      </c>
      <c r="L90" s="20">
        <f t="shared" si="2"/>
        <v>0.0375511022</v>
      </c>
    </row>
    <row r="91" ht="15.75" customHeight="1">
      <c r="A91" s="9" t="s">
        <v>1162</v>
      </c>
      <c r="B91" s="12" t="str">
        <f t="array" ref="B91">IF(D91="","",
 INDEX(Product_Master!A:A,
       MATCH( INDEX(Pack_Master!B:B, MATCH(D91, Pack_Master!A:A, 0)),
              Product_Master!B:B, 0 )
))
</f>
        <v>Garden_Planters</v>
      </c>
      <c r="C91" s="13" t="s">
        <v>999</v>
      </c>
      <c r="D91" s="14" t="s">
        <v>1000</v>
      </c>
      <c r="E91" s="15">
        <v>949.0</v>
      </c>
      <c r="F91" s="16">
        <f t="array" ref="F91">IFERROR(
  VALUE( INDEX(Product_Master!$I:$I,
               MATCH( INDEX(Pack_Master!$B:$B, MATCH($D91, Pack_Master!$A:$A, 0)),
                      Product_Master!$B:$B, 0)
  )) 
  * VALUE( INDEX(Pack_Master!$C:$C, MATCH($D91, Pack_Master!$A:$A, 0)) )
  + VALUE( INDEX(Pack_Master!$D:$D, MATCH($D91, Pack_Master!$A:$A, 0)) ),
"")
</f>
        <v>269</v>
      </c>
      <c r="G91" s="17">
        <f t="array" ref="G91">IFERROR(
 ( INDEX(Pack_Master!E:E, MATCH($D91, Pack_Master!A:A, 0))
   * INDEX(Pack_Master!F:F, MATCH($D91, Pack_Master!A:A, 0))
   * INDEX(Pack_Master!G:G, MATCH($D91, Pack_Master!A:A, 0))
 ) / INDEX(Config!C:C, MATCH($A91, Config!A:A, 0)),
"")
</f>
        <v>4.3264</v>
      </c>
      <c r="H91" s="17">
        <f t="array" ref="H91">MAX( INDEX(Pack_Master!H:H, MATCH($D91, Pack_Master!A:A, 0)),
      IFERROR(G91, 0) )
</f>
        <v>4.3264</v>
      </c>
      <c r="I91" s="18">
        <f>IFERROR(__xludf.DUMMYFUNCTION("IFERROR(
 INDEX(
   FILTER(Shipping_Rate_Card!B:F, Shipping_Rate_Card!A:A=$A91),
   MATCH($H91, FILTER(Shipping_Rate_Card!B:B, Shipping_Rate_Card!A:A=$A91), 1),
   IF( INDEX(Config!B:B, MATCH($A91, Config!A:A, 0))=""Local"", 2,
     IF( INDEX(Config!B:B, "&amp;"MATCH($A91, Config!A:A, 0))=""Regional"", 3, 4 )
   )
 ),
"""")
"),243.0)</f>
        <v>243</v>
      </c>
      <c r="J91" s="16">
        <f>IFERROR(__xludf.DUMMYFUNCTION("IFERROR(
 ( E91 * INDEX(FILTER(Pricing_Rules!E:E, Pricing_Rules!A:A=A91, Pricing_Rules!B:B=B91, Pricing_Rules!C:C&lt;=E91, Pricing_Rules!D:D&gt;=E91), 1)
   + INDEX(FILTER(Pricing_Rules!F:F, Pricing_Rules!A:A=A91, Pricing_Rules!B:B=B91, Pricing_Rules!C:C&lt;=E91, "&amp;"Pricing_Rules!D:D&gt;=E91), 1)
 )
 * (1 + IFERROR( INDEX(Config!D:D, MATCH(A91, Config!A:A, 0)), 0 )),
"""")
"),172.1384)</f>
        <v>172.1384</v>
      </c>
      <c r="K91" s="19">
        <f t="shared" si="1"/>
        <v>264.8616</v>
      </c>
      <c r="L91" s="20">
        <f t="shared" si="2"/>
        <v>0.2790954689</v>
      </c>
    </row>
    <row r="92" ht="15.75" customHeight="1">
      <c r="A92" s="9" t="s">
        <v>1162</v>
      </c>
      <c r="B92" s="12" t="str">
        <f t="array" ref="B92">IF(D92="","",
 INDEX(Product_Master!A:A,
       MATCH( INDEX(Pack_Master!B:B, MATCH(D92, Pack_Master!A:A, 0)),
              Product_Master!B:B, 0 )
))
</f>
        <v>Garden_Planters</v>
      </c>
      <c r="C92" s="13" t="s">
        <v>999</v>
      </c>
      <c r="D92" s="14" t="s">
        <v>1000</v>
      </c>
      <c r="E92" s="15">
        <v>949.0</v>
      </c>
      <c r="F92" s="16">
        <f t="array" ref="F92">IFERROR(
  VALUE( INDEX(Product_Master!$I:$I,
               MATCH( INDEX(Pack_Master!$B:$B, MATCH($D92, Pack_Master!$A:$A, 0)),
                      Product_Master!$B:$B, 0)
  )) 
  * VALUE( INDEX(Pack_Master!$C:$C, MATCH($D92, Pack_Master!$A:$A, 0)) )
  + VALUE( INDEX(Pack_Master!$D:$D, MATCH($D92, Pack_Master!$A:$A, 0)) ),
"")
</f>
        <v>269</v>
      </c>
      <c r="G92" s="17">
        <f t="array" ref="G92">IFERROR(
 ( INDEX(Pack_Master!E:E, MATCH($D92, Pack_Master!A:A, 0))
   * INDEX(Pack_Master!F:F, MATCH($D92, Pack_Master!A:A, 0))
   * INDEX(Pack_Master!G:G, MATCH($D92, Pack_Master!A:A, 0))
 ) / INDEX(Config!C:C, MATCH($A92, Config!A:A, 0)),
"")
</f>
        <v>4.3264</v>
      </c>
      <c r="H92" s="17">
        <f t="array" ref="H92">MAX( INDEX(Pack_Master!H:H, MATCH($D92, Pack_Master!A:A, 0)),
      IFERROR(G92, 0) )
</f>
        <v>4.3264</v>
      </c>
      <c r="I92" s="18">
        <f>IFERROR(__xludf.DUMMYFUNCTION("IFERROR(
 INDEX(
   FILTER(Shipping_Rate_Card!B:F, Shipping_Rate_Card!A:A=$A92),
   MATCH($H92, FILTER(Shipping_Rate_Card!B:B, Shipping_Rate_Card!A:A=$A92), 1),
   IF( INDEX(Config!B:B, MATCH($A92, Config!A:A, 0))=""Local"", 2,
     IF( INDEX(Config!B:B, "&amp;"MATCH($A92, Config!A:A, 0))=""Regional"", 3, 4 )
   )
 ),
"""")
"),243.0)</f>
        <v>243</v>
      </c>
      <c r="J92" s="16">
        <f>IFERROR(__xludf.DUMMYFUNCTION("IFERROR(
 ( E92 * INDEX(FILTER(Pricing_Rules!E:E, Pricing_Rules!A:A=A92, Pricing_Rules!B:B=B92, Pricing_Rules!C:C&lt;=E92, Pricing_Rules!D:D&gt;=E92), 1)
   + INDEX(FILTER(Pricing_Rules!F:F, Pricing_Rules!A:A=A92, Pricing_Rules!B:B=B92, Pricing_Rules!C:C&lt;=E92, "&amp;"Pricing_Rules!D:D&gt;=E92), 1)
 )
 * (1 + IFERROR( INDEX(Config!D:D, MATCH(A92, Config!A:A, 0)), 0 )),
"""")
"),172.1384)</f>
        <v>172.1384</v>
      </c>
      <c r="K92" s="19">
        <f t="shared" si="1"/>
        <v>264.8616</v>
      </c>
      <c r="L92" s="20">
        <f t="shared" si="2"/>
        <v>0.2790954689</v>
      </c>
    </row>
    <row r="93" ht="15.75" customHeight="1">
      <c r="A93" s="9" t="s">
        <v>1162</v>
      </c>
      <c r="B93" s="12" t="str">
        <f t="array" ref="B93">IF(D93="","",
 INDEX(Product_Master!A:A,
       MATCH( INDEX(Pack_Master!B:B, MATCH(D93, Pack_Master!A:A, 0)),
              Product_Master!B:B, 0 )
))
</f>
        <v>Garden_Planters</v>
      </c>
      <c r="C93" s="13" t="s">
        <v>1003</v>
      </c>
      <c r="D93" s="14" t="s">
        <v>873</v>
      </c>
      <c r="E93" s="15">
        <v>319.0</v>
      </c>
      <c r="F93" s="16">
        <f t="array" ref="F93">IFERROR(
  VALUE( INDEX(Product_Master!$I:$I,
               MATCH( INDEX(Pack_Master!$B:$B, MATCH($D93, Pack_Master!$A:$A, 0)),
                      Product_Master!$B:$B, 0)
  )) 
  * VALUE( INDEX(Pack_Master!$C:$C, MATCH($D93, Pack_Master!$A:$A, 0)) )
  + VALUE( INDEX(Pack_Master!$D:$D, MATCH($D93, Pack_Master!$A:$A, 0)) ),
"")
</f>
        <v>123.5</v>
      </c>
      <c r="G93" s="17">
        <f t="array" ref="G93">IFERROR(
 ( INDEX(Pack_Master!E:E, MATCH($D93, Pack_Master!A:A, 0))
   * INDEX(Pack_Master!F:F, MATCH($D93, Pack_Master!A:A, 0))
   * INDEX(Pack_Master!G:G, MATCH($D93, Pack_Master!A:A, 0))
 ) / INDEX(Config!C:C, MATCH($A93, Config!A:A, 0)),
"")
</f>
        <v>4.9972</v>
      </c>
      <c r="H93" s="17">
        <f t="array" ref="H93">MAX( INDEX(Pack_Master!H:H, MATCH($D93, Pack_Master!A:A, 0)),
      IFERROR(G93, 0) )
</f>
        <v>4.9972</v>
      </c>
      <c r="I93" s="18">
        <f>IFERROR(__xludf.DUMMYFUNCTION("IFERROR(
 INDEX(
   FILTER(Shipping_Rate_Card!B:F, Shipping_Rate_Card!A:A=$A93),
   MATCH($H93, FILTER(Shipping_Rate_Card!B:B, Shipping_Rate_Card!A:A=$A93), 1),
   IF( INDEX(Config!B:B, MATCH($A93, Config!A:A, 0))=""Local"", 2,
     IF( INDEX(Config!B:B, "&amp;"MATCH($A93, Config!A:A, 0))=""Regional"", 3, 4 )
   )
 ),
"""")
"),243.0)</f>
        <v>243</v>
      </c>
      <c r="J93" s="16">
        <f>IFERROR(__xludf.DUMMYFUNCTION("IFERROR(
 ( E93 * INDEX(FILTER(Pricing_Rules!E:E, Pricing_Rules!A:A=A93, Pricing_Rules!B:B=B93, Pricing_Rules!C:C&lt;=E93, Pricing_Rules!D:D&gt;=E93), 1)
   + INDEX(FILTER(Pricing_Rules!F:F, Pricing_Rules!A:A=A93, Pricing_Rules!B:B=B93, Pricing_Rules!C:C&lt;=E93, "&amp;"Pricing_Rules!D:D&gt;=E93), 1)
 )
 * (1 + IFERROR( INDEX(Config!D:D, MATCH(A93, Config!A:A, 0)), 0 )),
"""")
"),56.522000000000006)</f>
        <v>56.522</v>
      </c>
      <c r="K93" s="19">
        <f t="shared" si="1"/>
        <v>-104.022</v>
      </c>
      <c r="L93" s="20">
        <f t="shared" si="2"/>
        <v>-0.3260877743</v>
      </c>
    </row>
    <row r="94" ht="15.75" customHeight="1">
      <c r="A94" s="9" t="s">
        <v>1162</v>
      </c>
      <c r="B94" s="12" t="str">
        <f t="array" ref="B94">IF(D94="","",
 INDEX(Product_Master!A:A,
       MATCH( INDEX(Pack_Master!B:B, MATCH(D94, Pack_Master!A:A, 0)),
              Product_Master!B:B, 0 )
))
</f>
        <v>Garden_Planters</v>
      </c>
      <c r="C94" s="13" t="s">
        <v>1003</v>
      </c>
      <c r="D94" s="14" t="s">
        <v>873</v>
      </c>
      <c r="E94" s="15">
        <v>319.0</v>
      </c>
      <c r="F94" s="16">
        <f t="array" ref="F94">IFERROR(
  VALUE( INDEX(Product_Master!$I:$I,
               MATCH( INDEX(Pack_Master!$B:$B, MATCH($D94, Pack_Master!$A:$A, 0)),
                      Product_Master!$B:$B, 0)
  )) 
  * VALUE( INDEX(Pack_Master!$C:$C, MATCH($D94, Pack_Master!$A:$A, 0)) )
  + VALUE( INDEX(Pack_Master!$D:$D, MATCH($D94, Pack_Master!$A:$A, 0)) ),
"")
</f>
        <v>123.5</v>
      </c>
      <c r="G94" s="17">
        <f t="array" ref="G94">IFERROR(
 ( INDEX(Pack_Master!E:E, MATCH($D94, Pack_Master!A:A, 0))
   * INDEX(Pack_Master!F:F, MATCH($D94, Pack_Master!A:A, 0))
   * INDEX(Pack_Master!G:G, MATCH($D94, Pack_Master!A:A, 0))
 ) / INDEX(Config!C:C, MATCH($A94, Config!A:A, 0)),
"")
</f>
        <v>4.9972</v>
      </c>
      <c r="H94" s="17">
        <f t="array" ref="H94">MAX( INDEX(Pack_Master!H:H, MATCH($D94, Pack_Master!A:A, 0)),
      IFERROR(G94, 0) )
</f>
        <v>4.9972</v>
      </c>
      <c r="I94" s="18">
        <f>IFERROR(__xludf.DUMMYFUNCTION("IFERROR(
 INDEX(
   FILTER(Shipping_Rate_Card!B:F, Shipping_Rate_Card!A:A=$A94),
   MATCH($H94, FILTER(Shipping_Rate_Card!B:B, Shipping_Rate_Card!A:A=$A94), 1),
   IF( INDEX(Config!B:B, MATCH($A94, Config!A:A, 0))=""Local"", 2,
     IF( INDEX(Config!B:B, "&amp;"MATCH($A94, Config!A:A, 0))=""Regional"", 3, 4 )
   )
 ),
"""")
"),243.0)</f>
        <v>243</v>
      </c>
      <c r="J94" s="16">
        <f>IFERROR(__xludf.DUMMYFUNCTION("IFERROR(
 ( E94 * INDEX(FILTER(Pricing_Rules!E:E, Pricing_Rules!A:A=A94, Pricing_Rules!B:B=B94, Pricing_Rules!C:C&lt;=E94, Pricing_Rules!D:D&gt;=E94), 1)
   + INDEX(FILTER(Pricing_Rules!F:F, Pricing_Rules!A:A=A94, Pricing_Rules!B:B=B94, Pricing_Rules!C:C&lt;=E94, "&amp;"Pricing_Rules!D:D&gt;=E94), 1)
 )
 * (1 + IFERROR( INDEX(Config!D:D, MATCH(A94, Config!A:A, 0)), 0 )),
"""")
"),56.522000000000006)</f>
        <v>56.522</v>
      </c>
      <c r="K94" s="19">
        <f t="shared" si="1"/>
        <v>-104.022</v>
      </c>
      <c r="L94" s="20">
        <f t="shared" si="2"/>
        <v>-0.3260877743</v>
      </c>
    </row>
    <row r="95" ht="15.75" customHeight="1">
      <c r="A95" s="9" t="s">
        <v>1162</v>
      </c>
      <c r="B95" s="12" t="str">
        <f t="array" ref="B95">IF(D95="","",
 INDEX(Product_Master!A:A,
       MATCH( INDEX(Pack_Master!B:B, MATCH(D95, Pack_Master!A:A, 0)),
              Product_Master!B:B, 0 )
))
</f>
        <v>Garden_Planters</v>
      </c>
      <c r="C95" s="13" t="s">
        <v>1008</v>
      </c>
      <c r="D95" s="14" t="s">
        <v>1009</v>
      </c>
      <c r="E95" s="15">
        <v>1569.0</v>
      </c>
      <c r="F95" s="16">
        <f t="array" ref="F95">IFERROR(
  VALUE( INDEX(Product_Master!$I:$I,
               MATCH( INDEX(Pack_Master!$B:$B, MATCH($D95, Pack_Master!$A:$A, 0)),
                      Product_Master!$B:$B, 0)
  )) 
  * VALUE( INDEX(Pack_Master!$C:$C, MATCH($D95, Pack_Master!$A:$A, 0)) )
  + VALUE( INDEX(Pack_Master!$D:$D, MATCH($D95, Pack_Master!$A:$A, 0)) ),
"")
</f>
        <v>712</v>
      </c>
      <c r="G95" s="17">
        <f t="array" ref="G95">IFERROR(
 ( INDEX(Pack_Master!E:E, MATCH($D95, Pack_Master!A:A, 0))
   * INDEX(Pack_Master!F:F, MATCH($D95, Pack_Master!A:A, 0))
   * INDEX(Pack_Master!G:G, MATCH($D95, Pack_Master!A:A, 0))
 ) / INDEX(Config!C:C, MATCH($A95, Config!A:A, 0)),
"")
</f>
        <v>10.1866</v>
      </c>
      <c r="H95" s="17">
        <f t="array" ref="H95">MAX( INDEX(Pack_Master!H:H, MATCH($D95, Pack_Master!A:A, 0)),
      IFERROR(G95, 0) )
</f>
        <v>10.1866</v>
      </c>
      <c r="I95" s="18">
        <f>IFERROR(__xludf.DUMMYFUNCTION("IFERROR(
 INDEX(
   FILTER(Shipping_Rate_Card!B:F, Shipping_Rate_Card!A:A=$A95),
   MATCH($H95, FILTER(Shipping_Rate_Card!B:B, Shipping_Rate_Card!A:A=$A95), 1),
   IF( INDEX(Config!B:B, MATCH($A95, Config!A:A, 0))=""Local"", 2,
     IF( INDEX(Config!B:B, "&amp;"MATCH($A95, Config!A:A, 0))=""Regional"", 3, 4 )
   )
 ),
"""")
"),733.0)</f>
        <v>733</v>
      </c>
      <c r="J95" s="16">
        <f>IFERROR(__xludf.DUMMYFUNCTION("IFERROR(
 ( E95 * INDEX(FILTER(Pricing_Rules!E:E, Pricing_Rules!A:A=A95, Pricing_Rules!B:B=B95, Pricing_Rules!C:C&lt;=E95, Pricing_Rules!D:D&gt;=E95), 1)
   + INDEX(FILTER(Pricing_Rules!F:F, Pricing_Rules!A:A=A95, Pricing_Rules!B:B=B95, Pricing_Rules!C:C&lt;=E95, "&amp;"Pricing_Rules!D:D&gt;=E95), 1)
 )
 * (1 + IFERROR( INDEX(Config!D:D, MATCH(A95, Config!A:A, 0)), 0 )),
"""")
"),259.93039999999996)</f>
        <v>259.9304</v>
      </c>
      <c r="K95" s="19">
        <f t="shared" si="1"/>
        <v>-135.9304</v>
      </c>
      <c r="L95" s="20">
        <f t="shared" si="2"/>
        <v>-0.08663505417</v>
      </c>
    </row>
    <row r="96" ht="15.75" customHeight="1">
      <c r="A96" s="9" t="s">
        <v>1162</v>
      </c>
      <c r="B96" s="12" t="str">
        <f t="array" ref="B96">IF(D96="","",
 INDEX(Product_Master!A:A,
       MATCH( INDEX(Pack_Master!B:B, MATCH(D96, Pack_Master!A:A, 0)),
              Product_Master!B:B, 0 )
))
</f>
        <v>Garden_Planters</v>
      </c>
      <c r="C96" s="13" t="s">
        <v>1008</v>
      </c>
      <c r="D96" s="14" t="s">
        <v>1009</v>
      </c>
      <c r="E96" s="15">
        <v>1569.0</v>
      </c>
      <c r="F96" s="16">
        <f t="array" ref="F96">IFERROR(
  VALUE( INDEX(Product_Master!$I:$I,
               MATCH( INDEX(Pack_Master!$B:$B, MATCH($D96, Pack_Master!$A:$A, 0)),
                      Product_Master!$B:$B, 0)
  )) 
  * VALUE( INDEX(Pack_Master!$C:$C, MATCH($D96, Pack_Master!$A:$A, 0)) )
  + VALUE( INDEX(Pack_Master!$D:$D, MATCH($D96, Pack_Master!$A:$A, 0)) ),
"")
</f>
        <v>712</v>
      </c>
      <c r="G96" s="17">
        <f t="array" ref="G96">IFERROR(
 ( INDEX(Pack_Master!E:E, MATCH($D96, Pack_Master!A:A, 0))
   * INDEX(Pack_Master!F:F, MATCH($D96, Pack_Master!A:A, 0))
   * INDEX(Pack_Master!G:G, MATCH($D96, Pack_Master!A:A, 0))
 ) / INDEX(Config!C:C, MATCH($A96, Config!A:A, 0)),
"")
</f>
        <v>10.1866</v>
      </c>
      <c r="H96" s="17">
        <f t="array" ref="H96">MAX( INDEX(Pack_Master!H:H, MATCH($D96, Pack_Master!A:A, 0)),
      IFERROR(G96, 0) )
</f>
        <v>10.1866</v>
      </c>
      <c r="I96" s="18">
        <f>IFERROR(__xludf.DUMMYFUNCTION("IFERROR(
 INDEX(
   FILTER(Shipping_Rate_Card!B:F, Shipping_Rate_Card!A:A=$A96),
   MATCH($H96, FILTER(Shipping_Rate_Card!B:B, Shipping_Rate_Card!A:A=$A96), 1),
   IF( INDEX(Config!B:B, MATCH($A96, Config!A:A, 0))=""Local"", 2,
     IF( INDEX(Config!B:B, "&amp;"MATCH($A96, Config!A:A, 0))=""Regional"", 3, 4 )
   )
 ),
"""")
"),733.0)</f>
        <v>733</v>
      </c>
      <c r="J96" s="16">
        <f>IFERROR(__xludf.DUMMYFUNCTION("IFERROR(
 ( E96 * INDEX(FILTER(Pricing_Rules!E:E, Pricing_Rules!A:A=A96, Pricing_Rules!B:B=B96, Pricing_Rules!C:C&lt;=E96, Pricing_Rules!D:D&gt;=E96), 1)
   + INDEX(FILTER(Pricing_Rules!F:F, Pricing_Rules!A:A=A96, Pricing_Rules!B:B=B96, Pricing_Rules!C:C&lt;=E96, "&amp;"Pricing_Rules!D:D&gt;=E96), 1)
 )
 * (1 + IFERROR( INDEX(Config!D:D, MATCH(A96, Config!A:A, 0)), 0 )),
"""")
"),259.93039999999996)</f>
        <v>259.9304</v>
      </c>
      <c r="K96" s="19">
        <f t="shared" si="1"/>
        <v>-135.9304</v>
      </c>
      <c r="L96" s="20">
        <f t="shared" si="2"/>
        <v>-0.08663505417</v>
      </c>
    </row>
    <row r="97" ht="15.75" customHeight="1">
      <c r="A97" s="9" t="s">
        <v>1162</v>
      </c>
      <c r="B97" s="12" t="str">
        <f t="array" ref="B97">IF(D97="","",
 INDEX(Product_Master!A:A,
       MATCH( INDEX(Pack_Master!B:B, MATCH(D97, Pack_Master!A:A, 0)),
              Product_Master!B:B, 0 )
))
</f>
        <v>Garden_Planters</v>
      </c>
      <c r="C97" s="13" t="s">
        <v>1004</v>
      </c>
      <c r="D97" s="14" t="s">
        <v>1005</v>
      </c>
      <c r="E97" s="15">
        <v>499.0</v>
      </c>
      <c r="F97" s="16">
        <f t="array" ref="F97">IFERROR(
  VALUE( INDEX(Product_Master!$I:$I,
               MATCH( INDEX(Pack_Master!$B:$B, MATCH($D97, Pack_Master!$A:$A, 0)),
                      Product_Master!$B:$B, 0)
  )) 
  * VALUE( INDEX(Pack_Master!$C:$C, MATCH($D97, Pack_Master!$A:$A, 0)) )
  + VALUE( INDEX(Pack_Master!$D:$D, MATCH($D97, Pack_Master!$A:$A, 0)) ),
"")
</f>
        <v>230.5</v>
      </c>
      <c r="G97" s="17">
        <f t="array" ref="G97">IFERROR(
 ( INDEX(Pack_Master!E:E, MATCH($D97, Pack_Master!A:A, 0))
   * INDEX(Pack_Master!F:F, MATCH($D97, Pack_Master!A:A, 0))
   * INDEX(Pack_Master!G:G, MATCH($D97, Pack_Master!A:A, 0))
 ) / INDEX(Config!C:C, MATCH($A97, Config!A:A, 0)),
"")
</f>
        <v>5.766</v>
      </c>
      <c r="H97" s="17">
        <f t="array" ref="H97">MAX( INDEX(Pack_Master!H:H, MATCH($D97, Pack_Master!A:A, 0)),
      IFERROR(G97, 0) )
</f>
        <v>5.766</v>
      </c>
      <c r="I97" s="18">
        <f>IFERROR(__xludf.DUMMYFUNCTION("IFERROR(
 INDEX(
   FILTER(Shipping_Rate_Card!B:F, Shipping_Rate_Card!A:A=$A97),
   MATCH($H97, FILTER(Shipping_Rate_Card!B:B, Shipping_Rate_Card!A:A=$A97), 1),
   IF( INDEX(Config!B:B, MATCH($A97, Config!A:A, 0))=""Local"", 2,
     IF( INDEX(Config!B:B, "&amp;"MATCH($A97, Config!A:A, 0))=""Regional"", 3, 4 )
   )
 ),
"""")
"),383.0)</f>
        <v>383</v>
      </c>
      <c r="J97" s="16">
        <f>IFERROR(__xludf.DUMMYFUNCTION("IFERROR(
 ( E97 * INDEX(FILTER(Pricing_Rules!E:E, Pricing_Rules!A:A=A97, Pricing_Rules!B:B=B97, Pricing_Rules!C:C&lt;=E97, Pricing_Rules!D:D&gt;=E97), 1)
   + INDEX(FILTER(Pricing_Rules!F:F, Pricing_Rules!A:A=A97, Pricing_Rules!B:B=B97, Pricing_Rules!C:C&lt;=E97, "&amp;"Pricing_Rules!D:D&gt;=E97), 1)
 )
 * (1 + IFERROR( INDEX(Config!D:D, MATCH(A97, Config!A:A, 0)), 0 )),
"""")
"),77.762)</f>
        <v>77.762</v>
      </c>
      <c r="K97" s="19">
        <f t="shared" si="1"/>
        <v>-192.262</v>
      </c>
      <c r="L97" s="20">
        <f t="shared" si="2"/>
        <v>-0.3852945892</v>
      </c>
    </row>
    <row r="98" ht="15.75" customHeight="1">
      <c r="A98" s="9" t="s">
        <v>1162</v>
      </c>
      <c r="B98" s="12" t="str">
        <f t="array" ref="B98">IF(D98="","",
 INDEX(Product_Master!A:A,
       MATCH( INDEX(Pack_Master!B:B, MATCH(D98, Pack_Master!A:A, 0)),
              Product_Master!B:B, 0 )
))
</f>
        <v>Garden_Planters</v>
      </c>
      <c r="C98" s="13" t="s">
        <v>1004</v>
      </c>
      <c r="D98" s="14" t="s">
        <v>1005</v>
      </c>
      <c r="E98" s="15">
        <v>499.0</v>
      </c>
      <c r="F98" s="16">
        <f t="array" ref="F98">IFERROR(
  VALUE( INDEX(Product_Master!$I:$I,
               MATCH( INDEX(Pack_Master!$B:$B, MATCH($D98, Pack_Master!$A:$A, 0)),
                      Product_Master!$B:$B, 0)
  )) 
  * VALUE( INDEX(Pack_Master!$C:$C, MATCH($D98, Pack_Master!$A:$A, 0)) )
  + VALUE( INDEX(Pack_Master!$D:$D, MATCH($D98, Pack_Master!$A:$A, 0)) ),
"")
</f>
        <v>230.5</v>
      </c>
      <c r="G98" s="17">
        <f t="array" ref="G98">IFERROR(
 ( INDEX(Pack_Master!E:E, MATCH($D98, Pack_Master!A:A, 0))
   * INDEX(Pack_Master!F:F, MATCH($D98, Pack_Master!A:A, 0))
   * INDEX(Pack_Master!G:G, MATCH($D98, Pack_Master!A:A, 0))
 ) / INDEX(Config!C:C, MATCH($A98, Config!A:A, 0)),
"")
</f>
        <v>5.766</v>
      </c>
      <c r="H98" s="17">
        <f t="array" ref="H98">MAX( INDEX(Pack_Master!H:H, MATCH($D98, Pack_Master!A:A, 0)),
      IFERROR(G98, 0) )
</f>
        <v>5.766</v>
      </c>
      <c r="I98" s="18">
        <f>IFERROR(__xludf.DUMMYFUNCTION("IFERROR(
 INDEX(
   FILTER(Shipping_Rate_Card!B:F, Shipping_Rate_Card!A:A=$A98),
   MATCH($H98, FILTER(Shipping_Rate_Card!B:B, Shipping_Rate_Card!A:A=$A98), 1),
   IF( INDEX(Config!B:B, MATCH($A98, Config!A:A, 0))=""Local"", 2,
     IF( INDEX(Config!B:B, "&amp;"MATCH($A98, Config!A:A, 0))=""Regional"", 3, 4 )
   )
 ),
"""")
"),383.0)</f>
        <v>383</v>
      </c>
      <c r="J98" s="16">
        <f>IFERROR(__xludf.DUMMYFUNCTION("IFERROR(
 ( E98 * INDEX(FILTER(Pricing_Rules!E:E, Pricing_Rules!A:A=A98, Pricing_Rules!B:B=B98, Pricing_Rules!C:C&lt;=E98, Pricing_Rules!D:D&gt;=E98), 1)
   + INDEX(FILTER(Pricing_Rules!F:F, Pricing_Rules!A:A=A98, Pricing_Rules!B:B=B98, Pricing_Rules!C:C&lt;=E98, "&amp;"Pricing_Rules!D:D&gt;=E98), 1)
 )
 * (1 + IFERROR( INDEX(Config!D:D, MATCH(A98, Config!A:A, 0)), 0 )),
"""")
"),77.762)</f>
        <v>77.762</v>
      </c>
      <c r="K98" s="19">
        <f t="shared" si="1"/>
        <v>-192.262</v>
      </c>
      <c r="L98" s="20">
        <f t="shared" si="2"/>
        <v>-0.3852945892</v>
      </c>
    </row>
    <row r="99" ht="15.75" customHeight="1">
      <c r="A99" s="9" t="s">
        <v>1162</v>
      </c>
      <c r="B99" s="12" t="str">
        <f t="array" ref="B99">IF(D99="","",
 INDEX(Product_Master!A:A,
       MATCH( INDEX(Pack_Master!B:B, MATCH(D99, Pack_Master!A:A, 0)),
              Product_Master!B:B, 0 )
))
</f>
        <v>Garden_Planters</v>
      </c>
      <c r="C99" s="13" t="s">
        <v>1006</v>
      </c>
      <c r="D99" s="14" t="s">
        <v>1007</v>
      </c>
      <c r="E99" s="15">
        <v>859.0</v>
      </c>
      <c r="F99" s="16">
        <f t="array" ref="F99">IFERROR(
  VALUE( INDEX(Product_Master!$I:$I,
               MATCH( INDEX(Pack_Master!$B:$B, MATCH($D99, Pack_Master!$A:$A, 0)),
                      Product_Master!$B:$B, 0)
  )) 
  * VALUE( INDEX(Pack_Master!$C:$C, MATCH($D99, Pack_Master!$A:$A, 0)) )
  + VALUE( INDEX(Pack_Master!$D:$D, MATCH($D99, Pack_Master!$A:$A, 0)) ),
"")
</f>
        <v>391</v>
      </c>
      <c r="G99" s="17">
        <f t="array" ref="G99">IFERROR(
 ( INDEX(Pack_Master!E:E, MATCH($D99, Pack_Master!A:A, 0))
   * INDEX(Pack_Master!F:F, MATCH($D99, Pack_Master!A:A, 0))
   * INDEX(Pack_Master!G:G, MATCH($D99, Pack_Master!A:A, 0))
 ) / INDEX(Config!C:C, MATCH($A99, Config!A:A, 0)),
"")
</f>
        <v>7.3036</v>
      </c>
      <c r="H99" s="17">
        <f t="array" ref="H99">MAX( INDEX(Pack_Master!H:H, MATCH($D99, Pack_Master!A:A, 0)),
      IFERROR(G99, 0) )
</f>
        <v>7.3036</v>
      </c>
      <c r="I99" s="18">
        <f>IFERROR(__xludf.DUMMYFUNCTION("IFERROR(
 INDEX(
   FILTER(Shipping_Rate_Card!B:F, Shipping_Rate_Card!A:A=$A99),
   MATCH($H99, FILTER(Shipping_Rate_Card!B:B, Shipping_Rate_Card!A:A=$A99), 1),
   IF( INDEX(Config!B:B, MATCH($A99, Config!A:A, 0))=""Local"", 2,
     IF( INDEX(Config!B:B, "&amp;"MATCH($A99, Config!A:A, 0))=""Regional"", 3, 4 )
   )
 ),
"""")
"),383.0)</f>
        <v>383</v>
      </c>
      <c r="J99" s="16">
        <f>IFERROR(__xludf.DUMMYFUNCTION("IFERROR(
 ( E99 * INDEX(FILTER(Pricing_Rules!E:E, Pricing_Rules!A:A=A99, Pricing_Rules!B:B=B99, Pricing_Rules!C:C&lt;=E99, Pricing_Rules!D:D&gt;=E99), 1)
   + INDEX(FILTER(Pricing_Rules!F:F, Pricing_Rules!A:A=A99, Pricing_Rules!B:B=B99, Pricing_Rules!C:C&lt;=E99, "&amp;"Pricing_Rules!D:D&gt;=E99), 1)
 )
 * (1 + IFERROR( INDEX(Config!D:D, MATCH(A99, Config!A:A, 0)), 0 )),
"""")
"),159.39439999999996)</f>
        <v>159.3944</v>
      </c>
      <c r="K99" s="19">
        <f t="shared" si="1"/>
        <v>-74.3944</v>
      </c>
      <c r="L99" s="20">
        <f t="shared" si="2"/>
        <v>-0.08660582072</v>
      </c>
    </row>
    <row r="100" ht="15.75" customHeight="1">
      <c r="A100" s="9" t="s">
        <v>1162</v>
      </c>
      <c r="B100" s="12" t="str">
        <f t="array" ref="B100">IF(D100="","",
 INDEX(Product_Master!A:A,
       MATCH( INDEX(Pack_Master!B:B, MATCH(D100, Pack_Master!A:A, 0)),
              Product_Master!B:B, 0 )
))
</f>
        <v>Garden_Planters</v>
      </c>
      <c r="C100" s="13" t="s">
        <v>1006</v>
      </c>
      <c r="D100" s="14" t="s">
        <v>1007</v>
      </c>
      <c r="E100" s="15">
        <v>859.0</v>
      </c>
      <c r="F100" s="16">
        <f t="array" ref="F100">IFERROR(
  VALUE( INDEX(Product_Master!$I:$I,
               MATCH( INDEX(Pack_Master!$B:$B, MATCH($D100, Pack_Master!$A:$A, 0)),
                      Product_Master!$B:$B, 0)
  )) 
  * VALUE( INDEX(Pack_Master!$C:$C, MATCH($D100, Pack_Master!$A:$A, 0)) )
  + VALUE( INDEX(Pack_Master!$D:$D, MATCH($D100, Pack_Master!$A:$A, 0)) ),
"")
</f>
        <v>391</v>
      </c>
      <c r="G100" s="17">
        <f t="array" ref="G100">IFERROR(
 ( INDEX(Pack_Master!E:E, MATCH($D100, Pack_Master!A:A, 0))
   * INDEX(Pack_Master!F:F, MATCH($D100, Pack_Master!A:A, 0))
   * INDEX(Pack_Master!G:G, MATCH($D100, Pack_Master!A:A, 0))
 ) / INDEX(Config!C:C, MATCH($A100, Config!A:A, 0)),
"")
</f>
        <v>7.3036</v>
      </c>
      <c r="H100" s="17">
        <f t="array" ref="H100">MAX( INDEX(Pack_Master!H:H, MATCH($D100, Pack_Master!A:A, 0)),
      IFERROR(G100, 0) )
</f>
        <v>7.3036</v>
      </c>
      <c r="I100" s="18">
        <f>IFERROR(__xludf.DUMMYFUNCTION("IFERROR(
 INDEX(
   FILTER(Shipping_Rate_Card!B:F, Shipping_Rate_Card!A:A=$A100),
   MATCH($H100, FILTER(Shipping_Rate_Card!B:B, Shipping_Rate_Card!A:A=$A100), 1),
   IF( INDEX(Config!B:B, MATCH($A100, Config!A:A, 0))=""Local"", 2,
     IF( INDEX(Config!B"&amp;":B, MATCH($A100, Config!A:A, 0))=""Regional"", 3, 4 )
   )
 ),
"""")
"),383.0)</f>
        <v>383</v>
      </c>
      <c r="J100" s="16">
        <f>IFERROR(__xludf.DUMMYFUNCTION("IFERROR(
 ( E100 * INDEX(FILTER(Pricing_Rules!E:E, Pricing_Rules!A:A=A100, Pricing_Rules!B:B=B100, Pricing_Rules!C:C&lt;=E100, Pricing_Rules!D:D&gt;=E100), 1)
   + INDEX(FILTER(Pricing_Rules!F:F, Pricing_Rules!A:A=A100, Pricing_Rules!B:B=B100, Pricing_Rules!C:C"&amp;"&lt;=E100, Pricing_Rules!D:D&gt;=E100), 1)
 )
 * (1 + IFERROR( INDEX(Config!D:D, MATCH(A100, Config!A:A, 0)), 0 )),
"""")
"),159.39439999999996)</f>
        <v>159.3944</v>
      </c>
      <c r="K100" s="19">
        <f t="shared" si="1"/>
        <v>-74.3944</v>
      </c>
      <c r="L100" s="20">
        <f t="shared" si="2"/>
        <v>-0.08660582072</v>
      </c>
    </row>
    <row r="101" ht="15.75" customHeight="1">
      <c r="A101" s="9" t="s">
        <v>1162</v>
      </c>
      <c r="B101" s="12" t="str">
        <f t="array" ref="B101">IF(D101="","",
 INDEX(Product_Master!A:A,
       MATCH( INDEX(Pack_Master!B:B, MATCH(D101, Pack_Master!A:A, 0)),
              Product_Master!B:B, 0 )
))
</f>
        <v>Garden_Planters</v>
      </c>
      <c r="C101" s="13" t="s">
        <v>1010</v>
      </c>
      <c r="D101" s="14" t="s">
        <v>1011</v>
      </c>
      <c r="E101" s="15">
        <v>499.0</v>
      </c>
      <c r="F101" s="16">
        <f t="array" ref="F101">IFERROR(
  VALUE( INDEX(Product_Master!$I:$I,
               MATCH( INDEX(Pack_Master!$B:$B, MATCH($D101, Pack_Master!$A:$A, 0)),
                      Product_Master!$B:$B, 0)
  )) 
  * VALUE( INDEX(Pack_Master!$C:$C, MATCH($D101, Pack_Master!$A:$A, 0)) )
  + VALUE( INDEX(Pack_Master!$D:$D, MATCH($D101, Pack_Master!$A:$A, 0)) ),
"")
</f>
        <v>184.5</v>
      </c>
      <c r="G101" s="17">
        <f t="array" ref="G101">IFERROR(
 ( INDEX(Pack_Master!E:E, MATCH($D101, Pack_Master!A:A, 0))
   * INDEX(Pack_Master!F:F, MATCH($D101, Pack_Master!A:A, 0))
   * INDEX(Pack_Master!G:G, MATCH($D101, Pack_Master!A:A, 0))
 ) / INDEX(Config!C:C, MATCH($A101, Config!A:A, 0)),
"")
</f>
        <v>8.4878</v>
      </c>
      <c r="H101" s="17">
        <f t="array" ref="H101">MAX( INDEX(Pack_Master!H:H, MATCH($D101, Pack_Master!A:A, 0)),
      IFERROR(G101, 0) )
</f>
        <v>8.4878</v>
      </c>
      <c r="I101" s="18">
        <f>IFERROR(__xludf.DUMMYFUNCTION("IFERROR(
 INDEX(
   FILTER(Shipping_Rate_Card!B:F, Shipping_Rate_Card!A:A=$A101),
   MATCH($H101, FILTER(Shipping_Rate_Card!B:B, Shipping_Rate_Card!A:A=$A101), 1),
   IF( INDEX(Config!B:B, MATCH($A101, Config!A:A, 0))=""Local"", 2,
     IF( INDEX(Config!B"&amp;":B, MATCH($A101, Config!A:A, 0))=""Regional"", 3, 4 )
   )
 ),
"""")
"),383.0)</f>
        <v>383</v>
      </c>
      <c r="J101" s="16">
        <f>IFERROR(__xludf.DUMMYFUNCTION("IFERROR(
 ( E101 * INDEX(FILTER(Pricing_Rules!E:E, Pricing_Rules!A:A=A101, Pricing_Rules!B:B=B101, Pricing_Rules!C:C&lt;=E101, Pricing_Rules!D:D&gt;=E101), 1)
   + INDEX(FILTER(Pricing_Rules!F:F, Pricing_Rules!A:A=A101, Pricing_Rules!B:B=B101, Pricing_Rules!C:C"&amp;"&lt;=E101, Pricing_Rules!D:D&gt;=E101), 1)
 )
 * (1 + IFERROR( INDEX(Config!D:D, MATCH(A101, Config!A:A, 0)), 0 )),
"""")
"),77.762)</f>
        <v>77.762</v>
      </c>
      <c r="K101" s="19">
        <f t="shared" si="1"/>
        <v>-146.262</v>
      </c>
      <c r="L101" s="20">
        <f t="shared" si="2"/>
        <v>-0.2931102204</v>
      </c>
    </row>
    <row r="102" ht="15.75" customHeight="1">
      <c r="A102" s="9" t="s">
        <v>1162</v>
      </c>
      <c r="B102" s="12" t="str">
        <f t="array" ref="B102">IF(D102="","",
 INDEX(Product_Master!A:A,
       MATCH( INDEX(Pack_Master!B:B, MATCH(D102, Pack_Master!A:A, 0)),
              Product_Master!B:B, 0 )
))
</f>
        <v>Garden_Planters</v>
      </c>
      <c r="C102" s="13" t="s">
        <v>1010</v>
      </c>
      <c r="D102" s="14" t="s">
        <v>1011</v>
      </c>
      <c r="E102" s="15">
        <v>499.0</v>
      </c>
      <c r="F102" s="16">
        <f t="array" ref="F102">IFERROR(
  VALUE( INDEX(Product_Master!$I:$I,
               MATCH( INDEX(Pack_Master!$B:$B, MATCH($D102, Pack_Master!$A:$A, 0)),
                      Product_Master!$B:$B, 0)
  )) 
  * VALUE( INDEX(Pack_Master!$C:$C, MATCH($D102, Pack_Master!$A:$A, 0)) )
  + VALUE( INDEX(Pack_Master!$D:$D, MATCH($D102, Pack_Master!$A:$A, 0)) ),
"")
</f>
        <v>184.5</v>
      </c>
      <c r="G102" s="17">
        <f t="array" ref="G102">IFERROR(
 ( INDEX(Pack_Master!E:E, MATCH($D102, Pack_Master!A:A, 0))
   * INDEX(Pack_Master!F:F, MATCH($D102, Pack_Master!A:A, 0))
   * INDEX(Pack_Master!G:G, MATCH($D102, Pack_Master!A:A, 0))
 ) / INDEX(Config!C:C, MATCH($A102, Config!A:A, 0)),
"")
</f>
        <v>8.4878</v>
      </c>
      <c r="H102" s="17">
        <f t="array" ref="H102">MAX( INDEX(Pack_Master!H:H, MATCH($D102, Pack_Master!A:A, 0)),
      IFERROR(G102, 0) )
</f>
        <v>8.4878</v>
      </c>
      <c r="I102" s="18">
        <f>IFERROR(__xludf.DUMMYFUNCTION("IFERROR(
 INDEX(
   FILTER(Shipping_Rate_Card!B:F, Shipping_Rate_Card!A:A=$A102),
   MATCH($H102, FILTER(Shipping_Rate_Card!B:B, Shipping_Rate_Card!A:A=$A102), 1),
   IF( INDEX(Config!B:B, MATCH($A102, Config!A:A, 0))=""Local"", 2,
     IF( INDEX(Config!B"&amp;":B, MATCH($A102, Config!A:A, 0))=""Regional"", 3, 4 )
   )
 ),
"""")
"),383.0)</f>
        <v>383</v>
      </c>
      <c r="J102" s="16">
        <f>IFERROR(__xludf.DUMMYFUNCTION("IFERROR(
 ( E102 * INDEX(FILTER(Pricing_Rules!E:E, Pricing_Rules!A:A=A102, Pricing_Rules!B:B=B102, Pricing_Rules!C:C&lt;=E102, Pricing_Rules!D:D&gt;=E102), 1)
   + INDEX(FILTER(Pricing_Rules!F:F, Pricing_Rules!A:A=A102, Pricing_Rules!B:B=B102, Pricing_Rules!C:C"&amp;"&lt;=E102, Pricing_Rules!D:D&gt;=E102), 1)
 )
 * (1 + IFERROR( INDEX(Config!D:D, MATCH(A102, Config!A:A, 0)), 0 )),
"""")
"),77.762)</f>
        <v>77.762</v>
      </c>
      <c r="K102" s="19">
        <f t="shared" si="1"/>
        <v>-146.262</v>
      </c>
      <c r="L102" s="20">
        <f t="shared" si="2"/>
        <v>-0.2931102204</v>
      </c>
    </row>
    <row r="103" ht="15.75" customHeight="1">
      <c r="A103" s="9" t="s">
        <v>1162</v>
      </c>
      <c r="B103" s="12" t="str">
        <f t="array" ref="B103">IF(D103="","",
 INDEX(Product_Master!A:A,
       MATCH( INDEX(Pack_Master!B:B, MATCH(D103, Pack_Master!A:A, 0)),
              Product_Master!B:B, 0 )
))
</f>
        <v>Garden_Planters</v>
      </c>
      <c r="C103" s="13" t="s">
        <v>1016</v>
      </c>
      <c r="D103" s="14" t="s">
        <v>1017</v>
      </c>
      <c r="E103" s="15">
        <v>3000.0</v>
      </c>
      <c r="F103" s="16">
        <f t="array" ref="F103">IFERROR(
  VALUE( INDEX(Product_Master!$I:$I,
               MATCH( INDEX(Pack_Master!$B:$B, MATCH($D103, Pack_Master!$A:$A, 0)),
                      Product_Master!$B:$B, 0)
  )) 
  * VALUE( INDEX(Pack_Master!$C:$C, MATCH($D103, Pack_Master!$A:$A, 0)) )
  + VALUE( INDEX(Pack_Master!$D:$D, MATCH($D103, Pack_Master!$A:$A, 0)) ),
"")
</f>
        <v>1114</v>
      </c>
      <c r="G103" s="17">
        <f t="array" ref="G103">IFERROR(
 ( INDEX(Pack_Master!E:E, MATCH($D103, Pack_Master!A:A, 0))
   * INDEX(Pack_Master!F:F, MATCH($D103, Pack_Master!A:A, 0))
   * INDEX(Pack_Master!G:G, MATCH($D103, Pack_Master!A:A, 0))
 ) / INDEX(Config!C:C, MATCH($A103, Config!A:A, 0)),
"")
</f>
        <v>17.2494</v>
      </c>
      <c r="H103" s="17">
        <f t="array" ref="H103">MAX( INDEX(Pack_Master!H:H, MATCH($D103, Pack_Master!A:A, 0)),
      IFERROR(G103, 0) )
</f>
        <v>17.2494</v>
      </c>
      <c r="I103" s="18">
        <f>IFERROR(__xludf.DUMMYFUNCTION("IFERROR(
 INDEX(
   FILTER(Shipping_Rate_Card!B:F, Shipping_Rate_Card!A:A=$A103),
   MATCH($H103, FILTER(Shipping_Rate_Card!B:B, Shipping_Rate_Card!A:A=$A103), 1),
   IF( INDEX(Config!B:B, MATCH($A103, Config!A:A, 0))=""Local"", 2,
     IF( INDEX(Config!B"&amp;":B, MATCH($A103, Config!A:A, 0))=""Regional"", 3, 4 )
   )
 ),
"""")
"),733.0)</f>
        <v>733</v>
      </c>
      <c r="J103" s="16">
        <f>IFERROR(__xludf.DUMMYFUNCTION("IFERROR(
 ( E103 * INDEX(FILTER(Pricing_Rules!E:E, Pricing_Rules!A:A=A103, Pricing_Rules!B:B=B103, Pricing_Rules!C:C&lt;=E103, Pricing_Rules!D:D&gt;=E103), 1)
   + INDEX(FILTER(Pricing_Rules!F:F, Pricing_Rules!A:A=A103, Pricing_Rules!B:B=B103, Pricing_Rules!C:C"&amp;"&lt;=E103, Pricing_Rules!D:D&gt;=E103), 1)
 )
 * (1 + IFERROR( INDEX(Config!D:D, MATCH(A103, Config!A:A, 0)), 0 )),
"""")
"),462.56)</f>
        <v>462.56</v>
      </c>
      <c r="K103" s="19">
        <f t="shared" si="1"/>
        <v>690.44</v>
      </c>
      <c r="L103" s="20">
        <f t="shared" si="2"/>
        <v>0.2301466667</v>
      </c>
    </row>
    <row r="104" ht="15.75" customHeight="1">
      <c r="A104" s="9" t="s">
        <v>1162</v>
      </c>
      <c r="B104" s="12" t="str">
        <f t="array" ref="B104">IF(D104="","",
 INDEX(Product_Master!A:A,
       MATCH( INDEX(Pack_Master!B:B, MATCH(D104, Pack_Master!A:A, 0)),
              Product_Master!B:B, 0 )
))
</f>
        <v>Garden_Planters</v>
      </c>
      <c r="C104" s="13" t="s">
        <v>1016</v>
      </c>
      <c r="D104" s="14" t="s">
        <v>1017</v>
      </c>
      <c r="E104" s="15">
        <v>3000.0</v>
      </c>
      <c r="F104" s="16">
        <f t="array" ref="F104">IFERROR(
  VALUE( INDEX(Product_Master!$I:$I,
               MATCH( INDEX(Pack_Master!$B:$B, MATCH($D104, Pack_Master!$A:$A, 0)),
                      Product_Master!$B:$B, 0)
  )) 
  * VALUE( INDEX(Pack_Master!$C:$C, MATCH($D104, Pack_Master!$A:$A, 0)) )
  + VALUE( INDEX(Pack_Master!$D:$D, MATCH($D104, Pack_Master!$A:$A, 0)) ),
"")
</f>
        <v>1114</v>
      </c>
      <c r="G104" s="17">
        <f t="array" ref="G104">IFERROR(
 ( INDEX(Pack_Master!E:E, MATCH($D104, Pack_Master!A:A, 0))
   * INDEX(Pack_Master!F:F, MATCH($D104, Pack_Master!A:A, 0))
   * INDEX(Pack_Master!G:G, MATCH($D104, Pack_Master!A:A, 0))
 ) / INDEX(Config!C:C, MATCH($A104, Config!A:A, 0)),
"")
</f>
        <v>17.2494</v>
      </c>
      <c r="H104" s="17">
        <f t="array" ref="H104">MAX( INDEX(Pack_Master!H:H, MATCH($D104, Pack_Master!A:A, 0)),
      IFERROR(G104, 0) )
</f>
        <v>17.2494</v>
      </c>
      <c r="I104" s="18">
        <f>IFERROR(__xludf.DUMMYFUNCTION("IFERROR(
 INDEX(
   FILTER(Shipping_Rate_Card!B:F, Shipping_Rate_Card!A:A=$A104),
   MATCH($H104, FILTER(Shipping_Rate_Card!B:B, Shipping_Rate_Card!A:A=$A104), 1),
   IF( INDEX(Config!B:B, MATCH($A104, Config!A:A, 0))=""Local"", 2,
     IF( INDEX(Config!B"&amp;":B, MATCH($A104, Config!A:A, 0))=""Regional"", 3, 4 )
   )
 ),
"""")
"),733.0)</f>
        <v>733</v>
      </c>
      <c r="J104" s="16">
        <f>IFERROR(__xludf.DUMMYFUNCTION("IFERROR(
 ( E104 * INDEX(FILTER(Pricing_Rules!E:E, Pricing_Rules!A:A=A104, Pricing_Rules!B:B=B104, Pricing_Rules!C:C&lt;=E104, Pricing_Rules!D:D&gt;=E104), 1)
   + INDEX(FILTER(Pricing_Rules!F:F, Pricing_Rules!A:A=A104, Pricing_Rules!B:B=B104, Pricing_Rules!C:C"&amp;"&lt;=E104, Pricing_Rules!D:D&gt;=E104), 1)
 )
 * (1 + IFERROR( INDEX(Config!D:D, MATCH(A104, Config!A:A, 0)), 0 )),
"""")
"),462.56)</f>
        <v>462.56</v>
      </c>
      <c r="K104" s="19">
        <f t="shared" si="1"/>
        <v>690.44</v>
      </c>
      <c r="L104" s="20">
        <f t="shared" si="2"/>
        <v>0.2301466667</v>
      </c>
    </row>
    <row r="105" ht="15.75" customHeight="1">
      <c r="A105" s="9" t="s">
        <v>1162</v>
      </c>
      <c r="B105" s="12" t="str">
        <f t="array" ref="B105">IF(D105="","",
 INDEX(Product_Master!A:A,
       MATCH( INDEX(Pack_Master!B:B, MATCH(D105, Pack_Master!A:A, 0)),
              Product_Master!B:B, 0 )
))
</f>
        <v>Garden_Planters</v>
      </c>
      <c r="C105" s="13" t="s">
        <v>1012</v>
      </c>
      <c r="D105" s="14" t="s">
        <v>1013</v>
      </c>
      <c r="E105" s="15">
        <v>789.0</v>
      </c>
      <c r="F105" s="16">
        <f t="array" ref="F105">IFERROR(
  VALUE( INDEX(Product_Master!$I:$I,
               MATCH( INDEX(Pack_Master!$B:$B, MATCH($D105, Pack_Master!$A:$A, 0)),
                      Product_Master!$B:$B, 0)
  )) 
  * VALUE( INDEX(Pack_Master!$C:$C, MATCH($D105, Pack_Master!$A:$A, 0)) )
  + VALUE( INDEX(Pack_Master!$D:$D, MATCH($D105, Pack_Master!$A:$A, 0)) ),
"")
</f>
        <v>353.5</v>
      </c>
      <c r="G105" s="17">
        <f t="array" ref="G105">IFERROR(
 ( INDEX(Pack_Master!E:E, MATCH($D105, Pack_Master!A:A, 0))
   * INDEX(Pack_Master!F:F, MATCH($D105, Pack_Master!A:A, 0))
   * INDEX(Pack_Master!G:G, MATCH($D105, Pack_Master!A:A, 0))
 ) / INDEX(Config!C:C, MATCH($A105, Config!A:A, 0)),
"")
</f>
        <v>9.8568</v>
      </c>
      <c r="H105" s="17">
        <f t="array" ref="H105">MAX( INDEX(Pack_Master!H:H, MATCH($D105, Pack_Master!A:A, 0)),
      IFERROR(G105, 0) )
</f>
        <v>9.8568</v>
      </c>
      <c r="I105" s="18">
        <f>IFERROR(__xludf.DUMMYFUNCTION("IFERROR(
 INDEX(
   FILTER(Shipping_Rate_Card!B:F, Shipping_Rate_Card!A:A=$A105),
   MATCH($H105, FILTER(Shipping_Rate_Card!B:B, Shipping_Rate_Card!A:A=$A105), 1),
   IF( INDEX(Config!B:B, MATCH($A105, Config!A:A, 0))=""Local"", 2,
     IF( INDEX(Config!B"&amp;":B, MATCH($A105, Config!A:A, 0))=""Regional"", 3, 4 )
   )
 ),
"""")
"),383.0)</f>
        <v>383</v>
      </c>
      <c r="J105" s="16">
        <f>IFERROR(__xludf.DUMMYFUNCTION("IFERROR(
 ( E105 * INDEX(FILTER(Pricing_Rules!E:E, Pricing_Rules!A:A=A105, Pricing_Rules!B:B=B105, Pricing_Rules!C:C&lt;=E105, Pricing_Rules!D:D&gt;=E105), 1)
   + INDEX(FILTER(Pricing_Rules!F:F, Pricing_Rules!A:A=A105, Pricing_Rules!B:B=B105, Pricing_Rules!C:C"&amp;"&lt;=E105, Pricing_Rules!D:D&gt;=E105), 1)
 )
 * (1 + IFERROR( INDEX(Config!D:D, MATCH(A105, Config!A:A, 0)), 0 )),
"""")
"),149.48239999999998)</f>
        <v>149.4824</v>
      </c>
      <c r="K105" s="19">
        <f t="shared" si="1"/>
        <v>-96.9824</v>
      </c>
      <c r="L105" s="20">
        <f t="shared" si="2"/>
        <v>-0.1229181242</v>
      </c>
    </row>
    <row r="106" ht="15.75" customHeight="1">
      <c r="A106" s="9" t="s">
        <v>1162</v>
      </c>
      <c r="B106" s="12" t="str">
        <f t="array" ref="B106">IF(D106="","",
 INDEX(Product_Master!A:A,
       MATCH( INDEX(Pack_Master!B:B, MATCH(D106, Pack_Master!A:A, 0)),
              Product_Master!B:B, 0 )
))
</f>
        <v>Garden_Planters</v>
      </c>
      <c r="C106" s="13" t="s">
        <v>1012</v>
      </c>
      <c r="D106" s="14" t="s">
        <v>1013</v>
      </c>
      <c r="E106" s="15">
        <v>789.0</v>
      </c>
      <c r="F106" s="16">
        <f t="array" ref="F106">IFERROR(
  VALUE( INDEX(Product_Master!$I:$I,
               MATCH( INDEX(Pack_Master!$B:$B, MATCH($D106, Pack_Master!$A:$A, 0)),
                      Product_Master!$B:$B, 0)
  )) 
  * VALUE( INDEX(Pack_Master!$C:$C, MATCH($D106, Pack_Master!$A:$A, 0)) )
  + VALUE( INDEX(Pack_Master!$D:$D, MATCH($D106, Pack_Master!$A:$A, 0)) ),
"")
</f>
        <v>353.5</v>
      </c>
      <c r="G106" s="17">
        <f t="array" ref="G106">IFERROR(
 ( INDEX(Pack_Master!E:E, MATCH($D106, Pack_Master!A:A, 0))
   * INDEX(Pack_Master!F:F, MATCH($D106, Pack_Master!A:A, 0))
   * INDEX(Pack_Master!G:G, MATCH($D106, Pack_Master!A:A, 0))
 ) / INDEX(Config!C:C, MATCH($A106, Config!A:A, 0)),
"")
</f>
        <v>9.8568</v>
      </c>
      <c r="H106" s="17">
        <f t="array" ref="H106">MAX( INDEX(Pack_Master!H:H, MATCH($D106, Pack_Master!A:A, 0)),
      IFERROR(G106, 0) )
</f>
        <v>9.8568</v>
      </c>
      <c r="I106" s="18">
        <f>IFERROR(__xludf.DUMMYFUNCTION("IFERROR(
 INDEX(
   FILTER(Shipping_Rate_Card!B:F, Shipping_Rate_Card!A:A=$A106),
   MATCH($H106, FILTER(Shipping_Rate_Card!B:B, Shipping_Rate_Card!A:A=$A106), 1),
   IF( INDEX(Config!B:B, MATCH($A106, Config!A:A, 0))=""Local"", 2,
     IF( INDEX(Config!B"&amp;":B, MATCH($A106, Config!A:A, 0))=""Regional"", 3, 4 )
   )
 ),
"""")
"),383.0)</f>
        <v>383</v>
      </c>
      <c r="J106" s="16">
        <f>IFERROR(__xludf.DUMMYFUNCTION("IFERROR(
 ( E106 * INDEX(FILTER(Pricing_Rules!E:E, Pricing_Rules!A:A=A106, Pricing_Rules!B:B=B106, Pricing_Rules!C:C&lt;=E106, Pricing_Rules!D:D&gt;=E106), 1)
   + INDEX(FILTER(Pricing_Rules!F:F, Pricing_Rules!A:A=A106, Pricing_Rules!B:B=B106, Pricing_Rules!C:C"&amp;"&lt;=E106, Pricing_Rules!D:D&gt;=E106), 1)
 )
 * (1 + IFERROR( INDEX(Config!D:D, MATCH(A106, Config!A:A, 0)), 0 )),
"""")
"),149.48239999999998)</f>
        <v>149.4824</v>
      </c>
      <c r="K106" s="19">
        <f t="shared" si="1"/>
        <v>-96.9824</v>
      </c>
      <c r="L106" s="20">
        <f t="shared" si="2"/>
        <v>-0.1229181242</v>
      </c>
    </row>
    <row r="107" ht="15.75" customHeight="1">
      <c r="A107" s="9" t="s">
        <v>1162</v>
      </c>
      <c r="B107" s="12" t="str">
        <f t="array" ref="B107">IF(D107="","",
 INDEX(Product_Master!A:A,
       MATCH( INDEX(Pack_Master!B:B, MATCH(D107, Pack_Master!A:A, 0)),
              Product_Master!B:B, 0 )
))
</f>
        <v>Garden_Planters</v>
      </c>
      <c r="C107" s="13" t="s">
        <v>1014</v>
      </c>
      <c r="D107" s="14" t="s">
        <v>1015</v>
      </c>
      <c r="E107" s="15">
        <v>1429.0</v>
      </c>
      <c r="F107" s="16">
        <f t="array" ref="F107">IFERROR(
  VALUE( INDEX(Product_Master!$I:$I,
               MATCH( INDEX(Pack_Master!$B:$B, MATCH($D107, Pack_Master!$A:$A, 0)),
                      Product_Master!$B:$B, 0)
  )) 
  * VALUE( INDEX(Pack_Master!$C:$C, MATCH($D107, Pack_Master!$A:$A, 0)) )
  + VALUE( INDEX(Pack_Master!$D:$D, MATCH($D107, Pack_Master!$A:$A, 0)) ),
"")
</f>
        <v>607</v>
      </c>
      <c r="G107" s="17">
        <f t="array" ref="G107">IFERROR(
 ( INDEX(Pack_Master!E:E, MATCH($D107, Pack_Master!A:A, 0))
   * INDEX(Pack_Master!F:F, MATCH($D107, Pack_Master!A:A, 0))
   * INDEX(Pack_Master!G:G, MATCH($D107, Pack_Master!A:A, 0))
 ) / INDEX(Config!C:C, MATCH($A107, Config!A:A, 0)),
"")
</f>
        <v>12.321</v>
      </c>
      <c r="H107" s="17">
        <f t="array" ref="H107">MAX( INDEX(Pack_Master!H:H, MATCH($D107, Pack_Master!A:A, 0)),
      IFERROR(G107, 0) )
</f>
        <v>12.321</v>
      </c>
      <c r="I107" s="18">
        <f>IFERROR(__xludf.DUMMYFUNCTION("IFERROR(
 INDEX(
   FILTER(Shipping_Rate_Card!B:F, Shipping_Rate_Card!A:A=$A107),
   MATCH($H107, FILTER(Shipping_Rate_Card!B:B, Shipping_Rate_Card!A:A=$A107), 1),
   IF( INDEX(Config!B:B, MATCH($A107, Config!A:A, 0))=""Local"", 2,
     IF( INDEX(Config!B"&amp;":B, MATCH($A107, Config!A:A, 0))=""Regional"", 3, 4 )
   )
 ),
"""")
"),733.0)</f>
        <v>733</v>
      </c>
      <c r="J107" s="16">
        <f>IFERROR(__xludf.DUMMYFUNCTION("IFERROR(
 ( E107 * INDEX(FILTER(Pricing_Rules!E:E, Pricing_Rules!A:A=A107, Pricing_Rules!B:B=B107, Pricing_Rules!C:C&lt;=E107, Pricing_Rules!D:D&gt;=E107), 1)
   + INDEX(FILTER(Pricing_Rules!F:F, Pricing_Rules!A:A=A107, Pricing_Rules!B:B=B107, Pricing_Rules!C:C"&amp;"&lt;=E107, Pricing_Rules!D:D&gt;=E107), 1)
 )
 * (1 + IFERROR( INDEX(Config!D:D, MATCH(A107, Config!A:A, 0)), 0 )),
"""")
"),240.10639999999998)</f>
        <v>240.1064</v>
      </c>
      <c r="K107" s="19">
        <f t="shared" si="1"/>
        <v>-151.1064</v>
      </c>
      <c r="L107" s="20">
        <f t="shared" si="2"/>
        <v>-0.1057427572</v>
      </c>
    </row>
    <row r="108" ht="15.75" customHeight="1">
      <c r="A108" s="9" t="s">
        <v>1162</v>
      </c>
      <c r="B108" s="12" t="str">
        <f t="array" ref="B108">IF(D108="","",
 INDEX(Product_Master!A:A,
       MATCH( INDEX(Pack_Master!B:B, MATCH(D108, Pack_Master!A:A, 0)),
              Product_Master!B:B, 0 )
))
</f>
        <v>Garden_Planters</v>
      </c>
      <c r="C108" s="13" t="s">
        <v>1014</v>
      </c>
      <c r="D108" s="14" t="s">
        <v>1015</v>
      </c>
      <c r="E108" s="15">
        <v>1429.0</v>
      </c>
      <c r="F108" s="16">
        <f t="array" ref="F108">IFERROR(
  VALUE( INDEX(Product_Master!$I:$I,
               MATCH( INDEX(Pack_Master!$B:$B, MATCH($D108, Pack_Master!$A:$A, 0)),
                      Product_Master!$B:$B, 0)
  )) 
  * VALUE( INDEX(Pack_Master!$C:$C, MATCH($D108, Pack_Master!$A:$A, 0)) )
  + VALUE( INDEX(Pack_Master!$D:$D, MATCH($D108, Pack_Master!$A:$A, 0)) ),
"")
</f>
        <v>607</v>
      </c>
      <c r="G108" s="17">
        <f t="array" ref="G108">IFERROR(
 ( INDEX(Pack_Master!E:E, MATCH($D108, Pack_Master!A:A, 0))
   * INDEX(Pack_Master!F:F, MATCH($D108, Pack_Master!A:A, 0))
   * INDEX(Pack_Master!G:G, MATCH($D108, Pack_Master!A:A, 0))
 ) / INDEX(Config!C:C, MATCH($A108, Config!A:A, 0)),
"")
</f>
        <v>12.321</v>
      </c>
      <c r="H108" s="17">
        <f t="array" ref="H108">MAX( INDEX(Pack_Master!H:H, MATCH($D108, Pack_Master!A:A, 0)),
      IFERROR(G108, 0) )
</f>
        <v>12.321</v>
      </c>
      <c r="I108" s="18">
        <f>IFERROR(__xludf.DUMMYFUNCTION("IFERROR(
 INDEX(
   FILTER(Shipping_Rate_Card!B:F, Shipping_Rate_Card!A:A=$A108),
   MATCH($H108, FILTER(Shipping_Rate_Card!B:B, Shipping_Rate_Card!A:A=$A108), 1),
   IF( INDEX(Config!B:B, MATCH($A108, Config!A:A, 0))=""Local"", 2,
     IF( INDEX(Config!B"&amp;":B, MATCH($A108, Config!A:A, 0))=""Regional"", 3, 4 )
   )
 ),
"""")
"),733.0)</f>
        <v>733</v>
      </c>
      <c r="J108" s="16">
        <f>IFERROR(__xludf.DUMMYFUNCTION("IFERROR(
 ( E108 * INDEX(FILTER(Pricing_Rules!E:E, Pricing_Rules!A:A=A108, Pricing_Rules!B:B=B108, Pricing_Rules!C:C&lt;=E108, Pricing_Rules!D:D&gt;=E108), 1)
   + INDEX(FILTER(Pricing_Rules!F:F, Pricing_Rules!A:A=A108, Pricing_Rules!B:B=B108, Pricing_Rules!C:C"&amp;"&lt;=E108, Pricing_Rules!D:D&gt;=E108), 1)
 )
 * (1 + IFERROR( INDEX(Config!D:D, MATCH(A108, Config!A:A, 0)), 0 )),
"""")
"),240.10639999999998)</f>
        <v>240.1064</v>
      </c>
      <c r="K108" s="19">
        <f t="shared" si="1"/>
        <v>-151.1064</v>
      </c>
      <c r="L108" s="20">
        <f t="shared" si="2"/>
        <v>-0.1057427572</v>
      </c>
    </row>
    <row r="109" ht="15.75" customHeight="1">
      <c r="A109" s="9" t="s">
        <v>1162</v>
      </c>
      <c r="B109" s="12" t="str">
        <f t="array" ref="B109">IF(D109="","",
 INDEX(Product_Master!A:A,
       MATCH( INDEX(Pack_Master!B:B, MATCH(D109, Pack_Master!A:A, 0)),
              Product_Master!B:B, 0 )
))
</f>
        <v>Garden_Planters</v>
      </c>
      <c r="C109" s="13" t="s">
        <v>1018</v>
      </c>
      <c r="D109" s="14" t="s">
        <v>875</v>
      </c>
      <c r="E109" s="15">
        <v>299.0</v>
      </c>
      <c r="F109" s="16">
        <f t="array" ref="F109">IFERROR(
  VALUE( INDEX(Product_Master!$I:$I,
               MATCH( INDEX(Pack_Master!$B:$B, MATCH($D109, Pack_Master!$A:$A, 0)),
                      Product_Master!$B:$B, 0)
  )) 
  * VALUE( INDEX(Pack_Master!$C:$C, MATCH($D109, Pack_Master!$A:$A, 0)) )
  + VALUE( INDEX(Pack_Master!$D:$D, MATCH($D109, Pack_Master!$A:$A, 0)) ),
"")
</f>
        <v>53.5</v>
      </c>
      <c r="G109" s="17">
        <f t="array" ref="G109">IFERROR(
 ( INDEX(Pack_Master!E:E, MATCH($D109, Pack_Master!A:A, 0))
   * INDEX(Pack_Master!F:F, MATCH($D109, Pack_Master!A:A, 0))
   * INDEX(Pack_Master!G:G, MATCH($D109, Pack_Master!A:A, 0))
 ) / INDEX(Config!C:C, MATCH($A109, Config!A:A, 0)),
"")
</f>
        <v>1.7986</v>
      </c>
      <c r="H109" s="17">
        <f t="array" ref="H109">MAX( INDEX(Pack_Master!H:H, MATCH($D109, Pack_Master!A:A, 0)),
      IFERROR(G109, 0) )
</f>
        <v>1.7986</v>
      </c>
      <c r="I109" s="18">
        <f>IFERROR(__xludf.DUMMYFUNCTION("IFERROR(
 INDEX(
   FILTER(Shipping_Rate_Card!B:F, Shipping_Rate_Card!A:A=$A109),
   MATCH($H109, FILTER(Shipping_Rate_Card!B:B, Shipping_Rate_Card!A:A=$A109), 1),
   IF( INDEX(Config!B:B, MATCH($A109, Config!A:A, 0))=""Local"", 2,
     IF( INDEX(Config!B"&amp;":B, MATCH($A109, Config!A:A, 0))=""Regional"", 3, 4 )
   )
 ),
"""")
"),138.0)</f>
        <v>138</v>
      </c>
      <c r="J109" s="16">
        <f>IFERROR(__xludf.DUMMYFUNCTION("IFERROR(
 ( E109 * INDEX(FILTER(Pricing_Rules!E:E, Pricing_Rules!A:A=A109, Pricing_Rules!B:B=B109, Pricing_Rules!C:C&lt;=E109, Pricing_Rules!D:D&gt;=E109), 1)
   + INDEX(FILTER(Pricing_Rules!F:F, Pricing_Rules!A:A=A109, Pricing_Rules!B:B=B109, Pricing_Rules!C:C"&amp;"&lt;=E109, Pricing_Rules!D:D&gt;=E109), 1)
 )
 * (1 + IFERROR( INDEX(Config!D:D, MATCH(A109, Config!A:A, 0)), 0 )),
"""")
"),15.34)</f>
        <v>15.34</v>
      </c>
      <c r="K109" s="19">
        <f t="shared" si="1"/>
        <v>92.16</v>
      </c>
      <c r="L109" s="20">
        <f t="shared" si="2"/>
        <v>0.3082274247</v>
      </c>
    </row>
    <row r="110" ht="15.75" customHeight="1">
      <c r="A110" s="9" t="s">
        <v>1162</v>
      </c>
      <c r="B110" s="12" t="str">
        <f t="array" ref="B110">IF(D110="","",
 INDEX(Product_Master!A:A,
       MATCH( INDEX(Pack_Master!B:B, MATCH(D110, Pack_Master!A:A, 0)),
              Product_Master!B:B, 0 )
))
</f>
        <v>Garden_Planters</v>
      </c>
      <c r="C110" s="13" t="s">
        <v>1018</v>
      </c>
      <c r="D110" s="14" t="s">
        <v>875</v>
      </c>
      <c r="E110" s="15">
        <v>299.0</v>
      </c>
      <c r="F110" s="16">
        <f t="array" ref="F110">IFERROR(
  VALUE( INDEX(Product_Master!$I:$I,
               MATCH( INDEX(Pack_Master!$B:$B, MATCH($D110, Pack_Master!$A:$A, 0)),
                      Product_Master!$B:$B, 0)
  )) 
  * VALUE( INDEX(Pack_Master!$C:$C, MATCH($D110, Pack_Master!$A:$A, 0)) )
  + VALUE( INDEX(Pack_Master!$D:$D, MATCH($D110, Pack_Master!$A:$A, 0)) ),
"")
</f>
        <v>53.5</v>
      </c>
      <c r="G110" s="17">
        <f t="array" ref="G110">IFERROR(
 ( INDEX(Pack_Master!E:E, MATCH($D110, Pack_Master!A:A, 0))
   * INDEX(Pack_Master!F:F, MATCH($D110, Pack_Master!A:A, 0))
   * INDEX(Pack_Master!G:G, MATCH($D110, Pack_Master!A:A, 0))
 ) / INDEX(Config!C:C, MATCH($A110, Config!A:A, 0)),
"")
</f>
        <v>1.7986</v>
      </c>
      <c r="H110" s="17">
        <f t="array" ref="H110">MAX( INDEX(Pack_Master!H:H, MATCH($D110, Pack_Master!A:A, 0)),
      IFERROR(G110, 0) )
</f>
        <v>1.7986</v>
      </c>
      <c r="I110" s="18">
        <f>IFERROR(__xludf.DUMMYFUNCTION("IFERROR(
 INDEX(
   FILTER(Shipping_Rate_Card!B:F, Shipping_Rate_Card!A:A=$A110),
   MATCH($H110, FILTER(Shipping_Rate_Card!B:B, Shipping_Rate_Card!A:A=$A110), 1),
   IF( INDEX(Config!B:B, MATCH($A110, Config!A:A, 0))=""Local"", 2,
     IF( INDEX(Config!B"&amp;":B, MATCH($A110, Config!A:A, 0))=""Regional"", 3, 4 )
   )
 ),
"""")
"),138.0)</f>
        <v>138</v>
      </c>
      <c r="J110" s="16">
        <f>IFERROR(__xludf.DUMMYFUNCTION("IFERROR(
 ( E110 * INDEX(FILTER(Pricing_Rules!E:E, Pricing_Rules!A:A=A110, Pricing_Rules!B:B=B110, Pricing_Rules!C:C&lt;=E110, Pricing_Rules!D:D&gt;=E110), 1)
   + INDEX(FILTER(Pricing_Rules!F:F, Pricing_Rules!A:A=A110, Pricing_Rules!B:B=B110, Pricing_Rules!C:C"&amp;"&lt;=E110, Pricing_Rules!D:D&gt;=E110), 1)
 )
 * (1 + IFERROR( INDEX(Config!D:D, MATCH(A110, Config!A:A, 0)), 0 )),
"""")
"),15.34)</f>
        <v>15.34</v>
      </c>
      <c r="K110" s="19">
        <f t="shared" si="1"/>
        <v>92.16</v>
      </c>
      <c r="L110" s="20">
        <f t="shared" si="2"/>
        <v>0.3082274247</v>
      </c>
    </row>
    <row r="111" ht="15.75" customHeight="1">
      <c r="A111" s="9" t="s">
        <v>1162</v>
      </c>
      <c r="B111" s="12" t="str">
        <f t="array" ref="B111">IF(D111="","",
 INDEX(Product_Master!A:A,
       MATCH( INDEX(Pack_Master!B:B, MATCH(D111, Pack_Master!A:A, 0)),
              Product_Master!B:B, 0 )
))
</f>
        <v>Garden_Planters</v>
      </c>
      <c r="C111" s="13" t="s">
        <v>1023</v>
      </c>
      <c r="D111" s="14" t="s">
        <v>1024</v>
      </c>
      <c r="E111" s="15">
        <v>989.0</v>
      </c>
      <c r="F111" s="16">
        <f t="array" ref="F111">IFERROR(
  VALUE( INDEX(Product_Master!$I:$I,
               MATCH( INDEX(Pack_Master!$B:$B, MATCH($D111, Pack_Master!$A:$A, 0)),
                      Product_Master!$B:$B, 0)
  )) 
  * VALUE( INDEX(Pack_Master!$C:$C, MATCH($D111, Pack_Master!$A:$A, 0)) )
  + VALUE( INDEX(Pack_Master!$D:$D, MATCH($D111, Pack_Master!$A:$A, 0)) ),
"")
</f>
        <v>312</v>
      </c>
      <c r="G111" s="17">
        <f t="array" ref="G111">IFERROR(
 ( INDEX(Pack_Master!E:E, MATCH($D111, Pack_Master!A:A, 0))
   * INDEX(Pack_Master!F:F, MATCH($D111, Pack_Master!A:A, 0))
   * INDEX(Pack_Master!G:G, MATCH($D111, Pack_Master!A:A, 0))
 ) / INDEX(Config!C:C, MATCH($A111, Config!A:A, 0)),
"")
</f>
        <v>3.3856</v>
      </c>
      <c r="H111" s="17">
        <f t="array" ref="H111">MAX( INDEX(Pack_Master!H:H, MATCH($D111, Pack_Master!A:A, 0)),
      IFERROR(G111, 0) )
</f>
        <v>3.3856</v>
      </c>
      <c r="I111" s="18">
        <f>IFERROR(__xludf.DUMMYFUNCTION("IFERROR(
 INDEX(
   FILTER(Shipping_Rate_Card!B:F, Shipping_Rate_Card!A:A=$A111),
   MATCH($H111, FILTER(Shipping_Rate_Card!B:B, Shipping_Rate_Card!A:A=$A111), 1),
   IF( INDEX(Config!B:B, MATCH($A111, Config!A:A, 0))=""Local"", 2,
     IF( INDEX(Config!B"&amp;":B, MATCH($A111, Config!A:A, 0))=""Regional"", 3, 4 )
   )
 ),
"""")
"),243.0)</f>
        <v>243</v>
      </c>
      <c r="J111" s="16">
        <f>IFERROR(__xludf.DUMMYFUNCTION("IFERROR(
 ( E111 * INDEX(FILTER(Pricing_Rules!E:E, Pricing_Rules!A:A=A111, Pricing_Rules!B:B=B111, Pricing_Rules!C:C&lt;=E111, Pricing_Rules!D:D&gt;=E111), 1)
   + INDEX(FILTER(Pricing_Rules!F:F, Pricing_Rules!A:A=A111, Pricing_Rules!B:B=B111, Pricing_Rules!C:C"&amp;"&lt;=E111, Pricing_Rules!D:D&gt;=E111), 1)
 )
 * (1 + IFERROR( INDEX(Config!D:D, MATCH(A111, Config!A:A, 0)), 0 )),
"""")
"),177.8024)</f>
        <v>177.8024</v>
      </c>
      <c r="K111" s="19">
        <f t="shared" si="1"/>
        <v>256.1976</v>
      </c>
      <c r="L111" s="20">
        <f t="shared" si="2"/>
        <v>0.2590471183</v>
      </c>
    </row>
    <row r="112" ht="15.75" customHeight="1">
      <c r="A112" s="9" t="s">
        <v>1162</v>
      </c>
      <c r="B112" s="12" t="str">
        <f t="array" ref="B112">IF(D112="","",
 INDEX(Product_Master!A:A,
       MATCH( INDEX(Pack_Master!B:B, MATCH(D112, Pack_Master!A:A, 0)),
              Product_Master!B:B, 0 )
))
</f>
        <v>Garden_Planters</v>
      </c>
      <c r="C112" s="13" t="s">
        <v>1023</v>
      </c>
      <c r="D112" s="14" t="s">
        <v>1024</v>
      </c>
      <c r="E112" s="15">
        <v>989.0</v>
      </c>
      <c r="F112" s="16">
        <f t="array" ref="F112">IFERROR(
  VALUE( INDEX(Product_Master!$I:$I,
               MATCH( INDEX(Pack_Master!$B:$B, MATCH($D112, Pack_Master!$A:$A, 0)),
                      Product_Master!$B:$B, 0)
  )) 
  * VALUE( INDEX(Pack_Master!$C:$C, MATCH($D112, Pack_Master!$A:$A, 0)) )
  + VALUE( INDEX(Pack_Master!$D:$D, MATCH($D112, Pack_Master!$A:$A, 0)) ),
"")
</f>
        <v>312</v>
      </c>
      <c r="G112" s="17">
        <f t="array" ref="G112">IFERROR(
 ( INDEX(Pack_Master!E:E, MATCH($D112, Pack_Master!A:A, 0))
   * INDEX(Pack_Master!F:F, MATCH($D112, Pack_Master!A:A, 0))
   * INDEX(Pack_Master!G:G, MATCH($D112, Pack_Master!A:A, 0))
 ) / INDEX(Config!C:C, MATCH($A112, Config!A:A, 0)),
"")
</f>
        <v>3.3856</v>
      </c>
      <c r="H112" s="17">
        <f t="array" ref="H112">MAX( INDEX(Pack_Master!H:H, MATCH($D112, Pack_Master!A:A, 0)),
      IFERROR(G112, 0) )
</f>
        <v>3.3856</v>
      </c>
      <c r="I112" s="18">
        <f>IFERROR(__xludf.DUMMYFUNCTION("IFERROR(
 INDEX(
   FILTER(Shipping_Rate_Card!B:F, Shipping_Rate_Card!A:A=$A112),
   MATCH($H112, FILTER(Shipping_Rate_Card!B:B, Shipping_Rate_Card!A:A=$A112), 1),
   IF( INDEX(Config!B:B, MATCH($A112, Config!A:A, 0))=""Local"", 2,
     IF( INDEX(Config!B"&amp;":B, MATCH($A112, Config!A:A, 0))=""Regional"", 3, 4 )
   )
 ),
"""")
"),243.0)</f>
        <v>243</v>
      </c>
      <c r="J112" s="16">
        <f>IFERROR(__xludf.DUMMYFUNCTION("IFERROR(
 ( E112 * INDEX(FILTER(Pricing_Rules!E:E, Pricing_Rules!A:A=A112, Pricing_Rules!B:B=B112, Pricing_Rules!C:C&lt;=E112, Pricing_Rules!D:D&gt;=E112), 1)
   + INDEX(FILTER(Pricing_Rules!F:F, Pricing_Rules!A:A=A112, Pricing_Rules!B:B=B112, Pricing_Rules!C:C"&amp;"&lt;=E112, Pricing_Rules!D:D&gt;=E112), 1)
 )
 * (1 + IFERROR( INDEX(Config!D:D, MATCH(A112, Config!A:A, 0)), 0 )),
"""")
"),177.8024)</f>
        <v>177.8024</v>
      </c>
      <c r="K112" s="19">
        <f t="shared" si="1"/>
        <v>256.1976</v>
      </c>
      <c r="L112" s="20">
        <f t="shared" si="2"/>
        <v>0.2590471183</v>
      </c>
    </row>
    <row r="113" ht="15.75" customHeight="1">
      <c r="A113" s="9" t="s">
        <v>1162</v>
      </c>
      <c r="B113" s="12" t="str">
        <f t="array" ref="B113">IF(D113="","",
 INDEX(Product_Master!A:A,
       MATCH( INDEX(Pack_Master!B:B, MATCH(D113, Pack_Master!A:A, 0)),
              Product_Master!B:B, 0 )
))
</f>
        <v>Garden_Planters</v>
      </c>
      <c r="C113" s="13" t="s">
        <v>1019</v>
      </c>
      <c r="D113" s="14" t="s">
        <v>1020</v>
      </c>
      <c r="E113" s="15">
        <v>499.0</v>
      </c>
      <c r="F113" s="16">
        <f t="array" ref="F113">IFERROR(
  VALUE( INDEX(Product_Master!$I:$I,
               MATCH( INDEX(Pack_Master!$B:$B, MATCH($D113, Pack_Master!$A:$A, 0)),
                      Product_Master!$B:$B, 0)
  )) 
  * VALUE( INDEX(Pack_Master!$C:$C, MATCH($D113, Pack_Master!$A:$A, 0)) )
  + VALUE( INDEX(Pack_Master!$D:$D, MATCH($D113, Pack_Master!$A:$A, 0)) ),
"")
</f>
        <v>100.5</v>
      </c>
      <c r="G113" s="17">
        <f t="array" ref="G113">IFERROR(
 ( INDEX(Pack_Master!E:E, MATCH($D113, Pack_Master!A:A, 0))
   * INDEX(Pack_Master!F:F, MATCH($D113, Pack_Master!A:A, 0))
   * INDEX(Pack_Master!G:G, MATCH($D113, Pack_Master!A:A, 0))
 ) / INDEX(Config!C:C, MATCH($A113, Config!A:A, 0)),
"")
</f>
        <v>2.0102</v>
      </c>
      <c r="H113" s="17">
        <f t="array" ref="H113">MAX( INDEX(Pack_Master!H:H, MATCH($D113, Pack_Master!A:A, 0)),
      IFERROR(G113, 0) )
</f>
        <v>2.0102</v>
      </c>
      <c r="I113" s="18">
        <f>IFERROR(__xludf.DUMMYFUNCTION("IFERROR(
 INDEX(
   FILTER(Shipping_Rate_Card!B:F, Shipping_Rate_Card!A:A=$A113),
   MATCH($H113, FILTER(Shipping_Rate_Card!B:B, Shipping_Rate_Card!A:A=$A113), 1),
   IF( INDEX(Config!B:B, MATCH($A113, Config!A:A, 0))=""Local"", 2,
     IF( INDEX(Config!B"&amp;":B, MATCH($A113, Config!A:A, 0))=""Regional"", 3, 4 )
   )
 ),
"""")
"),173.0)</f>
        <v>173</v>
      </c>
      <c r="J113" s="16">
        <f>IFERROR(__xludf.DUMMYFUNCTION("IFERROR(
 ( E113 * INDEX(FILTER(Pricing_Rules!E:E, Pricing_Rules!A:A=A113, Pricing_Rules!B:B=B113, Pricing_Rules!C:C&lt;=E113, Pricing_Rules!D:D&gt;=E113), 1)
   + INDEX(FILTER(Pricing_Rules!F:F, Pricing_Rules!A:A=A113, Pricing_Rules!B:B=B113, Pricing_Rules!C:C"&amp;"&lt;=E113, Pricing_Rules!D:D&gt;=E113), 1)
 )
 * (1 + IFERROR( INDEX(Config!D:D, MATCH(A113, Config!A:A, 0)), 0 )),
"""")
"),77.762)</f>
        <v>77.762</v>
      </c>
      <c r="K113" s="19">
        <f t="shared" si="1"/>
        <v>147.738</v>
      </c>
      <c r="L113" s="20">
        <f t="shared" si="2"/>
        <v>0.2960681363</v>
      </c>
    </row>
    <row r="114" ht="15.75" customHeight="1">
      <c r="A114" s="9" t="s">
        <v>1162</v>
      </c>
      <c r="B114" s="12" t="str">
        <f t="array" ref="B114">IF(D114="","",
 INDEX(Product_Master!A:A,
       MATCH( INDEX(Pack_Master!B:B, MATCH(D114, Pack_Master!A:A, 0)),
              Product_Master!B:B, 0 )
))
</f>
        <v>Garden_Planters</v>
      </c>
      <c r="C114" s="13" t="s">
        <v>1019</v>
      </c>
      <c r="D114" s="14" t="s">
        <v>1020</v>
      </c>
      <c r="E114" s="15">
        <v>499.0</v>
      </c>
      <c r="F114" s="16">
        <f t="array" ref="F114">IFERROR(
  VALUE( INDEX(Product_Master!$I:$I,
               MATCH( INDEX(Pack_Master!$B:$B, MATCH($D114, Pack_Master!$A:$A, 0)),
                      Product_Master!$B:$B, 0)
  )) 
  * VALUE( INDEX(Pack_Master!$C:$C, MATCH($D114, Pack_Master!$A:$A, 0)) )
  + VALUE( INDEX(Pack_Master!$D:$D, MATCH($D114, Pack_Master!$A:$A, 0)) ),
"")
</f>
        <v>100.5</v>
      </c>
      <c r="G114" s="17">
        <f t="array" ref="G114">IFERROR(
 ( INDEX(Pack_Master!E:E, MATCH($D114, Pack_Master!A:A, 0))
   * INDEX(Pack_Master!F:F, MATCH($D114, Pack_Master!A:A, 0))
   * INDEX(Pack_Master!G:G, MATCH($D114, Pack_Master!A:A, 0))
 ) / INDEX(Config!C:C, MATCH($A114, Config!A:A, 0)),
"")
</f>
        <v>2.0102</v>
      </c>
      <c r="H114" s="17">
        <f t="array" ref="H114">MAX( INDEX(Pack_Master!H:H, MATCH($D114, Pack_Master!A:A, 0)),
      IFERROR(G114, 0) )
</f>
        <v>2.0102</v>
      </c>
      <c r="I114" s="18">
        <f>IFERROR(__xludf.DUMMYFUNCTION("IFERROR(
 INDEX(
   FILTER(Shipping_Rate_Card!B:F, Shipping_Rate_Card!A:A=$A114),
   MATCH($H114, FILTER(Shipping_Rate_Card!B:B, Shipping_Rate_Card!A:A=$A114), 1),
   IF( INDEX(Config!B:B, MATCH($A114, Config!A:A, 0))=""Local"", 2,
     IF( INDEX(Config!B"&amp;":B, MATCH($A114, Config!A:A, 0))=""Regional"", 3, 4 )
   )
 ),
"""")
"),173.0)</f>
        <v>173</v>
      </c>
      <c r="J114" s="16">
        <f>IFERROR(__xludf.DUMMYFUNCTION("IFERROR(
 ( E114 * INDEX(FILTER(Pricing_Rules!E:E, Pricing_Rules!A:A=A114, Pricing_Rules!B:B=B114, Pricing_Rules!C:C&lt;=E114, Pricing_Rules!D:D&gt;=E114), 1)
   + INDEX(FILTER(Pricing_Rules!F:F, Pricing_Rules!A:A=A114, Pricing_Rules!B:B=B114, Pricing_Rules!C:C"&amp;"&lt;=E114, Pricing_Rules!D:D&gt;=E114), 1)
 )
 * (1 + IFERROR( INDEX(Config!D:D, MATCH(A114, Config!A:A, 0)), 0 )),
"""")
"),77.762)</f>
        <v>77.762</v>
      </c>
      <c r="K114" s="19">
        <f t="shared" si="1"/>
        <v>147.738</v>
      </c>
      <c r="L114" s="20">
        <f t="shared" si="2"/>
        <v>0.2960681363</v>
      </c>
    </row>
    <row r="115" ht="15.75" customHeight="1">
      <c r="A115" s="9" t="s">
        <v>1162</v>
      </c>
      <c r="B115" s="12" t="str">
        <f t="array" ref="B115">IF(D115="","",
 INDEX(Product_Master!A:A,
       MATCH( INDEX(Pack_Master!B:B, MATCH(D115, Pack_Master!A:A, 0)),
              Product_Master!B:B, 0 )
))
</f>
        <v>Garden_Planters</v>
      </c>
      <c r="C115" s="13" t="s">
        <v>1021</v>
      </c>
      <c r="D115" s="14" t="s">
        <v>1022</v>
      </c>
      <c r="E115" s="15">
        <v>799.0</v>
      </c>
      <c r="F115" s="16">
        <f t="array" ref="F115">IFERROR(
  VALUE( INDEX(Product_Master!$I:$I,
               MATCH( INDEX(Pack_Master!$B:$B, MATCH($D115, Pack_Master!$A:$A, 0)),
                      Product_Master!$B:$B, 0)
  )) 
  * VALUE( INDEX(Pack_Master!$C:$C, MATCH($D115, Pack_Master!$A:$A, 0)) )
  + VALUE( INDEX(Pack_Master!$D:$D, MATCH($D115, Pack_Master!$A:$A, 0)) ),
"")
</f>
        <v>171</v>
      </c>
      <c r="G115" s="17">
        <f t="array" ref="G115">IFERROR(
 ( INDEX(Pack_Master!E:E, MATCH($D115, Pack_Master!A:A, 0))
   * INDEX(Pack_Master!F:F, MATCH($D115, Pack_Master!A:A, 0))
   * INDEX(Pack_Master!G:G, MATCH($D115, Pack_Master!A:A, 0))
 ) / INDEX(Config!C:C, MATCH($A115, Config!A:A, 0)),
"")
</f>
        <v>2.5392</v>
      </c>
      <c r="H115" s="17">
        <f t="array" ref="H115">MAX( INDEX(Pack_Master!H:H, MATCH($D115, Pack_Master!A:A, 0)),
      IFERROR(G115, 0) )
</f>
        <v>2.5392</v>
      </c>
      <c r="I115" s="18">
        <f>IFERROR(__xludf.DUMMYFUNCTION("IFERROR(
 INDEX(
   FILTER(Shipping_Rate_Card!B:F, Shipping_Rate_Card!A:A=$A115),
   MATCH($H115, FILTER(Shipping_Rate_Card!B:B, Shipping_Rate_Card!A:A=$A115), 1),
   IF( INDEX(Config!B:B, MATCH($A115, Config!A:A, 0))=""Local"", 2,
     IF( INDEX(Config!B"&amp;":B, MATCH($A115, Config!A:A, 0))=""Regional"", 3, 4 )
   )
 ),
"""")
"),173.0)</f>
        <v>173</v>
      </c>
      <c r="J115" s="16">
        <f>IFERROR(__xludf.DUMMYFUNCTION("IFERROR(
 ( E115 * INDEX(FILTER(Pricing_Rules!E:E, Pricing_Rules!A:A=A115, Pricing_Rules!B:B=B115, Pricing_Rules!C:C&lt;=E115, Pricing_Rules!D:D&gt;=E115), 1)
   + INDEX(FILTER(Pricing_Rules!F:F, Pricing_Rules!A:A=A115, Pricing_Rules!B:B=B115, Pricing_Rules!C:C"&amp;"&lt;=E115, Pricing_Rules!D:D&gt;=E115), 1)
 )
 * (1 + IFERROR( INDEX(Config!D:D, MATCH(A115, Config!A:A, 0)), 0 )),
"""")
"),150.89839999999998)</f>
        <v>150.8984</v>
      </c>
      <c r="K115" s="19">
        <f t="shared" si="1"/>
        <v>304.1016</v>
      </c>
      <c r="L115" s="20">
        <f t="shared" si="2"/>
        <v>0.3806027534</v>
      </c>
    </row>
    <row r="116" ht="15.75" customHeight="1">
      <c r="A116" s="9" t="s">
        <v>1162</v>
      </c>
      <c r="B116" s="12" t="str">
        <f t="array" ref="B116">IF(D116="","",
 INDEX(Product_Master!A:A,
       MATCH( INDEX(Pack_Master!B:B, MATCH(D116, Pack_Master!A:A, 0)),
              Product_Master!B:B, 0 )
))
</f>
        <v>Garden_Planters</v>
      </c>
      <c r="C116" s="13" t="s">
        <v>1021</v>
      </c>
      <c r="D116" s="14" t="s">
        <v>1022</v>
      </c>
      <c r="E116" s="15">
        <v>799.0</v>
      </c>
      <c r="F116" s="16">
        <f t="array" ref="F116">IFERROR(
  VALUE( INDEX(Product_Master!$I:$I,
               MATCH( INDEX(Pack_Master!$B:$B, MATCH($D116, Pack_Master!$A:$A, 0)),
                      Product_Master!$B:$B, 0)
  )) 
  * VALUE( INDEX(Pack_Master!$C:$C, MATCH($D116, Pack_Master!$A:$A, 0)) )
  + VALUE( INDEX(Pack_Master!$D:$D, MATCH($D116, Pack_Master!$A:$A, 0)) ),
"")
</f>
        <v>171</v>
      </c>
      <c r="G116" s="17">
        <f t="array" ref="G116">IFERROR(
 ( INDEX(Pack_Master!E:E, MATCH($D116, Pack_Master!A:A, 0))
   * INDEX(Pack_Master!F:F, MATCH($D116, Pack_Master!A:A, 0))
   * INDEX(Pack_Master!G:G, MATCH($D116, Pack_Master!A:A, 0))
 ) / INDEX(Config!C:C, MATCH($A116, Config!A:A, 0)),
"")
</f>
        <v>2.5392</v>
      </c>
      <c r="H116" s="17">
        <f t="array" ref="H116">MAX( INDEX(Pack_Master!H:H, MATCH($D116, Pack_Master!A:A, 0)),
      IFERROR(G116, 0) )
</f>
        <v>2.5392</v>
      </c>
      <c r="I116" s="18">
        <f>IFERROR(__xludf.DUMMYFUNCTION("IFERROR(
 INDEX(
   FILTER(Shipping_Rate_Card!B:F, Shipping_Rate_Card!A:A=$A116),
   MATCH($H116, FILTER(Shipping_Rate_Card!B:B, Shipping_Rate_Card!A:A=$A116), 1),
   IF( INDEX(Config!B:B, MATCH($A116, Config!A:A, 0))=""Local"", 2,
     IF( INDEX(Config!B"&amp;":B, MATCH($A116, Config!A:A, 0))=""Regional"", 3, 4 )
   )
 ),
"""")
"),173.0)</f>
        <v>173</v>
      </c>
      <c r="J116" s="16">
        <f>IFERROR(__xludf.DUMMYFUNCTION("IFERROR(
 ( E116 * INDEX(FILTER(Pricing_Rules!E:E, Pricing_Rules!A:A=A116, Pricing_Rules!B:B=B116, Pricing_Rules!C:C&lt;=E116, Pricing_Rules!D:D&gt;=E116), 1)
   + INDEX(FILTER(Pricing_Rules!F:F, Pricing_Rules!A:A=A116, Pricing_Rules!B:B=B116, Pricing_Rules!C:C"&amp;"&lt;=E116, Pricing_Rules!D:D&gt;=E116), 1)
 )
 * (1 + IFERROR( INDEX(Config!D:D, MATCH(A116, Config!A:A, 0)), 0 )),
"""")
"),150.89839999999998)</f>
        <v>150.8984</v>
      </c>
      <c r="K116" s="19">
        <f t="shared" si="1"/>
        <v>304.1016</v>
      </c>
      <c r="L116" s="20">
        <f t="shared" si="2"/>
        <v>0.3806027534</v>
      </c>
    </row>
    <row r="117" ht="15.75" customHeight="1">
      <c r="A117" s="9"/>
      <c r="B117" s="12" t="str">
        <f t="array" ref="B117">IF(D117="","",
 INDEX(Product_Master!A:A,
       MATCH( INDEX(Pack_Master!B:B, MATCH(D117, Pack_Master!A:A, 0)),
              Product_Master!B:B, 0 )
))
</f>
        <v/>
      </c>
      <c r="C117" s="13"/>
      <c r="D117" s="14"/>
      <c r="E117" s="15"/>
      <c r="F117" s="16"/>
      <c r="G117" s="17"/>
      <c r="H117" s="17"/>
      <c r="I117" s="18"/>
      <c r="J117" s="16"/>
      <c r="K117" s="19"/>
      <c r="L117" s="20"/>
    </row>
    <row r="118" ht="15.75" customHeight="1">
      <c r="A118" s="9" t="s">
        <v>9</v>
      </c>
      <c r="B118" s="12" t="str">
        <f t="array" ref="B118">XLOOKUP(C118, Channel_Listings!C:C, Channel_Listings!B:B)
</f>
        <v>Apparel_ArmSleeves</v>
      </c>
      <c r="C118" s="22" t="s">
        <v>10</v>
      </c>
      <c r="D118" s="14" t="str">
        <f t="array" ref="D118">XLOOKUP(C118, Channel_Listings!C:C, Channel_Listings!D:D)
</f>
        <v>ARMSLEEVES-HALF-BLACK</v>
      </c>
      <c r="E118" s="15">
        <v>199.0</v>
      </c>
      <c r="F118" s="16">
        <f t="array" ref="F118">IFERROR(
  VALUE( INDEX(Product_Master!$I:$I,
               MATCH( INDEX(Pack_Master!$B:$B, MATCH($D118, Pack_Master!$A:$A, 0)),
                      Product_Master!$B:$B, 0)
  )) 
  * VALUE( INDEX(Pack_Master!$C:$C, MATCH($D118, Pack_Master!$A:$A, 0)) )
  + VALUE( INDEX(Pack_Master!$D:$D, MATCH($D118, Pack_Master!$A:$A, 0)) ),
"")
</f>
        <v>0</v>
      </c>
      <c r="G118" s="17">
        <f t="array" ref="G118">IFERROR(
 ( INDEX(Pack_Master!E:E, MATCH($D118, Pack_Master!A:A, 0))
   * INDEX(Pack_Master!F:F, MATCH($D118, Pack_Master!A:A, 0))
   * INDEX(Pack_Master!G:G, MATCH($D118, Pack_Master!A:A, 0))
 ) / INDEX(Config!C:C, MATCH($A118, Config!A:A, 0)),
"")
</f>
        <v>0</v>
      </c>
      <c r="H118" s="17">
        <f t="array" ref="H118">MAX( INDEX(Pack_Master!H:H, MATCH($D118, Pack_Master!A:A, 0)),
      IFERROR(G118, 0) )
</f>
        <v>0</v>
      </c>
      <c r="I118" s="18" t="str">
        <f>IFERROR(__xludf.DUMMYFUNCTION("IFERROR(
 INDEX(
   FILTER(Shipping_Rate_Card!B:F, Shipping_Rate_Card!A:A=$A118),
   MATCH($H118, FILTER(Shipping_Rate_Card!B:B, Shipping_Rate_Card!A:A=$A118), 1),
   IF( INDEX(Config!B:B, MATCH($A118, Config!A:A, 0))=""Local"", 2,
     IF( INDEX(Config!B"&amp;":B, MATCH($A118, Config!A:A, 0))=""Regional"", 3, 4 )
   )
 ),
"""")
"),"")</f>
        <v/>
      </c>
      <c r="J118" s="16">
        <f>IFERROR(__xludf.DUMMYFUNCTION("IFERROR(
 ( E118 * INDEX(FILTER(Pricing_Rules!E:E, Pricing_Rules!A:A=A118, Pricing_Rules!B:B=B118, Pricing_Rules!C:C&lt;=E118, Pricing_Rules!D:D&gt;=E118), 1)
   + INDEX(FILTER(Pricing_Rules!F:F, Pricing_Rules!A:A=A118, Pricing_Rules!B:B=B118, Pricing_Rules!C:C"&amp;"&lt;=E118, Pricing_Rules!D:D&gt;=E118), 1)
 )
 * (1 + IFERROR( INDEX(Config!D:D, MATCH(A118, Config!A:A, 0)), 0 )),
"""")
"),5.8999999999999995)</f>
        <v>5.9</v>
      </c>
      <c r="K118" s="19">
        <f t="shared" ref="K118:K1180" si="3">IFERROR(E118 - F118 - I118 - J118, "")</f>
        <v>193.1</v>
      </c>
      <c r="L118" s="20">
        <f t="shared" ref="L118:L1182" si="4">IFERROR(K118 / E118, "")</f>
        <v>0.9703517588</v>
      </c>
    </row>
    <row r="119" ht="15.75" customHeight="1">
      <c r="A119" s="9" t="s">
        <v>9</v>
      </c>
      <c r="B119" s="12" t="str">
        <f t="array" ref="B119">XLOOKUP(C119, Channel_Listings!C:C, Channel_Listings!B:B)
</f>
        <v>Automotive_FaceMasks</v>
      </c>
      <c r="C119" s="22" t="s">
        <v>13</v>
      </c>
      <c r="D119" s="14" t="str">
        <f t="array" ref="D119">XLOOKUP(C119, Channel_Listings!C:C, Channel_Listings!D:D)
</f>
        <v>BANDANA-PATTERN-MULTICOLOR-PK10</v>
      </c>
      <c r="E119" s="15"/>
      <c r="F119" s="16">
        <f t="array" ref="F119">IFERROR(
  VALUE( INDEX(Product_Master!$I:$I,
               MATCH( INDEX(Pack_Master!$B:$B, MATCH($D119, Pack_Master!$A:$A, 0)),
                      Product_Master!$B:$B, 0)
  )) 
  * VALUE( INDEX(Pack_Master!$C:$C, MATCH($D119, Pack_Master!$A:$A, 0)) )
  + VALUE( INDEX(Pack_Master!$D:$D, MATCH($D119, Pack_Master!$A:$A, 0)) ),
"")
</f>
        <v>0</v>
      </c>
      <c r="G119" s="17">
        <f t="array" ref="G119">IFERROR(
 ( INDEX(Pack_Master!E:E, MATCH($D119, Pack_Master!A:A, 0))
   * INDEX(Pack_Master!F:F, MATCH($D119, Pack_Master!A:A, 0))
   * INDEX(Pack_Master!G:G, MATCH($D119, Pack_Master!A:A, 0))
 ) / INDEX(Config!C:C, MATCH($A119, Config!A:A, 0)),
"")
</f>
        <v>0</v>
      </c>
      <c r="H119" s="17">
        <f t="array" ref="H119">MAX( INDEX(Pack_Master!H:H, MATCH($D119, Pack_Master!A:A, 0)),
      IFERROR(G119, 0) )
</f>
        <v>0</v>
      </c>
      <c r="I119" s="18" t="str">
        <f>IFERROR(__xludf.DUMMYFUNCTION("IFERROR(
 INDEX(
   FILTER(Shipping_Rate_Card!B:F, Shipping_Rate_Card!A:A=$A119),
   MATCH($H119, FILTER(Shipping_Rate_Card!B:B, Shipping_Rate_Card!A:A=$A119), 1),
   IF( INDEX(Config!B:B, MATCH($A119, Config!A:A, 0))=""Local"", 2,
     IF( INDEX(Config!B"&amp;":B, MATCH($A119, Config!A:A, 0))=""Regional"", 3, 4 )
   )
 ),
"""")
"),"")</f>
        <v/>
      </c>
      <c r="J119" s="16">
        <f>IFERROR(__xludf.DUMMYFUNCTION("IFERROR(
 ( E119 * INDEX(FILTER(Pricing_Rules!E:E, Pricing_Rules!A:A=A119, Pricing_Rules!B:B=B119, Pricing_Rules!C:C&lt;=E119, Pricing_Rules!D:D&gt;=E119), 1)
   + INDEX(FILTER(Pricing_Rules!F:F, Pricing_Rules!A:A=A119, Pricing_Rules!B:B=B119, Pricing_Rules!C:C"&amp;"&lt;=E119, Pricing_Rules!D:D&gt;=E119), 1)
 )
 * (1 + IFERROR( INDEX(Config!D:D, MATCH(A119, Config!A:A, 0)), 0 )),
"""")
"),5.8999999999999995)</f>
        <v>5.9</v>
      </c>
      <c r="K119" s="19">
        <f t="shared" si="3"/>
        <v>-5.9</v>
      </c>
      <c r="L119" s="20" t="str">
        <f t="shared" si="4"/>
        <v/>
      </c>
    </row>
    <row r="120" ht="15.75" customHeight="1">
      <c r="A120" s="9" t="s">
        <v>9</v>
      </c>
      <c r="B120" s="12" t="str">
        <f t="array" ref="B120">XLOOKUP(C120, Channel_Listings!C:C, Channel_Listings!B:B)
</f>
        <v>Apparel_Caps_Beanies</v>
      </c>
      <c r="C120" s="22" t="s">
        <v>15</v>
      </c>
      <c r="D120" s="14" t="str">
        <f t="array" ref="D120">XLOOKUP(C120, Channel_Listings!C:C, Channel_Listings!D:D)
</f>
        <v>CAP-BASEBALL-PLAIN-WHITE</v>
      </c>
      <c r="E120" s="15"/>
      <c r="F120" s="16">
        <f t="array" ref="F120">IFERROR(
  VALUE( INDEX(Product_Master!$I:$I,
               MATCH( INDEX(Pack_Master!$B:$B, MATCH($D120, Pack_Master!$A:$A, 0)),
                      Product_Master!$B:$B, 0)
  )) 
  * VALUE( INDEX(Pack_Master!$C:$C, MATCH($D120, Pack_Master!$A:$A, 0)) )
  + VALUE( INDEX(Pack_Master!$D:$D, MATCH($D120, Pack_Master!$A:$A, 0)) ),
"")
</f>
        <v>89</v>
      </c>
      <c r="G120" s="17">
        <f t="array" ref="G120">IFERROR(
 ( INDEX(Pack_Master!E:E, MATCH($D120, Pack_Master!A:A, 0))
   * INDEX(Pack_Master!F:F, MATCH($D120, Pack_Master!A:A, 0))
   * INDEX(Pack_Master!G:G, MATCH($D120, Pack_Master!A:A, 0))
 ) / INDEX(Config!C:C, MATCH($A120, Config!A:A, 0)),
"")
</f>
        <v>0.375</v>
      </c>
      <c r="H120" s="17">
        <f t="array" ref="H120">MAX( INDEX(Pack_Master!H:H, MATCH($D120, Pack_Master!A:A, 0)),
      IFERROR(G120, 0) )
</f>
        <v>0.5</v>
      </c>
      <c r="I120" s="18">
        <f>IFERROR(__xludf.DUMMYFUNCTION("IFERROR(
 INDEX(
   FILTER(Shipping_Rate_Card!B:F, Shipping_Rate_Card!A:A=$A120),
   MATCH($H120, FILTER(Shipping_Rate_Card!B:B, Shipping_Rate_Card!A:A=$A120), 1),
   IF( INDEX(Config!B:B, MATCH($A120, Config!A:A, 0))=""Local"", 2,
     IF( INDEX(Config!B"&amp;":B, MATCH($A120, Config!A:A, 0))=""Regional"", 3, 4 )
   )
 ),
"""")
"),67.0)</f>
        <v>67</v>
      </c>
      <c r="J120" s="16">
        <f>IFERROR(__xludf.DUMMYFUNCTION("IFERROR(
 ( E120 * INDEX(FILTER(Pricing_Rules!E:E, Pricing_Rules!A:A=A120, Pricing_Rules!B:B=B120, Pricing_Rules!C:C&lt;=E120, Pricing_Rules!D:D&gt;=E120), 1)
   + INDEX(FILTER(Pricing_Rules!F:F, Pricing_Rules!A:A=A120, Pricing_Rules!B:B=B120, Pricing_Rules!C:C"&amp;"&lt;=E120, Pricing_Rules!D:D&gt;=E120), 1)
 )
 * (1 + IFERROR( INDEX(Config!D:D, MATCH(A120, Config!A:A, 0)), 0 )),
"""")
"),5.8999999999999995)</f>
        <v>5.9</v>
      </c>
      <c r="K120" s="19">
        <f t="shared" si="3"/>
        <v>-161.9</v>
      </c>
      <c r="L120" s="20" t="str">
        <f t="shared" si="4"/>
        <v/>
      </c>
    </row>
    <row r="121" ht="15.75" customHeight="1">
      <c r="A121" s="9" t="s">
        <v>9</v>
      </c>
      <c r="B121" s="12" t="str">
        <f t="array" ref="B121">XLOOKUP(C121, Channel_Listings!C:C, Channel_Listings!B:B)
</f>
        <v>Automotive_FaceMasks</v>
      </c>
      <c r="C121" s="22" t="s">
        <v>17</v>
      </c>
      <c r="D121" s="14" t="str">
        <f t="array" ref="D121">XLOOKUP(C121, Channel_Listings!C:C, Channel_Listings!D:D)
</f>
        <v>MASK-HALF-BLUE-PK1</v>
      </c>
      <c r="E121" s="15"/>
      <c r="F121" s="16">
        <f t="array" ref="F121">IFERROR(
  VALUE( INDEX(Product_Master!$I:$I,
               MATCH( INDEX(Pack_Master!$B:$B, MATCH($D121, Pack_Master!$A:$A, 0)),
                      Product_Master!$B:$B, 0)
  )) 
  * VALUE( INDEX(Pack_Master!$C:$C, MATCH($D121, Pack_Master!$A:$A, 0)) )
  + VALUE( INDEX(Pack_Master!$D:$D, MATCH($D121, Pack_Master!$A:$A, 0)) ),
"")
</f>
        <v>0</v>
      </c>
      <c r="G121" s="17">
        <f t="array" ref="G121">IFERROR(
 ( INDEX(Pack_Master!E:E, MATCH($D121, Pack_Master!A:A, 0))
   * INDEX(Pack_Master!F:F, MATCH($D121, Pack_Master!A:A, 0))
   * INDEX(Pack_Master!G:G, MATCH($D121, Pack_Master!A:A, 0))
 ) / INDEX(Config!C:C, MATCH($A121, Config!A:A, 0)),
"")
</f>
        <v>0</v>
      </c>
      <c r="H121" s="17">
        <f t="array" ref="H121">MAX( INDEX(Pack_Master!H:H, MATCH($D121, Pack_Master!A:A, 0)),
      IFERROR(G121, 0) )
</f>
        <v>0</v>
      </c>
      <c r="I121" s="18" t="str">
        <f>IFERROR(__xludf.DUMMYFUNCTION("IFERROR(
 INDEX(
   FILTER(Shipping_Rate_Card!B:F, Shipping_Rate_Card!A:A=$A121),
   MATCH($H121, FILTER(Shipping_Rate_Card!B:B, Shipping_Rate_Card!A:A=$A121), 1),
   IF( INDEX(Config!B:B, MATCH($A121, Config!A:A, 0))=""Local"", 2,
     IF( INDEX(Config!B"&amp;":B, MATCH($A121, Config!A:A, 0))=""Regional"", 3, 4 )
   )
 ),
"""")
"),"")</f>
        <v/>
      </c>
      <c r="J121" s="16">
        <f>IFERROR(__xludf.DUMMYFUNCTION("IFERROR(
 ( E121 * INDEX(FILTER(Pricing_Rules!E:E, Pricing_Rules!A:A=A121, Pricing_Rules!B:B=B121, Pricing_Rules!C:C&lt;=E121, Pricing_Rules!D:D&gt;=E121), 1)
   + INDEX(FILTER(Pricing_Rules!F:F, Pricing_Rules!A:A=A121, Pricing_Rules!B:B=B121, Pricing_Rules!C:C"&amp;"&lt;=E121, Pricing_Rules!D:D&gt;=E121), 1)
 )
 * (1 + IFERROR( INDEX(Config!D:D, MATCH(A121, Config!A:A, 0)), 0 )),
"""")
"),5.8999999999999995)</f>
        <v>5.9</v>
      </c>
      <c r="K121" s="19">
        <f t="shared" si="3"/>
        <v>-5.9</v>
      </c>
      <c r="L121" s="20" t="str">
        <f t="shared" si="4"/>
        <v/>
      </c>
    </row>
    <row r="122" ht="15.75" customHeight="1">
      <c r="A122" s="9" t="s">
        <v>9</v>
      </c>
      <c r="B122" s="12" t="str">
        <f t="array" ref="B122">XLOOKUP(C122, Channel_Listings!C:C, Channel_Listings!B:B)
</f>
        <v>Apparel_Caps_Beanies</v>
      </c>
      <c r="C122" s="22" t="s">
        <v>19</v>
      </c>
      <c r="D122" s="14" t="str">
        <f t="array" ref="D122">XLOOKUP(C122, Channel_Listings!C:C, Channel_Listings!D:D)
</f>
        <v>CAP-GOLF-CHARCOAL</v>
      </c>
      <c r="E122" s="15"/>
      <c r="F122" s="16">
        <f t="array" ref="F122">IFERROR(
  VALUE( INDEX(Product_Master!$I:$I,
               MATCH( INDEX(Pack_Master!$B:$B, MATCH($D122, Pack_Master!$A:$A, 0)),
                      Product_Master!$B:$B, 0)
  )) 
  * VALUE( INDEX(Pack_Master!$C:$C, MATCH($D122, Pack_Master!$A:$A, 0)) )
  + VALUE( INDEX(Pack_Master!$D:$D, MATCH($D122, Pack_Master!$A:$A, 0)) ),
"")
</f>
        <v>0</v>
      </c>
      <c r="G122" s="17">
        <f t="array" ref="G122">IFERROR(
 ( INDEX(Pack_Master!E:E, MATCH($D122, Pack_Master!A:A, 0))
   * INDEX(Pack_Master!F:F, MATCH($D122, Pack_Master!A:A, 0))
   * INDEX(Pack_Master!G:G, MATCH($D122, Pack_Master!A:A, 0))
 ) / INDEX(Config!C:C, MATCH($A122, Config!A:A, 0)),
"")
</f>
        <v>0</v>
      </c>
      <c r="H122" s="17">
        <f t="array" ref="H122">MAX( INDEX(Pack_Master!H:H, MATCH($D122, Pack_Master!A:A, 0)),
      IFERROR(G122, 0) )
</f>
        <v>0</v>
      </c>
      <c r="I122" s="18" t="str">
        <f>IFERROR(__xludf.DUMMYFUNCTION("IFERROR(
 INDEX(
   FILTER(Shipping_Rate_Card!B:F, Shipping_Rate_Card!A:A=$A122),
   MATCH($H122, FILTER(Shipping_Rate_Card!B:B, Shipping_Rate_Card!A:A=$A122), 1),
   IF( INDEX(Config!B:B, MATCH($A122, Config!A:A, 0))=""Local"", 2,
     IF( INDEX(Config!B"&amp;":B, MATCH($A122, Config!A:A, 0))=""Regional"", 3, 4 )
   )
 ),
"""")
"),"")</f>
        <v/>
      </c>
      <c r="J122" s="16">
        <f>IFERROR(__xludf.DUMMYFUNCTION("IFERROR(
 ( E122 * INDEX(FILTER(Pricing_Rules!E:E, Pricing_Rules!A:A=A122, Pricing_Rules!B:B=B122, Pricing_Rules!C:C&lt;=E122, Pricing_Rules!D:D&gt;=E122), 1)
   + INDEX(FILTER(Pricing_Rules!F:F, Pricing_Rules!A:A=A122, Pricing_Rules!B:B=B122, Pricing_Rules!C:C"&amp;"&lt;=E122, Pricing_Rules!D:D&gt;=E122), 1)
 )
 * (1 + IFERROR( INDEX(Config!D:D, MATCH(A122, Config!A:A, 0)), 0 )),
"""")
"),5.8999999999999995)</f>
        <v>5.9</v>
      </c>
      <c r="K122" s="19">
        <f t="shared" si="3"/>
        <v>-5.9</v>
      </c>
      <c r="L122" s="20" t="str">
        <f t="shared" si="4"/>
        <v/>
      </c>
    </row>
    <row r="123" ht="15.75" customHeight="1">
      <c r="A123" s="9" t="s">
        <v>9</v>
      </c>
      <c r="B123" s="12" t="str">
        <f t="array" ref="B123">XLOOKUP(C123, Channel_Listings!C:C, Channel_Listings!B:B)
</f>
        <v>Automotive_FaceMasks</v>
      </c>
      <c r="C123" s="22" t="s">
        <v>21</v>
      </c>
      <c r="D123" s="14" t="str">
        <f t="array" ref="D123">XLOOKUP(C123, Channel_Listings!C:C, Channel_Listings!D:D)
</f>
        <v>BANDANA-PATTERN-MULTICOLOR-PK5</v>
      </c>
      <c r="E123" s="15"/>
      <c r="F123" s="16">
        <f t="array" ref="F123">IFERROR(
  VALUE( INDEX(Product_Master!$I:$I,
               MATCH( INDEX(Pack_Master!$B:$B, MATCH($D123, Pack_Master!$A:$A, 0)),
                      Product_Master!$B:$B, 0)
  )) 
  * VALUE( INDEX(Pack_Master!$C:$C, MATCH($D123, Pack_Master!$A:$A, 0)) )
  + VALUE( INDEX(Pack_Master!$D:$D, MATCH($D123, Pack_Master!$A:$A, 0)) ),
"")
</f>
        <v>0</v>
      </c>
      <c r="G123" s="17">
        <f t="array" ref="G123">IFERROR(
 ( INDEX(Pack_Master!E:E, MATCH($D123, Pack_Master!A:A, 0))
   * INDEX(Pack_Master!F:F, MATCH($D123, Pack_Master!A:A, 0))
   * INDEX(Pack_Master!G:G, MATCH($D123, Pack_Master!A:A, 0))
 ) / INDEX(Config!C:C, MATCH($A123, Config!A:A, 0)),
"")
</f>
        <v>0</v>
      </c>
      <c r="H123" s="17">
        <f t="array" ref="H123">MAX( INDEX(Pack_Master!H:H, MATCH($D123, Pack_Master!A:A, 0)),
      IFERROR(G123, 0) )
</f>
        <v>0</v>
      </c>
      <c r="I123" s="18" t="str">
        <f>IFERROR(__xludf.DUMMYFUNCTION("IFERROR(
 INDEX(
   FILTER(Shipping_Rate_Card!B:F, Shipping_Rate_Card!A:A=$A123),
   MATCH($H123, FILTER(Shipping_Rate_Card!B:B, Shipping_Rate_Card!A:A=$A123), 1),
   IF( INDEX(Config!B:B, MATCH($A123, Config!A:A, 0))=""Local"", 2,
     IF( INDEX(Config!B"&amp;":B, MATCH($A123, Config!A:A, 0))=""Regional"", 3, 4 )
   )
 ),
"""")
"),"")</f>
        <v/>
      </c>
      <c r="J123" s="16">
        <f>IFERROR(__xludf.DUMMYFUNCTION("IFERROR(
 ( E123 * INDEX(FILTER(Pricing_Rules!E:E, Pricing_Rules!A:A=A123, Pricing_Rules!B:B=B123, Pricing_Rules!C:C&lt;=E123, Pricing_Rules!D:D&gt;=E123), 1)
   + INDEX(FILTER(Pricing_Rules!F:F, Pricing_Rules!A:A=A123, Pricing_Rules!B:B=B123, Pricing_Rules!C:C"&amp;"&lt;=E123, Pricing_Rules!D:D&gt;=E123), 1)
 )
 * (1 + IFERROR( INDEX(Config!D:D, MATCH(A123, Config!A:A, 0)), 0 )),
"""")
"),5.8999999999999995)</f>
        <v>5.9</v>
      </c>
      <c r="K123" s="19">
        <f t="shared" si="3"/>
        <v>-5.9</v>
      </c>
      <c r="L123" s="20" t="str">
        <f t="shared" si="4"/>
        <v/>
      </c>
    </row>
    <row r="124" ht="15.75" customHeight="1">
      <c r="A124" s="9" t="s">
        <v>9</v>
      </c>
      <c r="B124" s="12" t="str">
        <f t="array" ref="B124">XLOOKUP(C124, Channel_Listings!C:C, Channel_Listings!B:B)
</f>
        <v>Apparel_ArmSleeves</v>
      </c>
      <c r="C124" s="22" t="s">
        <v>23</v>
      </c>
      <c r="D124" s="14" t="str">
        <f t="array" ref="D124">XLOOKUP(C124, Channel_Listings!C:C, Channel_Listings!D:D)
</f>
        <v>ARMSLEEVES-HALF-BLACK</v>
      </c>
      <c r="E124" s="15"/>
      <c r="F124" s="16">
        <f t="array" ref="F124">IFERROR(
  VALUE( INDEX(Product_Master!$I:$I,
               MATCH( INDEX(Pack_Master!$B:$B, MATCH($D124, Pack_Master!$A:$A, 0)),
                      Product_Master!$B:$B, 0)
  )) 
  * VALUE( INDEX(Pack_Master!$C:$C, MATCH($D124, Pack_Master!$A:$A, 0)) )
  + VALUE( INDEX(Pack_Master!$D:$D, MATCH($D124, Pack_Master!$A:$A, 0)) ),
"")
</f>
        <v>0</v>
      </c>
      <c r="G124" s="17">
        <f t="array" ref="G124">IFERROR(
 ( INDEX(Pack_Master!E:E, MATCH($D124, Pack_Master!A:A, 0))
   * INDEX(Pack_Master!F:F, MATCH($D124, Pack_Master!A:A, 0))
   * INDEX(Pack_Master!G:G, MATCH($D124, Pack_Master!A:A, 0))
 ) / INDEX(Config!C:C, MATCH($A124, Config!A:A, 0)),
"")
</f>
        <v>0</v>
      </c>
      <c r="H124" s="17">
        <f t="array" ref="H124">MAX( INDEX(Pack_Master!H:H, MATCH($D124, Pack_Master!A:A, 0)),
      IFERROR(G124, 0) )
</f>
        <v>0</v>
      </c>
      <c r="I124" s="18" t="str">
        <f>IFERROR(__xludf.DUMMYFUNCTION("IFERROR(
 INDEX(
   FILTER(Shipping_Rate_Card!B:F, Shipping_Rate_Card!A:A=$A124),
   MATCH($H124, FILTER(Shipping_Rate_Card!B:B, Shipping_Rate_Card!A:A=$A124), 1),
   IF( INDEX(Config!B:B, MATCH($A124, Config!A:A, 0))=""Local"", 2,
     IF( INDEX(Config!B"&amp;":B, MATCH($A124, Config!A:A, 0))=""Regional"", 3, 4 )
   )
 ),
"""")
"),"")</f>
        <v/>
      </c>
      <c r="J124" s="16">
        <f>IFERROR(__xludf.DUMMYFUNCTION("IFERROR(
 ( E124 * INDEX(FILTER(Pricing_Rules!E:E, Pricing_Rules!A:A=A124, Pricing_Rules!B:B=B124, Pricing_Rules!C:C&lt;=E124, Pricing_Rules!D:D&gt;=E124), 1)
   + INDEX(FILTER(Pricing_Rules!F:F, Pricing_Rules!A:A=A124, Pricing_Rules!B:B=B124, Pricing_Rules!C:C"&amp;"&lt;=E124, Pricing_Rules!D:D&gt;=E124), 1)
 )
 * (1 + IFERROR( INDEX(Config!D:D, MATCH(A124, Config!A:A, 0)), 0 )),
"""")
"),5.8999999999999995)</f>
        <v>5.9</v>
      </c>
      <c r="K124" s="19">
        <f t="shared" si="3"/>
        <v>-5.9</v>
      </c>
      <c r="L124" s="20" t="str">
        <f t="shared" si="4"/>
        <v/>
      </c>
    </row>
    <row r="125" ht="15.75" customHeight="1">
      <c r="A125" s="9" t="s">
        <v>9</v>
      </c>
      <c r="B125" s="12" t="str">
        <f t="array" ref="B125">XLOOKUP(C125, Channel_Listings!C:C, Channel_Listings!B:B)
</f>
        <v>Apparel_Tshirts</v>
      </c>
      <c r="C125" s="22" t="s">
        <v>24</v>
      </c>
      <c r="D125" s="14" t="str">
        <f t="array" ref="D125">XLOOKUP(C125, Channel_Listings!C:C, Channel_Listings!D:D)
</f>
        <v>TSHIRT-BLACK-L</v>
      </c>
      <c r="E125" s="15">
        <v>299.0</v>
      </c>
      <c r="F125" s="16">
        <f t="array" ref="F125">IFERROR(
  VALUE( INDEX(Product_Master!$I:$I,
               MATCH( INDEX(Pack_Master!$B:$B, MATCH($D125, Pack_Master!$A:$A, 0)),
                      Product_Master!$B:$B, 0)
  )) 
  * VALUE( INDEX(Pack_Master!$C:$C, MATCH($D125, Pack_Master!$A:$A, 0)) )
  + VALUE( INDEX(Pack_Master!$D:$D, MATCH($D125, Pack_Master!$A:$A, 0)) ),
"")
</f>
        <v>2</v>
      </c>
      <c r="G125" s="17">
        <f t="array" ref="G125">IFERROR(
 ( INDEX(Pack_Master!E:E, MATCH($D125, Pack_Master!A:A, 0))
   * INDEX(Pack_Master!F:F, MATCH($D125, Pack_Master!A:A, 0))
   * INDEX(Pack_Master!G:G, MATCH($D125, Pack_Master!A:A, 0))
 ) / INDEX(Config!C:C, MATCH($A125, Config!A:A, 0)),
"")
</f>
        <v>0.375</v>
      </c>
      <c r="H125" s="17">
        <f t="array" ref="H125">MAX( INDEX(Pack_Master!H:H, MATCH($D125, Pack_Master!A:A, 0)),
      IFERROR(G125, 0) )
</f>
        <v>0.5</v>
      </c>
      <c r="I125" s="18">
        <f>IFERROR(__xludf.DUMMYFUNCTION("IFERROR(
 INDEX(
   FILTER(Shipping_Rate_Card!B:F, Shipping_Rate_Card!A:A=$A125),
   MATCH($H125, FILTER(Shipping_Rate_Card!B:B, Shipping_Rate_Card!A:A=$A125), 1),
   IF( INDEX(Config!B:B, MATCH($A125, Config!A:A, 0))=""Local"", 2,
     IF( INDEX(Config!B"&amp;":B, MATCH($A125, Config!A:A, 0))=""Regional"", 3, 4 )
   )
 ),
"""")
"),67.0)</f>
        <v>67</v>
      </c>
      <c r="J125" s="16">
        <f>IFERROR(__xludf.DUMMYFUNCTION("IFERROR(
 ( E125 * INDEX(FILTER(Pricing_Rules!E:E, Pricing_Rules!A:A=A125, Pricing_Rules!B:B=B125, Pricing_Rules!C:C&lt;=E125, Pricing_Rules!D:D&gt;=E125), 1)
   + INDEX(FILTER(Pricing_Rules!F:F, Pricing_Rules!A:A=A125, Pricing_Rules!B:B=B125, Pricing_Rules!C:C"&amp;"&lt;=E125, Pricing_Rules!D:D&gt;=E125), 1)
 )
 * (1 + IFERROR( INDEX(Config!D:D, MATCH(A125, Config!A:A, 0)), 0 )),
"""")
"),5.8999999999999995)</f>
        <v>5.9</v>
      </c>
      <c r="K125" s="19">
        <f t="shared" si="3"/>
        <v>224.1</v>
      </c>
      <c r="L125" s="20">
        <f t="shared" si="4"/>
        <v>0.7494983278</v>
      </c>
    </row>
    <row r="126" ht="15.75" customHeight="1">
      <c r="A126" s="9" t="s">
        <v>9</v>
      </c>
      <c r="B126" s="12" t="str">
        <f t="array" ref="B126">XLOOKUP(C126, Channel_Listings!C:C, Channel_Listings!B:B)
</f>
        <v>Apparel_Tshirts</v>
      </c>
      <c r="C126" s="22" t="s">
        <v>27</v>
      </c>
      <c r="D126" s="14" t="str">
        <f t="array" ref="D126">XLOOKUP(C126, Channel_Listings!C:C, Channel_Listings!D:D)
</f>
        <v>TSHIRT-BLACK-M</v>
      </c>
      <c r="E126" s="15">
        <v>299.0</v>
      </c>
      <c r="F126" s="16">
        <f t="array" ref="F126">IFERROR(
  VALUE( INDEX(Product_Master!$I:$I,
               MATCH( INDEX(Pack_Master!$B:$B, MATCH($D126, Pack_Master!$A:$A, 0)),
                      Product_Master!$B:$B, 0)
  )) 
  * VALUE( INDEX(Pack_Master!$C:$C, MATCH($D126, Pack_Master!$A:$A, 0)) )
  + VALUE( INDEX(Pack_Master!$D:$D, MATCH($D126, Pack_Master!$A:$A, 0)) ),
"")
</f>
        <v>2</v>
      </c>
      <c r="G126" s="17">
        <f t="array" ref="G126">IFERROR(
 ( INDEX(Pack_Master!E:E, MATCH($D126, Pack_Master!A:A, 0))
   * INDEX(Pack_Master!F:F, MATCH($D126, Pack_Master!A:A, 0))
   * INDEX(Pack_Master!G:G, MATCH($D126, Pack_Master!A:A, 0))
 ) / INDEX(Config!C:C, MATCH($A126, Config!A:A, 0)),
"")
</f>
        <v>0.375</v>
      </c>
      <c r="H126" s="17">
        <f t="array" ref="H126">MAX( INDEX(Pack_Master!H:H, MATCH($D126, Pack_Master!A:A, 0)),
      IFERROR(G126, 0) )
</f>
        <v>0.5</v>
      </c>
      <c r="I126" s="18">
        <f>IFERROR(__xludf.DUMMYFUNCTION("IFERROR(
 INDEX(
   FILTER(Shipping_Rate_Card!B:F, Shipping_Rate_Card!A:A=$A126),
   MATCH($H126, FILTER(Shipping_Rate_Card!B:B, Shipping_Rate_Card!A:A=$A126), 1),
   IF( INDEX(Config!B:B, MATCH($A126, Config!A:A, 0))=""Local"", 2,
     IF( INDEX(Config!B"&amp;":B, MATCH($A126, Config!A:A, 0))=""Regional"", 3, 4 )
   )
 ),
"""")
"),67.0)</f>
        <v>67</v>
      </c>
      <c r="J126" s="16">
        <f>IFERROR(__xludf.DUMMYFUNCTION("IFERROR(
 ( E126 * INDEX(FILTER(Pricing_Rules!E:E, Pricing_Rules!A:A=A126, Pricing_Rules!B:B=B126, Pricing_Rules!C:C&lt;=E126, Pricing_Rules!D:D&gt;=E126), 1)
   + INDEX(FILTER(Pricing_Rules!F:F, Pricing_Rules!A:A=A126, Pricing_Rules!B:B=B126, Pricing_Rules!C:C"&amp;"&lt;=E126, Pricing_Rules!D:D&gt;=E126), 1)
 )
 * (1 + IFERROR( INDEX(Config!D:D, MATCH(A126, Config!A:A, 0)), 0 )),
"""")
"),5.8999999999999995)</f>
        <v>5.9</v>
      </c>
      <c r="K126" s="19">
        <f t="shared" si="3"/>
        <v>224.1</v>
      </c>
      <c r="L126" s="20">
        <f t="shared" si="4"/>
        <v>0.7494983278</v>
      </c>
    </row>
    <row r="127" ht="15.75" customHeight="1">
      <c r="A127" s="9" t="s">
        <v>9</v>
      </c>
      <c r="B127" s="12" t="str">
        <f t="array" ref="B127">XLOOKUP(C127, Channel_Listings!C:C, Channel_Listings!B:B)
</f>
        <v>Apparel_Tshirts</v>
      </c>
      <c r="C127" s="22" t="s">
        <v>30</v>
      </c>
      <c r="D127" s="14" t="str">
        <f t="array" ref="D127">XLOOKUP(C127, Channel_Listings!C:C, Channel_Listings!D:D)
</f>
        <v>TSHIRT-BLACK-XL</v>
      </c>
      <c r="E127" s="15">
        <v>299.0</v>
      </c>
      <c r="F127" s="16">
        <f t="array" ref="F127">IFERROR(
  VALUE( INDEX(Product_Master!$I:$I,
               MATCH( INDEX(Pack_Master!$B:$B, MATCH($D127, Pack_Master!$A:$A, 0)),
                      Product_Master!$B:$B, 0)
  )) 
  * VALUE( INDEX(Pack_Master!$C:$C, MATCH($D127, Pack_Master!$A:$A, 0)) )
  + VALUE( INDEX(Pack_Master!$D:$D, MATCH($D127, Pack_Master!$A:$A, 0)) ),
"")
</f>
        <v>2</v>
      </c>
      <c r="G127" s="17">
        <f t="array" ref="G127">IFERROR(
 ( INDEX(Pack_Master!E:E, MATCH($D127, Pack_Master!A:A, 0))
   * INDEX(Pack_Master!F:F, MATCH($D127, Pack_Master!A:A, 0))
   * INDEX(Pack_Master!G:G, MATCH($D127, Pack_Master!A:A, 0))
 ) / INDEX(Config!C:C, MATCH($A127, Config!A:A, 0)),
"")
</f>
        <v>0.375</v>
      </c>
      <c r="H127" s="17">
        <f t="array" ref="H127">MAX( INDEX(Pack_Master!H:H, MATCH($D127, Pack_Master!A:A, 0)),
      IFERROR(G127, 0) )
</f>
        <v>0.5</v>
      </c>
      <c r="I127" s="18">
        <f>IFERROR(__xludf.DUMMYFUNCTION("IFERROR(
 INDEX(
   FILTER(Shipping_Rate_Card!B:F, Shipping_Rate_Card!A:A=$A127),
   MATCH($H127, FILTER(Shipping_Rate_Card!B:B, Shipping_Rate_Card!A:A=$A127), 1),
   IF( INDEX(Config!B:B, MATCH($A127, Config!A:A, 0))=""Local"", 2,
     IF( INDEX(Config!B"&amp;":B, MATCH($A127, Config!A:A, 0))=""Regional"", 3, 4 )
   )
 ),
"""")
"),67.0)</f>
        <v>67</v>
      </c>
      <c r="J127" s="16">
        <f>IFERROR(__xludf.DUMMYFUNCTION("IFERROR(
 ( E127 * INDEX(FILTER(Pricing_Rules!E:E, Pricing_Rules!A:A=A127, Pricing_Rules!B:B=B127, Pricing_Rules!C:C&lt;=E127, Pricing_Rules!D:D&gt;=E127), 1)
   + INDEX(FILTER(Pricing_Rules!F:F, Pricing_Rules!A:A=A127, Pricing_Rules!B:B=B127, Pricing_Rules!C:C"&amp;"&lt;=E127, Pricing_Rules!D:D&gt;=E127), 1)
 )
 * (1 + IFERROR( INDEX(Config!D:D, MATCH(A127, Config!A:A, 0)), 0 )),
"""")
"),5.8999999999999995)</f>
        <v>5.9</v>
      </c>
      <c r="K127" s="19">
        <f t="shared" si="3"/>
        <v>224.1</v>
      </c>
      <c r="L127" s="20">
        <f t="shared" si="4"/>
        <v>0.7494983278</v>
      </c>
    </row>
    <row r="128" ht="15.75" customHeight="1">
      <c r="A128" s="9" t="s">
        <v>9</v>
      </c>
      <c r="B128" s="12" t="str">
        <f t="array" ref="B128">XLOOKUP(C128, Channel_Listings!C:C, Channel_Listings!B:B)
</f>
        <v>Apparel_Tshirts</v>
      </c>
      <c r="C128" s="22" t="s">
        <v>33</v>
      </c>
      <c r="D128" s="14" t="str">
        <f t="array" ref="D128">XLOOKUP(C128, Channel_Listings!C:C, Channel_Listings!D:D)
</f>
        <v>TSHIRT-BLACK-XXL</v>
      </c>
      <c r="E128" s="15">
        <v>299.0</v>
      </c>
      <c r="F128" s="16">
        <f t="array" ref="F128">IFERROR(
  VALUE( INDEX(Product_Master!$I:$I,
               MATCH( INDEX(Pack_Master!$B:$B, MATCH($D128, Pack_Master!$A:$A, 0)),
                      Product_Master!$B:$B, 0)
  )) 
  * VALUE( INDEX(Pack_Master!$C:$C, MATCH($D128, Pack_Master!$A:$A, 0)) )
  + VALUE( INDEX(Pack_Master!$D:$D, MATCH($D128, Pack_Master!$A:$A, 0)) ),
"")
</f>
        <v>2</v>
      </c>
      <c r="G128" s="17">
        <f t="array" ref="G128">IFERROR(
 ( INDEX(Pack_Master!E:E, MATCH($D128, Pack_Master!A:A, 0))
   * INDEX(Pack_Master!F:F, MATCH($D128, Pack_Master!A:A, 0))
   * INDEX(Pack_Master!G:G, MATCH($D128, Pack_Master!A:A, 0))
 ) / INDEX(Config!C:C, MATCH($A128, Config!A:A, 0)),
"")
</f>
        <v>0.375</v>
      </c>
      <c r="H128" s="17">
        <f t="array" ref="H128">MAX( INDEX(Pack_Master!H:H, MATCH($D128, Pack_Master!A:A, 0)),
      IFERROR(G128, 0) )
</f>
        <v>0.5</v>
      </c>
      <c r="I128" s="18">
        <f>IFERROR(__xludf.DUMMYFUNCTION("IFERROR(
 INDEX(
   FILTER(Shipping_Rate_Card!B:F, Shipping_Rate_Card!A:A=$A128),
   MATCH($H128, FILTER(Shipping_Rate_Card!B:B, Shipping_Rate_Card!A:A=$A128), 1),
   IF( INDEX(Config!B:B, MATCH($A128, Config!A:A, 0))=""Local"", 2,
     IF( INDEX(Config!B"&amp;":B, MATCH($A128, Config!A:A, 0))=""Regional"", 3, 4 )
   )
 ),
"""")
"),67.0)</f>
        <v>67</v>
      </c>
      <c r="J128" s="16">
        <f>IFERROR(__xludf.DUMMYFUNCTION("IFERROR(
 ( E128 * INDEX(FILTER(Pricing_Rules!E:E, Pricing_Rules!A:A=A128, Pricing_Rules!B:B=B128, Pricing_Rules!C:C&lt;=E128, Pricing_Rules!D:D&gt;=E128), 1)
   + INDEX(FILTER(Pricing_Rules!F:F, Pricing_Rules!A:A=A128, Pricing_Rules!B:B=B128, Pricing_Rules!C:C"&amp;"&lt;=E128, Pricing_Rules!D:D&gt;=E128), 1)
 )
 * (1 + IFERROR( INDEX(Config!D:D, MATCH(A128, Config!A:A, 0)), 0 )),
"""")
"),5.8999999999999995)</f>
        <v>5.9</v>
      </c>
      <c r="K128" s="19">
        <f t="shared" si="3"/>
        <v>224.1</v>
      </c>
      <c r="L128" s="20">
        <f t="shared" si="4"/>
        <v>0.7494983278</v>
      </c>
    </row>
    <row r="129" ht="15.75" customHeight="1">
      <c r="A129" s="9" t="s">
        <v>9</v>
      </c>
      <c r="B129" s="12" t="str">
        <f t="array" ref="B129">XLOOKUP(C129, Channel_Listings!C:C, Channel_Listings!B:B)
</f>
        <v>Apparel_Tshirts</v>
      </c>
      <c r="C129" s="22" t="s">
        <v>36</v>
      </c>
      <c r="D129" s="14" t="str">
        <f t="array" ref="D129">XLOOKUP(C129, Channel_Listings!C:C, Channel_Listings!D:D)
</f>
        <v>TSHIRT-BLACK-L</v>
      </c>
      <c r="E129" s="15">
        <v>299.0</v>
      </c>
      <c r="F129" s="16">
        <f t="array" ref="F129">IFERROR(
  VALUE( INDEX(Product_Master!$I:$I,
               MATCH( INDEX(Pack_Master!$B:$B, MATCH($D129, Pack_Master!$A:$A, 0)),
                      Product_Master!$B:$B, 0)
  )) 
  * VALUE( INDEX(Pack_Master!$C:$C, MATCH($D129, Pack_Master!$A:$A, 0)) )
  + VALUE( INDEX(Pack_Master!$D:$D, MATCH($D129, Pack_Master!$A:$A, 0)) ),
"")
</f>
        <v>2</v>
      </c>
      <c r="G129" s="17">
        <f t="array" ref="G129">IFERROR(
 ( INDEX(Pack_Master!E:E, MATCH($D129, Pack_Master!A:A, 0))
   * INDEX(Pack_Master!F:F, MATCH($D129, Pack_Master!A:A, 0))
   * INDEX(Pack_Master!G:G, MATCH($D129, Pack_Master!A:A, 0))
 ) / INDEX(Config!C:C, MATCH($A129, Config!A:A, 0)),
"")
</f>
        <v>0.375</v>
      </c>
      <c r="H129" s="17">
        <f t="array" ref="H129">MAX( INDEX(Pack_Master!H:H, MATCH($D129, Pack_Master!A:A, 0)),
      IFERROR(G129, 0) )
</f>
        <v>0.5</v>
      </c>
      <c r="I129" s="18">
        <f>IFERROR(__xludf.DUMMYFUNCTION("IFERROR(
 INDEX(
   FILTER(Shipping_Rate_Card!B:F, Shipping_Rate_Card!A:A=$A129),
   MATCH($H129, FILTER(Shipping_Rate_Card!B:B, Shipping_Rate_Card!A:A=$A129), 1),
   IF( INDEX(Config!B:B, MATCH($A129, Config!A:A, 0))=""Local"", 2,
     IF( INDEX(Config!B"&amp;":B, MATCH($A129, Config!A:A, 0))=""Regional"", 3, 4 )
   )
 ),
"""")
"),67.0)</f>
        <v>67</v>
      </c>
      <c r="J129" s="16">
        <f>IFERROR(__xludf.DUMMYFUNCTION("IFERROR(
 ( E129 * INDEX(FILTER(Pricing_Rules!E:E, Pricing_Rules!A:A=A129, Pricing_Rules!B:B=B129, Pricing_Rules!C:C&lt;=E129, Pricing_Rules!D:D&gt;=E129), 1)
   + INDEX(FILTER(Pricing_Rules!F:F, Pricing_Rules!A:A=A129, Pricing_Rules!B:B=B129, Pricing_Rules!C:C"&amp;"&lt;=E129, Pricing_Rules!D:D&gt;=E129), 1)
 )
 * (1 + IFERROR( INDEX(Config!D:D, MATCH(A129, Config!A:A, 0)), 0 )),
"""")
"),5.8999999999999995)</f>
        <v>5.9</v>
      </c>
      <c r="K129" s="19">
        <f t="shared" si="3"/>
        <v>224.1</v>
      </c>
      <c r="L129" s="20">
        <f t="shared" si="4"/>
        <v>0.7494983278</v>
      </c>
    </row>
    <row r="130" ht="15.75" customHeight="1">
      <c r="A130" s="9" t="s">
        <v>9</v>
      </c>
      <c r="B130" s="12" t="str">
        <f t="array" ref="B130">XLOOKUP(C130, Channel_Listings!C:C, Channel_Listings!B:B)
</f>
        <v>Apparel_Tshirts</v>
      </c>
      <c r="C130" s="22" t="s">
        <v>38</v>
      </c>
      <c r="D130" s="14" t="str">
        <f t="array" ref="D130">XLOOKUP(C130, Channel_Listings!C:C, Channel_Listings!D:D)
</f>
        <v>TSHIRT-BLACK-M</v>
      </c>
      <c r="E130" s="15">
        <v>299.0</v>
      </c>
      <c r="F130" s="16">
        <f t="array" ref="F130">IFERROR(
  VALUE( INDEX(Product_Master!$I:$I,
               MATCH( INDEX(Pack_Master!$B:$B, MATCH($D130, Pack_Master!$A:$A, 0)),
                      Product_Master!$B:$B, 0)
  )) 
  * VALUE( INDEX(Pack_Master!$C:$C, MATCH($D130, Pack_Master!$A:$A, 0)) )
  + VALUE( INDEX(Pack_Master!$D:$D, MATCH($D130, Pack_Master!$A:$A, 0)) ),
"")
</f>
        <v>2</v>
      </c>
      <c r="G130" s="17">
        <f t="array" ref="G130">IFERROR(
 ( INDEX(Pack_Master!E:E, MATCH($D130, Pack_Master!A:A, 0))
   * INDEX(Pack_Master!F:F, MATCH($D130, Pack_Master!A:A, 0))
   * INDEX(Pack_Master!G:G, MATCH($D130, Pack_Master!A:A, 0))
 ) / INDEX(Config!C:C, MATCH($A130, Config!A:A, 0)),
"")
</f>
        <v>0.375</v>
      </c>
      <c r="H130" s="17">
        <f t="array" ref="H130">MAX( INDEX(Pack_Master!H:H, MATCH($D130, Pack_Master!A:A, 0)),
      IFERROR(G130, 0) )
</f>
        <v>0.5</v>
      </c>
      <c r="I130" s="18">
        <f>IFERROR(__xludf.DUMMYFUNCTION("IFERROR(
 INDEX(
   FILTER(Shipping_Rate_Card!B:F, Shipping_Rate_Card!A:A=$A130),
   MATCH($H130, FILTER(Shipping_Rate_Card!B:B, Shipping_Rate_Card!A:A=$A130), 1),
   IF( INDEX(Config!B:B, MATCH($A130, Config!A:A, 0))=""Local"", 2,
     IF( INDEX(Config!B"&amp;":B, MATCH($A130, Config!A:A, 0))=""Regional"", 3, 4 )
   )
 ),
"""")
"),67.0)</f>
        <v>67</v>
      </c>
      <c r="J130" s="16">
        <f>IFERROR(__xludf.DUMMYFUNCTION("IFERROR(
 ( E130 * INDEX(FILTER(Pricing_Rules!E:E, Pricing_Rules!A:A=A130, Pricing_Rules!B:B=B130, Pricing_Rules!C:C&lt;=E130, Pricing_Rules!D:D&gt;=E130), 1)
   + INDEX(FILTER(Pricing_Rules!F:F, Pricing_Rules!A:A=A130, Pricing_Rules!B:B=B130, Pricing_Rules!C:C"&amp;"&lt;=E130, Pricing_Rules!D:D&gt;=E130), 1)
 )
 * (1 + IFERROR( INDEX(Config!D:D, MATCH(A130, Config!A:A, 0)), 0 )),
"""")
"),5.8999999999999995)</f>
        <v>5.9</v>
      </c>
      <c r="K130" s="19">
        <f t="shared" si="3"/>
        <v>224.1</v>
      </c>
      <c r="L130" s="20">
        <f t="shared" si="4"/>
        <v>0.7494983278</v>
      </c>
    </row>
    <row r="131" ht="15.75" customHeight="1">
      <c r="A131" s="9" t="s">
        <v>9</v>
      </c>
      <c r="B131" s="12" t="str">
        <f t="array" ref="B131">XLOOKUP(C131, Channel_Listings!C:C, Channel_Listings!B:B)
</f>
        <v>Apparel_Tshirts</v>
      </c>
      <c r="C131" s="22" t="s">
        <v>40</v>
      </c>
      <c r="D131" s="14" t="str">
        <f t="array" ref="D131">XLOOKUP(C131, Channel_Listings!C:C, Channel_Listings!D:D)
</f>
        <v>TSHIRT-BLACK-XL</v>
      </c>
      <c r="E131" s="15">
        <v>299.0</v>
      </c>
      <c r="F131" s="16">
        <f t="array" ref="F131">IFERROR(
  VALUE( INDEX(Product_Master!$I:$I,
               MATCH( INDEX(Pack_Master!$B:$B, MATCH($D131, Pack_Master!$A:$A, 0)),
                      Product_Master!$B:$B, 0)
  )) 
  * VALUE( INDEX(Pack_Master!$C:$C, MATCH($D131, Pack_Master!$A:$A, 0)) )
  + VALUE( INDEX(Pack_Master!$D:$D, MATCH($D131, Pack_Master!$A:$A, 0)) ),
"")
</f>
        <v>2</v>
      </c>
      <c r="G131" s="17">
        <f t="array" ref="G131">IFERROR(
 ( INDEX(Pack_Master!E:E, MATCH($D131, Pack_Master!A:A, 0))
   * INDEX(Pack_Master!F:F, MATCH($D131, Pack_Master!A:A, 0))
   * INDEX(Pack_Master!G:G, MATCH($D131, Pack_Master!A:A, 0))
 ) / INDEX(Config!C:C, MATCH($A131, Config!A:A, 0)),
"")
</f>
        <v>0.375</v>
      </c>
      <c r="H131" s="17">
        <f t="array" ref="H131">MAX( INDEX(Pack_Master!H:H, MATCH($D131, Pack_Master!A:A, 0)),
      IFERROR(G131, 0) )
</f>
        <v>0.5</v>
      </c>
      <c r="I131" s="18">
        <f>IFERROR(__xludf.DUMMYFUNCTION("IFERROR(
 INDEX(
   FILTER(Shipping_Rate_Card!B:F, Shipping_Rate_Card!A:A=$A131),
   MATCH($H131, FILTER(Shipping_Rate_Card!B:B, Shipping_Rate_Card!A:A=$A131), 1),
   IF( INDEX(Config!B:B, MATCH($A131, Config!A:A, 0))=""Local"", 2,
     IF( INDEX(Config!B"&amp;":B, MATCH($A131, Config!A:A, 0))=""Regional"", 3, 4 )
   )
 ),
"""")
"),67.0)</f>
        <v>67</v>
      </c>
      <c r="J131" s="16">
        <f>IFERROR(__xludf.DUMMYFUNCTION("IFERROR(
 ( E131 * INDEX(FILTER(Pricing_Rules!E:E, Pricing_Rules!A:A=A131, Pricing_Rules!B:B=B131, Pricing_Rules!C:C&lt;=E131, Pricing_Rules!D:D&gt;=E131), 1)
   + INDEX(FILTER(Pricing_Rules!F:F, Pricing_Rules!A:A=A131, Pricing_Rules!B:B=B131, Pricing_Rules!C:C"&amp;"&lt;=E131, Pricing_Rules!D:D&gt;=E131), 1)
 )
 * (1 + IFERROR( INDEX(Config!D:D, MATCH(A131, Config!A:A, 0)), 0 )),
"""")
"),5.8999999999999995)</f>
        <v>5.9</v>
      </c>
      <c r="K131" s="19">
        <f t="shared" si="3"/>
        <v>224.1</v>
      </c>
      <c r="L131" s="20">
        <f t="shared" si="4"/>
        <v>0.7494983278</v>
      </c>
    </row>
    <row r="132" ht="15.75" customHeight="1">
      <c r="A132" s="9" t="s">
        <v>9</v>
      </c>
      <c r="B132" s="12" t="str">
        <f t="array" ref="B132">XLOOKUP(C132, Channel_Listings!C:C, Channel_Listings!B:B)
</f>
        <v>Apparel_Tshirts</v>
      </c>
      <c r="C132" s="22" t="s">
        <v>42</v>
      </c>
      <c r="D132" s="14" t="str">
        <f t="array" ref="D132">XLOOKUP(C132, Channel_Listings!C:C, Channel_Listings!D:D)
</f>
        <v>TSHIRT-BLACK-XXL</v>
      </c>
      <c r="E132" s="15">
        <v>299.0</v>
      </c>
      <c r="F132" s="16">
        <f t="array" ref="F132">IFERROR(
  VALUE( INDEX(Product_Master!$I:$I,
               MATCH( INDEX(Pack_Master!$B:$B, MATCH($D132, Pack_Master!$A:$A, 0)),
                      Product_Master!$B:$B, 0)
  )) 
  * VALUE( INDEX(Pack_Master!$C:$C, MATCH($D132, Pack_Master!$A:$A, 0)) )
  + VALUE( INDEX(Pack_Master!$D:$D, MATCH($D132, Pack_Master!$A:$A, 0)) ),
"")
</f>
        <v>2</v>
      </c>
      <c r="G132" s="17">
        <f t="array" ref="G132">IFERROR(
 ( INDEX(Pack_Master!E:E, MATCH($D132, Pack_Master!A:A, 0))
   * INDEX(Pack_Master!F:F, MATCH($D132, Pack_Master!A:A, 0))
   * INDEX(Pack_Master!G:G, MATCH($D132, Pack_Master!A:A, 0))
 ) / INDEX(Config!C:C, MATCH($A132, Config!A:A, 0)),
"")
</f>
        <v>0.375</v>
      </c>
      <c r="H132" s="17">
        <f t="array" ref="H132">MAX( INDEX(Pack_Master!H:H, MATCH($D132, Pack_Master!A:A, 0)),
      IFERROR(G132, 0) )
</f>
        <v>0.5</v>
      </c>
      <c r="I132" s="18">
        <f>IFERROR(__xludf.DUMMYFUNCTION("IFERROR(
 INDEX(
   FILTER(Shipping_Rate_Card!B:F, Shipping_Rate_Card!A:A=$A132),
   MATCH($H132, FILTER(Shipping_Rate_Card!B:B, Shipping_Rate_Card!A:A=$A132), 1),
   IF( INDEX(Config!B:B, MATCH($A132, Config!A:A, 0))=""Local"", 2,
     IF( INDEX(Config!B"&amp;":B, MATCH($A132, Config!A:A, 0))=""Regional"", 3, 4 )
   )
 ),
"""")
"),67.0)</f>
        <v>67</v>
      </c>
      <c r="J132" s="16">
        <f>IFERROR(__xludf.DUMMYFUNCTION("IFERROR(
 ( E132 * INDEX(FILTER(Pricing_Rules!E:E, Pricing_Rules!A:A=A132, Pricing_Rules!B:B=B132, Pricing_Rules!C:C&lt;=E132, Pricing_Rules!D:D&gt;=E132), 1)
   + INDEX(FILTER(Pricing_Rules!F:F, Pricing_Rules!A:A=A132, Pricing_Rules!B:B=B132, Pricing_Rules!C:C"&amp;"&lt;=E132, Pricing_Rules!D:D&gt;=E132), 1)
 )
 * (1 + IFERROR( INDEX(Config!D:D, MATCH(A132, Config!A:A, 0)), 0 )),
"""")
"),5.8999999999999995)</f>
        <v>5.9</v>
      </c>
      <c r="K132" s="19">
        <f t="shared" si="3"/>
        <v>224.1</v>
      </c>
      <c r="L132" s="20">
        <f t="shared" si="4"/>
        <v>0.7494983278</v>
      </c>
    </row>
    <row r="133" ht="15.75" customHeight="1">
      <c r="A133" s="9" t="s">
        <v>9</v>
      </c>
      <c r="B133" s="12" t="str">
        <f t="array" ref="B133">XLOOKUP(C133, Channel_Listings!C:C, Channel_Listings!B:B)
</f>
        <v>Apparel_Tshirts</v>
      </c>
      <c r="C133" s="22" t="s">
        <v>44</v>
      </c>
      <c r="D133" s="14" t="str">
        <f t="array" ref="D133">XLOOKUP(C133, Channel_Listings!C:C, Channel_Listings!D:D)
</f>
        <v>TSHIRT-BLACK-L</v>
      </c>
      <c r="E133" s="15">
        <v>299.0</v>
      </c>
      <c r="F133" s="16">
        <f t="array" ref="F133">IFERROR(
  VALUE( INDEX(Product_Master!$I:$I,
               MATCH( INDEX(Pack_Master!$B:$B, MATCH($D133, Pack_Master!$A:$A, 0)),
                      Product_Master!$B:$B, 0)
  )) 
  * VALUE( INDEX(Pack_Master!$C:$C, MATCH($D133, Pack_Master!$A:$A, 0)) )
  + VALUE( INDEX(Pack_Master!$D:$D, MATCH($D133, Pack_Master!$A:$A, 0)) ),
"")
</f>
        <v>2</v>
      </c>
      <c r="G133" s="17">
        <f t="array" ref="G133">IFERROR(
 ( INDEX(Pack_Master!E:E, MATCH($D133, Pack_Master!A:A, 0))
   * INDEX(Pack_Master!F:F, MATCH($D133, Pack_Master!A:A, 0))
   * INDEX(Pack_Master!G:G, MATCH($D133, Pack_Master!A:A, 0))
 ) / INDEX(Config!C:C, MATCH($A133, Config!A:A, 0)),
"")
</f>
        <v>0.375</v>
      </c>
      <c r="H133" s="17">
        <f t="array" ref="H133">MAX( INDEX(Pack_Master!H:H, MATCH($D133, Pack_Master!A:A, 0)),
      IFERROR(G133, 0) )
</f>
        <v>0.5</v>
      </c>
      <c r="I133" s="18">
        <f>IFERROR(__xludf.DUMMYFUNCTION("IFERROR(
 INDEX(
   FILTER(Shipping_Rate_Card!B:F, Shipping_Rate_Card!A:A=$A133),
   MATCH($H133, FILTER(Shipping_Rate_Card!B:B, Shipping_Rate_Card!A:A=$A133), 1),
   IF( INDEX(Config!B:B, MATCH($A133, Config!A:A, 0))=""Local"", 2,
     IF( INDEX(Config!B"&amp;":B, MATCH($A133, Config!A:A, 0))=""Regional"", 3, 4 )
   )
 ),
"""")
"),67.0)</f>
        <v>67</v>
      </c>
      <c r="J133" s="16">
        <f>IFERROR(__xludf.DUMMYFUNCTION("IFERROR(
 ( E133 * INDEX(FILTER(Pricing_Rules!E:E, Pricing_Rules!A:A=A133, Pricing_Rules!B:B=B133, Pricing_Rules!C:C&lt;=E133, Pricing_Rules!D:D&gt;=E133), 1)
   + INDEX(FILTER(Pricing_Rules!F:F, Pricing_Rules!A:A=A133, Pricing_Rules!B:B=B133, Pricing_Rules!C:C"&amp;"&lt;=E133, Pricing_Rules!D:D&gt;=E133), 1)
 )
 * (1 + IFERROR( INDEX(Config!D:D, MATCH(A133, Config!A:A, 0)), 0 )),
"""")
"),5.8999999999999995)</f>
        <v>5.9</v>
      </c>
      <c r="K133" s="19">
        <f t="shared" si="3"/>
        <v>224.1</v>
      </c>
      <c r="L133" s="20">
        <f t="shared" si="4"/>
        <v>0.7494983278</v>
      </c>
    </row>
    <row r="134" ht="15.75" customHeight="1">
      <c r="A134" s="9" t="s">
        <v>9</v>
      </c>
      <c r="B134" s="12" t="str">
        <f t="array" ref="B134">XLOOKUP(C134, Channel_Listings!C:C, Channel_Listings!B:B)
</f>
        <v>Apparel_Tshirts</v>
      </c>
      <c r="C134" s="22" t="s">
        <v>46</v>
      </c>
      <c r="D134" s="14" t="str">
        <f t="array" ref="D134">XLOOKUP(C134, Channel_Listings!C:C, Channel_Listings!D:D)
</f>
        <v>TSHIRT-BLACK-M</v>
      </c>
      <c r="E134" s="15">
        <v>299.0</v>
      </c>
      <c r="F134" s="16">
        <f t="array" ref="F134">IFERROR(
  VALUE( INDEX(Product_Master!$I:$I,
               MATCH( INDEX(Pack_Master!$B:$B, MATCH($D134, Pack_Master!$A:$A, 0)),
                      Product_Master!$B:$B, 0)
  )) 
  * VALUE( INDEX(Pack_Master!$C:$C, MATCH($D134, Pack_Master!$A:$A, 0)) )
  + VALUE( INDEX(Pack_Master!$D:$D, MATCH($D134, Pack_Master!$A:$A, 0)) ),
"")
</f>
        <v>2</v>
      </c>
      <c r="G134" s="17">
        <f t="array" ref="G134">IFERROR(
 ( INDEX(Pack_Master!E:E, MATCH($D134, Pack_Master!A:A, 0))
   * INDEX(Pack_Master!F:F, MATCH($D134, Pack_Master!A:A, 0))
   * INDEX(Pack_Master!G:G, MATCH($D134, Pack_Master!A:A, 0))
 ) / INDEX(Config!C:C, MATCH($A134, Config!A:A, 0)),
"")
</f>
        <v>0.375</v>
      </c>
      <c r="H134" s="17">
        <f t="array" ref="H134">MAX( INDEX(Pack_Master!H:H, MATCH($D134, Pack_Master!A:A, 0)),
      IFERROR(G134, 0) )
</f>
        <v>0.5</v>
      </c>
      <c r="I134" s="18">
        <f>IFERROR(__xludf.DUMMYFUNCTION("IFERROR(
 INDEX(
   FILTER(Shipping_Rate_Card!B:F, Shipping_Rate_Card!A:A=$A134),
   MATCH($H134, FILTER(Shipping_Rate_Card!B:B, Shipping_Rate_Card!A:A=$A134), 1),
   IF( INDEX(Config!B:B, MATCH($A134, Config!A:A, 0))=""Local"", 2,
     IF( INDEX(Config!B"&amp;":B, MATCH($A134, Config!A:A, 0))=""Regional"", 3, 4 )
   )
 ),
"""")
"),67.0)</f>
        <v>67</v>
      </c>
      <c r="J134" s="16">
        <f>IFERROR(__xludf.DUMMYFUNCTION("IFERROR(
 ( E134 * INDEX(FILTER(Pricing_Rules!E:E, Pricing_Rules!A:A=A134, Pricing_Rules!B:B=B134, Pricing_Rules!C:C&lt;=E134, Pricing_Rules!D:D&gt;=E134), 1)
   + INDEX(FILTER(Pricing_Rules!F:F, Pricing_Rules!A:A=A134, Pricing_Rules!B:B=B134, Pricing_Rules!C:C"&amp;"&lt;=E134, Pricing_Rules!D:D&gt;=E134), 1)
 )
 * (1 + IFERROR( INDEX(Config!D:D, MATCH(A134, Config!A:A, 0)), 0 )),
"""")
"),5.8999999999999995)</f>
        <v>5.9</v>
      </c>
      <c r="K134" s="19">
        <f t="shared" si="3"/>
        <v>224.1</v>
      </c>
      <c r="L134" s="20">
        <f t="shared" si="4"/>
        <v>0.7494983278</v>
      </c>
    </row>
    <row r="135" ht="15.75" customHeight="1">
      <c r="A135" s="9" t="s">
        <v>9</v>
      </c>
      <c r="B135" s="12" t="str">
        <f t="array" ref="B135">XLOOKUP(C135, Channel_Listings!C:C, Channel_Listings!B:B)
</f>
        <v>Apparel_Tshirts</v>
      </c>
      <c r="C135" s="22" t="s">
        <v>48</v>
      </c>
      <c r="D135" s="14" t="str">
        <f t="array" ref="D135">XLOOKUP(C135, Channel_Listings!C:C, Channel_Listings!D:D)
</f>
        <v>TSHIRT-BLACK-XL</v>
      </c>
      <c r="E135" s="15">
        <v>299.0</v>
      </c>
      <c r="F135" s="16">
        <f t="array" ref="F135">IFERROR(
  VALUE( INDEX(Product_Master!$I:$I,
               MATCH( INDEX(Pack_Master!$B:$B, MATCH($D135, Pack_Master!$A:$A, 0)),
                      Product_Master!$B:$B, 0)
  )) 
  * VALUE( INDEX(Pack_Master!$C:$C, MATCH($D135, Pack_Master!$A:$A, 0)) )
  + VALUE( INDEX(Pack_Master!$D:$D, MATCH($D135, Pack_Master!$A:$A, 0)) ),
"")
</f>
        <v>2</v>
      </c>
      <c r="G135" s="17">
        <f t="array" ref="G135">IFERROR(
 ( INDEX(Pack_Master!E:E, MATCH($D135, Pack_Master!A:A, 0))
   * INDEX(Pack_Master!F:F, MATCH($D135, Pack_Master!A:A, 0))
   * INDEX(Pack_Master!G:G, MATCH($D135, Pack_Master!A:A, 0))
 ) / INDEX(Config!C:C, MATCH($A135, Config!A:A, 0)),
"")
</f>
        <v>0.375</v>
      </c>
      <c r="H135" s="17">
        <f t="array" ref="H135">MAX( INDEX(Pack_Master!H:H, MATCH($D135, Pack_Master!A:A, 0)),
      IFERROR(G135, 0) )
</f>
        <v>0.5</v>
      </c>
      <c r="I135" s="18">
        <f>IFERROR(__xludf.DUMMYFUNCTION("IFERROR(
 INDEX(
   FILTER(Shipping_Rate_Card!B:F, Shipping_Rate_Card!A:A=$A135),
   MATCH($H135, FILTER(Shipping_Rate_Card!B:B, Shipping_Rate_Card!A:A=$A135), 1),
   IF( INDEX(Config!B:B, MATCH($A135, Config!A:A, 0))=""Local"", 2,
     IF( INDEX(Config!B"&amp;":B, MATCH($A135, Config!A:A, 0))=""Regional"", 3, 4 )
   )
 ),
"""")
"),67.0)</f>
        <v>67</v>
      </c>
      <c r="J135" s="16">
        <f>IFERROR(__xludf.DUMMYFUNCTION("IFERROR(
 ( E135 * INDEX(FILTER(Pricing_Rules!E:E, Pricing_Rules!A:A=A135, Pricing_Rules!B:B=B135, Pricing_Rules!C:C&lt;=E135, Pricing_Rules!D:D&gt;=E135), 1)
   + INDEX(FILTER(Pricing_Rules!F:F, Pricing_Rules!A:A=A135, Pricing_Rules!B:B=B135, Pricing_Rules!C:C"&amp;"&lt;=E135, Pricing_Rules!D:D&gt;=E135), 1)
 )
 * (1 + IFERROR( INDEX(Config!D:D, MATCH(A135, Config!A:A, 0)), 0 )),
"""")
"),5.8999999999999995)</f>
        <v>5.9</v>
      </c>
      <c r="K135" s="19">
        <f t="shared" si="3"/>
        <v>224.1</v>
      </c>
      <c r="L135" s="20">
        <f t="shared" si="4"/>
        <v>0.7494983278</v>
      </c>
    </row>
    <row r="136" ht="15.75" customHeight="1">
      <c r="A136" s="9" t="s">
        <v>9</v>
      </c>
      <c r="B136" s="12" t="str">
        <f t="array" ref="B136">XLOOKUP(C136, Channel_Listings!C:C, Channel_Listings!B:B)
</f>
        <v>Apparel_Tshirts</v>
      </c>
      <c r="C136" s="22" t="s">
        <v>50</v>
      </c>
      <c r="D136" s="14" t="str">
        <f t="array" ref="D136">XLOOKUP(C136, Channel_Listings!C:C, Channel_Listings!D:D)
</f>
        <v>TSHIRT-BLACK-XXL</v>
      </c>
      <c r="E136" s="15">
        <v>299.0</v>
      </c>
      <c r="F136" s="16">
        <f t="array" ref="F136">IFERROR(
  VALUE( INDEX(Product_Master!$I:$I,
               MATCH( INDEX(Pack_Master!$B:$B, MATCH($D136, Pack_Master!$A:$A, 0)),
                      Product_Master!$B:$B, 0)
  )) 
  * VALUE( INDEX(Pack_Master!$C:$C, MATCH($D136, Pack_Master!$A:$A, 0)) )
  + VALUE( INDEX(Pack_Master!$D:$D, MATCH($D136, Pack_Master!$A:$A, 0)) ),
"")
</f>
        <v>2</v>
      </c>
      <c r="G136" s="17">
        <f t="array" ref="G136">IFERROR(
 ( INDEX(Pack_Master!E:E, MATCH($D136, Pack_Master!A:A, 0))
   * INDEX(Pack_Master!F:F, MATCH($D136, Pack_Master!A:A, 0))
   * INDEX(Pack_Master!G:G, MATCH($D136, Pack_Master!A:A, 0))
 ) / INDEX(Config!C:C, MATCH($A136, Config!A:A, 0)),
"")
</f>
        <v>0.375</v>
      </c>
      <c r="H136" s="17">
        <f t="array" ref="H136">MAX( INDEX(Pack_Master!H:H, MATCH($D136, Pack_Master!A:A, 0)),
      IFERROR(G136, 0) )
</f>
        <v>0.5</v>
      </c>
      <c r="I136" s="18">
        <f>IFERROR(__xludf.DUMMYFUNCTION("IFERROR(
 INDEX(
   FILTER(Shipping_Rate_Card!B:F, Shipping_Rate_Card!A:A=$A136),
   MATCH($H136, FILTER(Shipping_Rate_Card!B:B, Shipping_Rate_Card!A:A=$A136), 1),
   IF( INDEX(Config!B:B, MATCH($A136, Config!A:A, 0))=""Local"", 2,
     IF( INDEX(Config!B"&amp;":B, MATCH($A136, Config!A:A, 0))=""Regional"", 3, 4 )
   )
 ),
"""")
"),67.0)</f>
        <v>67</v>
      </c>
      <c r="J136" s="16">
        <f>IFERROR(__xludf.DUMMYFUNCTION("IFERROR(
 ( E136 * INDEX(FILTER(Pricing_Rules!E:E, Pricing_Rules!A:A=A136, Pricing_Rules!B:B=B136, Pricing_Rules!C:C&lt;=E136, Pricing_Rules!D:D&gt;=E136), 1)
   + INDEX(FILTER(Pricing_Rules!F:F, Pricing_Rules!A:A=A136, Pricing_Rules!B:B=B136, Pricing_Rules!C:C"&amp;"&lt;=E136, Pricing_Rules!D:D&gt;=E136), 1)
 )
 * (1 + IFERROR( INDEX(Config!D:D, MATCH(A136, Config!A:A, 0)), 0 )),
"""")
"),5.8999999999999995)</f>
        <v>5.9</v>
      </c>
      <c r="K136" s="19">
        <f t="shared" si="3"/>
        <v>224.1</v>
      </c>
      <c r="L136" s="20">
        <f t="shared" si="4"/>
        <v>0.7494983278</v>
      </c>
    </row>
    <row r="137" ht="15.75" customHeight="1">
      <c r="A137" s="9" t="s">
        <v>9</v>
      </c>
      <c r="B137" s="12" t="str">
        <f t="array" ref="B137">XLOOKUP(C137, Channel_Listings!C:C, Channel_Listings!B:B)
</f>
        <v>Apparel_Tshirts</v>
      </c>
      <c r="C137" s="22" t="s">
        <v>52</v>
      </c>
      <c r="D137" s="14" t="str">
        <f t="array" ref="D137">XLOOKUP(C137, Channel_Listings!C:C, Channel_Listings!D:D)
</f>
        <v>TSHIRT-BLACK-L</v>
      </c>
      <c r="E137" s="15">
        <v>299.0</v>
      </c>
      <c r="F137" s="16">
        <f t="array" ref="F137">IFERROR(
  VALUE( INDEX(Product_Master!$I:$I,
               MATCH( INDEX(Pack_Master!$B:$B, MATCH($D137, Pack_Master!$A:$A, 0)),
                      Product_Master!$B:$B, 0)
  )) 
  * VALUE( INDEX(Pack_Master!$C:$C, MATCH($D137, Pack_Master!$A:$A, 0)) )
  + VALUE( INDEX(Pack_Master!$D:$D, MATCH($D137, Pack_Master!$A:$A, 0)) ),
"")
</f>
        <v>2</v>
      </c>
      <c r="G137" s="17">
        <f t="array" ref="G137">IFERROR(
 ( INDEX(Pack_Master!E:E, MATCH($D137, Pack_Master!A:A, 0))
   * INDEX(Pack_Master!F:F, MATCH($D137, Pack_Master!A:A, 0))
   * INDEX(Pack_Master!G:G, MATCH($D137, Pack_Master!A:A, 0))
 ) / INDEX(Config!C:C, MATCH($A137, Config!A:A, 0)),
"")
</f>
        <v>0.375</v>
      </c>
      <c r="H137" s="17">
        <f t="array" ref="H137">MAX( INDEX(Pack_Master!H:H, MATCH($D137, Pack_Master!A:A, 0)),
      IFERROR(G137, 0) )
</f>
        <v>0.5</v>
      </c>
      <c r="I137" s="18">
        <f>IFERROR(__xludf.DUMMYFUNCTION("IFERROR(
 INDEX(
   FILTER(Shipping_Rate_Card!B:F, Shipping_Rate_Card!A:A=$A137),
   MATCH($H137, FILTER(Shipping_Rate_Card!B:B, Shipping_Rate_Card!A:A=$A137), 1),
   IF( INDEX(Config!B:B, MATCH($A137, Config!A:A, 0))=""Local"", 2,
     IF( INDEX(Config!B"&amp;":B, MATCH($A137, Config!A:A, 0))=""Regional"", 3, 4 )
   )
 ),
"""")
"),67.0)</f>
        <v>67</v>
      </c>
      <c r="J137" s="16">
        <f>IFERROR(__xludf.DUMMYFUNCTION("IFERROR(
 ( E137 * INDEX(FILTER(Pricing_Rules!E:E, Pricing_Rules!A:A=A137, Pricing_Rules!B:B=B137, Pricing_Rules!C:C&lt;=E137, Pricing_Rules!D:D&gt;=E137), 1)
   + INDEX(FILTER(Pricing_Rules!F:F, Pricing_Rules!A:A=A137, Pricing_Rules!B:B=B137, Pricing_Rules!C:C"&amp;"&lt;=E137, Pricing_Rules!D:D&gt;=E137), 1)
 )
 * (1 + IFERROR( INDEX(Config!D:D, MATCH(A137, Config!A:A, 0)), 0 )),
"""")
"),5.8999999999999995)</f>
        <v>5.9</v>
      </c>
      <c r="K137" s="19">
        <f t="shared" si="3"/>
        <v>224.1</v>
      </c>
      <c r="L137" s="20">
        <f t="shared" si="4"/>
        <v>0.7494983278</v>
      </c>
    </row>
    <row r="138" ht="15.75" customHeight="1">
      <c r="A138" s="9" t="s">
        <v>9</v>
      </c>
      <c r="B138" s="12" t="str">
        <f t="array" ref="B138">XLOOKUP(C138, Channel_Listings!C:C, Channel_Listings!B:B)
</f>
        <v>Apparel_Tshirts</v>
      </c>
      <c r="C138" s="22" t="s">
        <v>54</v>
      </c>
      <c r="D138" s="14" t="str">
        <f t="array" ref="D138">XLOOKUP(C138, Channel_Listings!C:C, Channel_Listings!D:D)
</f>
        <v>TSHIRT-BLACK-M</v>
      </c>
      <c r="E138" s="15">
        <v>299.0</v>
      </c>
      <c r="F138" s="16">
        <f t="array" ref="F138">IFERROR(
  VALUE( INDEX(Product_Master!$I:$I,
               MATCH( INDEX(Pack_Master!$B:$B, MATCH($D138, Pack_Master!$A:$A, 0)),
                      Product_Master!$B:$B, 0)
  )) 
  * VALUE( INDEX(Pack_Master!$C:$C, MATCH($D138, Pack_Master!$A:$A, 0)) )
  + VALUE( INDEX(Pack_Master!$D:$D, MATCH($D138, Pack_Master!$A:$A, 0)) ),
"")
</f>
        <v>2</v>
      </c>
      <c r="G138" s="17">
        <f t="array" ref="G138">IFERROR(
 ( INDEX(Pack_Master!E:E, MATCH($D138, Pack_Master!A:A, 0))
   * INDEX(Pack_Master!F:F, MATCH($D138, Pack_Master!A:A, 0))
   * INDEX(Pack_Master!G:G, MATCH($D138, Pack_Master!A:A, 0))
 ) / INDEX(Config!C:C, MATCH($A138, Config!A:A, 0)),
"")
</f>
        <v>0.375</v>
      </c>
      <c r="H138" s="17">
        <f t="array" ref="H138">MAX( INDEX(Pack_Master!H:H, MATCH($D138, Pack_Master!A:A, 0)),
      IFERROR(G138, 0) )
</f>
        <v>0.5</v>
      </c>
      <c r="I138" s="18">
        <f>IFERROR(__xludf.DUMMYFUNCTION("IFERROR(
 INDEX(
   FILTER(Shipping_Rate_Card!B:F, Shipping_Rate_Card!A:A=$A138),
   MATCH($H138, FILTER(Shipping_Rate_Card!B:B, Shipping_Rate_Card!A:A=$A138), 1),
   IF( INDEX(Config!B:B, MATCH($A138, Config!A:A, 0))=""Local"", 2,
     IF( INDEX(Config!B"&amp;":B, MATCH($A138, Config!A:A, 0))=""Regional"", 3, 4 )
   )
 ),
"""")
"),67.0)</f>
        <v>67</v>
      </c>
      <c r="J138" s="16">
        <f>IFERROR(__xludf.DUMMYFUNCTION("IFERROR(
 ( E138 * INDEX(FILTER(Pricing_Rules!E:E, Pricing_Rules!A:A=A138, Pricing_Rules!B:B=B138, Pricing_Rules!C:C&lt;=E138, Pricing_Rules!D:D&gt;=E138), 1)
   + INDEX(FILTER(Pricing_Rules!F:F, Pricing_Rules!A:A=A138, Pricing_Rules!B:B=B138, Pricing_Rules!C:C"&amp;"&lt;=E138, Pricing_Rules!D:D&gt;=E138), 1)
 )
 * (1 + IFERROR( INDEX(Config!D:D, MATCH(A138, Config!A:A, 0)), 0 )),
"""")
"),5.8999999999999995)</f>
        <v>5.9</v>
      </c>
      <c r="K138" s="19">
        <f t="shared" si="3"/>
        <v>224.1</v>
      </c>
      <c r="L138" s="20">
        <f t="shared" si="4"/>
        <v>0.7494983278</v>
      </c>
    </row>
    <row r="139" ht="15.75" customHeight="1">
      <c r="A139" s="9" t="s">
        <v>9</v>
      </c>
      <c r="B139" s="12" t="str">
        <f t="array" ref="B139">XLOOKUP(C139, Channel_Listings!C:C, Channel_Listings!B:B)
</f>
        <v>Apparel_Tshirts</v>
      </c>
      <c r="C139" s="22" t="s">
        <v>56</v>
      </c>
      <c r="D139" s="14" t="str">
        <f t="array" ref="D139">XLOOKUP(C139, Channel_Listings!C:C, Channel_Listings!D:D)
</f>
        <v>TSHIRT-BLACK-XL</v>
      </c>
      <c r="E139" s="15">
        <v>299.0</v>
      </c>
      <c r="F139" s="16">
        <f t="array" ref="F139">IFERROR(
  VALUE( INDEX(Product_Master!$I:$I,
               MATCH( INDEX(Pack_Master!$B:$B, MATCH($D139, Pack_Master!$A:$A, 0)),
                      Product_Master!$B:$B, 0)
  )) 
  * VALUE( INDEX(Pack_Master!$C:$C, MATCH($D139, Pack_Master!$A:$A, 0)) )
  + VALUE( INDEX(Pack_Master!$D:$D, MATCH($D139, Pack_Master!$A:$A, 0)) ),
"")
</f>
        <v>2</v>
      </c>
      <c r="G139" s="17">
        <f t="array" ref="G139">IFERROR(
 ( INDEX(Pack_Master!E:E, MATCH($D139, Pack_Master!A:A, 0))
   * INDEX(Pack_Master!F:F, MATCH($D139, Pack_Master!A:A, 0))
   * INDEX(Pack_Master!G:G, MATCH($D139, Pack_Master!A:A, 0))
 ) / INDEX(Config!C:C, MATCH($A139, Config!A:A, 0)),
"")
</f>
        <v>0.375</v>
      </c>
      <c r="H139" s="17">
        <f t="array" ref="H139">MAX( INDEX(Pack_Master!H:H, MATCH($D139, Pack_Master!A:A, 0)),
      IFERROR(G139, 0) )
</f>
        <v>0.5</v>
      </c>
      <c r="I139" s="18">
        <f>IFERROR(__xludf.DUMMYFUNCTION("IFERROR(
 INDEX(
   FILTER(Shipping_Rate_Card!B:F, Shipping_Rate_Card!A:A=$A139),
   MATCH($H139, FILTER(Shipping_Rate_Card!B:B, Shipping_Rate_Card!A:A=$A139), 1),
   IF( INDEX(Config!B:B, MATCH($A139, Config!A:A, 0))=""Local"", 2,
     IF( INDEX(Config!B"&amp;":B, MATCH($A139, Config!A:A, 0))=""Regional"", 3, 4 )
   )
 ),
"""")
"),67.0)</f>
        <v>67</v>
      </c>
      <c r="J139" s="16">
        <f>IFERROR(__xludf.DUMMYFUNCTION("IFERROR(
 ( E139 * INDEX(FILTER(Pricing_Rules!E:E, Pricing_Rules!A:A=A139, Pricing_Rules!B:B=B139, Pricing_Rules!C:C&lt;=E139, Pricing_Rules!D:D&gt;=E139), 1)
   + INDEX(FILTER(Pricing_Rules!F:F, Pricing_Rules!A:A=A139, Pricing_Rules!B:B=B139, Pricing_Rules!C:C"&amp;"&lt;=E139, Pricing_Rules!D:D&gt;=E139), 1)
 )
 * (1 + IFERROR( INDEX(Config!D:D, MATCH(A139, Config!A:A, 0)), 0 )),
"""")
"),5.8999999999999995)</f>
        <v>5.9</v>
      </c>
      <c r="K139" s="19">
        <f t="shared" si="3"/>
        <v>224.1</v>
      </c>
      <c r="L139" s="20">
        <f t="shared" si="4"/>
        <v>0.7494983278</v>
      </c>
    </row>
    <row r="140" ht="15.75" customHeight="1">
      <c r="A140" s="9" t="s">
        <v>9</v>
      </c>
      <c r="B140" s="12" t="str">
        <f t="array" ref="B140">XLOOKUP(C140, Channel_Listings!C:C, Channel_Listings!B:B)
</f>
        <v>Apparel_Tshirts</v>
      </c>
      <c r="C140" s="22" t="s">
        <v>58</v>
      </c>
      <c r="D140" s="14" t="str">
        <f t="array" ref="D140">XLOOKUP(C140, Channel_Listings!C:C, Channel_Listings!D:D)
</f>
        <v>TSHIRT-BLACK-XXL</v>
      </c>
      <c r="E140" s="15">
        <v>299.0</v>
      </c>
      <c r="F140" s="16">
        <f t="array" ref="F140">IFERROR(
  VALUE( INDEX(Product_Master!$I:$I,
               MATCH( INDEX(Pack_Master!$B:$B, MATCH($D140, Pack_Master!$A:$A, 0)),
                      Product_Master!$B:$B, 0)
  )) 
  * VALUE( INDEX(Pack_Master!$C:$C, MATCH($D140, Pack_Master!$A:$A, 0)) )
  + VALUE( INDEX(Pack_Master!$D:$D, MATCH($D140, Pack_Master!$A:$A, 0)) ),
"")
</f>
        <v>2</v>
      </c>
      <c r="G140" s="17">
        <f t="array" ref="G140">IFERROR(
 ( INDEX(Pack_Master!E:E, MATCH($D140, Pack_Master!A:A, 0))
   * INDEX(Pack_Master!F:F, MATCH($D140, Pack_Master!A:A, 0))
   * INDEX(Pack_Master!G:G, MATCH($D140, Pack_Master!A:A, 0))
 ) / INDEX(Config!C:C, MATCH($A140, Config!A:A, 0)),
"")
</f>
        <v>0.375</v>
      </c>
      <c r="H140" s="17">
        <f t="array" ref="H140">MAX( INDEX(Pack_Master!H:H, MATCH($D140, Pack_Master!A:A, 0)),
      IFERROR(G140, 0) )
</f>
        <v>0.5</v>
      </c>
      <c r="I140" s="18">
        <f>IFERROR(__xludf.DUMMYFUNCTION("IFERROR(
 INDEX(
   FILTER(Shipping_Rate_Card!B:F, Shipping_Rate_Card!A:A=$A140),
   MATCH($H140, FILTER(Shipping_Rate_Card!B:B, Shipping_Rate_Card!A:A=$A140), 1),
   IF( INDEX(Config!B:B, MATCH($A140, Config!A:A, 0))=""Local"", 2,
     IF( INDEX(Config!B"&amp;":B, MATCH($A140, Config!A:A, 0))=""Regional"", 3, 4 )
   )
 ),
"""")
"),67.0)</f>
        <v>67</v>
      </c>
      <c r="J140" s="16">
        <f>IFERROR(__xludf.DUMMYFUNCTION("IFERROR(
 ( E140 * INDEX(FILTER(Pricing_Rules!E:E, Pricing_Rules!A:A=A140, Pricing_Rules!B:B=B140, Pricing_Rules!C:C&lt;=E140, Pricing_Rules!D:D&gt;=E140), 1)
   + INDEX(FILTER(Pricing_Rules!F:F, Pricing_Rules!A:A=A140, Pricing_Rules!B:B=B140, Pricing_Rules!C:C"&amp;"&lt;=E140, Pricing_Rules!D:D&gt;=E140), 1)
 )
 * (1 + IFERROR( INDEX(Config!D:D, MATCH(A140, Config!A:A, 0)), 0 )),
"""")
"),5.8999999999999995)</f>
        <v>5.9</v>
      </c>
      <c r="K140" s="19">
        <f t="shared" si="3"/>
        <v>224.1</v>
      </c>
      <c r="L140" s="20">
        <f t="shared" si="4"/>
        <v>0.7494983278</v>
      </c>
    </row>
    <row r="141" ht="15.75" customHeight="1">
      <c r="A141" s="9" t="s">
        <v>9</v>
      </c>
      <c r="B141" s="12" t="str">
        <f t="array" ref="B141">XLOOKUP(C141, Channel_Listings!C:C, Channel_Listings!B:B)
</f>
        <v>Apparel_Tshirts</v>
      </c>
      <c r="C141" s="22" t="s">
        <v>60</v>
      </c>
      <c r="D141" s="14" t="str">
        <f t="array" ref="D141">XLOOKUP(C141, Channel_Listings!C:C, Channel_Listings!D:D)
</f>
        <v>TSHIRT-BLACK-L</v>
      </c>
      <c r="E141" s="15">
        <v>299.0</v>
      </c>
      <c r="F141" s="16">
        <f t="array" ref="F141">IFERROR(
  VALUE( INDEX(Product_Master!$I:$I,
               MATCH( INDEX(Pack_Master!$B:$B, MATCH($D141, Pack_Master!$A:$A, 0)),
                      Product_Master!$B:$B, 0)
  )) 
  * VALUE( INDEX(Pack_Master!$C:$C, MATCH($D141, Pack_Master!$A:$A, 0)) )
  + VALUE( INDEX(Pack_Master!$D:$D, MATCH($D141, Pack_Master!$A:$A, 0)) ),
"")
</f>
        <v>2</v>
      </c>
      <c r="G141" s="17">
        <f t="array" ref="G141">IFERROR(
 ( INDEX(Pack_Master!E:E, MATCH($D141, Pack_Master!A:A, 0))
   * INDEX(Pack_Master!F:F, MATCH($D141, Pack_Master!A:A, 0))
   * INDEX(Pack_Master!G:G, MATCH($D141, Pack_Master!A:A, 0))
 ) / INDEX(Config!C:C, MATCH($A141, Config!A:A, 0)),
"")
</f>
        <v>0.375</v>
      </c>
      <c r="H141" s="17">
        <f t="array" ref="H141">MAX( INDEX(Pack_Master!H:H, MATCH($D141, Pack_Master!A:A, 0)),
      IFERROR(G141, 0) )
</f>
        <v>0.5</v>
      </c>
      <c r="I141" s="18">
        <f>IFERROR(__xludf.DUMMYFUNCTION("IFERROR(
 INDEX(
   FILTER(Shipping_Rate_Card!B:F, Shipping_Rate_Card!A:A=$A141),
   MATCH($H141, FILTER(Shipping_Rate_Card!B:B, Shipping_Rate_Card!A:A=$A141), 1),
   IF( INDEX(Config!B:B, MATCH($A141, Config!A:A, 0))=""Local"", 2,
     IF( INDEX(Config!B"&amp;":B, MATCH($A141, Config!A:A, 0))=""Regional"", 3, 4 )
   )
 ),
"""")
"),67.0)</f>
        <v>67</v>
      </c>
      <c r="J141" s="16">
        <f>IFERROR(__xludf.DUMMYFUNCTION("IFERROR(
 ( E141 * INDEX(FILTER(Pricing_Rules!E:E, Pricing_Rules!A:A=A141, Pricing_Rules!B:B=B141, Pricing_Rules!C:C&lt;=E141, Pricing_Rules!D:D&gt;=E141), 1)
   + INDEX(FILTER(Pricing_Rules!F:F, Pricing_Rules!A:A=A141, Pricing_Rules!B:B=B141, Pricing_Rules!C:C"&amp;"&lt;=E141, Pricing_Rules!D:D&gt;=E141), 1)
 )
 * (1 + IFERROR( INDEX(Config!D:D, MATCH(A141, Config!A:A, 0)), 0 )),
"""")
"),5.8999999999999995)</f>
        <v>5.9</v>
      </c>
      <c r="K141" s="19">
        <f t="shared" si="3"/>
        <v>224.1</v>
      </c>
      <c r="L141" s="20">
        <f t="shared" si="4"/>
        <v>0.7494983278</v>
      </c>
    </row>
    <row r="142" ht="15.75" customHeight="1">
      <c r="A142" s="9" t="s">
        <v>9</v>
      </c>
      <c r="B142" s="12" t="str">
        <f t="array" ref="B142">XLOOKUP(C142, Channel_Listings!C:C, Channel_Listings!B:B)
</f>
        <v>Apparel_Tshirts</v>
      </c>
      <c r="C142" s="22" t="s">
        <v>62</v>
      </c>
      <c r="D142" s="14" t="str">
        <f t="array" ref="D142">XLOOKUP(C142, Channel_Listings!C:C, Channel_Listings!D:D)
</f>
        <v>TSHIRT-BLACK-M</v>
      </c>
      <c r="E142" s="15">
        <v>299.0</v>
      </c>
      <c r="F142" s="16">
        <f t="array" ref="F142">IFERROR(
  VALUE( INDEX(Product_Master!$I:$I,
               MATCH( INDEX(Pack_Master!$B:$B, MATCH($D142, Pack_Master!$A:$A, 0)),
                      Product_Master!$B:$B, 0)
  )) 
  * VALUE( INDEX(Pack_Master!$C:$C, MATCH($D142, Pack_Master!$A:$A, 0)) )
  + VALUE( INDEX(Pack_Master!$D:$D, MATCH($D142, Pack_Master!$A:$A, 0)) ),
"")
</f>
        <v>2</v>
      </c>
      <c r="G142" s="17">
        <f t="array" ref="G142">IFERROR(
 ( INDEX(Pack_Master!E:E, MATCH($D142, Pack_Master!A:A, 0))
   * INDEX(Pack_Master!F:F, MATCH($D142, Pack_Master!A:A, 0))
   * INDEX(Pack_Master!G:G, MATCH($D142, Pack_Master!A:A, 0))
 ) / INDEX(Config!C:C, MATCH($A142, Config!A:A, 0)),
"")
</f>
        <v>0.375</v>
      </c>
      <c r="H142" s="17">
        <f t="array" ref="H142">MAX( INDEX(Pack_Master!H:H, MATCH($D142, Pack_Master!A:A, 0)),
      IFERROR(G142, 0) )
</f>
        <v>0.5</v>
      </c>
      <c r="I142" s="18">
        <f>IFERROR(__xludf.DUMMYFUNCTION("IFERROR(
 INDEX(
   FILTER(Shipping_Rate_Card!B:F, Shipping_Rate_Card!A:A=$A142),
   MATCH($H142, FILTER(Shipping_Rate_Card!B:B, Shipping_Rate_Card!A:A=$A142), 1),
   IF( INDEX(Config!B:B, MATCH($A142, Config!A:A, 0))=""Local"", 2,
     IF( INDEX(Config!B"&amp;":B, MATCH($A142, Config!A:A, 0))=""Regional"", 3, 4 )
   )
 ),
"""")
"),67.0)</f>
        <v>67</v>
      </c>
      <c r="J142" s="16">
        <f>IFERROR(__xludf.DUMMYFUNCTION("IFERROR(
 ( E142 * INDEX(FILTER(Pricing_Rules!E:E, Pricing_Rules!A:A=A142, Pricing_Rules!B:B=B142, Pricing_Rules!C:C&lt;=E142, Pricing_Rules!D:D&gt;=E142), 1)
   + INDEX(FILTER(Pricing_Rules!F:F, Pricing_Rules!A:A=A142, Pricing_Rules!B:B=B142, Pricing_Rules!C:C"&amp;"&lt;=E142, Pricing_Rules!D:D&gt;=E142), 1)
 )
 * (1 + IFERROR( INDEX(Config!D:D, MATCH(A142, Config!A:A, 0)), 0 )),
"""")
"),5.8999999999999995)</f>
        <v>5.9</v>
      </c>
      <c r="K142" s="19">
        <f t="shared" si="3"/>
        <v>224.1</v>
      </c>
      <c r="L142" s="20">
        <f t="shared" si="4"/>
        <v>0.7494983278</v>
      </c>
    </row>
    <row r="143" ht="15.75" customHeight="1">
      <c r="A143" s="9" t="s">
        <v>9</v>
      </c>
      <c r="B143" s="12" t="str">
        <f t="array" ref="B143">XLOOKUP(C143, Channel_Listings!C:C, Channel_Listings!B:B)
</f>
        <v>Apparel_Tshirts</v>
      </c>
      <c r="C143" s="22" t="s">
        <v>64</v>
      </c>
      <c r="D143" s="14" t="str">
        <f t="array" ref="D143">XLOOKUP(C143, Channel_Listings!C:C, Channel_Listings!D:D)
</f>
        <v>TSHIRT-BLACK-XL</v>
      </c>
      <c r="E143" s="15">
        <v>299.0</v>
      </c>
      <c r="F143" s="16">
        <f t="array" ref="F143">IFERROR(
  VALUE( INDEX(Product_Master!$I:$I,
               MATCH( INDEX(Pack_Master!$B:$B, MATCH($D143, Pack_Master!$A:$A, 0)),
                      Product_Master!$B:$B, 0)
  )) 
  * VALUE( INDEX(Pack_Master!$C:$C, MATCH($D143, Pack_Master!$A:$A, 0)) )
  + VALUE( INDEX(Pack_Master!$D:$D, MATCH($D143, Pack_Master!$A:$A, 0)) ),
"")
</f>
        <v>2</v>
      </c>
      <c r="G143" s="17">
        <f t="array" ref="G143">IFERROR(
 ( INDEX(Pack_Master!E:E, MATCH($D143, Pack_Master!A:A, 0))
   * INDEX(Pack_Master!F:F, MATCH($D143, Pack_Master!A:A, 0))
   * INDEX(Pack_Master!G:G, MATCH($D143, Pack_Master!A:A, 0))
 ) / INDEX(Config!C:C, MATCH($A143, Config!A:A, 0)),
"")
</f>
        <v>0.375</v>
      </c>
      <c r="H143" s="17">
        <f t="array" ref="H143">MAX( INDEX(Pack_Master!H:H, MATCH($D143, Pack_Master!A:A, 0)),
      IFERROR(G143, 0) )
</f>
        <v>0.5</v>
      </c>
      <c r="I143" s="18">
        <f>IFERROR(__xludf.DUMMYFUNCTION("IFERROR(
 INDEX(
   FILTER(Shipping_Rate_Card!B:F, Shipping_Rate_Card!A:A=$A143),
   MATCH($H143, FILTER(Shipping_Rate_Card!B:B, Shipping_Rate_Card!A:A=$A143), 1),
   IF( INDEX(Config!B:B, MATCH($A143, Config!A:A, 0))=""Local"", 2,
     IF( INDEX(Config!B"&amp;":B, MATCH($A143, Config!A:A, 0))=""Regional"", 3, 4 )
   )
 ),
"""")
"),67.0)</f>
        <v>67</v>
      </c>
      <c r="J143" s="16">
        <f>IFERROR(__xludf.DUMMYFUNCTION("IFERROR(
 ( E143 * INDEX(FILTER(Pricing_Rules!E:E, Pricing_Rules!A:A=A143, Pricing_Rules!B:B=B143, Pricing_Rules!C:C&lt;=E143, Pricing_Rules!D:D&gt;=E143), 1)
   + INDEX(FILTER(Pricing_Rules!F:F, Pricing_Rules!A:A=A143, Pricing_Rules!B:B=B143, Pricing_Rules!C:C"&amp;"&lt;=E143, Pricing_Rules!D:D&gt;=E143), 1)
 )
 * (1 + IFERROR( INDEX(Config!D:D, MATCH(A143, Config!A:A, 0)), 0 )),
"""")
"),5.8999999999999995)</f>
        <v>5.9</v>
      </c>
      <c r="K143" s="19">
        <f t="shared" si="3"/>
        <v>224.1</v>
      </c>
      <c r="L143" s="20">
        <f t="shared" si="4"/>
        <v>0.7494983278</v>
      </c>
    </row>
    <row r="144" ht="15.75" customHeight="1">
      <c r="A144" s="9" t="s">
        <v>9</v>
      </c>
      <c r="B144" s="12" t="str">
        <f t="array" ref="B144">XLOOKUP(C144, Channel_Listings!C:C, Channel_Listings!B:B)
</f>
        <v>Apparel_Tshirts</v>
      </c>
      <c r="C144" s="22" t="s">
        <v>66</v>
      </c>
      <c r="D144" s="14" t="str">
        <f t="array" ref="D144">XLOOKUP(C144, Channel_Listings!C:C, Channel_Listings!D:D)
</f>
        <v>TSHIRT-BLACK-XXL</v>
      </c>
      <c r="E144" s="15">
        <v>299.0</v>
      </c>
      <c r="F144" s="16">
        <f t="array" ref="F144">IFERROR(
  VALUE( INDEX(Product_Master!$I:$I,
               MATCH( INDEX(Pack_Master!$B:$B, MATCH($D144, Pack_Master!$A:$A, 0)),
                      Product_Master!$B:$B, 0)
  )) 
  * VALUE( INDEX(Pack_Master!$C:$C, MATCH($D144, Pack_Master!$A:$A, 0)) )
  + VALUE( INDEX(Pack_Master!$D:$D, MATCH($D144, Pack_Master!$A:$A, 0)) ),
"")
</f>
        <v>2</v>
      </c>
      <c r="G144" s="17">
        <f t="array" ref="G144">IFERROR(
 ( INDEX(Pack_Master!E:E, MATCH($D144, Pack_Master!A:A, 0))
   * INDEX(Pack_Master!F:F, MATCH($D144, Pack_Master!A:A, 0))
   * INDEX(Pack_Master!G:G, MATCH($D144, Pack_Master!A:A, 0))
 ) / INDEX(Config!C:C, MATCH($A144, Config!A:A, 0)),
"")
</f>
        <v>0.375</v>
      </c>
      <c r="H144" s="17">
        <f t="array" ref="H144">MAX( INDEX(Pack_Master!H:H, MATCH($D144, Pack_Master!A:A, 0)),
      IFERROR(G144, 0) )
</f>
        <v>0.5</v>
      </c>
      <c r="I144" s="18">
        <f>IFERROR(__xludf.DUMMYFUNCTION("IFERROR(
 INDEX(
   FILTER(Shipping_Rate_Card!B:F, Shipping_Rate_Card!A:A=$A144),
   MATCH($H144, FILTER(Shipping_Rate_Card!B:B, Shipping_Rate_Card!A:A=$A144), 1),
   IF( INDEX(Config!B:B, MATCH($A144, Config!A:A, 0))=""Local"", 2,
     IF( INDEX(Config!B"&amp;":B, MATCH($A144, Config!A:A, 0))=""Regional"", 3, 4 )
   )
 ),
"""")
"),67.0)</f>
        <v>67</v>
      </c>
      <c r="J144" s="16">
        <f>IFERROR(__xludf.DUMMYFUNCTION("IFERROR(
 ( E144 * INDEX(FILTER(Pricing_Rules!E:E, Pricing_Rules!A:A=A144, Pricing_Rules!B:B=B144, Pricing_Rules!C:C&lt;=E144, Pricing_Rules!D:D&gt;=E144), 1)
   + INDEX(FILTER(Pricing_Rules!F:F, Pricing_Rules!A:A=A144, Pricing_Rules!B:B=B144, Pricing_Rules!C:C"&amp;"&lt;=E144, Pricing_Rules!D:D&gt;=E144), 1)
 )
 * (1 + IFERROR( INDEX(Config!D:D, MATCH(A144, Config!A:A, 0)), 0 )),
"""")
"),5.8999999999999995)</f>
        <v>5.9</v>
      </c>
      <c r="K144" s="19">
        <f t="shared" si="3"/>
        <v>224.1</v>
      </c>
      <c r="L144" s="20">
        <f t="shared" si="4"/>
        <v>0.7494983278</v>
      </c>
    </row>
    <row r="145" ht="15.75" customHeight="1">
      <c r="A145" s="9" t="s">
        <v>9</v>
      </c>
      <c r="B145" s="12" t="str">
        <f t="array" ref="B145">XLOOKUP(C145, Channel_Listings!C:C, Channel_Listings!B:B)
</f>
        <v>Apparel_Tshirts</v>
      </c>
      <c r="C145" s="22" t="s">
        <v>68</v>
      </c>
      <c r="D145" s="14" t="str">
        <f t="array" ref="D145">XLOOKUP(C145, Channel_Listings!C:C, Channel_Listings!D:D)
</f>
        <v>TSHIRT-BLACK-L</v>
      </c>
      <c r="E145" s="15">
        <v>299.0</v>
      </c>
      <c r="F145" s="16">
        <f t="array" ref="F145">IFERROR(
  VALUE( INDEX(Product_Master!$I:$I,
               MATCH( INDEX(Pack_Master!$B:$B, MATCH($D145, Pack_Master!$A:$A, 0)),
                      Product_Master!$B:$B, 0)
  )) 
  * VALUE( INDEX(Pack_Master!$C:$C, MATCH($D145, Pack_Master!$A:$A, 0)) )
  + VALUE( INDEX(Pack_Master!$D:$D, MATCH($D145, Pack_Master!$A:$A, 0)) ),
"")
</f>
        <v>2</v>
      </c>
      <c r="G145" s="17">
        <f t="array" ref="G145">IFERROR(
 ( INDEX(Pack_Master!E:E, MATCH($D145, Pack_Master!A:A, 0))
   * INDEX(Pack_Master!F:F, MATCH($D145, Pack_Master!A:A, 0))
   * INDEX(Pack_Master!G:G, MATCH($D145, Pack_Master!A:A, 0))
 ) / INDEX(Config!C:C, MATCH($A145, Config!A:A, 0)),
"")
</f>
        <v>0.375</v>
      </c>
      <c r="H145" s="17">
        <f t="array" ref="H145">MAX( INDEX(Pack_Master!H:H, MATCH($D145, Pack_Master!A:A, 0)),
      IFERROR(G145, 0) )
</f>
        <v>0.5</v>
      </c>
      <c r="I145" s="18">
        <f>IFERROR(__xludf.DUMMYFUNCTION("IFERROR(
 INDEX(
   FILTER(Shipping_Rate_Card!B:F, Shipping_Rate_Card!A:A=$A145),
   MATCH($H145, FILTER(Shipping_Rate_Card!B:B, Shipping_Rate_Card!A:A=$A145), 1),
   IF( INDEX(Config!B:B, MATCH($A145, Config!A:A, 0))=""Local"", 2,
     IF( INDEX(Config!B"&amp;":B, MATCH($A145, Config!A:A, 0))=""Regional"", 3, 4 )
   )
 ),
"""")
"),67.0)</f>
        <v>67</v>
      </c>
      <c r="J145" s="16">
        <f>IFERROR(__xludf.DUMMYFUNCTION("IFERROR(
 ( E145 * INDEX(FILTER(Pricing_Rules!E:E, Pricing_Rules!A:A=A145, Pricing_Rules!B:B=B145, Pricing_Rules!C:C&lt;=E145, Pricing_Rules!D:D&gt;=E145), 1)
   + INDEX(FILTER(Pricing_Rules!F:F, Pricing_Rules!A:A=A145, Pricing_Rules!B:B=B145, Pricing_Rules!C:C"&amp;"&lt;=E145, Pricing_Rules!D:D&gt;=E145), 1)
 )
 * (1 + IFERROR( INDEX(Config!D:D, MATCH(A145, Config!A:A, 0)), 0 )),
"""")
"),5.8999999999999995)</f>
        <v>5.9</v>
      </c>
      <c r="K145" s="19">
        <f t="shared" si="3"/>
        <v>224.1</v>
      </c>
      <c r="L145" s="20">
        <f t="shared" si="4"/>
        <v>0.7494983278</v>
      </c>
    </row>
    <row r="146" ht="15.75" customHeight="1">
      <c r="A146" s="9" t="s">
        <v>9</v>
      </c>
      <c r="B146" s="12" t="str">
        <f t="array" ref="B146">XLOOKUP(C146, Channel_Listings!C:C, Channel_Listings!B:B)
</f>
        <v>Apparel_Tshirts</v>
      </c>
      <c r="C146" s="22" t="s">
        <v>70</v>
      </c>
      <c r="D146" s="14" t="str">
        <f t="array" ref="D146">XLOOKUP(C146, Channel_Listings!C:C, Channel_Listings!D:D)
</f>
        <v>TSHIRT-BLACK-M</v>
      </c>
      <c r="E146" s="15">
        <v>299.0</v>
      </c>
      <c r="F146" s="16">
        <f t="array" ref="F146">IFERROR(
  VALUE( INDEX(Product_Master!$I:$I,
               MATCH( INDEX(Pack_Master!$B:$B, MATCH($D146, Pack_Master!$A:$A, 0)),
                      Product_Master!$B:$B, 0)
  )) 
  * VALUE( INDEX(Pack_Master!$C:$C, MATCH($D146, Pack_Master!$A:$A, 0)) )
  + VALUE( INDEX(Pack_Master!$D:$D, MATCH($D146, Pack_Master!$A:$A, 0)) ),
"")
</f>
        <v>2</v>
      </c>
      <c r="G146" s="17">
        <f t="array" ref="G146">IFERROR(
 ( INDEX(Pack_Master!E:E, MATCH($D146, Pack_Master!A:A, 0))
   * INDEX(Pack_Master!F:F, MATCH($D146, Pack_Master!A:A, 0))
   * INDEX(Pack_Master!G:G, MATCH($D146, Pack_Master!A:A, 0))
 ) / INDEX(Config!C:C, MATCH($A146, Config!A:A, 0)),
"")
</f>
        <v>0.375</v>
      </c>
      <c r="H146" s="17">
        <f t="array" ref="H146">MAX( INDEX(Pack_Master!H:H, MATCH($D146, Pack_Master!A:A, 0)),
      IFERROR(G146, 0) )
</f>
        <v>0.5</v>
      </c>
      <c r="I146" s="18">
        <f>IFERROR(__xludf.DUMMYFUNCTION("IFERROR(
 INDEX(
   FILTER(Shipping_Rate_Card!B:F, Shipping_Rate_Card!A:A=$A146),
   MATCH($H146, FILTER(Shipping_Rate_Card!B:B, Shipping_Rate_Card!A:A=$A146), 1),
   IF( INDEX(Config!B:B, MATCH($A146, Config!A:A, 0))=""Local"", 2,
     IF( INDEX(Config!B"&amp;":B, MATCH($A146, Config!A:A, 0))=""Regional"", 3, 4 )
   )
 ),
"""")
"),67.0)</f>
        <v>67</v>
      </c>
      <c r="J146" s="16">
        <f>IFERROR(__xludf.DUMMYFUNCTION("IFERROR(
 ( E146 * INDEX(FILTER(Pricing_Rules!E:E, Pricing_Rules!A:A=A146, Pricing_Rules!B:B=B146, Pricing_Rules!C:C&lt;=E146, Pricing_Rules!D:D&gt;=E146), 1)
   + INDEX(FILTER(Pricing_Rules!F:F, Pricing_Rules!A:A=A146, Pricing_Rules!B:B=B146, Pricing_Rules!C:C"&amp;"&lt;=E146, Pricing_Rules!D:D&gt;=E146), 1)
 )
 * (1 + IFERROR( INDEX(Config!D:D, MATCH(A146, Config!A:A, 0)), 0 )),
"""")
"),5.8999999999999995)</f>
        <v>5.9</v>
      </c>
      <c r="K146" s="19">
        <f t="shared" si="3"/>
        <v>224.1</v>
      </c>
      <c r="L146" s="20">
        <f t="shared" si="4"/>
        <v>0.7494983278</v>
      </c>
    </row>
    <row r="147" ht="15.75" customHeight="1">
      <c r="A147" s="9" t="s">
        <v>9</v>
      </c>
      <c r="B147" s="12" t="str">
        <f t="array" ref="B147">XLOOKUP(C147, Channel_Listings!C:C, Channel_Listings!B:B)
</f>
        <v>Apparel_Tshirts</v>
      </c>
      <c r="C147" s="22" t="s">
        <v>72</v>
      </c>
      <c r="D147" s="14" t="str">
        <f t="array" ref="D147">XLOOKUP(C147, Channel_Listings!C:C, Channel_Listings!D:D)
</f>
        <v>TSHIRT-BLACK-XL</v>
      </c>
      <c r="E147" s="15">
        <v>299.0</v>
      </c>
      <c r="F147" s="16">
        <f t="array" ref="F147">IFERROR(
  VALUE( INDEX(Product_Master!$I:$I,
               MATCH( INDEX(Pack_Master!$B:$B, MATCH($D147, Pack_Master!$A:$A, 0)),
                      Product_Master!$B:$B, 0)
  )) 
  * VALUE( INDEX(Pack_Master!$C:$C, MATCH($D147, Pack_Master!$A:$A, 0)) )
  + VALUE( INDEX(Pack_Master!$D:$D, MATCH($D147, Pack_Master!$A:$A, 0)) ),
"")
</f>
        <v>2</v>
      </c>
      <c r="G147" s="17">
        <f t="array" ref="G147">IFERROR(
 ( INDEX(Pack_Master!E:E, MATCH($D147, Pack_Master!A:A, 0))
   * INDEX(Pack_Master!F:F, MATCH($D147, Pack_Master!A:A, 0))
   * INDEX(Pack_Master!G:G, MATCH($D147, Pack_Master!A:A, 0))
 ) / INDEX(Config!C:C, MATCH($A147, Config!A:A, 0)),
"")
</f>
        <v>0.375</v>
      </c>
      <c r="H147" s="17">
        <f t="array" ref="H147">MAX( INDEX(Pack_Master!H:H, MATCH($D147, Pack_Master!A:A, 0)),
      IFERROR(G147, 0) )
</f>
        <v>0.5</v>
      </c>
      <c r="I147" s="18">
        <f>IFERROR(__xludf.DUMMYFUNCTION("IFERROR(
 INDEX(
   FILTER(Shipping_Rate_Card!B:F, Shipping_Rate_Card!A:A=$A147),
   MATCH($H147, FILTER(Shipping_Rate_Card!B:B, Shipping_Rate_Card!A:A=$A147), 1),
   IF( INDEX(Config!B:B, MATCH($A147, Config!A:A, 0))=""Local"", 2,
     IF( INDEX(Config!B"&amp;":B, MATCH($A147, Config!A:A, 0))=""Regional"", 3, 4 )
   )
 ),
"""")
"),67.0)</f>
        <v>67</v>
      </c>
      <c r="J147" s="16">
        <f>IFERROR(__xludf.DUMMYFUNCTION("IFERROR(
 ( E147 * INDEX(FILTER(Pricing_Rules!E:E, Pricing_Rules!A:A=A147, Pricing_Rules!B:B=B147, Pricing_Rules!C:C&lt;=E147, Pricing_Rules!D:D&gt;=E147), 1)
   + INDEX(FILTER(Pricing_Rules!F:F, Pricing_Rules!A:A=A147, Pricing_Rules!B:B=B147, Pricing_Rules!C:C"&amp;"&lt;=E147, Pricing_Rules!D:D&gt;=E147), 1)
 )
 * (1 + IFERROR( INDEX(Config!D:D, MATCH(A147, Config!A:A, 0)), 0 )),
"""")
"),5.8999999999999995)</f>
        <v>5.9</v>
      </c>
      <c r="K147" s="19">
        <f t="shared" si="3"/>
        <v>224.1</v>
      </c>
      <c r="L147" s="20">
        <f t="shared" si="4"/>
        <v>0.7494983278</v>
      </c>
    </row>
    <row r="148" ht="15.75" customHeight="1">
      <c r="A148" s="9" t="s">
        <v>9</v>
      </c>
      <c r="B148" s="12" t="str">
        <f t="array" ref="B148">XLOOKUP(C148, Channel_Listings!C:C, Channel_Listings!B:B)
</f>
        <v>Apparel_Tshirts</v>
      </c>
      <c r="C148" s="22" t="s">
        <v>74</v>
      </c>
      <c r="D148" s="14" t="str">
        <f t="array" ref="D148">XLOOKUP(C148, Channel_Listings!C:C, Channel_Listings!D:D)
</f>
        <v>TSHIRT-BLACK-XXL</v>
      </c>
      <c r="E148" s="15">
        <v>299.0</v>
      </c>
      <c r="F148" s="16">
        <f t="array" ref="F148">IFERROR(
  VALUE( INDEX(Product_Master!$I:$I,
               MATCH( INDEX(Pack_Master!$B:$B, MATCH($D148, Pack_Master!$A:$A, 0)),
                      Product_Master!$B:$B, 0)
  )) 
  * VALUE( INDEX(Pack_Master!$C:$C, MATCH($D148, Pack_Master!$A:$A, 0)) )
  + VALUE( INDEX(Pack_Master!$D:$D, MATCH($D148, Pack_Master!$A:$A, 0)) ),
"")
</f>
        <v>2</v>
      </c>
      <c r="G148" s="17">
        <f t="array" ref="G148">IFERROR(
 ( INDEX(Pack_Master!E:E, MATCH($D148, Pack_Master!A:A, 0))
   * INDEX(Pack_Master!F:F, MATCH($D148, Pack_Master!A:A, 0))
   * INDEX(Pack_Master!G:G, MATCH($D148, Pack_Master!A:A, 0))
 ) / INDEX(Config!C:C, MATCH($A148, Config!A:A, 0)),
"")
</f>
        <v>0.375</v>
      </c>
      <c r="H148" s="17">
        <f t="array" ref="H148">MAX( INDEX(Pack_Master!H:H, MATCH($D148, Pack_Master!A:A, 0)),
      IFERROR(G148, 0) )
</f>
        <v>0.5</v>
      </c>
      <c r="I148" s="18">
        <f>IFERROR(__xludf.DUMMYFUNCTION("IFERROR(
 INDEX(
   FILTER(Shipping_Rate_Card!B:F, Shipping_Rate_Card!A:A=$A148),
   MATCH($H148, FILTER(Shipping_Rate_Card!B:B, Shipping_Rate_Card!A:A=$A148), 1),
   IF( INDEX(Config!B:B, MATCH($A148, Config!A:A, 0))=""Local"", 2,
     IF( INDEX(Config!B"&amp;":B, MATCH($A148, Config!A:A, 0))=""Regional"", 3, 4 )
   )
 ),
"""")
"),67.0)</f>
        <v>67</v>
      </c>
      <c r="J148" s="16">
        <f>IFERROR(__xludf.DUMMYFUNCTION("IFERROR(
 ( E148 * INDEX(FILTER(Pricing_Rules!E:E, Pricing_Rules!A:A=A148, Pricing_Rules!B:B=B148, Pricing_Rules!C:C&lt;=E148, Pricing_Rules!D:D&gt;=E148), 1)
   + INDEX(FILTER(Pricing_Rules!F:F, Pricing_Rules!A:A=A148, Pricing_Rules!B:B=B148, Pricing_Rules!C:C"&amp;"&lt;=E148, Pricing_Rules!D:D&gt;=E148), 1)
 )
 * (1 + IFERROR( INDEX(Config!D:D, MATCH(A148, Config!A:A, 0)), 0 )),
"""")
"),5.8999999999999995)</f>
        <v>5.9</v>
      </c>
      <c r="K148" s="19">
        <f t="shared" si="3"/>
        <v>224.1</v>
      </c>
      <c r="L148" s="20">
        <f t="shared" si="4"/>
        <v>0.7494983278</v>
      </c>
    </row>
    <row r="149" ht="15.75" customHeight="1">
      <c r="A149" s="9" t="s">
        <v>9</v>
      </c>
      <c r="B149" s="12" t="str">
        <f t="array" ref="B149">XLOOKUP(C149, Channel_Listings!C:C, Channel_Listings!B:B)
</f>
        <v>Apparel_Tshirts</v>
      </c>
      <c r="C149" s="22" t="s">
        <v>76</v>
      </c>
      <c r="D149" s="14" t="str">
        <f t="array" ref="D149">XLOOKUP(C149, Channel_Listings!C:C, Channel_Listings!D:D)
</f>
        <v>TSHIRT-BLACK-L</v>
      </c>
      <c r="E149" s="15">
        <v>299.0</v>
      </c>
      <c r="F149" s="16">
        <f t="array" ref="F149">IFERROR(
  VALUE( INDEX(Product_Master!$I:$I,
               MATCH( INDEX(Pack_Master!$B:$B, MATCH($D149, Pack_Master!$A:$A, 0)),
                      Product_Master!$B:$B, 0)
  )) 
  * VALUE( INDEX(Pack_Master!$C:$C, MATCH($D149, Pack_Master!$A:$A, 0)) )
  + VALUE( INDEX(Pack_Master!$D:$D, MATCH($D149, Pack_Master!$A:$A, 0)) ),
"")
</f>
        <v>2</v>
      </c>
      <c r="G149" s="17">
        <f t="array" ref="G149">IFERROR(
 ( INDEX(Pack_Master!E:E, MATCH($D149, Pack_Master!A:A, 0))
   * INDEX(Pack_Master!F:F, MATCH($D149, Pack_Master!A:A, 0))
   * INDEX(Pack_Master!G:G, MATCH($D149, Pack_Master!A:A, 0))
 ) / INDEX(Config!C:C, MATCH($A149, Config!A:A, 0)),
"")
</f>
        <v>0.375</v>
      </c>
      <c r="H149" s="17">
        <f t="array" ref="H149">MAX( INDEX(Pack_Master!H:H, MATCH($D149, Pack_Master!A:A, 0)),
      IFERROR(G149, 0) )
</f>
        <v>0.5</v>
      </c>
      <c r="I149" s="18">
        <f>IFERROR(__xludf.DUMMYFUNCTION("IFERROR(
 INDEX(
   FILTER(Shipping_Rate_Card!B:F, Shipping_Rate_Card!A:A=$A149),
   MATCH($H149, FILTER(Shipping_Rate_Card!B:B, Shipping_Rate_Card!A:A=$A149), 1),
   IF( INDEX(Config!B:B, MATCH($A149, Config!A:A, 0))=""Local"", 2,
     IF( INDEX(Config!B"&amp;":B, MATCH($A149, Config!A:A, 0))=""Regional"", 3, 4 )
   )
 ),
"""")
"),67.0)</f>
        <v>67</v>
      </c>
      <c r="J149" s="16">
        <f>IFERROR(__xludf.DUMMYFUNCTION("IFERROR(
 ( E149 * INDEX(FILTER(Pricing_Rules!E:E, Pricing_Rules!A:A=A149, Pricing_Rules!B:B=B149, Pricing_Rules!C:C&lt;=E149, Pricing_Rules!D:D&gt;=E149), 1)
   + INDEX(FILTER(Pricing_Rules!F:F, Pricing_Rules!A:A=A149, Pricing_Rules!B:B=B149, Pricing_Rules!C:C"&amp;"&lt;=E149, Pricing_Rules!D:D&gt;=E149), 1)
 )
 * (1 + IFERROR( INDEX(Config!D:D, MATCH(A149, Config!A:A, 0)), 0 )),
"""")
"),5.8999999999999995)</f>
        <v>5.9</v>
      </c>
      <c r="K149" s="19">
        <f t="shared" si="3"/>
        <v>224.1</v>
      </c>
      <c r="L149" s="20">
        <f t="shared" si="4"/>
        <v>0.7494983278</v>
      </c>
    </row>
    <row r="150" ht="15.75" customHeight="1">
      <c r="A150" s="9" t="s">
        <v>9</v>
      </c>
      <c r="B150" s="12" t="str">
        <f t="array" ref="B150">XLOOKUP(C150, Channel_Listings!C:C, Channel_Listings!B:B)
</f>
        <v>Apparel_Tshirts</v>
      </c>
      <c r="C150" s="22" t="s">
        <v>78</v>
      </c>
      <c r="D150" s="14" t="str">
        <f t="array" ref="D150">XLOOKUP(C150, Channel_Listings!C:C, Channel_Listings!D:D)
</f>
        <v>TSHIRT-BLACK-M</v>
      </c>
      <c r="E150" s="15">
        <v>299.0</v>
      </c>
      <c r="F150" s="16">
        <f t="array" ref="F150">IFERROR(
  VALUE( INDEX(Product_Master!$I:$I,
               MATCH( INDEX(Pack_Master!$B:$B, MATCH($D150, Pack_Master!$A:$A, 0)),
                      Product_Master!$B:$B, 0)
  )) 
  * VALUE( INDEX(Pack_Master!$C:$C, MATCH($D150, Pack_Master!$A:$A, 0)) )
  + VALUE( INDEX(Pack_Master!$D:$D, MATCH($D150, Pack_Master!$A:$A, 0)) ),
"")
</f>
        <v>2</v>
      </c>
      <c r="G150" s="17">
        <f t="array" ref="G150">IFERROR(
 ( INDEX(Pack_Master!E:E, MATCH($D150, Pack_Master!A:A, 0))
   * INDEX(Pack_Master!F:F, MATCH($D150, Pack_Master!A:A, 0))
   * INDEX(Pack_Master!G:G, MATCH($D150, Pack_Master!A:A, 0))
 ) / INDEX(Config!C:C, MATCH($A150, Config!A:A, 0)),
"")
</f>
        <v>0.375</v>
      </c>
      <c r="H150" s="17">
        <f t="array" ref="H150">MAX( INDEX(Pack_Master!H:H, MATCH($D150, Pack_Master!A:A, 0)),
      IFERROR(G150, 0) )
</f>
        <v>0.5</v>
      </c>
      <c r="I150" s="18">
        <f>IFERROR(__xludf.DUMMYFUNCTION("IFERROR(
 INDEX(
   FILTER(Shipping_Rate_Card!B:F, Shipping_Rate_Card!A:A=$A150),
   MATCH($H150, FILTER(Shipping_Rate_Card!B:B, Shipping_Rate_Card!A:A=$A150), 1),
   IF( INDEX(Config!B:B, MATCH($A150, Config!A:A, 0))=""Local"", 2,
     IF( INDEX(Config!B"&amp;":B, MATCH($A150, Config!A:A, 0))=""Regional"", 3, 4 )
   )
 ),
"""")
"),67.0)</f>
        <v>67</v>
      </c>
      <c r="J150" s="16">
        <f>IFERROR(__xludf.DUMMYFUNCTION("IFERROR(
 ( E150 * INDEX(FILTER(Pricing_Rules!E:E, Pricing_Rules!A:A=A150, Pricing_Rules!B:B=B150, Pricing_Rules!C:C&lt;=E150, Pricing_Rules!D:D&gt;=E150), 1)
   + INDEX(FILTER(Pricing_Rules!F:F, Pricing_Rules!A:A=A150, Pricing_Rules!B:B=B150, Pricing_Rules!C:C"&amp;"&lt;=E150, Pricing_Rules!D:D&gt;=E150), 1)
 )
 * (1 + IFERROR( INDEX(Config!D:D, MATCH(A150, Config!A:A, 0)), 0 )),
"""")
"),5.8999999999999995)</f>
        <v>5.9</v>
      </c>
      <c r="K150" s="19">
        <f t="shared" si="3"/>
        <v>224.1</v>
      </c>
      <c r="L150" s="20">
        <f t="shared" si="4"/>
        <v>0.7494983278</v>
      </c>
    </row>
    <row r="151" ht="15.75" customHeight="1">
      <c r="A151" s="9" t="s">
        <v>9</v>
      </c>
      <c r="B151" s="12" t="str">
        <f t="array" ref="B151">XLOOKUP(C151, Channel_Listings!C:C, Channel_Listings!B:B)
</f>
        <v>Apparel_Tshirts</v>
      </c>
      <c r="C151" s="22" t="s">
        <v>80</v>
      </c>
      <c r="D151" s="14" t="str">
        <f t="array" ref="D151">XLOOKUP(C151, Channel_Listings!C:C, Channel_Listings!D:D)
</f>
        <v>TSHIRT-BLACK-XL</v>
      </c>
      <c r="E151" s="15">
        <v>299.0</v>
      </c>
      <c r="F151" s="16">
        <f t="array" ref="F151">IFERROR(
  VALUE( INDEX(Product_Master!$I:$I,
               MATCH( INDEX(Pack_Master!$B:$B, MATCH($D151, Pack_Master!$A:$A, 0)),
                      Product_Master!$B:$B, 0)
  )) 
  * VALUE( INDEX(Pack_Master!$C:$C, MATCH($D151, Pack_Master!$A:$A, 0)) )
  + VALUE( INDEX(Pack_Master!$D:$D, MATCH($D151, Pack_Master!$A:$A, 0)) ),
"")
</f>
        <v>2</v>
      </c>
      <c r="G151" s="17">
        <f t="array" ref="G151">IFERROR(
 ( INDEX(Pack_Master!E:E, MATCH($D151, Pack_Master!A:A, 0))
   * INDEX(Pack_Master!F:F, MATCH($D151, Pack_Master!A:A, 0))
   * INDEX(Pack_Master!G:G, MATCH($D151, Pack_Master!A:A, 0))
 ) / INDEX(Config!C:C, MATCH($A151, Config!A:A, 0)),
"")
</f>
        <v>0.375</v>
      </c>
      <c r="H151" s="17">
        <f t="array" ref="H151">MAX( INDEX(Pack_Master!H:H, MATCH($D151, Pack_Master!A:A, 0)),
      IFERROR(G151, 0) )
</f>
        <v>0.5</v>
      </c>
      <c r="I151" s="18">
        <f>IFERROR(__xludf.DUMMYFUNCTION("IFERROR(
 INDEX(
   FILTER(Shipping_Rate_Card!B:F, Shipping_Rate_Card!A:A=$A151),
   MATCH($H151, FILTER(Shipping_Rate_Card!B:B, Shipping_Rate_Card!A:A=$A151), 1),
   IF( INDEX(Config!B:B, MATCH($A151, Config!A:A, 0))=""Local"", 2,
     IF( INDEX(Config!B"&amp;":B, MATCH($A151, Config!A:A, 0))=""Regional"", 3, 4 )
   )
 ),
"""")
"),67.0)</f>
        <v>67</v>
      </c>
      <c r="J151" s="16">
        <f>IFERROR(__xludf.DUMMYFUNCTION("IFERROR(
 ( E151 * INDEX(FILTER(Pricing_Rules!E:E, Pricing_Rules!A:A=A151, Pricing_Rules!B:B=B151, Pricing_Rules!C:C&lt;=E151, Pricing_Rules!D:D&gt;=E151), 1)
   + INDEX(FILTER(Pricing_Rules!F:F, Pricing_Rules!A:A=A151, Pricing_Rules!B:B=B151, Pricing_Rules!C:C"&amp;"&lt;=E151, Pricing_Rules!D:D&gt;=E151), 1)
 )
 * (1 + IFERROR( INDEX(Config!D:D, MATCH(A151, Config!A:A, 0)), 0 )),
"""")
"),5.8999999999999995)</f>
        <v>5.9</v>
      </c>
      <c r="K151" s="19">
        <f t="shared" si="3"/>
        <v>224.1</v>
      </c>
      <c r="L151" s="20">
        <f t="shared" si="4"/>
        <v>0.7494983278</v>
      </c>
    </row>
    <row r="152" ht="15.75" customHeight="1">
      <c r="A152" s="9" t="s">
        <v>9</v>
      </c>
      <c r="B152" s="12" t="str">
        <f t="array" ref="B152">XLOOKUP(C152, Channel_Listings!C:C, Channel_Listings!B:B)
</f>
        <v>Apparel_Tshirts</v>
      </c>
      <c r="C152" s="22" t="s">
        <v>82</v>
      </c>
      <c r="D152" s="14" t="str">
        <f t="array" ref="D152">XLOOKUP(C152, Channel_Listings!C:C, Channel_Listings!D:D)
</f>
        <v>TSHIRT-BLACK-XXL</v>
      </c>
      <c r="E152" s="15">
        <v>299.0</v>
      </c>
      <c r="F152" s="16">
        <f t="array" ref="F152">IFERROR(
  VALUE( INDEX(Product_Master!$I:$I,
               MATCH( INDEX(Pack_Master!$B:$B, MATCH($D152, Pack_Master!$A:$A, 0)),
                      Product_Master!$B:$B, 0)
  )) 
  * VALUE( INDEX(Pack_Master!$C:$C, MATCH($D152, Pack_Master!$A:$A, 0)) )
  + VALUE( INDEX(Pack_Master!$D:$D, MATCH($D152, Pack_Master!$A:$A, 0)) ),
"")
</f>
        <v>2</v>
      </c>
      <c r="G152" s="17">
        <f t="array" ref="G152">IFERROR(
 ( INDEX(Pack_Master!E:E, MATCH($D152, Pack_Master!A:A, 0))
   * INDEX(Pack_Master!F:F, MATCH($D152, Pack_Master!A:A, 0))
   * INDEX(Pack_Master!G:G, MATCH($D152, Pack_Master!A:A, 0))
 ) / INDEX(Config!C:C, MATCH($A152, Config!A:A, 0)),
"")
</f>
        <v>0.375</v>
      </c>
      <c r="H152" s="17">
        <f t="array" ref="H152">MAX( INDEX(Pack_Master!H:H, MATCH($D152, Pack_Master!A:A, 0)),
      IFERROR(G152, 0) )
</f>
        <v>0.5</v>
      </c>
      <c r="I152" s="18">
        <f>IFERROR(__xludf.DUMMYFUNCTION("IFERROR(
 INDEX(
   FILTER(Shipping_Rate_Card!B:F, Shipping_Rate_Card!A:A=$A152),
   MATCH($H152, FILTER(Shipping_Rate_Card!B:B, Shipping_Rate_Card!A:A=$A152), 1),
   IF( INDEX(Config!B:B, MATCH($A152, Config!A:A, 0))=""Local"", 2,
     IF( INDEX(Config!B"&amp;":B, MATCH($A152, Config!A:A, 0))=""Regional"", 3, 4 )
   )
 ),
"""")
"),67.0)</f>
        <v>67</v>
      </c>
      <c r="J152" s="16">
        <f>IFERROR(__xludf.DUMMYFUNCTION("IFERROR(
 ( E152 * INDEX(FILTER(Pricing_Rules!E:E, Pricing_Rules!A:A=A152, Pricing_Rules!B:B=B152, Pricing_Rules!C:C&lt;=E152, Pricing_Rules!D:D&gt;=E152), 1)
   + INDEX(FILTER(Pricing_Rules!F:F, Pricing_Rules!A:A=A152, Pricing_Rules!B:B=B152, Pricing_Rules!C:C"&amp;"&lt;=E152, Pricing_Rules!D:D&gt;=E152), 1)
 )
 * (1 + IFERROR( INDEX(Config!D:D, MATCH(A152, Config!A:A, 0)), 0 )),
"""")
"),5.8999999999999995)</f>
        <v>5.9</v>
      </c>
      <c r="K152" s="19">
        <f t="shared" si="3"/>
        <v>224.1</v>
      </c>
      <c r="L152" s="20">
        <f t="shared" si="4"/>
        <v>0.7494983278</v>
      </c>
    </row>
    <row r="153" ht="15.75" customHeight="1">
      <c r="A153" s="9" t="s">
        <v>9</v>
      </c>
      <c r="B153" s="12" t="str">
        <f t="array" ref="B153">XLOOKUP(C153, Channel_Listings!C:C, Channel_Listings!B:B)
</f>
        <v>Apparel_Tshirts</v>
      </c>
      <c r="C153" s="22" t="s">
        <v>84</v>
      </c>
      <c r="D153" s="14" t="str">
        <f t="array" ref="D153">XLOOKUP(C153, Channel_Listings!C:C, Channel_Listings!D:D)
</f>
        <v>TSHIRT-BLACK-L</v>
      </c>
      <c r="E153" s="15">
        <v>299.0</v>
      </c>
      <c r="F153" s="16">
        <f t="array" ref="F153">IFERROR(
  VALUE( INDEX(Product_Master!$I:$I,
               MATCH( INDEX(Pack_Master!$B:$B, MATCH($D153, Pack_Master!$A:$A, 0)),
                      Product_Master!$B:$B, 0)
  )) 
  * VALUE( INDEX(Pack_Master!$C:$C, MATCH($D153, Pack_Master!$A:$A, 0)) )
  + VALUE( INDEX(Pack_Master!$D:$D, MATCH($D153, Pack_Master!$A:$A, 0)) ),
"")
</f>
        <v>2</v>
      </c>
      <c r="G153" s="17">
        <f t="array" ref="G153">IFERROR(
 ( INDEX(Pack_Master!E:E, MATCH($D153, Pack_Master!A:A, 0))
   * INDEX(Pack_Master!F:F, MATCH($D153, Pack_Master!A:A, 0))
   * INDEX(Pack_Master!G:G, MATCH($D153, Pack_Master!A:A, 0))
 ) / INDEX(Config!C:C, MATCH($A153, Config!A:A, 0)),
"")
</f>
        <v>0.375</v>
      </c>
      <c r="H153" s="17">
        <f t="array" ref="H153">MAX( INDEX(Pack_Master!H:H, MATCH($D153, Pack_Master!A:A, 0)),
      IFERROR(G153, 0) )
</f>
        <v>0.5</v>
      </c>
      <c r="I153" s="18">
        <f>IFERROR(__xludf.DUMMYFUNCTION("IFERROR(
 INDEX(
   FILTER(Shipping_Rate_Card!B:F, Shipping_Rate_Card!A:A=$A153),
   MATCH($H153, FILTER(Shipping_Rate_Card!B:B, Shipping_Rate_Card!A:A=$A153), 1),
   IF( INDEX(Config!B:B, MATCH($A153, Config!A:A, 0))=""Local"", 2,
     IF( INDEX(Config!B"&amp;":B, MATCH($A153, Config!A:A, 0))=""Regional"", 3, 4 )
   )
 ),
"""")
"),67.0)</f>
        <v>67</v>
      </c>
      <c r="J153" s="16">
        <f>IFERROR(__xludf.DUMMYFUNCTION("IFERROR(
 ( E153 * INDEX(FILTER(Pricing_Rules!E:E, Pricing_Rules!A:A=A153, Pricing_Rules!B:B=B153, Pricing_Rules!C:C&lt;=E153, Pricing_Rules!D:D&gt;=E153), 1)
   + INDEX(FILTER(Pricing_Rules!F:F, Pricing_Rules!A:A=A153, Pricing_Rules!B:B=B153, Pricing_Rules!C:C"&amp;"&lt;=E153, Pricing_Rules!D:D&gt;=E153), 1)
 )
 * (1 + IFERROR( INDEX(Config!D:D, MATCH(A153, Config!A:A, 0)), 0 )),
"""")
"),5.8999999999999995)</f>
        <v>5.9</v>
      </c>
      <c r="K153" s="19">
        <f t="shared" si="3"/>
        <v>224.1</v>
      </c>
      <c r="L153" s="20">
        <f t="shared" si="4"/>
        <v>0.7494983278</v>
      </c>
    </row>
    <row r="154" ht="15.75" customHeight="1">
      <c r="A154" s="9" t="s">
        <v>9</v>
      </c>
      <c r="B154" s="12" t="str">
        <f t="array" ref="B154">XLOOKUP(C154, Channel_Listings!C:C, Channel_Listings!B:B)
</f>
        <v>Apparel_Tshirts</v>
      </c>
      <c r="C154" s="22" t="s">
        <v>86</v>
      </c>
      <c r="D154" s="14" t="str">
        <f t="array" ref="D154">XLOOKUP(C154, Channel_Listings!C:C, Channel_Listings!D:D)
</f>
        <v>TSHIRT-BLACK-M</v>
      </c>
      <c r="E154" s="15">
        <v>299.0</v>
      </c>
      <c r="F154" s="16">
        <f t="array" ref="F154">IFERROR(
  VALUE( INDEX(Product_Master!$I:$I,
               MATCH( INDEX(Pack_Master!$B:$B, MATCH($D154, Pack_Master!$A:$A, 0)),
                      Product_Master!$B:$B, 0)
  )) 
  * VALUE( INDEX(Pack_Master!$C:$C, MATCH($D154, Pack_Master!$A:$A, 0)) )
  + VALUE( INDEX(Pack_Master!$D:$D, MATCH($D154, Pack_Master!$A:$A, 0)) ),
"")
</f>
        <v>2</v>
      </c>
      <c r="G154" s="17">
        <f t="array" ref="G154">IFERROR(
 ( INDEX(Pack_Master!E:E, MATCH($D154, Pack_Master!A:A, 0))
   * INDEX(Pack_Master!F:F, MATCH($D154, Pack_Master!A:A, 0))
   * INDEX(Pack_Master!G:G, MATCH($D154, Pack_Master!A:A, 0))
 ) / INDEX(Config!C:C, MATCH($A154, Config!A:A, 0)),
"")
</f>
        <v>0.375</v>
      </c>
      <c r="H154" s="17">
        <f t="array" ref="H154">MAX( INDEX(Pack_Master!H:H, MATCH($D154, Pack_Master!A:A, 0)),
      IFERROR(G154, 0) )
</f>
        <v>0.5</v>
      </c>
      <c r="I154" s="18">
        <f>IFERROR(__xludf.DUMMYFUNCTION("IFERROR(
 INDEX(
   FILTER(Shipping_Rate_Card!B:F, Shipping_Rate_Card!A:A=$A154),
   MATCH($H154, FILTER(Shipping_Rate_Card!B:B, Shipping_Rate_Card!A:A=$A154), 1),
   IF( INDEX(Config!B:B, MATCH($A154, Config!A:A, 0))=""Local"", 2,
     IF( INDEX(Config!B"&amp;":B, MATCH($A154, Config!A:A, 0))=""Regional"", 3, 4 )
   )
 ),
"""")
"),67.0)</f>
        <v>67</v>
      </c>
      <c r="J154" s="16">
        <f>IFERROR(__xludf.DUMMYFUNCTION("IFERROR(
 ( E154 * INDEX(FILTER(Pricing_Rules!E:E, Pricing_Rules!A:A=A154, Pricing_Rules!B:B=B154, Pricing_Rules!C:C&lt;=E154, Pricing_Rules!D:D&gt;=E154), 1)
   + INDEX(FILTER(Pricing_Rules!F:F, Pricing_Rules!A:A=A154, Pricing_Rules!B:B=B154, Pricing_Rules!C:C"&amp;"&lt;=E154, Pricing_Rules!D:D&gt;=E154), 1)
 )
 * (1 + IFERROR( INDEX(Config!D:D, MATCH(A154, Config!A:A, 0)), 0 )),
"""")
"),5.8999999999999995)</f>
        <v>5.9</v>
      </c>
      <c r="K154" s="19">
        <f t="shared" si="3"/>
        <v>224.1</v>
      </c>
      <c r="L154" s="20">
        <f t="shared" si="4"/>
        <v>0.7494983278</v>
      </c>
    </row>
    <row r="155" ht="15.75" customHeight="1">
      <c r="A155" s="9" t="s">
        <v>9</v>
      </c>
      <c r="B155" s="12" t="str">
        <f t="array" ref="B155">XLOOKUP(C155, Channel_Listings!C:C, Channel_Listings!B:B)
</f>
        <v>Apparel_Tshirts</v>
      </c>
      <c r="C155" s="22" t="s">
        <v>88</v>
      </c>
      <c r="D155" s="14" t="str">
        <f t="array" ref="D155">XLOOKUP(C155, Channel_Listings!C:C, Channel_Listings!D:D)
</f>
        <v>TSHIRT-BLACK-XL</v>
      </c>
      <c r="E155" s="15">
        <v>299.0</v>
      </c>
      <c r="F155" s="16">
        <f t="array" ref="F155">IFERROR(
  VALUE( INDEX(Product_Master!$I:$I,
               MATCH( INDEX(Pack_Master!$B:$B, MATCH($D155, Pack_Master!$A:$A, 0)),
                      Product_Master!$B:$B, 0)
  )) 
  * VALUE( INDEX(Pack_Master!$C:$C, MATCH($D155, Pack_Master!$A:$A, 0)) )
  + VALUE( INDEX(Pack_Master!$D:$D, MATCH($D155, Pack_Master!$A:$A, 0)) ),
"")
</f>
        <v>2</v>
      </c>
      <c r="G155" s="17">
        <f t="array" ref="G155">IFERROR(
 ( INDEX(Pack_Master!E:E, MATCH($D155, Pack_Master!A:A, 0))
   * INDEX(Pack_Master!F:F, MATCH($D155, Pack_Master!A:A, 0))
   * INDEX(Pack_Master!G:G, MATCH($D155, Pack_Master!A:A, 0))
 ) / INDEX(Config!C:C, MATCH($A155, Config!A:A, 0)),
"")
</f>
        <v>0.375</v>
      </c>
      <c r="H155" s="17">
        <f t="array" ref="H155">MAX( INDEX(Pack_Master!H:H, MATCH($D155, Pack_Master!A:A, 0)),
      IFERROR(G155, 0) )
</f>
        <v>0.5</v>
      </c>
      <c r="I155" s="18">
        <f>IFERROR(__xludf.DUMMYFUNCTION("IFERROR(
 INDEX(
   FILTER(Shipping_Rate_Card!B:F, Shipping_Rate_Card!A:A=$A155),
   MATCH($H155, FILTER(Shipping_Rate_Card!B:B, Shipping_Rate_Card!A:A=$A155), 1),
   IF( INDEX(Config!B:B, MATCH($A155, Config!A:A, 0))=""Local"", 2,
     IF( INDEX(Config!B"&amp;":B, MATCH($A155, Config!A:A, 0))=""Regional"", 3, 4 )
   )
 ),
"""")
"),67.0)</f>
        <v>67</v>
      </c>
      <c r="J155" s="16">
        <f>IFERROR(__xludf.DUMMYFUNCTION("IFERROR(
 ( E155 * INDEX(FILTER(Pricing_Rules!E:E, Pricing_Rules!A:A=A155, Pricing_Rules!B:B=B155, Pricing_Rules!C:C&lt;=E155, Pricing_Rules!D:D&gt;=E155), 1)
   + INDEX(FILTER(Pricing_Rules!F:F, Pricing_Rules!A:A=A155, Pricing_Rules!B:B=B155, Pricing_Rules!C:C"&amp;"&lt;=E155, Pricing_Rules!D:D&gt;=E155), 1)
 )
 * (1 + IFERROR( INDEX(Config!D:D, MATCH(A155, Config!A:A, 0)), 0 )),
"""")
"),5.8999999999999995)</f>
        <v>5.9</v>
      </c>
      <c r="K155" s="19">
        <f t="shared" si="3"/>
        <v>224.1</v>
      </c>
      <c r="L155" s="20">
        <f t="shared" si="4"/>
        <v>0.7494983278</v>
      </c>
    </row>
    <row r="156" ht="15.75" customHeight="1">
      <c r="A156" s="9" t="s">
        <v>9</v>
      </c>
      <c r="B156" s="12" t="str">
        <f t="array" ref="B156">XLOOKUP(C156, Channel_Listings!C:C, Channel_Listings!B:B)
</f>
        <v>Apparel_Tshirts</v>
      </c>
      <c r="C156" s="22" t="s">
        <v>90</v>
      </c>
      <c r="D156" s="14" t="str">
        <f t="array" ref="D156">XLOOKUP(C156, Channel_Listings!C:C, Channel_Listings!D:D)
</f>
        <v>TSHIRT-BLACK-XXL</v>
      </c>
      <c r="E156" s="15">
        <v>299.0</v>
      </c>
      <c r="F156" s="16">
        <f t="array" ref="F156">IFERROR(
  VALUE( INDEX(Product_Master!$I:$I,
               MATCH( INDEX(Pack_Master!$B:$B, MATCH($D156, Pack_Master!$A:$A, 0)),
                      Product_Master!$B:$B, 0)
  )) 
  * VALUE( INDEX(Pack_Master!$C:$C, MATCH($D156, Pack_Master!$A:$A, 0)) )
  + VALUE( INDEX(Pack_Master!$D:$D, MATCH($D156, Pack_Master!$A:$A, 0)) ),
"")
</f>
        <v>2</v>
      </c>
      <c r="G156" s="17">
        <f t="array" ref="G156">IFERROR(
 ( INDEX(Pack_Master!E:E, MATCH($D156, Pack_Master!A:A, 0))
   * INDEX(Pack_Master!F:F, MATCH($D156, Pack_Master!A:A, 0))
   * INDEX(Pack_Master!G:G, MATCH($D156, Pack_Master!A:A, 0))
 ) / INDEX(Config!C:C, MATCH($A156, Config!A:A, 0)),
"")
</f>
        <v>0.375</v>
      </c>
      <c r="H156" s="17">
        <f t="array" ref="H156">MAX( INDEX(Pack_Master!H:H, MATCH($D156, Pack_Master!A:A, 0)),
      IFERROR(G156, 0) )
</f>
        <v>0.5</v>
      </c>
      <c r="I156" s="18">
        <f>IFERROR(__xludf.DUMMYFUNCTION("IFERROR(
 INDEX(
   FILTER(Shipping_Rate_Card!B:F, Shipping_Rate_Card!A:A=$A156),
   MATCH($H156, FILTER(Shipping_Rate_Card!B:B, Shipping_Rate_Card!A:A=$A156), 1),
   IF( INDEX(Config!B:B, MATCH($A156, Config!A:A, 0))=""Local"", 2,
     IF( INDEX(Config!B"&amp;":B, MATCH($A156, Config!A:A, 0))=""Regional"", 3, 4 )
   )
 ),
"""")
"),67.0)</f>
        <v>67</v>
      </c>
      <c r="J156" s="16">
        <f>IFERROR(__xludf.DUMMYFUNCTION("IFERROR(
 ( E156 * INDEX(FILTER(Pricing_Rules!E:E, Pricing_Rules!A:A=A156, Pricing_Rules!B:B=B156, Pricing_Rules!C:C&lt;=E156, Pricing_Rules!D:D&gt;=E156), 1)
   + INDEX(FILTER(Pricing_Rules!F:F, Pricing_Rules!A:A=A156, Pricing_Rules!B:B=B156, Pricing_Rules!C:C"&amp;"&lt;=E156, Pricing_Rules!D:D&gt;=E156), 1)
 )
 * (1 + IFERROR( INDEX(Config!D:D, MATCH(A156, Config!A:A, 0)), 0 )),
"""")
"),5.8999999999999995)</f>
        <v>5.9</v>
      </c>
      <c r="K156" s="19">
        <f t="shared" si="3"/>
        <v>224.1</v>
      </c>
      <c r="L156" s="20">
        <f t="shared" si="4"/>
        <v>0.7494983278</v>
      </c>
    </row>
    <row r="157" ht="15.75" customHeight="1">
      <c r="A157" s="9" t="s">
        <v>9</v>
      </c>
      <c r="B157" s="12" t="str">
        <f t="array" ref="B157">XLOOKUP(C157, Channel_Listings!C:C, Channel_Listings!B:B)
</f>
        <v>Apparel_Tshirts</v>
      </c>
      <c r="C157" s="22" t="s">
        <v>92</v>
      </c>
      <c r="D157" s="14" t="str">
        <f t="array" ref="D157">XLOOKUP(C157, Channel_Listings!C:C, Channel_Listings!D:D)
</f>
        <v>TSHIRT-BLACK-L</v>
      </c>
      <c r="E157" s="15">
        <v>299.0</v>
      </c>
      <c r="F157" s="16">
        <f t="array" ref="F157">IFERROR(
  VALUE( INDEX(Product_Master!$I:$I,
               MATCH( INDEX(Pack_Master!$B:$B, MATCH($D157, Pack_Master!$A:$A, 0)),
                      Product_Master!$B:$B, 0)
  )) 
  * VALUE( INDEX(Pack_Master!$C:$C, MATCH($D157, Pack_Master!$A:$A, 0)) )
  + VALUE( INDEX(Pack_Master!$D:$D, MATCH($D157, Pack_Master!$A:$A, 0)) ),
"")
</f>
        <v>2</v>
      </c>
      <c r="G157" s="17">
        <f t="array" ref="G157">IFERROR(
 ( INDEX(Pack_Master!E:E, MATCH($D157, Pack_Master!A:A, 0))
   * INDEX(Pack_Master!F:F, MATCH($D157, Pack_Master!A:A, 0))
   * INDEX(Pack_Master!G:G, MATCH($D157, Pack_Master!A:A, 0))
 ) / INDEX(Config!C:C, MATCH($A157, Config!A:A, 0)),
"")
</f>
        <v>0.375</v>
      </c>
      <c r="H157" s="17">
        <f t="array" ref="H157">MAX( INDEX(Pack_Master!H:H, MATCH($D157, Pack_Master!A:A, 0)),
      IFERROR(G157, 0) )
</f>
        <v>0.5</v>
      </c>
      <c r="I157" s="18">
        <f>IFERROR(__xludf.DUMMYFUNCTION("IFERROR(
 INDEX(
   FILTER(Shipping_Rate_Card!B:F, Shipping_Rate_Card!A:A=$A157),
   MATCH($H157, FILTER(Shipping_Rate_Card!B:B, Shipping_Rate_Card!A:A=$A157), 1),
   IF( INDEX(Config!B:B, MATCH($A157, Config!A:A, 0))=""Local"", 2,
     IF( INDEX(Config!B"&amp;":B, MATCH($A157, Config!A:A, 0))=""Regional"", 3, 4 )
   )
 ),
"""")
"),67.0)</f>
        <v>67</v>
      </c>
      <c r="J157" s="16">
        <f>IFERROR(__xludf.DUMMYFUNCTION("IFERROR(
 ( E157 * INDEX(FILTER(Pricing_Rules!E:E, Pricing_Rules!A:A=A157, Pricing_Rules!B:B=B157, Pricing_Rules!C:C&lt;=E157, Pricing_Rules!D:D&gt;=E157), 1)
   + INDEX(FILTER(Pricing_Rules!F:F, Pricing_Rules!A:A=A157, Pricing_Rules!B:B=B157, Pricing_Rules!C:C"&amp;"&lt;=E157, Pricing_Rules!D:D&gt;=E157), 1)
 )
 * (1 + IFERROR( INDEX(Config!D:D, MATCH(A157, Config!A:A, 0)), 0 )),
"""")
"),5.8999999999999995)</f>
        <v>5.9</v>
      </c>
      <c r="K157" s="19">
        <f t="shared" si="3"/>
        <v>224.1</v>
      </c>
      <c r="L157" s="20">
        <f t="shared" si="4"/>
        <v>0.7494983278</v>
      </c>
    </row>
    <row r="158" ht="15.75" customHeight="1">
      <c r="A158" s="9" t="s">
        <v>9</v>
      </c>
      <c r="B158" s="12" t="str">
        <f t="array" ref="B158">XLOOKUP(C158, Channel_Listings!C:C, Channel_Listings!B:B)
</f>
        <v>Apparel_Tshirts</v>
      </c>
      <c r="C158" s="22" t="s">
        <v>94</v>
      </c>
      <c r="D158" s="14" t="str">
        <f t="array" ref="D158">XLOOKUP(C158, Channel_Listings!C:C, Channel_Listings!D:D)
</f>
        <v>TSHIRT-BLACK-M</v>
      </c>
      <c r="E158" s="15">
        <v>299.0</v>
      </c>
      <c r="F158" s="16">
        <f t="array" ref="F158">IFERROR(
  VALUE( INDEX(Product_Master!$I:$I,
               MATCH( INDEX(Pack_Master!$B:$B, MATCH($D158, Pack_Master!$A:$A, 0)),
                      Product_Master!$B:$B, 0)
  )) 
  * VALUE( INDEX(Pack_Master!$C:$C, MATCH($D158, Pack_Master!$A:$A, 0)) )
  + VALUE( INDEX(Pack_Master!$D:$D, MATCH($D158, Pack_Master!$A:$A, 0)) ),
"")
</f>
        <v>2</v>
      </c>
      <c r="G158" s="17">
        <f t="array" ref="G158">IFERROR(
 ( INDEX(Pack_Master!E:E, MATCH($D158, Pack_Master!A:A, 0))
   * INDEX(Pack_Master!F:F, MATCH($D158, Pack_Master!A:A, 0))
   * INDEX(Pack_Master!G:G, MATCH($D158, Pack_Master!A:A, 0))
 ) / INDEX(Config!C:C, MATCH($A158, Config!A:A, 0)),
"")
</f>
        <v>0.375</v>
      </c>
      <c r="H158" s="17">
        <f t="array" ref="H158">MAX( INDEX(Pack_Master!H:H, MATCH($D158, Pack_Master!A:A, 0)),
      IFERROR(G158, 0) )
</f>
        <v>0.5</v>
      </c>
      <c r="I158" s="18">
        <f>IFERROR(__xludf.DUMMYFUNCTION("IFERROR(
 INDEX(
   FILTER(Shipping_Rate_Card!B:F, Shipping_Rate_Card!A:A=$A158),
   MATCH($H158, FILTER(Shipping_Rate_Card!B:B, Shipping_Rate_Card!A:A=$A158), 1),
   IF( INDEX(Config!B:B, MATCH($A158, Config!A:A, 0))=""Local"", 2,
     IF( INDEX(Config!B"&amp;":B, MATCH($A158, Config!A:A, 0))=""Regional"", 3, 4 )
   )
 ),
"""")
"),67.0)</f>
        <v>67</v>
      </c>
      <c r="J158" s="16">
        <f>IFERROR(__xludf.DUMMYFUNCTION("IFERROR(
 ( E158 * INDEX(FILTER(Pricing_Rules!E:E, Pricing_Rules!A:A=A158, Pricing_Rules!B:B=B158, Pricing_Rules!C:C&lt;=E158, Pricing_Rules!D:D&gt;=E158), 1)
   + INDEX(FILTER(Pricing_Rules!F:F, Pricing_Rules!A:A=A158, Pricing_Rules!B:B=B158, Pricing_Rules!C:C"&amp;"&lt;=E158, Pricing_Rules!D:D&gt;=E158), 1)
 )
 * (1 + IFERROR( INDEX(Config!D:D, MATCH(A158, Config!A:A, 0)), 0 )),
"""")
"),5.8999999999999995)</f>
        <v>5.9</v>
      </c>
      <c r="K158" s="19">
        <f t="shared" si="3"/>
        <v>224.1</v>
      </c>
      <c r="L158" s="20">
        <f t="shared" si="4"/>
        <v>0.7494983278</v>
      </c>
    </row>
    <row r="159" ht="15.75" customHeight="1">
      <c r="A159" s="9" t="s">
        <v>9</v>
      </c>
      <c r="B159" s="12" t="str">
        <f t="array" ref="B159">XLOOKUP(C159, Channel_Listings!C:C, Channel_Listings!B:B)
</f>
        <v>Apparel_Tshirts</v>
      </c>
      <c r="C159" s="22" t="s">
        <v>96</v>
      </c>
      <c r="D159" s="14" t="str">
        <f t="array" ref="D159">XLOOKUP(C159, Channel_Listings!C:C, Channel_Listings!D:D)
</f>
        <v>TSHIRT-BLACK-XL</v>
      </c>
      <c r="E159" s="15">
        <v>299.0</v>
      </c>
      <c r="F159" s="16">
        <f t="array" ref="F159">IFERROR(
  VALUE( INDEX(Product_Master!$I:$I,
               MATCH( INDEX(Pack_Master!$B:$B, MATCH($D159, Pack_Master!$A:$A, 0)),
                      Product_Master!$B:$B, 0)
  )) 
  * VALUE( INDEX(Pack_Master!$C:$C, MATCH($D159, Pack_Master!$A:$A, 0)) )
  + VALUE( INDEX(Pack_Master!$D:$D, MATCH($D159, Pack_Master!$A:$A, 0)) ),
"")
</f>
        <v>2</v>
      </c>
      <c r="G159" s="17">
        <f t="array" ref="G159">IFERROR(
 ( INDEX(Pack_Master!E:E, MATCH($D159, Pack_Master!A:A, 0))
   * INDEX(Pack_Master!F:F, MATCH($D159, Pack_Master!A:A, 0))
   * INDEX(Pack_Master!G:G, MATCH($D159, Pack_Master!A:A, 0))
 ) / INDEX(Config!C:C, MATCH($A159, Config!A:A, 0)),
"")
</f>
        <v>0.375</v>
      </c>
      <c r="H159" s="17">
        <f t="array" ref="H159">MAX( INDEX(Pack_Master!H:H, MATCH($D159, Pack_Master!A:A, 0)),
      IFERROR(G159, 0) )
</f>
        <v>0.5</v>
      </c>
      <c r="I159" s="18">
        <f>IFERROR(__xludf.DUMMYFUNCTION("IFERROR(
 INDEX(
   FILTER(Shipping_Rate_Card!B:F, Shipping_Rate_Card!A:A=$A159),
   MATCH($H159, FILTER(Shipping_Rate_Card!B:B, Shipping_Rate_Card!A:A=$A159), 1),
   IF( INDEX(Config!B:B, MATCH($A159, Config!A:A, 0))=""Local"", 2,
     IF( INDEX(Config!B"&amp;":B, MATCH($A159, Config!A:A, 0))=""Regional"", 3, 4 )
   )
 ),
"""")
"),67.0)</f>
        <v>67</v>
      </c>
      <c r="J159" s="16">
        <f>IFERROR(__xludf.DUMMYFUNCTION("IFERROR(
 ( E159 * INDEX(FILTER(Pricing_Rules!E:E, Pricing_Rules!A:A=A159, Pricing_Rules!B:B=B159, Pricing_Rules!C:C&lt;=E159, Pricing_Rules!D:D&gt;=E159), 1)
   + INDEX(FILTER(Pricing_Rules!F:F, Pricing_Rules!A:A=A159, Pricing_Rules!B:B=B159, Pricing_Rules!C:C"&amp;"&lt;=E159, Pricing_Rules!D:D&gt;=E159), 1)
 )
 * (1 + IFERROR( INDEX(Config!D:D, MATCH(A159, Config!A:A, 0)), 0 )),
"""")
"),5.8999999999999995)</f>
        <v>5.9</v>
      </c>
      <c r="K159" s="19">
        <f t="shared" si="3"/>
        <v>224.1</v>
      </c>
      <c r="L159" s="20">
        <f t="shared" si="4"/>
        <v>0.7494983278</v>
      </c>
    </row>
    <row r="160" ht="15.75" customHeight="1">
      <c r="A160" s="9" t="s">
        <v>9</v>
      </c>
      <c r="B160" s="12" t="str">
        <f t="array" ref="B160">XLOOKUP(C160, Channel_Listings!C:C, Channel_Listings!B:B)
</f>
        <v>Apparel_Tshirts</v>
      </c>
      <c r="C160" s="22" t="s">
        <v>98</v>
      </c>
      <c r="D160" s="14" t="str">
        <f t="array" ref="D160">XLOOKUP(C160, Channel_Listings!C:C, Channel_Listings!D:D)
</f>
        <v>TSHIRT-BLACK-XXL</v>
      </c>
      <c r="E160" s="15">
        <v>299.0</v>
      </c>
      <c r="F160" s="16">
        <f t="array" ref="F160">IFERROR(
  VALUE( INDEX(Product_Master!$I:$I,
               MATCH( INDEX(Pack_Master!$B:$B, MATCH($D160, Pack_Master!$A:$A, 0)),
                      Product_Master!$B:$B, 0)
  )) 
  * VALUE( INDEX(Pack_Master!$C:$C, MATCH($D160, Pack_Master!$A:$A, 0)) )
  + VALUE( INDEX(Pack_Master!$D:$D, MATCH($D160, Pack_Master!$A:$A, 0)) ),
"")
</f>
        <v>2</v>
      </c>
      <c r="G160" s="17">
        <f t="array" ref="G160">IFERROR(
 ( INDEX(Pack_Master!E:E, MATCH($D160, Pack_Master!A:A, 0))
   * INDEX(Pack_Master!F:F, MATCH($D160, Pack_Master!A:A, 0))
   * INDEX(Pack_Master!G:G, MATCH($D160, Pack_Master!A:A, 0))
 ) / INDEX(Config!C:C, MATCH($A160, Config!A:A, 0)),
"")
</f>
        <v>0.375</v>
      </c>
      <c r="H160" s="17">
        <f t="array" ref="H160">MAX( INDEX(Pack_Master!H:H, MATCH($D160, Pack_Master!A:A, 0)),
      IFERROR(G160, 0) )
</f>
        <v>0.5</v>
      </c>
      <c r="I160" s="18">
        <f>IFERROR(__xludf.DUMMYFUNCTION("IFERROR(
 INDEX(
   FILTER(Shipping_Rate_Card!B:F, Shipping_Rate_Card!A:A=$A160),
   MATCH($H160, FILTER(Shipping_Rate_Card!B:B, Shipping_Rate_Card!A:A=$A160), 1),
   IF( INDEX(Config!B:B, MATCH($A160, Config!A:A, 0))=""Local"", 2,
     IF( INDEX(Config!B"&amp;":B, MATCH($A160, Config!A:A, 0))=""Regional"", 3, 4 )
   )
 ),
"""")
"),67.0)</f>
        <v>67</v>
      </c>
      <c r="J160" s="16">
        <f>IFERROR(__xludf.DUMMYFUNCTION("IFERROR(
 ( E160 * INDEX(FILTER(Pricing_Rules!E:E, Pricing_Rules!A:A=A160, Pricing_Rules!B:B=B160, Pricing_Rules!C:C&lt;=E160, Pricing_Rules!D:D&gt;=E160), 1)
   + INDEX(FILTER(Pricing_Rules!F:F, Pricing_Rules!A:A=A160, Pricing_Rules!B:B=B160, Pricing_Rules!C:C"&amp;"&lt;=E160, Pricing_Rules!D:D&gt;=E160), 1)
 )
 * (1 + IFERROR( INDEX(Config!D:D, MATCH(A160, Config!A:A, 0)), 0 )),
"""")
"),5.8999999999999995)</f>
        <v>5.9</v>
      </c>
      <c r="K160" s="19">
        <f t="shared" si="3"/>
        <v>224.1</v>
      </c>
      <c r="L160" s="20">
        <f t="shared" si="4"/>
        <v>0.7494983278</v>
      </c>
    </row>
    <row r="161" ht="15.75" customHeight="1">
      <c r="A161" s="9" t="s">
        <v>9</v>
      </c>
      <c r="B161" s="12" t="str">
        <f t="array" ref="B161">XLOOKUP(C161, Channel_Listings!C:C, Channel_Listings!B:B)
</f>
        <v>Apparel_Tshirts</v>
      </c>
      <c r="C161" s="22" t="s">
        <v>100</v>
      </c>
      <c r="D161" s="14" t="str">
        <f t="array" ref="D161">XLOOKUP(C161, Channel_Listings!C:C, Channel_Listings!D:D)
</f>
        <v>TSHIRT-BLACK-L</v>
      </c>
      <c r="E161" s="15">
        <v>299.0</v>
      </c>
      <c r="F161" s="16">
        <f t="array" ref="F161">IFERROR(
  VALUE( INDEX(Product_Master!$I:$I,
               MATCH( INDEX(Pack_Master!$B:$B, MATCH($D161, Pack_Master!$A:$A, 0)),
                      Product_Master!$B:$B, 0)
  )) 
  * VALUE( INDEX(Pack_Master!$C:$C, MATCH($D161, Pack_Master!$A:$A, 0)) )
  + VALUE( INDEX(Pack_Master!$D:$D, MATCH($D161, Pack_Master!$A:$A, 0)) ),
"")
</f>
        <v>2</v>
      </c>
      <c r="G161" s="17">
        <f t="array" ref="G161">IFERROR(
 ( INDEX(Pack_Master!E:E, MATCH($D161, Pack_Master!A:A, 0))
   * INDEX(Pack_Master!F:F, MATCH($D161, Pack_Master!A:A, 0))
   * INDEX(Pack_Master!G:G, MATCH($D161, Pack_Master!A:A, 0))
 ) / INDEX(Config!C:C, MATCH($A161, Config!A:A, 0)),
"")
</f>
        <v>0.375</v>
      </c>
      <c r="H161" s="17">
        <f t="array" ref="H161">MAX( INDEX(Pack_Master!H:H, MATCH($D161, Pack_Master!A:A, 0)),
      IFERROR(G161, 0) )
</f>
        <v>0.5</v>
      </c>
      <c r="I161" s="18">
        <f>IFERROR(__xludf.DUMMYFUNCTION("IFERROR(
 INDEX(
   FILTER(Shipping_Rate_Card!B:F, Shipping_Rate_Card!A:A=$A161),
   MATCH($H161, FILTER(Shipping_Rate_Card!B:B, Shipping_Rate_Card!A:A=$A161), 1),
   IF( INDEX(Config!B:B, MATCH($A161, Config!A:A, 0))=""Local"", 2,
     IF( INDEX(Config!B"&amp;":B, MATCH($A161, Config!A:A, 0))=""Regional"", 3, 4 )
   )
 ),
"""")
"),67.0)</f>
        <v>67</v>
      </c>
      <c r="J161" s="16">
        <f>IFERROR(__xludf.DUMMYFUNCTION("IFERROR(
 ( E161 * INDEX(FILTER(Pricing_Rules!E:E, Pricing_Rules!A:A=A161, Pricing_Rules!B:B=B161, Pricing_Rules!C:C&lt;=E161, Pricing_Rules!D:D&gt;=E161), 1)
   + INDEX(FILTER(Pricing_Rules!F:F, Pricing_Rules!A:A=A161, Pricing_Rules!B:B=B161, Pricing_Rules!C:C"&amp;"&lt;=E161, Pricing_Rules!D:D&gt;=E161), 1)
 )
 * (1 + IFERROR( INDEX(Config!D:D, MATCH(A161, Config!A:A, 0)), 0 )),
"""")
"),5.8999999999999995)</f>
        <v>5.9</v>
      </c>
      <c r="K161" s="19">
        <f t="shared" si="3"/>
        <v>224.1</v>
      </c>
      <c r="L161" s="20">
        <f t="shared" si="4"/>
        <v>0.7494983278</v>
      </c>
    </row>
    <row r="162" ht="15.75" customHeight="1">
      <c r="A162" s="9" t="s">
        <v>9</v>
      </c>
      <c r="B162" s="12" t="str">
        <f t="array" ref="B162">XLOOKUP(C162, Channel_Listings!C:C, Channel_Listings!B:B)
</f>
        <v>Apparel_Tshirts</v>
      </c>
      <c r="C162" s="22" t="s">
        <v>102</v>
      </c>
      <c r="D162" s="14" t="str">
        <f t="array" ref="D162">XLOOKUP(C162, Channel_Listings!C:C, Channel_Listings!D:D)
</f>
        <v>TSHIRT-BLACK-M</v>
      </c>
      <c r="E162" s="15">
        <v>299.0</v>
      </c>
      <c r="F162" s="16">
        <f t="array" ref="F162">IFERROR(
  VALUE( INDEX(Product_Master!$I:$I,
               MATCH( INDEX(Pack_Master!$B:$B, MATCH($D162, Pack_Master!$A:$A, 0)),
                      Product_Master!$B:$B, 0)
  )) 
  * VALUE( INDEX(Pack_Master!$C:$C, MATCH($D162, Pack_Master!$A:$A, 0)) )
  + VALUE( INDEX(Pack_Master!$D:$D, MATCH($D162, Pack_Master!$A:$A, 0)) ),
"")
</f>
        <v>2</v>
      </c>
      <c r="G162" s="17">
        <f t="array" ref="G162">IFERROR(
 ( INDEX(Pack_Master!E:E, MATCH($D162, Pack_Master!A:A, 0))
   * INDEX(Pack_Master!F:F, MATCH($D162, Pack_Master!A:A, 0))
   * INDEX(Pack_Master!G:G, MATCH($D162, Pack_Master!A:A, 0))
 ) / INDEX(Config!C:C, MATCH($A162, Config!A:A, 0)),
"")
</f>
        <v>0.375</v>
      </c>
      <c r="H162" s="17">
        <f t="array" ref="H162">MAX( INDEX(Pack_Master!H:H, MATCH($D162, Pack_Master!A:A, 0)),
      IFERROR(G162, 0) )
</f>
        <v>0.5</v>
      </c>
      <c r="I162" s="18">
        <f>IFERROR(__xludf.DUMMYFUNCTION("IFERROR(
 INDEX(
   FILTER(Shipping_Rate_Card!B:F, Shipping_Rate_Card!A:A=$A162),
   MATCH($H162, FILTER(Shipping_Rate_Card!B:B, Shipping_Rate_Card!A:A=$A162), 1),
   IF( INDEX(Config!B:B, MATCH($A162, Config!A:A, 0))=""Local"", 2,
     IF( INDEX(Config!B"&amp;":B, MATCH($A162, Config!A:A, 0))=""Regional"", 3, 4 )
   )
 ),
"""")
"),67.0)</f>
        <v>67</v>
      </c>
      <c r="J162" s="16">
        <f>IFERROR(__xludf.DUMMYFUNCTION("IFERROR(
 ( E162 * INDEX(FILTER(Pricing_Rules!E:E, Pricing_Rules!A:A=A162, Pricing_Rules!B:B=B162, Pricing_Rules!C:C&lt;=E162, Pricing_Rules!D:D&gt;=E162), 1)
   + INDEX(FILTER(Pricing_Rules!F:F, Pricing_Rules!A:A=A162, Pricing_Rules!B:B=B162, Pricing_Rules!C:C"&amp;"&lt;=E162, Pricing_Rules!D:D&gt;=E162), 1)
 )
 * (1 + IFERROR( INDEX(Config!D:D, MATCH(A162, Config!A:A, 0)), 0 )),
"""")
"),5.8999999999999995)</f>
        <v>5.9</v>
      </c>
      <c r="K162" s="19">
        <f t="shared" si="3"/>
        <v>224.1</v>
      </c>
      <c r="L162" s="20">
        <f t="shared" si="4"/>
        <v>0.7494983278</v>
      </c>
    </row>
    <row r="163" ht="15.75" customHeight="1">
      <c r="A163" s="9" t="s">
        <v>9</v>
      </c>
      <c r="B163" s="12" t="str">
        <f t="array" ref="B163">XLOOKUP(C163, Channel_Listings!C:C, Channel_Listings!B:B)
</f>
        <v>Apparel_Tshirts</v>
      </c>
      <c r="C163" s="22" t="s">
        <v>104</v>
      </c>
      <c r="D163" s="14" t="str">
        <f t="array" ref="D163">XLOOKUP(C163, Channel_Listings!C:C, Channel_Listings!D:D)
</f>
        <v>TSHIRT-BLACK-XL</v>
      </c>
      <c r="E163" s="15">
        <v>299.0</v>
      </c>
      <c r="F163" s="16">
        <f t="array" ref="F163">IFERROR(
  VALUE( INDEX(Product_Master!$I:$I,
               MATCH( INDEX(Pack_Master!$B:$B, MATCH($D163, Pack_Master!$A:$A, 0)),
                      Product_Master!$B:$B, 0)
  )) 
  * VALUE( INDEX(Pack_Master!$C:$C, MATCH($D163, Pack_Master!$A:$A, 0)) )
  + VALUE( INDEX(Pack_Master!$D:$D, MATCH($D163, Pack_Master!$A:$A, 0)) ),
"")
</f>
        <v>2</v>
      </c>
      <c r="G163" s="17">
        <f t="array" ref="G163">IFERROR(
 ( INDEX(Pack_Master!E:E, MATCH($D163, Pack_Master!A:A, 0))
   * INDEX(Pack_Master!F:F, MATCH($D163, Pack_Master!A:A, 0))
   * INDEX(Pack_Master!G:G, MATCH($D163, Pack_Master!A:A, 0))
 ) / INDEX(Config!C:C, MATCH($A163, Config!A:A, 0)),
"")
</f>
        <v>0.375</v>
      </c>
      <c r="H163" s="17">
        <f t="array" ref="H163">MAX( INDEX(Pack_Master!H:H, MATCH($D163, Pack_Master!A:A, 0)),
      IFERROR(G163, 0) )
</f>
        <v>0.5</v>
      </c>
      <c r="I163" s="18">
        <f>IFERROR(__xludf.DUMMYFUNCTION("IFERROR(
 INDEX(
   FILTER(Shipping_Rate_Card!B:F, Shipping_Rate_Card!A:A=$A163),
   MATCH($H163, FILTER(Shipping_Rate_Card!B:B, Shipping_Rate_Card!A:A=$A163), 1),
   IF( INDEX(Config!B:B, MATCH($A163, Config!A:A, 0))=""Local"", 2,
     IF( INDEX(Config!B"&amp;":B, MATCH($A163, Config!A:A, 0))=""Regional"", 3, 4 )
   )
 ),
"""")
"),67.0)</f>
        <v>67</v>
      </c>
      <c r="J163" s="16">
        <f>IFERROR(__xludf.DUMMYFUNCTION("IFERROR(
 ( E163 * INDEX(FILTER(Pricing_Rules!E:E, Pricing_Rules!A:A=A163, Pricing_Rules!B:B=B163, Pricing_Rules!C:C&lt;=E163, Pricing_Rules!D:D&gt;=E163), 1)
   + INDEX(FILTER(Pricing_Rules!F:F, Pricing_Rules!A:A=A163, Pricing_Rules!B:B=B163, Pricing_Rules!C:C"&amp;"&lt;=E163, Pricing_Rules!D:D&gt;=E163), 1)
 )
 * (1 + IFERROR( INDEX(Config!D:D, MATCH(A163, Config!A:A, 0)), 0 )),
"""")
"),5.8999999999999995)</f>
        <v>5.9</v>
      </c>
      <c r="K163" s="19">
        <f t="shared" si="3"/>
        <v>224.1</v>
      </c>
      <c r="L163" s="20">
        <f t="shared" si="4"/>
        <v>0.7494983278</v>
      </c>
    </row>
    <row r="164" ht="15.75" customHeight="1">
      <c r="A164" s="9" t="s">
        <v>9</v>
      </c>
      <c r="B164" s="12" t="str">
        <f t="array" ref="B164">XLOOKUP(C164, Channel_Listings!C:C, Channel_Listings!B:B)
</f>
        <v>Apparel_Tshirts</v>
      </c>
      <c r="C164" s="22" t="s">
        <v>106</v>
      </c>
      <c r="D164" s="14" t="str">
        <f t="array" ref="D164">XLOOKUP(C164, Channel_Listings!C:C, Channel_Listings!D:D)
</f>
        <v>TSHIRT-BLACK-XXL</v>
      </c>
      <c r="E164" s="15">
        <v>299.0</v>
      </c>
      <c r="F164" s="16">
        <f t="array" ref="F164">IFERROR(
  VALUE( INDEX(Product_Master!$I:$I,
               MATCH( INDEX(Pack_Master!$B:$B, MATCH($D164, Pack_Master!$A:$A, 0)),
                      Product_Master!$B:$B, 0)
  )) 
  * VALUE( INDEX(Pack_Master!$C:$C, MATCH($D164, Pack_Master!$A:$A, 0)) )
  + VALUE( INDEX(Pack_Master!$D:$D, MATCH($D164, Pack_Master!$A:$A, 0)) ),
"")
</f>
        <v>2</v>
      </c>
      <c r="G164" s="17">
        <f t="array" ref="G164">IFERROR(
 ( INDEX(Pack_Master!E:E, MATCH($D164, Pack_Master!A:A, 0))
   * INDEX(Pack_Master!F:F, MATCH($D164, Pack_Master!A:A, 0))
   * INDEX(Pack_Master!G:G, MATCH($D164, Pack_Master!A:A, 0))
 ) / INDEX(Config!C:C, MATCH($A164, Config!A:A, 0)),
"")
</f>
        <v>0.375</v>
      </c>
      <c r="H164" s="17">
        <f t="array" ref="H164">MAX( INDEX(Pack_Master!H:H, MATCH($D164, Pack_Master!A:A, 0)),
      IFERROR(G164, 0) )
</f>
        <v>0.5</v>
      </c>
      <c r="I164" s="18">
        <f>IFERROR(__xludf.DUMMYFUNCTION("IFERROR(
 INDEX(
   FILTER(Shipping_Rate_Card!B:F, Shipping_Rate_Card!A:A=$A164),
   MATCH($H164, FILTER(Shipping_Rate_Card!B:B, Shipping_Rate_Card!A:A=$A164), 1),
   IF( INDEX(Config!B:B, MATCH($A164, Config!A:A, 0))=""Local"", 2,
     IF( INDEX(Config!B"&amp;":B, MATCH($A164, Config!A:A, 0))=""Regional"", 3, 4 )
   )
 ),
"""")
"),67.0)</f>
        <v>67</v>
      </c>
      <c r="J164" s="16">
        <f>IFERROR(__xludf.DUMMYFUNCTION("IFERROR(
 ( E164 * INDEX(FILTER(Pricing_Rules!E:E, Pricing_Rules!A:A=A164, Pricing_Rules!B:B=B164, Pricing_Rules!C:C&lt;=E164, Pricing_Rules!D:D&gt;=E164), 1)
   + INDEX(FILTER(Pricing_Rules!F:F, Pricing_Rules!A:A=A164, Pricing_Rules!B:B=B164, Pricing_Rules!C:C"&amp;"&lt;=E164, Pricing_Rules!D:D&gt;=E164), 1)
 )
 * (1 + IFERROR( INDEX(Config!D:D, MATCH(A164, Config!A:A, 0)), 0 )),
"""")
"),5.8999999999999995)</f>
        <v>5.9</v>
      </c>
      <c r="K164" s="19">
        <f t="shared" si="3"/>
        <v>224.1</v>
      </c>
      <c r="L164" s="20">
        <f t="shared" si="4"/>
        <v>0.7494983278</v>
      </c>
    </row>
    <row r="165" ht="15.75" customHeight="1">
      <c r="A165" s="9" t="s">
        <v>9</v>
      </c>
      <c r="B165" s="12" t="str">
        <f t="array" ref="B165">XLOOKUP(C165, Channel_Listings!C:C, Channel_Listings!B:B)
</f>
        <v>Apparel_Tshirts</v>
      </c>
      <c r="C165" s="22" t="s">
        <v>108</v>
      </c>
      <c r="D165" s="14" t="str">
        <f t="array" ref="D165">XLOOKUP(C165, Channel_Listings!C:C, Channel_Listings!D:D)
</f>
        <v>TSHIRT-BLACK-L</v>
      </c>
      <c r="E165" s="15">
        <v>299.0</v>
      </c>
      <c r="F165" s="16">
        <f t="array" ref="F165">IFERROR(
  VALUE( INDEX(Product_Master!$I:$I,
               MATCH( INDEX(Pack_Master!$B:$B, MATCH($D165, Pack_Master!$A:$A, 0)),
                      Product_Master!$B:$B, 0)
  )) 
  * VALUE( INDEX(Pack_Master!$C:$C, MATCH($D165, Pack_Master!$A:$A, 0)) )
  + VALUE( INDEX(Pack_Master!$D:$D, MATCH($D165, Pack_Master!$A:$A, 0)) ),
"")
</f>
        <v>2</v>
      </c>
      <c r="G165" s="17">
        <f t="array" ref="G165">IFERROR(
 ( INDEX(Pack_Master!E:E, MATCH($D165, Pack_Master!A:A, 0))
   * INDEX(Pack_Master!F:F, MATCH($D165, Pack_Master!A:A, 0))
   * INDEX(Pack_Master!G:G, MATCH($D165, Pack_Master!A:A, 0))
 ) / INDEX(Config!C:C, MATCH($A165, Config!A:A, 0)),
"")
</f>
        <v>0.375</v>
      </c>
      <c r="H165" s="17">
        <f t="array" ref="H165">MAX( INDEX(Pack_Master!H:H, MATCH($D165, Pack_Master!A:A, 0)),
      IFERROR(G165, 0) )
</f>
        <v>0.5</v>
      </c>
      <c r="I165" s="18">
        <f>IFERROR(__xludf.DUMMYFUNCTION("IFERROR(
 INDEX(
   FILTER(Shipping_Rate_Card!B:F, Shipping_Rate_Card!A:A=$A165),
   MATCH($H165, FILTER(Shipping_Rate_Card!B:B, Shipping_Rate_Card!A:A=$A165), 1),
   IF( INDEX(Config!B:B, MATCH($A165, Config!A:A, 0))=""Local"", 2,
     IF( INDEX(Config!B"&amp;":B, MATCH($A165, Config!A:A, 0))=""Regional"", 3, 4 )
   )
 ),
"""")
"),67.0)</f>
        <v>67</v>
      </c>
      <c r="J165" s="16">
        <f>IFERROR(__xludf.DUMMYFUNCTION("IFERROR(
 ( E165 * INDEX(FILTER(Pricing_Rules!E:E, Pricing_Rules!A:A=A165, Pricing_Rules!B:B=B165, Pricing_Rules!C:C&lt;=E165, Pricing_Rules!D:D&gt;=E165), 1)
   + INDEX(FILTER(Pricing_Rules!F:F, Pricing_Rules!A:A=A165, Pricing_Rules!B:B=B165, Pricing_Rules!C:C"&amp;"&lt;=E165, Pricing_Rules!D:D&gt;=E165), 1)
 )
 * (1 + IFERROR( INDEX(Config!D:D, MATCH(A165, Config!A:A, 0)), 0 )),
"""")
"),5.8999999999999995)</f>
        <v>5.9</v>
      </c>
      <c r="K165" s="19">
        <f t="shared" si="3"/>
        <v>224.1</v>
      </c>
      <c r="L165" s="20">
        <f t="shared" si="4"/>
        <v>0.7494983278</v>
      </c>
    </row>
    <row r="166" ht="15.75" customHeight="1">
      <c r="A166" s="9" t="s">
        <v>9</v>
      </c>
      <c r="B166" s="12" t="str">
        <f t="array" ref="B166">XLOOKUP(C166, Channel_Listings!C:C, Channel_Listings!B:B)
</f>
        <v>Apparel_Tshirts</v>
      </c>
      <c r="C166" s="22" t="s">
        <v>110</v>
      </c>
      <c r="D166" s="14" t="str">
        <f t="array" ref="D166">XLOOKUP(C166, Channel_Listings!C:C, Channel_Listings!D:D)
</f>
        <v>TSHIRT-BLACK-M</v>
      </c>
      <c r="E166" s="15">
        <v>299.0</v>
      </c>
      <c r="F166" s="16">
        <f t="array" ref="F166">IFERROR(
  VALUE( INDEX(Product_Master!$I:$I,
               MATCH( INDEX(Pack_Master!$B:$B, MATCH($D166, Pack_Master!$A:$A, 0)),
                      Product_Master!$B:$B, 0)
  )) 
  * VALUE( INDEX(Pack_Master!$C:$C, MATCH($D166, Pack_Master!$A:$A, 0)) )
  + VALUE( INDEX(Pack_Master!$D:$D, MATCH($D166, Pack_Master!$A:$A, 0)) ),
"")
</f>
        <v>2</v>
      </c>
      <c r="G166" s="17">
        <f t="array" ref="G166">IFERROR(
 ( INDEX(Pack_Master!E:E, MATCH($D166, Pack_Master!A:A, 0))
   * INDEX(Pack_Master!F:F, MATCH($D166, Pack_Master!A:A, 0))
   * INDEX(Pack_Master!G:G, MATCH($D166, Pack_Master!A:A, 0))
 ) / INDEX(Config!C:C, MATCH($A166, Config!A:A, 0)),
"")
</f>
        <v>0.375</v>
      </c>
      <c r="H166" s="17">
        <f t="array" ref="H166">MAX( INDEX(Pack_Master!H:H, MATCH($D166, Pack_Master!A:A, 0)),
      IFERROR(G166, 0) )
</f>
        <v>0.5</v>
      </c>
      <c r="I166" s="18">
        <f>IFERROR(__xludf.DUMMYFUNCTION("IFERROR(
 INDEX(
   FILTER(Shipping_Rate_Card!B:F, Shipping_Rate_Card!A:A=$A166),
   MATCH($H166, FILTER(Shipping_Rate_Card!B:B, Shipping_Rate_Card!A:A=$A166), 1),
   IF( INDEX(Config!B:B, MATCH($A166, Config!A:A, 0))=""Local"", 2,
     IF( INDEX(Config!B"&amp;":B, MATCH($A166, Config!A:A, 0))=""Regional"", 3, 4 )
   )
 ),
"""")
"),67.0)</f>
        <v>67</v>
      </c>
      <c r="J166" s="16">
        <f>IFERROR(__xludf.DUMMYFUNCTION("IFERROR(
 ( E166 * INDEX(FILTER(Pricing_Rules!E:E, Pricing_Rules!A:A=A166, Pricing_Rules!B:B=B166, Pricing_Rules!C:C&lt;=E166, Pricing_Rules!D:D&gt;=E166), 1)
   + INDEX(FILTER(Pricing_Rules!F:F, Pricing_Rules!A:A=A166, Pricing_Rules!B:B=B166, Pricing_Rules!C:C"&amp;"&lt;=E166, Pricing_Rules!D:D&gt;=E166), 1)
 )
 * (1 + IFERROR( INDEX(Config!D:D, MATCH(A166, Config!A:A, 0)), 0 )),
"""")
"),5.8999999999999995)</f>
        <v>5.9</v>
      </c>
      <c r="K166" s="19">
        <f t="shared" si="3"/>
        <v>224.1</v>
      </c>
      <c r="L166" s="20">
        <f t="shared" si="4"/>
        <v>0.7494983278</v>
      </c>
    </row>
    <row r="167" ht="15.75" customHeight="1">
      <c r="A167" s="9" t="s">
        <v>9</v>
      </c>
      <c r="B167" s="12" t="str">
        <f t="array" ref="B167">XLOOKUP(C167, Channel_Listings!C:C, Channel_Listings!B:B)
</f>
        <v>Apparel_Tshirts</v>
      </c>
      <c r="C167" s="22" t="s">
        <v>112</v>
      </c>
      <c r="D167" s="14" t="str">
        <f t="array" ref="D167">XLOOKUP(C167, Channel_Listings!C:C, Channel_Listings!D:D)
</f>
        <v>TSHIRT-BLACK-XL</v>
      </c>
      <c r="E167" s="15">
        <v>299.0</v>
      </c>
      <c r="F167" s="16">
        <f t="array" ref="F167">IFERROR(
  VALUE( INDEX(Product_Master!$I:$I,
               MATCH( INDEX(Pack_Master!$B:$B, MATCH($D167, Pack_Master!$A:$A, 0)),
                      Product_Master!$B:$B, 0)
  )) 
  * VALUE( INDEX(Pack_Master!$C:$C, MATCH($D167, Pack_Master!$A:$A, 0)) )
  + VALUE( INDEX(Pack_Master!$D:$D, MATCH($D167, Pack_Master!$A:$A, 0)) ),
"")
</f>
        <v>2</v>
      </c>
      <c r="G167" s="17">
        <f t="array" ref="G167">IFERROR(
 ( INDEX(Pack_Master!E:E, MATCH($D167, Pack_Master!A:A, 0))
   * INDEX(Pack_Master!F:F, MATCH($D167, Pack_Master!A:A, 0))
   * INDEX(Pack_Master!G:G, MATCH($D167, Pack_Master!A:A, 0))
 ) / INDEX(Config!C:C, MATCH($A167, Config!A:A, 0)),
"")
</f>
        <v>0.375</v>
      </c>
      <c r="H167" s="17">
        <f t="array" ref="H167">MAX( INDEX(Pack_Master!H:H, MATCH($D167, Pack_Master!A:A, 0)),
      IFERROR(G167, 0) )
</f>
        <v>0.5</v>
      </c>
      <c r="I167" s="18">
        <f>IFERROR(__xludf.DUMMYFUNCTION("IFERROR(
 INDEX(
   FILTER(Shipping_Rate_Card!B:F, Shipping_Rate_Card!A:A=$A167),
   MATCH($H167, FILTER(Shipping_Rate_Card!B:B, Shipping_Rate_Card!A:A=$A167), 1),
   IF( INDEX(Config!B:B, MATCH($A167, Config!A:A, 0))=""Local"", 2,
     IF( INDEX(Config!B"&amp;":B, MATCH($A167, Config!A:A, 0))=""Regional"", 3, 4 )
   )
 ),
"""")
"),67.0)</f>
        <v>67</v>
      </c>
      <c r="J167" s="16">
        <f>IFERROR(__xludf.DUMMYFUNCTION("IFERROR(
 ( E167 * INDEX(FILTER(Pricing_Rules!E:E, Pricing_Rules!A:A=A167, Pricing_Rules!B:B=B167, Pricing_Rules!C:C&lt;=E167, Pricing_Rules!D:D&gt;=E167), 1)
   + INDEX(FILTER(Pricing_Rules!F:F, Pricing_Rules!A:A=A167, Pricing_Rules!B:B=B167, Pricing_Rules!C:C"&amp;"&lt;=E167, Pricing_Rules!D:D&gt;=E167), 1)
 )
 * (1 + IFERROR( INDEX(Config!D:D, MATCH(A167, Config!A:A, 0)), 0 )),
"""")
"),5.8999999999999995)</f>
        <v>5.9</v>
      </c>
      <c r="K167" s="19">
        <f t="shared" si="3"/>
        <v>224.1</v>
      </c>
      <c r="L167" s="20">
        <f t="shared" si="4"/>
        <v>0.7494983278</v>
      </c>
    </row>
    <row r="168" ht="15.75" customHeight="1">
      <c r="A168" s="9" t="s">
        <v>9</v>
      </c>
      <c r="B168" s="12" t="str">
        <f t="array" ref="B168">XLOOKUP(C168, Channel_Listings!C:C, Channel_Listings!B:B)
</f>
        <v>Apparel_Tshirts</v>
      </c>
      <c r="C168" s="22" t="s">
        <v>114</v>
      </c>
      <c r="D168" s="14" t="str">
        <f t="array" ref="D168">XLOOKUP(C168, Channel_Listings!C:C, Channel_Listings!D:D)
</f>
        <v>TSHIRT-BLACK-XXL</v>
      </c>
      <c r="E168" s="15">
        <v>299.0</v>
      </c>
      <c r="F168" s="16">
        <f t="array" ref="F168">IFERROR(
  VALUE( INDEX(Product_Master!$I:$I,
               MATCH( INDEX(Pack_Master!$B:$B, MATCH($D168, Pack_Master!$A:$A, 0)),
                      Product_Master!$B:$B, 0)
  )) 
  * VALUE( INDEX(Pack_Master!$C:$C, MATCH($D168, Pack_Master!$A:$A, 0)) )
  + VALUE( INDEX(Pack_Master!$D:$D, MATCH($D168, Pack_Master!$A:$A, 0)) ),
"")
</f>
        <v>2</v>
      </c>
      <c r="G168" s="17">
        <f t="array" ref="G168">IFERROR(
 ( INDEX(Pack_Master!E:E, MATCH($D168, Pack_Master!A:A, 0))
   * INDEX(Pack_Master!F:F, MATCH($D168, Pack_Master!A:A, 0))
   * INDEX(Pack_Master!G:G, MATCH($D168, Pack_Master!A:A, 0))
 ) / INDEX(Config!C:C, MATCH($A168, Config!A:A, 0)),
"")
</f>
        <v>0.375</v>
      </c>
      <c r="H168" s="17">
        <f t="array" ref="H168">MAX( INDEX(Pack_Master!H:H, MATCH($D168, Pack_Master!A:A, 0)),
      IFERROR(G168, 0) )
</f>
        <v>0.5</v>
      </c>
      <c r="I168" s="18">
        <f>IFERROR(__xludf.DUMMYFUNCTION("IFERROR(
 INDEX(
   FILTER(Shipping_Rate_Card!B:F, Shipping_Rate_Card!A:A=$A168),
   MATCH($H168, FILTER(Shipping_Rate_Card!B:B, Shipping_Rate_Card!A:A=$A168), 1),
   IF( INDEX(Config!B:B, MATCH($A168, Config!A:A, 0))=""Local"", 2,
     IF( INDEX(Config!B"&amp;":B, MATCH($A168, Config!A:A, 0))=""Regional"", 3, 4 )
   )
 ),
"""")
"),67.0)</f>
        <v>67</v>
      </c>
      <c r="J168" s="16">
        <f>IFERROR(__xludf.DUMMYFUNCTION("IFERROR(
 ( E168 * INDEX(FILTER(Pricing_Rules!E:E, Pricing_Rules!A:A=A168, Pricing_Rules!B:B=B168, Pricing_Rules!C:C&lt;=E168, Pricing_Rules!D:D&gt;=E168), 1)
   + INDEX(FILTER(Pricing_Rules!F:F, Pricing_Rules!A:A=A168, Pricing_Rules!B:B=B168, Pricing_Rules!C:C"&amp;"&lt;=E168, Pricing_Rules!D:D&gt;=E168), 1)
 )
 * (1 + IFERROR( INDEX(Config!D:D, MATCH(A168, Config!A:A, 0)), 0 )),
"""")
"),5.8999999999999995)</f>
        <v>5.9</v>
      </c>
      <c r="K168" s="19">
        <f t="shared" si="3"/>
        <v>224.1</v>
      </c>
      <c r="L168" s="20">
        <f t="shared" si="4"/>
        <v>0.7494983278</v>
      </c>
    </row>
    <row r="169" ht="15.75" customHeight="1">
      <c r="A169" s="9" t="s">
        <v>9</v>
      </c>
      <c r="B169" s="12" t="str">
        <f t="array" ref="B169">XLOOKUP(C169, Channel_Listings!C:C, Channel_Listings!B:B)
</f>
        <v>Apparel_Tshirts</v>
      </c>
      <c r="C169" s="22" t="s">
        <v>116</v>
      </c>
      <c r="D169" s="14" t="str">
        <f t="array" ref="D169">XLOOKUP(C169, Channel_Listings!C:C, Channel_Listings!D:D)
</f>
        <v>TSHIRT-BLACK-L</v>
      </c>
      <c r="E169" s="15">
        <v>299.0</v>
      </c>
      <c r="F169" s="16">
        <f t="array" ref="F169">IFERROR(
  VALUE( INDEX(Product_Master!$I:$I,
               MATCH( INDEX(Pack_Master!$B:$B, MATCH($D169, Pack_Master!$A:$A, 0)),
                      Product_Master!$B:$B, 0)
  )) 
  * VALUE( INDEX(Pack_Master!$C:$C, MATCH($D169, Pack_Master!$A:$A, 0)) )
  + VALUE( INDEX(Pack_Master!$D:$D, MATCH($D169, Pack_Master!$A:$A, 0)) ),
"")
</f>
        <v>2</v>
      </c>
      <c r="G169" s="17">
        <f t="array" ref="G169">IFERROR(
 ( INDEX(Pack_Master!E:E, MATCH($D169, Pack_Master!A:A, 0))
   * INDEX(Pack_Master!F:F, MATCH($D169, Pack_Master!A:A, 0))
   * INDEX(Pack_Master!G:G, MATCH($D169, Pack_Master!A:A, 0))
 ) / INDEX(Config!C:C, MATCH($A169, Config!A:A, 0)),
"")
</f>
        <v>0.375</v>
      </c>
      <c r="H169" s="17">
        <f t="array" ref="H169">MAX( INDEX(Pack_Master!H:H, MATCH($D169, Pack_Master!A:A, 0)),
      IFERROR(G169, 0) )
</f>
        <v>0.5</v>
      </c>
      <c r="I169" s="18">
        <f>IFERROR(__xludf.DUMMYFUNCTION("IFERROR(
 INDEX(
   FILTER(Shipping_Rate_Card!B:F, Shipping_Rate_Card!A:A=$A169),
   MATCH($H169, FILTER(Shipping_Rate_Card!B:B, Shipping_Rate_Card!A:A=$A169), 1),
   IF( INDEX(Config!B:B, MATCH($A169, Config!A:A, 0))=""Local"", 2,
     IF( INDEX(Config!B"&amp;":B, MATCH($A169, Config!A:A, 0))=""Regional"", 3, 4 )
   )
 ),
"""")
"),67.0)</f>
        <v>67</v>
      </c>
      <c r="J169" s="16">
        <f>IFERROR(__xludf.DUMMYFUNCTION("IFERROR(
 ( E169 * INDEX(FILTER(Pricing_Rules!E:E, Pricing_Rules!A:A=A169, Pricing_Rules!B:B=B169, Pricing_Rules!C:C&lt;=E169, Pricing_Rules!D:D&gt;=E169), 1)
   + INDEX(FILTER(Pricing_Rules!F:F, Pricing_Rules!A:A=A169, Pricing_Rules!B:B=B169, Pricing_Rules!C:C"&amp;"&lt;=E169, Pricing_Rules!D:D&gt;=E169), 1)
 )
 * (1 + IFERROR( INDEX(Config!D:D, MATCH(A169, Config!A:A, 0)), 0 )),
"""")
"),5.8999999999999995)</f>
        <v>5.9</v>
      </c>
      <c r="K169" s="19">
        <f t="shared" si="3"/>
        <v>224.1</v>
      </c>
      <c r="L169" s="20">
        <f t="shared" si="4"/>
        <v>0.7494983278</v>
      </c>
    </row>
    <row r="170" ht="15.75" customHeight="1">
      <c r="A170" s="9" t="s">
        <v>9</v>
      </c>
      <c r="B170" s="12" t="str">
        <f t="array" ref="B170">XLOOKUP(C170, Channel_Listings!C:C, Channel_Listings!B:B)
</f>
        <v>Apparel_Tshirts</v>
      </c>
      <c r="C170" s="22" t="s">
        <v>118</v>
      </c>
      <c r="D170" s="14" t="str">
        <f t="array" ref="D170">XLOOKUP(C170, Channel_Listings!C:C, Channel_Listings!D:D)
</f>
        <v>TSHIRT-BLACK-M</v>
      </c>
      <c r="E170" s="15">
        <v>299.0</v>
      </c>
      <c r="F170" s="16">
        <f t="array" ref="F170">IFERROR(
  VALUE( INDEX(Product_Master!$I:$I,
               MATCH( INDEX(Pack_Master!$B:$B, MATCH($D170, Pack_Master!$A:$A, 0)),
                      Product_Master!$B:$B, 0)
  )) 
  * VALUE( INDEX(Pack_Master!$C:$C, MATCH($D170, Pack_Master!$A:$A, 0)) )
  + VALUE( INDEX(Pack_Master!$D:$D, MATCH($D170, Pack_Master!$A:$A, 0)) ),
"")
</f>
        <v>2</v>
      </c>
      <c r="G170" s="17">
        <f t="array" ref="G170">IFERROR(
 ( INDEX(Pack_Master!E:E, MATCH($D170, Pack_Master!A:A, 0))
   * INDEX(Pack_Master!F:F, MATCH($D170, Pack_Master!A:A, 0))
   * INDEX(Pack_Master!G:G, MATCH($D170, Pack_Master!A:A, 0))
 ) / INDEX(Config!C:C, MATCH($A170, Config!A:A, 0)),
"")
</f>
        <v>0.375</v>
      </c>
      <c r="H170" s="17">
        <f t="array" ref="H170">MAX( INDEX(Pack_Master!H:H, MATCH($D170, Pack_Master!A:A, 0)),
      IFERROR(G170, 0) )
</f>
        <v>0.5</v>
      </c>
      <c r="I170" s="18">
        <f>IFERROR(__xludf.DUMMYFUNCTION("IFERROR(
 INDEX(
   FILTER(Shipping_Rate_Card!B:F, Shipping_Rate_Card!A:A=$A170),
   MATCH($H170, FILTER(Shipping_Rate_Card!B:B, Shipping_Rate_Card!A:A=$A170), 1),
   IF( INDEX(Config!B:B, MATCH($A170, Config!A:A, 0))=""Local"", 2,
     IF( INDEX(Config!B"&amp;":B, MATCH($A170, Config!A:A, 0))=""Regional"", 3, 4 )
   )
 ),
"""")
"),67.0)</f>
        <v>67</v>
      </c>
      <c r="J170" s="16">
        <f>IFERROR(__xludf.DUMMYFUNCTION("IFERROR(
 ( E170 * INDEX(FILTER(Pricing_Rules!E:E, Pricing_Rules!A:A=A170, Pricing_Rules!B:B=B170, Pricing_Rules!C:C&lt;=E170, Pricing_Rules!D:D&gt;=E170), 1)
   + INDEX(FILTER(Pricing_Rules!F:F, Pricing_Rules!A:A=A170, Pricing_Rules!B:B=B170, Pricing_Rules!C:C"&amp;"&lt;=E170, Pricing_Rules!D:D&gt;=E170), 1)
 )
 * (1 + IFERROR( INDEX(Config!D:D, MATCH(A170, Config!A:A, 0)), 0 )),
"""")
"),5.8999999999999995)</f>
        <v>5.9</v>
      </c>
      <c r="K170" s="19">
        <f t="shared" si="3"/>
        <v>224.1</v>
      </c>
      <c r="L170" s="20">
        <f t="shared" si="4"/>
        <v>0.7494983278</v>
      </c>
    </row>
    <row r="171" ht="15.75" customHeight="1">
      <c r="A171" s="9" t="s">
        <v>9</v>
      </c>
      <c r="B171" s="12" t="str">
        <f t="array" ref="B171">XLOOKUP(C171, Channel_Listings!C:C, Channel_Listings!B:B)
</f>
        <v>Apparel_Tshirts</v>
      </c>
      <c r="C171" s="22" t="s">
        <v>120</v>
      </c>
      <c r="D171" s="14" t="str">
        <f t="array" ref="D171">XLOOKUP(C171, Channel_Listings!C:C, Channel_Listings!D:D)
</f>
        <v>TSHIRT-BLACK-XL</v>
      </c>
      <c r="E171" s="15">
        <v>299.0</v>
      </c>
      <c r="F171" s="16">
        <f t="array" ref="F171">IFERROR(
  VALUE( INDEX(Product_Master!$I:$I,
               MATCH( INDEX(Pack_Master!$B:$B, MATCH($D171, Pack_Master!$A:$A, 0)),
                      Product_Master!$B:$B, 0)
  )) 
  * VALUE( INDEX(Pack_Master!$C:$C, MATCH($D171, Pack_Master!$A:$A, 0)) )
  + VALUE( INDEX(Pack_Master!$D:$D, MATCH($D171, Pack_Master!$A:$A, 0)) ),
"")
</f>
        <v>2</v>
      </c>
      <c r="G171" s="17">
        <f t="array" ref="G171">IFERROR(
 ( INDEX(Pack_Master!E:E, MATCH($D171, Pack_Master!A:A, 0))
   * INDEX(Pack_Master!F:F, MATCH($D171, Pack_Master!A:A, 0))
   * INDEX(Pack_Master!G:G, MATCH($D171, Pack_Master!A:A, 0))
 ) / INDEX(Config!C:C, MATCH($A171, Config!A:A, 0)),
"")
</f>
        <v>0.375</v>
      </c>
      <c r="H171" s="17">
        <f t="array" ref="H171">MAX( INDEX(Pack_Master!H:H, MATCH($D171, Pack_Master!A:A, 0)),
      IFERROR(G171, 0) )
</f>
        <v>0.5</v>
      </c>
      <c r="I171" s="18">
        <f>IFERROR(__xludf.DUMMYFUNCTION("IFERROR(
 INDEX(
   FILTER(Shipping_Rate_Card!B:F, Shipping_Rate_Card!A:A=$A171),
   MATCH($H171, FILTER(Shipping_Rate_Card!B:B, Shipping_Rate_Card!A:A=$A171), 1),
   IF( INDEX(Config!B:B, MATCH($A171, Config!A:A, 0))=""Local"", 2,
     IF( INDEX(Config!B"&amp;":B, MATCH($A171, Config!A:A, 0))=""Regional"", 3, 4 )
   )
 ),
"""")
"),67.0)</f>
        <v>67</v>
      </c>
      <c r="J171" s="16">
        <f>IFERROR(__xludf.DUMMYFUNCTION("IFERROR(
 ( E171 * INDEX(FILTER(Pricing_Rules!E:E, Pricing_Rules!A:A=A171, Pricing_Rules!B:B=B171, Pricing_Rules!C:C&lt;=E171, Pricing_Rules!D:D&gt;=E171), 1)
   + INDEX(FILTER(Pricing_Rules!F:F, Pricing_Rules!A:A=A171, Pricing_Rules!B:B=B171, Pricing_Rules!C:C"&amp;"&lt;=E171, Pricing_Rules!D:D&gt;=E171), 1)
 )
 * (1 + IFERROR( INDEX(Config!D:D, MATCH(A171, Config!A:A, 0)), 0 )),
"""")
"),5.8999999999999995)</f>
        <v>5.9</v>
      </c>
      <c r="K171" s="19">
        <f t="shared" si="3"/>
        <v>224.1</v>
      </c>
      <c r="L171" s="20">
        <f t="shared" si="4"/>
        <v>0.7494983278</v>
      </c>
    </row>
    <row r="172" ht="15.75" customHeight="1">
      <c r="A172" s="9" t="s">
        <v>9</v>
      </c>
      <c r="B172" s="12" t="str">
        <f t="array" ref="B172">XLOOKUP(C172, Channel_Listings!C:C, Channel_Listings!B:B)
</f>
        <v>Apparel_Tshirts</v>
      </c>
      <c r="C172" s="22" t="s">
        <v>122</v>
      </c>
      <c r="D172" s="14" t="str">
        <f t="array" ref="D172">XLOOKUP(C172, Channel_Listings!C:C, Channel_Listings!D:D)
</f>
        <v>TSHIRT-BLACK-XXL</v>
      </c>
      <c r="E172" s="15">
        <v>299.0</v>
      </c>
      <c r="F172" s="16">
        <f t="array" ref="F172">IFERROR(
  VALUE( INDEX(Product_Master!$I:$I,
               MATCH( INDEX(Pack_Master!$B:$B, MATCH($D172, Pack_Master!$A:$A, 0)),
                      Product_Master!$B:$B, 0)
  )) 
  * VALUE( INDEX(Pack_Master!$C:$C, MATCH($D172, Pack_Master!$A:$A, 0)) )
  + VALUE( INDEX(Pack_Master!$D:$D, MATCH($D172, Pack_Master!$A:$A, 0)) ),
"")
</f>
        <v>2</v>
      </c>
      <c r="G172" s="17">
        <f t="array" ref="G172">IFERROR(
 ( INDEX(Pack_Master!E:E, MATCH($D172, Pack_Master!A:A, 0))
   * INDEX(Pack_Master!F:F, MATCH($D172, Pack_Master!A:A, 0))
   * INDEX(Pack_Master!G:G, MATCH($D172, Pack_Master!A:A, 0))
 ) / INDEX(Config!C:C, MATCH($A172, Config!A:A, 0)),
"")
</f>
        <v>0.375</v>
      </c>
      <c r="H172" s="17">
        <f t="array" ref="H172">MAX( INDEX(Pack_Master!H:H, MATCH($D172, Pack_Master!A:A, 0)),
      IFERROR(G172, 0) )
</f>
        <v>0.5</v>
      </c>
      <c r="I172" s="18">
        <f>IFERROR(__xludf.DUMMYFUNCTION("IFERROR(
 INDEX(
   FILTER(Shipping_Rate_Card!B:F, Shipping_Rate_Card!A:A=$A172),
   MATCH($H172, FILTER(Shipping_Rate_Card!B:B, Shipping_Rate_Card!A:A=$A172), 1),
   IF( INDEX(Config!B:B, MATCH($A172, Config!A:A, 0))=""Local"", 2,
     IF( INDEX(Config!B"&amp;":B, MATCH($A172, Config!A:A, 0))=""Regional"", 3, 4 )
   )
 ),
"""")
"),67.0)</f>
        <v>67</v>
      </c>
      <c r="J172" s="16">
        <f>IFERROR(__xludf.DUMMYFUNCTION("IFERROR(
 ( E172 * INDEX(FILTER(Pricing_Rules!E:E, Pricing_Rules!A:A=A172, Pricing_Rules!B:B=B172, Pricing_Rules!C:C&lt;=E172, Pricing_Rules!D:D&gt;=E172), 1)
   + INDEX(FILTER(Pricing_Rules!F:F, Pricing_Rules!A:A=A172, Pricing_Rules!B:B=B172, Pricing_Rules!C:C"&amp;"&lt;=E172, Pricing_Rules!D:D&gt;=E172), 1)
 )
 * (1 + IFERROR( INDEX(Config!D:D, MATCH(A172, Config!A:A, 0)), 0 )),
"""")
"),5.8999999999999995)</f>
        <v>5.9</v>
      </c>
      <c r="K172" s="19">
        <f t="shared" si="3"/>
        <v>224.1</v>
      </c>
      <c r="L172" s="20">
        <f t="shared" si="4"/>
        <v>0.7494983278</v>
      </c>
    </row>
    <row r="173" ht="15.75" customHeight="1">
      <c r="A173" s="9" t="s">
        <v>9</v>
      </c>
      <c r="B173" s="12" t="str">
        <f t="array" ref="B173">XLOOKUP(C173, Channel_Listings!C:C, Channel_Listings!B:B)
</f>
        <v>Apparel_Tshirts</v>
      </c>
      <c r="C173" s="22" t="s">
        <v>124</v>
      </c>
      <c r="D173" s="14" t="str">
        <f t="array" ref="D173">XLOOKUP(C173, Channel_Listings!C:C, Channel_Listings!D:D)
</f>
        <v>TSHIRT-BLACK-L</v>
      </c>
      <c r="E173" s="15">
        <v>299.0</v>
      </c>
      <c r="F173" s="16">
        <f t="array" ref="F173">IFERROR(
  VALUE( INDEX(Product_Master!$I:$I,
               MATCH( INDEX(Pack_Master!$B:$B, MATCH($D173, Pack_Master!$A:$A, 0)),
                      Product_Master!$B:$B, 0)
  )) 
  * VALUE( INDEX(Pack_Master!$C:$C, MATCH($D173, Pack_Master!$A:$A, 0)) )
  + VALUE( INDEX(Pack_Master!$D:$D, MATCH($D173, Pack_Master!$A:$A, 0)) ),
"")
</f>
        <v>2</v>
      </c>
      <c r="G173" s="17">
        <f t="array" ref="G173">IFERROR(
 ( INDEX(Pack_Master!E:E, MATCH($D173, Pack_Master!A:A, 0))
   * INDEX(Pack_Master!F:F, MATCH($D173, Pack_Master!A:A, 0))
   * INDEX(Pack_Master!G:G, MATCH($D173, Pack_Master!A:A, 0))
 ) / INDEX(Config!C:C, MATCH($A173, Config!A:A, 0)),
"")
</f>
        <v>0.375</v>
      </c>
      <c r="H173" s="17">
        <f t="array" ref="H173">MAX( INDEX(Pack_Master!H:H, MATCH($D173, Pack_Master!A:A, 0)),
      IFERROR(G173, 0) )
</f>
        <v>0.5</v>
      </c>
      <c r="I173" s="18">
        <f>IFERROR(__xludf.DUMMYFUNCTION("IFERROR(
 INDEX(
   FILTER(Shipping_Rate_Card!B:F, Shipping_Rate_Card!A:A=$A173),
   MATCH($H173, FILTER(Shipping_Rate_Card!B:B, Shipping_Rate_Card!A:A=$A173), 1),
   IF( INDEX(Config!B:B, MATCH($A173, Config!A:A, 0))=""Local"", 2,
     IF( INDEX(Config!B"&amp;":B, MATCH($A173, Config!A:A, 0))=""Regional"", 3, 4 )
   )
 ),
"""")
"),67.0)</f>
        <v>67</v>
      </c>
      <c r="J173" s="16">
        <f>IFERROR(__xludf.DUMMYFUNCTION("IFERROR(
 ( E173 * INDEX(FILTER(Pricing_Rules!E:E, Pricing_Rules!A:A=A173, Pricing_Rules!B:B=B173, Pricing_Rules!C:C&lt;=E173, Pricing_Rules!D:D&gt;=E173), 1)
   + INDEX(FILTER(Pricing_Rules!F:F, Pricing_Rules!A:A=A173, Pricing_Rules!B:B=B173, Pricing_Rules!C:C"&amp;"&lt;=E173, Pricing_Rules!D:D&gt;=E173), 1)
 )
 * (1 + IFERROR( INDEX(Config!D:D, MATCH(A173, Config!A:A, 0)), 0 )),
"""")
"),5.8999999999999995)</f>
        <v>5.9</v>
      </c>
      <c r="K173" s="19">
        <f t="shared" si="3"/>
        <v>224.1</v>
      </c>
      <c r="L173" s="20">
        <f t="shared" si="4"/>
        <v>0.7494983278</v>
      </c>
    </row>
    <row r="174" ht="15.75" customHeight="1">
      <c r="A174" s="9" t="s">
        <v>9</v>
      </c>
      <c r="B174" s="12" t="str">
        <f t="array" ref="B174">XLOOKUP(C174, Channel_Listings!C:C, Channel_Listings!B:B)
</f>
        <v>Apparel_Tshirts</v>
      </c>
      <c r="C174" s="22" t="s">
        <v>126</v>
      </c>
      <c r="D174" s="14" t="str">
        <f t="array" ref="D174">XLOOKUP(C174, Channel_Listings!C:C, Channel_Listings!D:D)
</f>
        <v>TSHIRT-BLACK-M</v>
      </c>
      <c r="E174" s="15">
        <v>299.0</v>
      </c>
      <c r="F174" s="16">
        <f t="array" ref="F174">IFERROR(
  VALUE( INDEX(Product_Master!$I:$I,
               MATCH( INDEX(Pack_Master!$B:$B, MATCH($D174, Pack_Master!$A:$A, 0)),
                      Product_Master!$B:$B, 0)
  )) 
  * VALUE( INDEX(Pack_Master!$C:$C, MATCH($D174, Pack_Master!$A:$A, 0)) )
  + VALUE( INDEX(Pack_Master!$D:$D, MATCH($D174, Pack_Master!$A:$A, 0)) ),
"")
</f>
        <v>2</v>
      </c>
      <c r="G174" s="17">
        <f t="array" ref="G174">IFERROR(
 ( INDEX(Pack_Master!E:E, MATCH($D174, Pack_Master!A:A, 0))
   * INDEX(Pack_Master!F:F, MATCH($D174, Pack_Master!A:A, 0))
   * INDEX(Pack_Master!G:G, MATCH($D174, Pack_Master!A:A, 0))
 ) / INDEX(Config!C:C, MATCH($A174, Config!A:A, 0)),
"")
</f>
        <v>0.375</v>
      </c>
      <c r="H174" s="17">
        <f t="array" ref="H174">MAX( INDEX(Pack_Master!H:H, MATCH($D174, Pack_Master!A:A, 0)),
      IFERROR(G174, 0) )
</f>
        <v>0.5</v>
      </c>
      <c r="I174" s="18">
        <f>IFERROR(__xludf.DUMMYFUNCTION("IFERROR(
 INDEX(
   FILTER(Shipping_Rate_Card!B:F, Shipping_Rate_Card!A:A=$A174),
   MATCH($H174, FILTER(Shipping_Rate_Card!B:B, Shipping_Rate_Card!A:A=$A174), 1),
   IF( INDEX(Config!B:B, MATCH($A174, Config!A:A, 0))=""Local"", 2,
     IF( INDEX(Config!B"&amp;":B, MATCH($A174, Config!A:A, 0))=""Regional"", 3, 4 )
   )
 ),
"""")
"),67.0)</f>
        <v>67</v>
      </c>
      <c r="J174" s="16">
        <f>IFERROR(__xludf.DUMMYFUNCTION("IFERROR(
 ( E174 * INDEX(FILTER(Pricing_Rules!E:E, Pricing_Rules!A:A=A174, Pricing_Rules!B:B=B174, Pricing_Rules!C:C&lt;=E174, Pricing_Rules!D:D&gt;=E174), 1)
   + INDEX(FILTER(Pricing_Rules!F:F, Pricing_Rules!A:A=A174, Pricing_Rules!B:B=B174, Pricing_Rules!C:C"&amp;"&lt;=E174, Pricing_Rules!D:D&gt;=E174), 1)
 )
 * (1 + IFERROR( INDEX(Config!D:D, MATCH(A174, Config!A:A, 0)), 0 )),
"""")
"),5.8999999999999995)</f>
        <v>5.9</v>
      </c>
      <c r="K174" s="19">
        <f t="shared" si="3"/>
        <v>224.1</v>
      </c>
      <c r="L174" s="20">
        <f t="shared" si="4"/>
        <v>0.7494983278</v>
      </c>
    </row>
    <row r="175" ht="15.75" customHeight="1">
      <c r="A175" s="9" t="s">
        <v>9</v>
      </c>
      <c r="B175" s="12" t="str">
        <f t="array" ref="B175">XLOOKUP(C175, Channel_Listings!C:C, Channel_Listings!B:B)
</f>
        <v>Apparel_Tshirts</v>
      </c>
      <c r="C175" s="22" t="s">
        <v>128</v>
      </c>
      <c r="D175" s="14" t="str">
        <f t="array" ref="D175">XLOOKUP(C175, Channel_Listings!C:C, Channel_Listings!D:D)
</f>
        <v>TSHIRT-BLACK-XL</v>
      </c>
      <c r="E175" s="15">
        <v>299.0</v>
      </c>
      <c r="F175" s="16">
        <f t="array" ref="F175">IFERROR(
  VALUE( INDEX(Product_Master!$I:$I,
               MATCH( INDEX(Pack_Master!$B:$B, MATCH($D175, Pack_Master!$A:$A, 0)),
                      Product_Master!$B:$B, 0)
  )) 
  * VALUE( INDEX(Pack_Master!$C:$C, MATCH($D175, Pack_Master!$A:$A, 0)) )
  + VALUE( INDEX(Pack_Master!$D:$D, MATCH($D175, Pack_Master!$A:$A, 0)) ),
"")
</f>
        <v>2</v>
      </c>
      <c r="G175" s="17">
        <f t="array" ref="G175">IFERROR(
 ( INDEX(Pack_Master!E:E, MATCH($D175, Pack_Master!A:A, 0))
   * INDEX(Pack_Master!F:F, MATCH($D175, Pack_Master!A:A, 0))
   * INDEX(Pack_Master!G:G, MATCH($D175, Pack_Master!A:A, 0))
 ) / INDEX(Config!C:C, MATCH($A175, Config!A:A, 0)),
"")
</f>
        <v>0.375</v>
      </c>
      <c r="H175" s="17">
        <f t="array" ref="H175">MAX( INDEX(Pack_Master!H:H, MATCH($D175, Pack_Master!A:A, 0)),
      IFERROR(G175, 0) )
</f>
        <v>0.5</v>
      </c>
      <c r="I175" s="18">
        <f>IFERROR(__xludf.DUMMYFUNCTION("IFERROR(
 INDEX(
   FILTER(Shipping_Rate_Card!B:F, Shipping_Rate_Card!A:A=$A175),
   MATCH($H175, FILTER(Shipping_Rate_Card!B:B, Shipping_Rate_Card!A:A=$A175), 1),
   IF( INDEX(Config!B:B, MATCH($A175, Config!A:A, 0))=""Local"", 2,
     IF( INDEX(Config!B"&amp;":B, MATCH($A175, Config!A:A, 0))=""Regional"", 3, 4 )
   )
 ),
"""")
"),67.0)</f>
        <v>67</v>
      </c>
      <c r="J175" s="16">
        <f>IFERROR(__xludf.DUMMYFUNCTION("IFERROR(
 ( E175 * INDEX(FILTER(Pricing_Rules!E:E, Pricing_Rules!A:A=A175, Pricing_Rules!B:B=B175, Pricing_Rules!C:C&lt;=E175, Pricing_Rules!D:D&gt;=E175), 1)
   + INDEX(FILTER(Pricing_Rules!F:F, Pricing_Rules!A:A=A175, Pricing_Rules!B:B=B175, Pricing_Rules!C:C"&amp;"&lt;=E175, Pricing_Rules!D:D&gt;=E175), 1)
 )
 * (1 + IFERROR( INDEX(Config!D:D, MATCH(A175, Config!A:A, 0)), 0 )),
"""")
"),5.8999999999999995)</f>
        <v>5.9</v>
      </c>
      <c r="K175" s="19">
        <f t="shared" si="3"/>
        <v>224.1</v>
      </c>
      <c r="L175" s="20">
        <f t="shared" si="4"/>
        <v>0.7494983278</v>
      </c>
    </row>
    <row r="176" ht="15.75" customHeight="1">
      <c r="A176" s="9" t="s">
        <v>9</v>
      </c>
      <c r="B176" s="12" t="str">
        <f t="array" ref="B176">XLOOKUP(C176, Channel_Listings!C:C, Channel_Listings!B:B)
</f>
        <v>Apparel_Tshirts</v>
      </c>
      <c r="C176" s="22" t="s">
        <v>130</v>
      </c>
      <c r="D176" s="14" t="str">
        <f t="array" ref="D176">XLOOKUP(C176, Channel_Listings!C:C, Channel_Listings!D:D)
</f>
        <v>TSHIRT-BLACK-XXL</v>
      </c>
      <c r="E176" s="15">
        <v>299.0</v>
      </c>
      <c r="F176" s="16">
        <f t="array" ref="F176">IFERROR(
  VALUE( INDEX(Product_Master!$I:$I,
               MATCH( INDEX(Pack_Master!$B:$B, MATCH($D176, Pack_Master!$A:$A, 0)),
                      Product_Master!$B:$B, 0)
  )) 
  * VALUE( INDEX(Pack_Master!$C:$C, MATCH($D176, Pack_Master!$A:$A, 0)) )
  + VALUE( INDEX(Pack_Master!$D:$D, MATCH($D176, Pack_Master!$A:$A, 0)) ),
"")
</f>
        <v>2</v>
      </c>
      <c r="G176" s="17">
        <f t="array" ref="G176">IFERROR(
 ( INDEX(Pack_Master!E:E, MATCH($D176, Pack_Master!A:A, 0))
   * INDEX(Pack_Master!F:F, MATCH($D176, Pack_Master!A:A, 0))
   * INDEX(Pack_Master!G:G, MATCH($D176, Pack_Master!A:A, 0))
 ) / INDEX(Config!C:C, MATCH($A176, Config!A:A, 0)),
"")
</f>
        <v>0.375</v>
      </c>
      <c r="H176" s="17">
        <f t="array" ref="H176">MAX( INDEX(Pack_Master!H:H, MATCH($D176, Pack_Master!A:A, 0)),
      IFERROR(G176, 0) )
</f>
        <v>0.5</v>
      </c>
      <c r="I176" s="18">
        <f>IFERROR(__xludf.DUMMYFUNCTION("IFERROR(
 INDEX(
   FILTER(Shipping_Rate_Card!B:F, Shipping_Rate_Card!A:A=$A176),
   MATCH($H176, FILTER(Shipping_Rate_Card!B:B, Shipping_Rate_Card!A:A=$A176), 1),
   IF( INDEX(Config!B:B, MATCH($A176, Config!A:A, 0))=""Local"", 2,
     IF( INDEX(Config!B"&amp;":B, MATCH($A176, Config!A:A, 0))=""Regional"", 3, 4 )
   )
 ),
"""")
"),67.0)</f>
        <v>67</v>
      </c>
      <c r="J176" s="16">
        <f>IFERROR(__xludf.DUMMYFUNCTION("IFERROR(
 ( E176 * INDEX(FILTER(Pricing_Rules!E:E, Pricing_Rules!A:A=A176, Pricing_Rules!B:B=B176, Pricing_Rules!C:C&lt;=E176, Pricing_Rules!D:D&gt;=E176), 1)
   + INDEX(FILTER(Pricing_Rules!F:F, Pricing_Rules!A:A=A176, Pricing_Rules!B:B=B176, Pricing_Rules!C:C"&amp;"&lt;=E176, Pricing_Rules!D:D&gt;=E176), 1)
 )
 * (1 + IFERROR( INDEX(Config!D:D, MATCH(A176, Config!A:A, 0)), 0 )),
"""")
"),5.8999999999999995)</f>
        <v>5.9</v>
      </c>
      <c r="K176" s="19">
        <f t="shared" si="3"/>
        <v>224.1</v>
      </c>
      <c r="L176" s="20">
        <f t="shared" si="4"/>
        <v>0.7494983278</v>
      </c>
    </row>
    <row r="177" ht="15.75" customHeight="1">
      <c r="A177" s="9" t="s">
        <v>9</v>
      </c>
      <c r="B177" s="12" t="str">
        <f t="array" ref="B177">XLOOKUP(C177, Channel_Listings!C:C, Channel_Listings!B:B)
</f>
        <v>Apparel_ArmSleeves</v>
      </c>
      <c r="C177" s="22" t="s">
        <v>132</v>
      </c>
      <c r="D177" s="14" t="str">
        <f t="array" ref="D177">XLOOKUP(C177, Channel_Listings!C:C, Channel_Listings!D:D)
</f>
        <v>ARMSLEEVES-HALF-WHITE</v>
      </c>
      <c r="E177" s="15">
        <v>299.0</v>
      </c>
      <c r="F177" s="16">
        <f t="array" ref="F177">IFERROR(
  VALUE( INDEX(Product_Master!$I:$I,
               MATCH( INDEX(Pack_Master!$B:$B, MATCH($D177, Pack_Master!$A:$A, 0)),
                      Product_Master!$B:$B, 0)
  )) 
  * VALUE( INDEX(Pack_Master!$C:$C, MATCH($D177, Pack_Master!$A:$A, 0)) )
  + VALUE( INDEX(Pack_Master!$D:$D, MATCH($D177, Pack_Master!$A:$A, 0)) ),
"")
</f>
        <v>0</v>
      </c>
      <c r="G177" s="17">
        <f t="array" ref="G177">IFERROR(
 ( INDEX(Pack_Master!E:E, MATCH($D177, Pack_Master!A:A, 0))
   * INDEX(Pack_Master!F:F, MATCH($D177, Pack_Master!A:A, 0))
   * INDEX(Pack_Master!G:G, MATCH($D177, Pack_Master!A:A, 0))
 ) / INDEX(Config!C:C, MATCH($A177, Config!A:A, 0)),
"")
</f>
        <v>0</v>
      </c>
      <c r="H177" s="17">
        <f t="array" ref="H177">MAX( INDEX(Pack_Master!H:H, MATCH($D177, Pack_Master!A:A, 0)),
      IFERROR(G177, 0) )
</f>
        <v>0</v>
      </c>
      <c r="I177" s="18" t="str">
        <f>IFERROR(__xludf.DUMMYFUNCTION("IFERROR(
 INDEX(
   FILTER(Shipping_Rate_Card!B:F, Shipping_Rate_Card!A:A=$A177),
   MATCH($H177, FILTER(Shipping_Rate_Card!B:B, Shipping_Rate_Card!A:A=$A177), 1),
   IF( INDEX(Config!B:B, MATCH($A177, Config!A:A, 0))=""Local"", 2,
     IF( INDEX(Config!B"&amp;":B, MATCH($A177, Config!A:A, 0))=""Regional"", 3, 4 )
   )
 ),
"""")
"),"")</f>
        <v/>
      </c>
      <c r="J177" s="16">
        <f>IFERROR(__xludf.DUMMYFUNCTION("IFERROR(
 ( E177 * INDEX(FILTER(Pricing_Rules!E:E, Pricing_Rules!A:A=A177, Pricing_Rules!B:B=B177, Pricing_Rules!C:C&lt;=E177, Pricing_Rules!D:D&gt;=E177), 1)
   + INDEX(FILTER(Pricing_Rules!F:F, Pricing_Rules!A:A=A177, Pricing_Rules!B:B=B177, Pricing_Rules!C:C"&amp;"&lt;=E177, Pricing_Rules!D:D&gt;=E177), 1)
 )
 * (1 + IFERROR( INDEX(Config!D:D, MATCH(A177, Config!A:A, 0)), 0 )),
"""")
"),5.8999999999999995)</f>
        <v>5.9</v>
      </c>
      <c r="K177" s="19">
        <f t="shared" si="3"/>
        <v>293.1</v>
      </c>
      <c r="L177" s="20">
        <f t="shared" si="4"/>
        <v>0.9802675585</v>
      </c>
    </row>
    <row r="178" ht="15.75" customHeight="1">
      <c r="A178" s="9" t="s">
        <v>9</v>
      </c>
      <c r="B178" s="12" t="str">
        <f t="array" ref="B178">XLOOKUP(C178, Channel_Listings!C:C, Channel_Listings!B:B)
</f>
        <v>Apparel_Accessories_Winter</v>
      </c>
      <c r="C178" s="22" t="s">
        <v>134</v>
      </c>
      <c r="D178" s="14" t="str">
        <f t="array" ref="D178">XLOOKUP(C178, Channel_Listings!C:C, Channel_Listings!D:D)
</f>
        <v>MUFFLER-STRIPE-GREY</v>
      </c>
      <c r="E178" s="15">
        <v>299.0</v>
      </c>
      <c r="F178" s="16">
        <f t="array" ref="F178">IFERROR(
  VALUE( INDEX(Product_Master!$I:$I,
               MATCH( INDEX(Pack_Master!$B:$B, MATCH($D178, Pack_Master!$A:$A, 0)),
                      Product_Master!$B:$B, 0)
  )) 
  * VALUE( INDEX(Pack_Master!$C:$C, MATCH($D178, Pack_Master!$A:$A, 0)) )
  + VALUE( INDEX(Pack_Master!$D:$D, MATCH($D178, Pack_Master!$A:$A, 0)) ),
"")
</f>
        <v>0</v>
      </c>
      <c r="G178" s="17">
        <f t="array" ref="G178">IFERROR(
 ( INDEX(Pack_Master!E:E, MATCH($D178, Pack_Master!A:A, 0))
   * INDEX(Pack_Master!F:F, MATCH($D178, Pack_Master!A:A, 0))
   * INDEX(Pack_Master!G:G, MATCH($D178, Pack_Master!A:A, 0))
 ) / INDEX(Config!C:C, MATCH($A178, Config!A:A, 0)),
"")
</f>
        <v>0</v>
      </c>
      <c r="H178" s="17">
        <f t="array" ref="H178">MAX( INDEX(Pack_Master!H:H, MATCH($D178, Pack_Master!A:A, 0)),
      IFERROR(G178, 0) )
</f>
        <v>0</v>
      </c>
      <c r="I178" s="18" t="str">
        <f>IFERROR(__xludf.DUMMYFUNCTION("IFERROR(
 INDEX(
   FILTER(Shipping_Rate_Card!B:F, Shipping_Rate_Card!A:A=$A178),
   MATCH($H178, FILTER(Shipping_Rate_Card!B:B, Shipping_Rate_Card!A:A=$A178), 1),
   IF( INDEX(Config!B:B, MATCH($A178, Config!A:A, 0))=""Local"", 2,
     IF( INDEX(Config!B"&amp;":B, MATCH($A178, Config!A:A, 0))=""Regional"", 3, 4 )
   )
 ),
"""")
"),"")</f>
        <v/>
      </c>
      <c r="J178" s="16">
        <f>IFERROR(__xludf.DUMMYFUNCTION("IFERROR(
 ( E178 * INDEX(FILTER(Pricing_Rules!E:E, Pricing_Rules!A:A=A178, Pricing_Rules!B:B=B178, Pricing_Rules!C:C&lt;=E178, Pricing_Rules!D:D&gt;=E178), 1)
   + INDEX(FILTER(Pricing_Rules!F:F, Pricing_Rules!A:A=A178, Pricing_Rules!B:B=B178, Pricing_Rules!C:C"&amp;"&lt;=E178, Pricing_Rules!D:D&gt;=E178), 1)
 )
 * (1 + IFERROR( INDEX(Config!D:D, MATCH(A178, Config!A:A, 0)), 0 )),
"""")
"),5.8999999999999995)</f>
        <v>5.9</v>
      </c>
      <c r="K178" s="19">
        <f t="shared" si="3"/>
        <v>293.1</v>
      </c>
      <c r="L178" s="20">
        <f t="shared" si="4"/>
        <v>0.9802675585</v>
      </c>
    </row>
    <row r="179" ht="15.75" customHeight="1">
      <c r="A179" s="9" t="s">
        <v>9</v>
      </c>
      <c r="B179" s="12" t="str">
        <f t="array" ref="B179">XLOOKUP(C179, Channel_Listings!C:C, Channel_Listings!B:B)
</f>
        <v>Apparel_Caps_Beanies</v>
      </c>
      <c r="C179" s="22" t="s">
        <v>136</v>
      </c>
      <c r="D179" s="14" t="str">
        <f t="array" ref="D179">XLOOKUP(C179, Channel_Listings!C:C, Channel_Listings!D:D)
</f>
        <v>CAP-BASEBALL-PLAIN-RED</v>
      </c>
      <c r="E179" s="15">
        <v>299.0</v>
      </c>
      <c r="F179" s="16">
        <f t="array" ref="F179">IFERROR(
  VALUE( INDEX(Product_Master!$I:$I,
               MATCH( INDEX(Pack_Master!$B:$B, MATCH($D179, Pack_Master!$A:$A, 0)),
                      Product_Master!$B:$B, 0)
  )) 
  * VALUE( INDEX(Pack_Master!$C:$C, MATCH($D179, Pack_Master!$A:$A, 0)) )
  + VALUE( INDEX(Pack_Master!$D:$D, MATCH($D179, Pack_Master!$A:$A, 0)) ),
"")
</f>
        <v>89</v>
      </c>
      <c r="G179" s="17">
        <f t="array" ref="G179">IFERROR(
 ( INDEX(Pack_Master!E:E, MATCH($D179, Pack_Master!A:A, 0))
   * INDEX(Pack_Master!F:F, MATCH($D179, Pack_Master!A:A, 0))
   * INDEX(Pack_Master!G:G, MATCH($D179, Pack_Master!A:A, 0))
 ) / INDEX(Config!C:C, MATCH($A179, Config!A:A, 0)),
"")
</f>
        <v>0.375</v>
      </c>
      <c r="H179" s="17">
        <f t="array" ref="H179">MAX( INDEX(Pack_Master!H:H, MATCH($D179, Pack_Master!A:A, 0)),
      IFERROR(G179, 0) )
</f>
        <v>0.5</v>
      </c>
      <c r="I179" s="18">
        <f>IFERROR(__xludf.DUMMYFUNCTION("IFERROR(
 INDEX(
   FILTER(Shipping_Rate_Card!B:F, Shipping_Rate_Card!A:A=$A179),
   MATCH($H179, FILTER(Shipping_Rate_Card!B:B, Shipping_Rate_Card!A:A=$A179), 1),
   IF( INDEX(Config!B:B, MATCH($A179, Config!A:A, 0))=""Local"", 2,
     IF( INDEX(Config!B"&amp;":B, MATCH($A179, Config!A:A, 0))=""Regional"", 3, 4 )
   )
 ),
"""")
"),67.0)</f>
        <v>67</v>
      </c>
      <c r="J179" s="16">
        <f>IFERROR(__xludf.DUMMYFUNCTION("IFERROR(
 ( E179 * INDEX(FILTER(Pricing_Rules!E:E, Pricing_Rules!A:A=A179, Pricing_Rules!B:B=B179, Pricing_Rules!C:C&lt;=E179, Pricing_Rules!D:D&gt;=E179), 1)
   + INDEX(FILTER(Pricing_Rules!F:F, Pricing_Rules!A:A=A179, Pricing_Rules!B:B=B179, Pricing_Rules!C:C"&amp;"&lt;=E179, Pricing_Rules!D:D&gt;=E179), 1)
 )
 * (1 + IFERROR( INDEX(Config!D:D, MATCH(A179, Config!A:A, 0)), 0 )),
"""")
"),5.8999999999999995)</f>
        <v>5.9</v>
      </c>
      <c r="K179" s="19">
        <f t="shared" si="3"/>
        <v>137.1</v>
      </c>
      <c r="L179" s="20">
        <f t="shared" si="4"/>
        <v>0.4585284281</v>
      </c>
    </row>
    <row r="180" ht="15.75" customHeight="1">
      <c r="A180" s="9" t="s">
        <v>9</v>
      </c>
      <c r="B180" s="12" t="str">
        <f t="array" ref="B180">XLOOKUP(C180, Channel_Listings!C:C, Channel_Listings!B:B)
</f>
        <v>Automotive_FaceMasks</v>
      </c>
      <c r="C180" s="22" t="s">
        <v>138</v>
      </c>
      <c r="D180" s="14" t="str">
        <f t="array" ref="D180">XLOOKUP(C180, Channel_Listings!C:C, Channel_Listings!D:D)
</f>
        <v>MASK-HALF-BLUE-PK1</v>
      </c>
      <c r="E180" s="15"/>
      <c r="F180" s="16">
        <f t="array" ref="F180">IFERROR(
  VALUE( INDEX(Product_Master!$I:$I,
               MATCH( INDEX(Pack_Master!$B:$B, MATCH($D180, Pack_Master!$A:$A, 0)),
                      Product_Master!$B:$B, 0)
  )) 
  * VALUE( INDEX(Pack_Master!$C:$C, MATCH($D180, Pack_Master!$A:$A, 0)) )
  + VALUE( INDEX(Pack_Master!$D:$D, MATCH($D180, Pack_Master!$A:$A, 0)) ),
"")
</f>
        <v>0</v>
      </c>
      <c r="G180" s="17">
        <f t="array" ref="G180">IFERROR(
 ( INDEX(Pack_Master!E:E, MATCH($D180, Pack_Master!A:A, 0))
   * INDEX(Pack_Master!F:F, MATCH($D180, Pack_Master!A:A, 0))
   * INDEX(Pack_Master!G:G, MATCH($D180, Pack_Master!A:A, 0))
 ) / INDEX(Config!C:C, MATCH($A180, Config!A:A, 0)),
"")
</f>
        <v>0</v>
      </c>
      <c r="H180" s="17">
        <f t="array" ref="H180">MAX( INDEX(Pack_Master!H:H, MATCH($D180, Pack_Master!A:A, 0)),
      IFERROR(G180, 0) )
</f>
        <v>0</v>
      </c>
      <c r="I180" s="18" t="str">
        <f>IFERROR(__xludf.DUMMYFUNCTION("IFERROR(
 INDEX(
   FILTER(Shipping_Rate_Card!B:F, Shipping_Rate_Card!A:A=$A180),
   MATCH($H180, FILTER(Shipping_Rate_Card!B:B, Shipping_Rate_Card!A:A=$A180), 1),
   IF( INDEX(Config!B:B, MATCH($A180, Config!A:A, 0))=""Local"", 2,
     IF( INDEX(Config!B"&amp;":B, MATCH($A180, Config!A:A, 0))=""Regional"", 3, 4 )
   )
 ),
"""")
"),"")</f>
        <v/>
      </c>
      <c r="J180" s="16">
        <f>IFERROR(__xludf.DUMMYFUNCTION("IFERROR(
 ( E180 * INDEX(FILTER(Pricing_Rules!E:E, Pricing_Rules!A:A=A180, Pricing_Rules!B:B=B180, Pricing_Rules!C:C&lt;=E180, Pricing_Rules!D:D&gt;=E180), 1)
   + INDEX(FILTER(Pricing_Rules!F:F, Pricing_Rules!A:A=A180, Pricing_Rules!B:B=B180, Pricing_Rules!C:C"&amp;"&lt;=E180, Pricing_Rules!D:D&gt;=E180), 1)
 )
 * (1 + IFERROR( INDEX(Config!D:D, MATCH(A180, Config!A:A, 0)), 0 )),
"""")
"),5.8999999999999995)</f>
        <v>5.9</v>
      </c>
      <c r="K180" s="19">
        <f t="shared" si="3"/>
        <v>-5.9</v>
      </c>
      <c r="L180" s="20" t="str">
        <f t="shared" si="4"/>
        <v/>
      </c>
    </row>
    <row r="181" ht="15.75" customHeight="1">
      <c r="A181" s="9" t="s">
        <v>9</v>
      </c>
      <c r="B181" s="12" t="str">
        <f t="array" ref="B181">XLOOKUP(C181, Channel_Listings!C:C, Channel_Listings!B:B)
</f>
        <v>Apparel_ArmSleeves</v>
      </c>
      <c r="C181" s="22" t="s">
        <v>139</v>
      </c>
      <c r="D181" s="14" t="str">
        <f t="array" ref="D181">XLOOKUP(C181, Channel_Listings!C:C, Channel_Listings!D:D)
</f>
        <v>ARMSLEEVES-FULL-BLACK</v>
      </c>
      <c r="E181" s="15"/>
      <c r="F181" s="16">
        <f t="array" ref="F181">IFERROR(
  VALUE( INDEX(Product_Master!$I:$I,
               MATCH( INDEX(Pack_Master!$B:$B, MATCH($D181, Pack_Master!$A:$A, 0)),
                      Product_Master!$B:$B, 0)
  )) 
  * VALUE( INDEX(Pack_Master!$C:$C, MATCH($D181, Pack_Master!$A:$A, 0)) )
  + VALUE( INDEX(Pack_Master!$D:$D, MATCH($D181, Pack_Master!$A:$A, 0)) ),
"")
</f>
        <v>0</v>
      </c>
      <c r="G181" s="17">
        <f t="array" ref="G181">IFERROR(
 ( INDEX(Pack_Master!E:E, MATCH($D181, Pack_Master!A:A, 0))
   * INDEX(Pack_Master!F:F, MATCH($D181, Pack_Master!A:A, 0))
   * INDEX(Pack_Master!G:G, MATCH($D181, Pack_Master!A:A, 0))
 ) / INDEX(Config!C:C, MATCH($A181, Config!A:A, 0)),
"")
</f>
        <v>0</v>
      </c>
      <c r="H181" s="17">
        <f t="array" ref="H181">MAX( INDEX(Pack_Master!H:H, MATCH($D181, Pack_Master!A:A, 0)),
      IFERROR(G181, 0) )
</f>
        <v>0</v>
      </c>
      <c r="I181" s="18" t="str">
        <f>IFERROR(__xludf.DUMMYFUNCTION("IFERROR(
 INDEX(
   FILTER(Shipping_Rate_Card!B:F, Shipping_Rate_Card!A:A=$A181),
   MATCH($H181, FILTER(Shipping_Rate_Card!B:B, Shipping_Rate_Card!A:A=$A181), 1),
   IF( INDEX(Config!B:B, MATCH($A181, Config!A:A, 0))=""Local"", 2,
     IF( INDEX(Config!B"&amp;":B, MATCH($A181, Config!A:A, 0))=""Regional"", 3, 4 )
   )
 ),
"""")
"),"")</f>
        <v/>
      </c>
      <c r="J181" s="16">
        <f>IFERROR(__xludf.DUMMYFUNCTION("IFERROR(
 ( E181 * INDEX(FILTER(Pricing_Rules!E:E, Pricing_Rules!A:A=A181, Pricing_Rules!B:B=B181, Pricing_Rules!C:C&lt;=E181, Pricing_Rules!D:D&gt;=E181), 1)
   + INDEX(FILTER(Pricing_Rules!F:F, Pricing_Rules!A:A=A181, Pricing_Rules!B:B=B181, Pricing_Rules!C:C"&amp;"&lt;=E181, Pricing_Rules!D:D&gt;=E181), 1)
 )
 * (1 + IFERROR( INDEX(Config!D:D, MATCH(A181, Config!A:A, 0)), 0 )),
"""")
"),5.8999999999999995)</f>
        <v>5.9</v>
      </c>
      <c r="K181" s="19">
        <f t="shared" si="3"/>
        <v>-5.9</v>
      </c>
      <c r="L181" s="20" t="str">
        <f t="shared" si="4"/>
        <v/>
      </c>
    </row>
    <row r="182" ht="15.75" customHeight="1">
      <c r="A182" s="9" t="s">
        <v>9</v>
      </c>
      <c r="B182" s="12" t="str">
        <f t="array" ref="B182">XLOOKUP(C182, Channel_Listings!C:C, Channel_Listings!B:B)
</f>
        <v>Apparel_Accessories_Winter</v>
      </c>
      <c r="C182" s="23" t="s">
        <v>141</v>
      </c>
      <c r="D182" s="14" t="str">
        <f t="array" ref="D182">XLOOKUP(C182, Channel_Listings!C:C, Channel_Listings!D:D)
</f>
        <v>BANDANA-HANKY-PAISLEY-BLACK</v>
      </c>
      <c r="E182" s="15"/>
      <c r="F182" s="16">
        <f t="array" ref="F182">IFERROR(
  VALUE( INDEX(Product_Master!$I:$I,
               MATCH( INDEX(Pack_Master!$B:$B, MATCH($D182, Pack_Master!$A:$A, 0)),
                      Product_Master!$B:$B, 0)
  )) 
  * VALUE( INDEX(Pack_Master!$C:$C, MATCH($D182, Pack_Master!$A:$A, 0)) )
  + VALUE( INDEX(Pack_Master!$D:$D, MATCH($D182, Pack_Master!$A:$A, 0)) ),
"")
</f>
        <v>0</v>
      </c>
      <c r="G182" s="17">
        <f t="array" ref="G182">IFERROR(
 ( INDEX(Pack_Master!E:E, MATCH($D182, Pack_Master!A:A, 0))
   * INDEX(Pack_Master!F:F, MATCH($D182, Pack_Master!A:A, 0))
   * INDEX(Pack_Master!G:G, MATCH($D182, Pack_Master!A:A, 0))
 ) / INDEX(Config!C:C, MATCH($A182, Config!A:A, 0)),
"")
</f>
        <v>0</v>
      </c>
      <c r="H182" s="17">
        <f t="array" ref="H182">MAX( INDEX(Pack_Master!H:H, MATCH($D182, Pack_Master!A:A, 0)),
      IFERROR(G182, 0) )
</f>
        <v>0</v>
      </c>
      <c r="I182" s="18" t="str">
        <f>IFERROR(__xludf.DUMMYFUNCTION("IFERROR(
 INDEX(
   FILTER(Shipping_Rate_Card!B:F, Shipping_Rate_Card!A:A=$A182),
   MATCH($H182, FILTER(Shipping_Rate_Card!B:B, Shipping_Rate_Card!A:A=$A182), 1),
   IF( INDEX(Config!B:B, MATCH($A182, Config!A:A, 0))=""Local"", 2,
     IF( INDEX(Config!B"&amp;":B, MATCH($A182, Config!A:A, 0))=""Regional"", 3, 4 )
   )
 ),
"""")
"),"")</f>
        <v/>
      </c>
      <c r="J182" s="16">
        <f>IFERROR(__xludf.DUMMYFUNCTION("IFERROR(
 ( E182 * INDEX(FILTER(Pricing_Rules!E:E, Pricing_Rules!A:A=A182, Pricing_Rules!B:B=B182, Pricing_Rules!C:C&lt;=E182, Pricing_Rules!D:D&gt;=E182), 1)
   + INDEX(FILTER(Pricing_Rules!F:F, Pricing_Rules!A:A=A182, Pricing_Rules!B:B=B182, Pricing_Rules!C:C"&amp;"&lt;=E182, Pricing_Rules!D:D&gt;=E182), 1)
 )
 * (1 + IFERROR( INDEX(Config!D:D, MATCH(A182, Config!A:A, 0)), 0 )),
"""")
"),5.8999999999999995)</f>
        <v>5.9</v>
      </c>
      <c r="K182" s="19">
        <f t="shared" si="3"/>
        <v>-5.9</v>
      </c>
      <c r="L182" s="20" t="str">
        <f t="shared" si="4"/>
        <v/>
      </c>
    </row>
    <row r="183" ht="15.75" customHeight="1">
      <c r="A183" s="9" t="s">
        <v>9</v>
      </c>
      <c r="B183" s="12" t="str">
        <f t="array" ref="B183">XLOOKUP(C183, Channel_Listings!C:C, Channel_Listings!B:B)
</f>
        <v>Apparel_Accessories_Winter</v>
      </c>
      <c r="C183" s="23" t="s">
        <v>143</v>
      </c>
      <c r="D183" s="14" t="str">
        <f t="array" ref="D183">XLOOKUP(C183, Channel_Listings!C:C, Channel_Listings!D:D)
</f>
        <v>BANDANA-HANKY-PAISLEY-GREEN</v>
      </c>
      <c r="E183" s="15"/>
      <c r="F183" s="16">
        <f t="array" ref="F183">IFERROR(
  VALUE( INDEX(Product_Master!$I:$I,
               MATCH( INDEX(Pack_Master!$B:$B, MATCH($D183, Pack_Master!$A:$A, 0)),
                      Product_Master!$B:$B, 0)
  )) 
  * VALUE( INDEX(Pack_Master!$C:$C, MATCH($D183, Pack_Master!$A:$A, 0)) )
  + VALUE( INDEX(Pack_Master!$D:$D, MATCH($D183, Pack_Master!$A:$A, 0)) ),
"")
</f>
        <v>0</v>
      </c>
      <c r="G183" s="17">
        <f t="array" ref="G183">IFERROR(
 ( INDEX(Pack_Master!E:E, MATCH($D183, Pack_Master!A:A, 0))
   * INDEX(Pack_Master!F:F, MATCH($D183, Pack_Master!A:A, 0))
   * INDEX(Pack_Master!G:G, MATCH($D183, Pack_Master!A:A, 0))
 ) / INDEX(Config!C:C, MATCH($A183, Config!A:A, 0)),
"")
</f>
        <v>0</v>
      </c>
      <c r="H183" s="17">
        <f t="array" ref="H183">MAX( INDEX(Pack_Master!H:H, MATCH($D183, Pack_Master!A:A, 0)),
      IFERROR(G183, 0) )
</f>
        <v>0</v>
      </c>
      <c r="I183" s="18" t="str">
        <f>IFERROR(__xludf.DUMMYFUNCTION("IFERROR(
 INDEX(
   FILTER(Shipping_Rate_Card!B:F, Shipping_Rate_Card!A:A=$A183),
   MATCH($H183, FILTER(Shipping_Rate_Card!B:B, Shipping_Rate_Card!A:A=$A183), 1),
   IF( INDEX(Config!B:B, MATCH($A183, Config!A:A, 0))=""Local"", 2,
     IF( INDEX(Config!B"&amp;":B, MATCH($A183, Config!A:A, 0))=""Regional"", 3, 4 )
   )
 ),
"""")
"),"")</f>
        <v/>
      </c>
      <c r="J183" s="16">
        <f>IFERROR(__xludf.DUMMYFUNCTION("IFERROR(
 ( E183 * INDEX(FILTER(Pricing_Rules!E:E, Pricing_Rules!A:A=A183, Pricing_Rules!B:B=B183, Pricing_Rules!C:C&lt;=E183, Pricing_Rules!D:D&gt;=E183), 1)
   + INDEX(FILTER(Pricing_Rules!F:F, Pricing_Rules!A:A=A183, Pricing_Rules!B:B=B183, Pricing_Rules!C:C"&amp;"&lt;=E183, Pricing_Rules!D:D&gt;=E183), 1)
 )
 * (1 + IFERROR( INDEX(Config!D:D, MATCH(A183, Config!A:A, 0)), 0 )),
"""")
"),5.8999999999999995)</f>
        <v>5.9</v>
      </c>
      <c r="K183" s="19">
        <f t="shared" si="3"/>
        <v>-5.9</v>
      </c>
      <c r="L183" s="20" t="str">
        <f t="shared" si="4"/>
        <v/>
      </c>
    </row>
    <row r="184" ht="15.75" customHeight="1">
      <c r="A184" s="9" t="s">
        <v>9</v>
      </c>
      <c r="B184" s="12" t="str">
        <f t="array" ref="B184">XLOOKUP(C184, Channel_Listings!C:C, Channel_Listings!B:B)
</f>
        <v>Apparel_Accessories_Winter</v>
      </c>
      <c r="C184" s="23" t="s">
        <v>145</v>
      </c>
      <c r="D184" s="14" t="str">
        <f t="array" ref="D184">XLOOKUP(C184, Channel_Listings!C:C, Channel_Listings!D:D)
</f>
        <v>BANDANA-HANKY-PAISLEY-MAROON</v>
      </c>
      <c r="E184" s="15"/>
      <c r="F184" s="16">
        <f t="array" ref="F184">IFERROR(
  VALUE( INDEX(Product_Master!$I:$I,
               MATCH( INDEX(Pack_Master!$B:$B, MATCH($D184, Pack_Master!$A:$A, 0)),
                      Product_Master!$B:$B, 0)
  )) 
  * VALUE( INDEX(Pack_Master!$C:$C, MATCH($D184, Pack_Master!$A:$A, 0)) )
  + VALUE( INDEX(Pack_Master!$D:$D, MATCH($D184, Pack_Master!$A:$A, 0)) ),
"")
</f>
        <v>0</v>
      </c>
      <c r="G184" s="17">
        <f t="array" ref="G184">IFERROR(
 ( INDEX(Pack_Master!E:E, MATCH($D184, Pack_Master!A:A, 0))
   * INDEX(Pack_Master!F:F, MATCH($D184, Pack_Master!A:A, 0))
   * INDEX(Pack_Master!G:G, MATCH($D184, Pack_Master!A:A, 0))
 ) / INDEX(Config!C:C, MATCH($A184, Config!A:A, 0)),
"")
</f>
        <v>0</v>
      </c>
      <c r="H184" s="17">
        <f t="array" ref="H184">MAX( INDEX(Pack_Master!H:H, MATCH($D184, Pack_Master!A:A, 0)),
      IFERROR(G184, 0) )
</f>
        <v>0</v>
      </c>
      <c r="I184" s="18" t="str">
        <f>IFERROR(__xludf.DUMMYFUNCTION("IFERROR(
 INDEX(
   FILTER(Shipping_Rate_Card!B:F, Shipping_Rate_Card!A:A=$A184),
   MATCH($H184, FILTER(Shipping_Rate_Card!B:B, Shipping_Rate_Card!A:A=$A184), 1),
   IF( INDEX(Config!B:B, MATCH($A184, Config!A:A, 0))=""Local"", 2,
     IF( INDEX(Config!B"&amp;":B, MATCH($A184, Config!A:A, 0))=""Regional"", 3, 4 )
   )
 ),
"""")
"),"")</f>
        <v/>
      </c>
      <c r="J184" s="16">
        <f>IFERROR(__xludf.DUMMYFUNCTION("IFERROR(
 ( E184 * INDEX(FILTER(Pricing_Rules!E:E, Pricing_Rules!A:A=A184, Pricing_Rules!B:B=B184, Pricing_Rules!C:C&lt;=E184, Pricing_Rules!D:D&gt;=E184), 1)
   + INDEX(FILTER(Pricing_Rules!F:F, Pricing_Rules!A:A=A184, Pricing_Rules!B:B=B184, Pricing_Rules!C:C"&amp;"&lt;=E184, Pricing_Rules!D:D&gt;=E184), 1)
 )
 * (1 + IFERROR( INDEX(Config!D:D, MATCH(A184, Config!A:A, 0)), 0 )),
"""")
"),5.8999999999999995)</f>
        <v>5.9</v>
      </c>
      <c r="K184" s="19">
        <f t="shared" si="3"/>
        <v>-5.9</v>
      </c>
      <c r="L184" s="20" t="str">
        <f t="shared" si="4"/>
        <v/>
      </c>
    </row>
    <row r="185" ht="15.75" customHeight="1">
      <c r="A185" s="9" t="s">
        <v>9</v>
      </c>
      <c r="B185" s="12" t="str">
        <f t="array" ref="B185">XLOOKUP(C185, Channel_Listings!C:C, Channel_Listings!B:B)
</f>
        <v>Apparel_Accessories_Winter</v>
      </c>
      <c r="C185" s="23" t="s">
        <v>147</v>
      </c>
      <c r="D185" s="14" t="str">
        <f t="array" ref="D185">XLOOKUP(C185, Channel_Listings!C:C, Channel_Listings!D:D)
</f>
        <v>BANDANA-HANKY-PAISLEY-NAVYBLUE</v>
      </c>
      <c r="E185" s="15"/>
      <c r="F185" s="16">
        <f t="array" ref="F185">IFERROR(
  VALUE( INDEX(Product_Master!$I:$I,
               MATCH( INDEX(Pack_Master!$B:$B, MATCH($D185, Pack_Master!$A:$A, 0)),
                      Product_Master!$B:$B, 0)
  )) 
  * VALUE( INDEX(Pack_Master!$C:$C, MATCH($D185, Pack_Master!$A:$A, 0)) )
  + VALUE( INDEX(Pack_Master!$D:$D, MATCH($D185, Pack_Master!$A:$A, 0)) ),
"")
</f>
        <v>0</v>
      </c>
      <c r="G185" s="17">
        <f t="array" ref="G185">IFERROR(
 ( INDEX(Pack_Master!E:E, MATCH($D185, Pack_Master!A:A, 0))
   * INDEX(Pack_Master!F:F, MATCH($D185, Pack_Master!A:A, 0))
   * INDEX(Pack_Master!G:G, MATCH($D185, Pack_Master!A:A, 0))
 ) / INDEX(Config!C:C, MATCH($A185, Config!A:A, 0)),
"")
</f>
        <v>0</v>
      </c>
      <c r="H185" s="17">
        <f t="array" ref="H185">MAX( INDEX(Pack_Master!H:H, MATCH($D185, Pack_Master!A:A, 0)),
      IFERROR(G185, 0) )
</f>
        <v>0</v>
      </c>
      <c r="I185" s="18" t="str">
        <f>IFERROR(__xludf.DUMMYFUNCTION("IFERROR(
 INDEX(
   FILTER(Shipping_Rate_Card!B:F, Shipping_Rate_Card!A:A=$A185),
   MATCH($H185, FILTER(Shipping_Rate_Card!B:B, Shipping_Rate_Card!A:A=$A185), 1),
   IF( INDEX(Config!B:B, MATCH($A185, Config!A:A, 0))=""Local"", 2,
     IF( INDEX(Config!B"&amp;":B, MATCH($A185, Config!A:A, 0))=""Regional"", 3, 4 )
   )
 ),
"""")
"),"")</f>
        <v/>
      </c>
      <c r="J185" s="16">
        <f>IFERROR(__xludf.DUMMYFUNCTION("IFERROR(
 ( E185 * INDEX(FILTER(Pricing_Rules!E:E, Pricing_Rules!A:A=A185, Pricing_Rules!B:B=B185, Pricing_Rules!C:C&lt;=E185, Pricing_Rules!D:D&gt;=E185), 1)
   + INDEX(FILTER(Pricing_Rules!F:F, Pricing_Rules!A:A=A185, Pricing_Rules!B:B=B185, Pricing_Rules!C:C"&amp;"&lt;=E185, Pricing_Rules!D:D&gt;=E185), 1)
 )
 * (1 + IFERROR( INDEX(Config!D:D, MATCH(A185, Config!A:A, 0)), 0 )),
"""")
"),5.8999999999999995)</f>
        <v>5.9</v>
      </c>
      <c r="K185" s="19">
        <f t="shared" si="3"/>
        <v>-5.9</v>
      </c>
      <c r="L185" s="20" t="str">
        <f t="shared" si="4"/>
        <v/>
      </c>
    </row>
    <row r="186" ht="15.75" customHeight="1">
      <c r="A186" s="9" t="s">
        <v>9</v>
      </c>
      <c r="B186" s="12" t="str">
        <f t="array" ref="B186">XLOOKUP(C186, Channel_Listings!C:C, Channel_Listings!B:B)
</f>
        <v>Apparel_Accessories_Winter</v>
      </c>
      <c r="C186" s="23" t="s">
        <v>149</v>
      </c>
      <c r="D186" s="14" t="str">
        <f t="array" ref="D186">XLOOKUP(C186, Channel_Listings!C:C, Channel_Listings!D:D)
</f>
        <v>BANDANA-HANKY-PAISLEY-ORANGE</v>
      </c>
      <c r="E186" s="15"/>
      <c r="F186" s="16">
        <f t="array" ref="F186">IFERROR(
  VALUE( INDEX(Product_Master!$I:$I,
               MATCH( INDEX(Pack_Master!$B:$B, MATCH($D186, Pack_Master!$A:$A, 0)),
                      Product_Master!$B:$B, 0)
  )) 
  * VALUE( INDEX(Pack_Master!$C:$C, MATCH($D186, Pack_Master!$A:$A, 0)) )
  + VALUE( INDEX(Pack_Master!$D:$D, MATCH($D186, Pack_Master!$A:$A, 0)) ),
"")
</f>
        <v>0</v>
      </c>
      <c r="G186" s="17">
        <f t="array" ref="G186">IFERROR(
 ( INDEX(Pack_Master!E:E, MATCH($D186, Pack_Master!A:A, 0))
   * INDEX(Pack_Master!F:F, MATCH($D186, Pack_Master!A:A, 0))
   * INDEX(Pack_Master!G:G, MATCH($D186, Pack_Master!A:A, 0))
 ) / INDEX(Config!C:C, MATCH($A186, Config!A:A, 0)),
"")
</f>
        <v>0</v>
      </c>
      <c r="H186" s="17">
        <f t="array" ref="H186">MAX( INDEX(Pack_Master!H:H, MATCH($D186, Pack_Master!A:A, 0)),
      IFERROR(G186, 0) )
</f>
        <v>0</v>
      </c>
      <c r="I186" s="18" t="str">
        <f>IFERROR(__xludf.DUMMYFUNCTION("IFERROR(
 INDEX(
   FILTER(Shipping_Rate_Card!B:F, Shipping_Rate_Card!A:A=$A186),
   MATCH($H186, FILTER(Shipping_Rate_Card!B:B, Shipping_Rate_Card!A:A=$A186), 1),
   IF( INDEX(Config!B:B, MATCH($A186, Config!A:A, 0))=""Local"", 2,
     IF( INDEX(Config!B"&amp;":B, MATCH($A186, Config!A:A, 0))=""Regional"", 3, 4 )
   )
 ),
"""")
"),"")</f>
        <v/>
      </c>
      <c r="J186" s="16">
        <f>IFERROR(__xludf.DUMMYFUNCTION("IFERROR(
 ( E186 * INDEX(FILTER(Pricing_Rules!E:E, Pricing_Rules!A:A=A186, Pricing_Rules!B:B=B186, Pricing_Rules!C:C&lt;=E186, Pricing_Rules!D:D&gt;=E186), 1)
   + INDEX(FILTER(Pricing_Rules!F:F, Pricing_Rules!A:A=A186, Pricing_Rules!B:B=B186, Pricing_Rules!C:C"&amp;"&lt;=E186, Pricing_Rules!D:D&gt;=E186), 1)
 )
 * (1 + IFERROR( INDEX(Config!D:D, MATCH(A186, Config!A:A, 0)), 0 )),
"""")
"),5.8999999999999995)</f>
        <v>5.9</v>
      </c>
      <c r="K186" s="19">
        <f t="shared" si="3"/>
        <v>-5.9</v>
      </c>
      <c r="L186" s="20" t="str">
        <f t="shared" si="4"/>
        <v/>
      </c>
    </row>
    <row r="187" ht="15.75" customHeight="1">
      <c r="A187" s="9" t="s">
        <v>9</v>
      </c>
      <c r="B187" s="12" t="str">
        <f t="array" ref="B187">XLOOKUP(C187, Channel_Listings!C:C, Channel_Listings!B:B)
</f>
        <v>Apparel_Accessories_Winter</v>
      </c>
      <c r="C187" s="23" t="s">
        <v>151</v>
      </c>
      <c r="D187" s="14" t="str">
        <f t="array" ref="D187">XLOOKUP(C187, Channel_Listings!C:C, Channel_Listings!D:D)
</f>
        <v>BANDANA-HANKY-PAISLEY-PURPLE</v>
      </c>
      <c r="E187" s="15"/>
      <c r="F187" s="16">
        <f t="array" ref="F187">IFERROR(
  VALUE( INDEX(Product_Master!$I:$I,
               MATCH( INDEX(Pack_Master!$B:$B, MATCH($D187, Pack_Master!$A:$A, 0)),
                      Product_Master!$B:$B, 0)
  )) 
  * VALUE( INDEX(Pack_Master!$C:$C, MATCH($D187, Pack_Master!$A:$A, 0)) )
  + VALUE( INDEX(Pack_Master!$D:$D, MATCH($D187, Pack_Master!$A:$A, 0)) ),
"")
</f>
        <v>0</v>
      </c>
      <c r="G187" s="17">
        <f t="array" ref="G187">IFERROR(
 ( INDEX(Pack_Master!E:E, MATCH($D187, Pack_Master!A:A, 0))
   * INDEX(Pack_Master!F:F, MATCH($D187, Pack_Master!A:A, 0))
   * INDEX(Pack_Master!G:G, MATCH($D187, Pack_Master!A:A, 0))
 ) / INDEX(Config!C:C, MATCH($A187, Config!A:A, 0)),
"")
</f>
        <v>0</v>
      </c>
      <c r="H187" s="17">
        <f t="array" ref="H187">MAX( INDEX(Pack_Master!H:H, MATCH($D187, Pack_Master!A:A, 0)),
      IFERROR(G187, 0) )
</f>
        <v>0</v>
      </c>
      <c r="I187" s="18" t="str">
        <f>IFERROR(__xludf.DUMMYFUNCTION("IFERROR(
 INDEX(
   FILTER(Shipping_Rate_Card!B:F, Shipping_Rate_Card!A:A=$A187),
   MATCH($H187, FILTER(Shipping_Rate_Card!B:B, Shipping_Rate_Card!A:A=$A187), 1),
   IF( INDEX(Config!B:B, MATCH($A187, Config!A:A, 0))=""Local"", 2,
     IF( INDEX(Config!B"&amp;":B, MATCH($A187, Config!A:A, 0))=""Regional"", 3, 4 )
   )
 ),
"""")
"),"")</f>
        <v/>
      </c>
      <c r="J187" s="16">
        <f>IFERROR(__xludf.DUMMYFUNCTION("IFERROR(
 ( E187 * INDEX(FILTER(Pricing_Rules!E:E, Pricing_Rules!A:A=A187, Pricing_Rules!B:B=B187, Pricing_Rules!C:C&lt;=E187, Pricing_Rules!D:D&gt;=E187), 1)
   + INDEX(FILTER(Pricing_Rules!F:F, Pricing_Rules!A:A=A187, Pricing_Rules!B:B=B187, Pricing_Rules!C:C"&amp;"&lt;=E187, Pricing_Rules!D:D&gt;=E187), 1)
 )
 * (1 + IFERROR( INDEX(Config!D:D, MATCH(A187, Config!A:A, 0)), 0 )),
"""")
"),5.8999999999999995)</f>
        <v>5.9</v>
      </c>
      <c r="K187" s="19">
        <f t="shared" si="3"/>
        <v>-5.9</v>
      </c>
      <c r="L187" s="20" t="str">
        <f t="shared" si="4"/>
        <v/>
      </c>
    </row>
    <row r="188" ht="15.75" customHeight="1">
      <c r="A188" s="9" t="s">
        <v>9</v>
      </c>
      <c r="B188" s="12" t="str">
        <f t="array" ref="B188">XLOOKUP(C188, Channel_Listings!C:C, Channel_Listings!B:B)
</f>
        <v>Apparel_Accessories_Winter</v>
      </c>
      <c r="C188" s="23" t="s">
        <v>153</v>
      </c>
      <c r="D188" s="14" t="str">
        <f t="array" ref="D188">XLOOKUP(C188, Channel_Listings!C:C, Channel_Listings!D:D)
</f>
        <v>BANDANA-HANKY-PAISLEY-RED</v>
      </c>
      <c r="E188" s="15"/>
      <c r="F188" s="16">
        <f t="array" ref="F188">IFERROR(
  VALUE( INDEX(Product_Master!$I:$I,
               MATCH( INDEX(Pack_Master!$B:$B, MATCH($D188, Pack_Master!$A:$A, 0)),
                      Product_Master!$B:$B, 0)
  )) 
  * VALUE( INDEX(Pack_Master!$C:$C, MATCH($D188, Pack_Master!$A:$A, 0)) )
  + VALUE( INDEX(Pack_Master!$D:$D, MATCH($D188, Pack_Master!$A:$A, 0)) ),
"")
</f>
        <v>0</v>
      </c>
      <c r="G188" s="17">
        <f t="array" ref="G188">IFERROR(
 ( INDEX(Pack_Master!E:E, MATCH($D188, Pack_Master!A:A, 0))
   * INDEX(Pack_Master!F:F, MATCH($D188, Pack_Master!A:A, 0))
   * INDEX(Pack_Master!G:G, MATCH($D188, Pack_Master!A:A, 0))
 ) / INDEX(Config!C:C, MATCH($A188, Config!A:A, 0)),
"")
</f>
        <v>0</v>
      </c>
      <c r="H188" s="17">
        <f t="array" ref="H188">MAX( INDEX(Pack_Master!H:H, MATCH($D188, Pack_Master!A:A, 0)),
      IFERROR(G188, 0) )
</f>
        <v>0</v>
      </c>
      <c r="I188" s="18" t="str">
        <f>IFERROR(__xludf.DUMMYFUNCTION("IFERROR(
 INDEX(
   FILTER(Shipping_Rate_Card!B:F, Shipping_Rate_Card!A:A=$A188),
   MATCH($H188, FILTER(Shipping_Rate_Card!B:B, Shipping_Rate_Card!A:A=$A188), 1),
   IF( INDEX(Config!B:B, MATCH($A188, Config!A:A, 0))=""Local"", 2,
     IF( INDEX(Config!B"&amp;":B, MATCH($A188, Config!A:A, 0))=""Regional"", 3, 4 )
   )
 ),
"""")
"),"")</f>
        <v/>
      </c>
      <c r="J188" s="16">
        <f>IFERROR(__xludf.DUMMYFUNCTION("IFERROR(
 ( E188 * INDEX(FILTER(Pricing_Rules!E:E, Pricing_Rules!A:A=A188, Pricing_Rules!B:B=B188, Pricing_Rules!C:C&lt;=E188, Pricing_Rules!D:D&gt;=E188), 1)
   + INDEX(FILTER(Pricing_Rules!F:F, Pricing_Rules!A:A=A188, Pricing_Rules!B:B=B188, Pricing_Rules!C:C"&amp;"&lt;=E188, Pricing_Rules!D:D&gt;=E188), 1)
 )
 * (1 + IFERROR( INDEX(Config!D:D, MATCH(A188, Config!A:A, 0)), 0 )),
"""")
"),5.8999999999999995)</f>
        <v>5.9</v>
      </c>
      <c r="K188" s="19">
        <f t="shared" si="3"/>
        <v>-5.9</v>
      </c>
      <c r="L188" s="20" t="str">
        <f t="shared" si="4"/>
        <v/>
      </c>
    </row>
    <row r="189" ht="15.75" customHeight="1">
      <c r="A189" s="9" t="s">
        <v>9</v>
      </c>
      <c r="B189" s="12" t="str">
        <f t="array" ref="B189">XLOOKUP(C189, Channel_Listings!C:C, Channel_Listings!B:B)
</f>
        <v>Apparel_Accessories_Winter</v>
      </c>
      <c r="C189" s="23" t="s">
        <v>155</v>
      </c>
      <c r="D189" s="14" t="str">
        <f t="array" ref="D189">XLOOKUP(C189, Channel_Listings!C:C, Channel_Listings!D:D)
</f>
        <v>BANDANA-HANKY-PAISLEY-TURQUOISE</v>
      </c>
      <c r="E189" s="15"/>
      <c r="F189" s="16">
        <f t="array" ref="F189">IFERROR(
  VALUE( INDEX(Product_Master!$I:$I,
               MATCH( INDEX(Pack_Master!$B:$B, MATCH($D189, Pack_Master!$A:$A, 0)),
                      Product_Master!$B:$B, 0)
  )) 
  * VALUE( INDEX(Pack_Master!$C:$C, MATCH($D189, Pack_Master!$A:$A, 0)) )
  + VALUE( INDEX(Pack_Master!$D:$D, MATCH($D189, Pack_Master!$A:$A, 0)) ),
"")
</f>
        <v>0</v>
      </c>
      <c r="G189" s="17">
        <f t="array" ref="G189">IFERROR(
 ( INDEX(Pack_Master!E:E, MATCH($D189, Pack_Master!A:A, 0))
   * INDEX(Pack_Master!F:F, MATCH($D189, Pack_Master!A:A, 0))
   * INDEX(Pack_Master!G:G, MATCH($D189, Pack_Master!A:A, 0))
 ) / INDEX(Config!C:C, MATCH($A189, Config!A:A, 0)),
"")
</f>
        <v>0</v>
      </c>
      <c r="H189" s="17">
        <f t="array" ref="H189">MAX( INDEX(Pack_Master!H:H, MATCH($D189, Pack_Master!A:A, 0)),
      IFERROR(G189, 0) )
</f>
        <v>0</v>
      </c>
      <c r="I189" s="18" t="str">
        <f>IFERROR(__xludf.DUMMYFUNCTION("IFERROR(
 INDEX(
   FILTER(Shipping_Rate_Card!B:F, Shipping_Rate_Card!A:A=$A189),
   MATCH($H189, FILTER(Shipping_Rate_Card!B:B, Shipping_Rate_Card!A:A=$A189), 1),
   IF( INDEX(Config!B:B, MATCH($A189, Config!A:A, 0))=""Local"", 2,
     IF( INDEX(Config!B"&amp;":B, MATCH($A189, Config!A:A, 0))=""Regional"", 3, 4 )
   )
 ),
"""")
"),"")</f>
        <v/>
      </c>
      <c r="J189" s="16">
        <f>IFERROR(__xludf.DUMMYFUNCTION("IFERROR(
 ( E189 * INDEX(FILTER(Pricing_Rules!E:E, Pricing_Rules!A:A=A189, Pricing_Rules!B:B=B189, Pricing_Rules!C:C&lt;=E189, Pricing_Rules!D:D&gt;=E189), 1)
   + INDEX(FILTER(Pricing_Rules!F:F, Pricing_Rules!A:A=A189, Pricing_Rules!B:B=B189, Pricing_Rules!C:C"&amp;"&lt;=E189, Pricing_Rules!D:D&gt;=E189), 1)
 )
 * (1 + IFERROR( INDEX(Config!D:D, MATCH(A189, Config!A:A, 0)), 0 )),
"""")
"),5.8999999999999995)</f>
        <v>5.9</v>
      </c>
      <c r="K189" s="19">
        <f t="shared" si="3"/>
        <v>-5.9</v>
      </c>
      <c r="L189" s="20" t="str">
        <f t="shared" si="4"/>
        <v/>
      </c>
    </row>
    <row r="190" ht="15.75" customHeight="1">
      <c r="A190" s="9" t="s">
        <v>9</v>
      </c>
      <c r="B190" s="12" t="str">
        <f t="array" ref="B190">XLOOKUP(C190, Channel_Listings!C:C, Channel_Listings!B:B)
</f>
        <v>Apparel_Accessories_Winter</v>
      </c>
      <c r="C190" s="23" t="s">
        <v>157</v>
      </c>
      <c r="D190" s="14" t="str">
        <f t="array" ref="D190">XLOOKUP(C190, Channel_Listings!C:C, Channel_Listings!D:D)
</f>
        <v>BANDANA-HANKY-PAISLEY-WHITE</v>
      </c>
      <c r="E190" s="15"/>
      <c r="F190" s="16">
        <f t="array" ref="F190">IFERROR(
  VALUE( INDEX(Product_Master!$I:$I,
               MATCH( INDEX(Pack_Master!$B:$B, MATCH($D190, Pack_Master!$A:$A, 0)),
                      Product_Master!$B:$B, 0)
  )) 
  * VALUE( INDEX(Pack_Master!$C:$C, MATCH($D190, Pack_Master!$A:$A, 0)) )
  + VALUE( INDEX(Pack_Master!$D:$D, MATCH($D190, Pack_Master!$A:$A, 0)) ),
"")
</f>
        <v>0</v>
      </c>
      <c r="G190" s="17">
        <f t="array" ref="G190">IFERROR(
 ( INDEX(Pack_Master!E:E, MATCH($D190, Pack_Master!A:A, 0))
   * INDEX(Pack_Master!F:F, MATCH($D190, Pack_Master!A:A, 0))
   * INDEX(Pack_Master!G:G, MATCH($D190, Pack_Master!A:A, 0))
 ) / INDEX(Config!C:C, MATCH($A190, Config!A:A, 0)),
"")
</f>
        <v>0</v>
      </c>
      <c r="H190" s="17">
        <f t="array" ref="H190">MAX( INDEX(Pack_Master!H:H, MATCH($D190, Pack_Master!A:A, 0)),
      IFERROR(G190, 0) )
</f>
        <v>0</v>
      </c>
      <c r="I190" s="18" t="str">
        <f>IFERROR(__xludf.DUMMYFUNCTION("IFERROR(
 INDEX(
   FILTER(Shipping_Rate_Card!B:F, Shipping_Rate_Card!A:A=$A190),
   MATCH($H190, FILTER(Shipping_Rate_Card!B:B, Shipping_Rate_Card!A:A=$A190), 1),
   IF( INDEX(Config!B:B, MATCH($A190, Config!A:A, 0))=""Local"", 2,
     IF( INDEX(Config!B"&amp;":B, MATCH($A190, Config!A:A, 0))=""Regional"", 3, 4 )
   )
 ),
"""")
"),"")</f>
        <v/>
      </c>
      <c r="J190" s="16">
        <f>IFERROR(__xludf.DUMMYFUNCTION("IFERROR(
 ( E190 * INDEX(FILTER(Pricing_Rules!E:E, Pricing_Rules!A:A=A190, Pricing_Rules!B:B=B190, Pricing_Rules!C:C&lt;=E190, Pricing_Rules!D:D&gt;=E190), 1)
   + INDEX(FILTER(Pricing_Rules!F:F, Pricing_Rules!A:A=A190, Pricing_Rules!B:B=B190, Pricing_Rules!C:C"&amp;"&lt;=E190, Pricing_Rules!D:D&gt;=E190), 1)
 )
 * (1 + IFERROR( INDEX(Config!D:D, MATCH(A190, Config!A:A, 0)), 0 )),
"""")
"),5.8999999999999995)</f>
        <v>5.9</v>
      </c>
      <c r="K190" s="19">
        <f t="shared" si="3"/>
        <v>-5.9</v>
      </c>
      <c r="L190" s="20" t="str">
        <f t="shared" si="4"/>
        <v/>
      </c>
    </row>
    <row r="191" ht="15.75" customHeight="1">
      <c r="A191" s="9" t="s">
        <v>9</v>
      </c>
      <c r="B191" s="12" t="str">
        <f t="array" ref="B191">XLOOKUP(C191, Channel_Listings!C:C, Channel_Listings!B:B)
</f>
        <v>Apparel_Accessories_Winter</v>
      </c>
      <c r="C191" s="23" t="s">
        <v>159</v>
      </c>
      <c r="D191" s="14" t="str">
        <f t="array" ref="D191">XLOOKUP(C191, Channel_Listings!C:C, Channel_Listings!D:D)
</f>
        <v>BANDANA-HANKY-PAISLEY-YELLOW</v>
      </c>
      <c r="E191" s="15"/>
      <c r="F191" s="16">
        <f t="array" ref="F191">IFERROR(
  VALUE( INDEX(Product_Master!$I:$I,
               MATCH( INDEX(Pack_Master!$B:$B, MATCH($D191, Pack_Master!$A:$A, 0)),
                      Product_Master!$B:$B, 0)
  )) 
  * VALUE( INDEX(Pack_Master!$C:$C, MATCH($D191, Pack_Master!$A:$A, 0)) )
  + VALUE( INDEX(Pack_Master!$D:$D, MATCH($D191, Pack_Master!$A:$A, 0)) ),
"")
</f>
        <v>0</v>
      </c>
      <c r="G191" s="17">
        <f t="array" ref="G191">IFERROR(
 ( INDEX(Pack_Master!E:E, MATCH($D191, Pack_Master!A:A, 0))
   * INDEX(Pack_Master!F:F, MATCH($D191, Pack_Master!A:A, 0))
   * INDEX(Pack_Master!G:G, MATCH($D191, Pack_Master!A:A, 0))
 ) / INDEX(Config!C:C, MATCH($A191, Config!A:A, 0)),
"")
</f>
        <v>0</v>
      </c>
      <c r="H191" s="17">
        <f t="array" ref="H191">MAX( INDEX(Pack_Master!H:H, MATCH($D191, Pack_Master!A:A, 0)),
      IFERROR(G191, 0) )
</f>
        <v>0</v>
      </c>
      <c r="I191" s="18" t="str">
        <f>IFERROR(__xludf.DUMMYFUNCTION("IFERROR(
 INDEX(
   FILTER(Shipping_Rate_Card!B:F, Shipping_Rate_Card!A:A=$A191),
   MATCH($H191, FILTER(Shipping_Rate_Card!B:B, Shipping_Rate_Card!A:A=$A191), 1),
   IF( INDEX(Config!B:B, MATCH($A191, Config!A:A, 0))=""Local"", 2,
     IF( INDEX(Config!B"&amp;":B, MATCH($A191, Config!A:A, 0))=""Regional"", 3, 4 )
   )
 ),
"""")
"),"")</f>
        <v/>
      </c>
      <c r="J191" s="16">
        <f>IFERROR(__xludf.DUMMYFUNCTION("IFERROR(
 ( E191 * INDEX(FILTER(Pricing_Rules!E:E, Pricing_Rules!A:A=A191, Pricing_Rules!B:B=B191, Pricing_Rules!C:C&lt;=E191, Pricing_Rules!D:D&gt;=E191), 1)
   + INDEX(FILTER(Pricing_Rules!F:F, Pricing_Rules!A:A=A191, Pricing_Rules!B:B=B191, Pricing_Rules!C:C"&amp;"&lt;=E191, Pricing_Rules!D:D&gt;=E191), 1)
 )
 * (1 + IFERROR( INDEX(Config!D:D, MATCH(A191, Config!A:A, 0)), 0 )),
"""")
"),5.8999999999999995)</f>
        <v>5.9</v>
      </c>
      <c r="K191" s="19">
        <f t="shared" si="3"/>
        <v>-5.9</v>
      </c>
      <c r="L191" s="20" t="str">
        <f t="shared" si="4"/>
        <v/>
      </c>
    </row>
    <row r="192" ht="15.75" customHeight="1">
      <c r="A192" s="9" t="s">
        <v>9</v>
      </c>
      <c r="B192" s="12" t="str">
        <f t="array" ref="B192">XLOOKUP(C192, Channel_Listings!C:C, Channel_Listings!B:B)
</f>
        <v>Apparel_Accessories_Winter</v>
      </c>
      <c r="C192" s="23" t="s">
        <v>161</v>
      </c>
      <c r="D192" s="14" t="str">
        <f t="array" ref="D192">XLOOKUP(C192, Channel_Listings!C:C, Channel_Listings!D:D)
</f>
        <v>BANDANA-HANKY-PAISLEYPO3-BLACKBLUEORANGE</v>
      </c>
      <c r="E192" s="15"/>
      <c r="F192" s="16">
        <f t="array" ref="F192">IFERROR(
  VALUE( INDEX(Product_Master!$I:$I,
               MATCH( INDEX(Pack_Master!$B:$B, MATCH($D192, Pack_Master!$A:$A, 0)),
                      Product_Master!$B:$B, 0)
  )) 
  * VALUE( INDEX(Pack_Master!$C:$C, MATCH($D192, Pack_Master!$A:$A, 0)) )
  + VALUE( INDEX(Pack_Master!$D:$D, MATCH($D192, Pack_Master!$A:$A, 0)) ),
"")
</f>
        <v>0</v>
      </c>
      <c r="G192" s="17">
        <f t="array" ref="G192">IFERROR(
 ( INDEX(Pack_Master!E:E, MATCH($D192, Pack_Master!A:A, 0))
   * INDEX(Pack_Master!F:F, MATCH($D192, Pack_Master!A:A, 0))
   * INDEX(Pack_Master!G:G, MATCH($D192, Pack_Master!A:A, 0))
 ) / INDEX(Config!C:C, MATCH($A192, Config!A:A, 0)),
"")
</f>
        <v>0</v>
      </c>
      <c r="H192" s="17">
        <f t="array" ref="H192">MAX( INDEX(Pack_Master!H:H, MATCH($D192, Pack_Master!A:A, 0)),
      IFERROR(G192, 0) )
</f>
        <v>0</v>
      </c>
      <c r="I192" s="18" t="str">
        <f>IFERROR(__xludf.DUMMYFUNCTION("IFERROR(
 INDEX(
   FILTER(Shipping_Rate_Card!B:F, Shipping_Rate_Card!A:A=$A192),
   MATCH($H192, FILTER(Shipping_Rate_Card!B:B, Shipping_Rate_Card!A:A=$A192), 1),
   IF( INDEX(Config!B:B, MATCH($A192, Config!A:A, 0))=""Local"", 2,
     IF( INDEX(Config!B"&amp;":B, MATCH($A192, Config!A:A, 0))=""Regional"", 3, 4 )
   )
 ),
"""")
"),"")</f>
        <v/>
      </c>
      <c r="J192" s="16">
        <f>IFERROR(__xludf.DUMMYFUNCTION("IFERROR(
 ( E192 * INDEX(FILTER(Pricing_Rules!E:E, Pricing_Rules!A:A=A192, Pricing_Rules!B:B=B192, Pricing_Rules!C:C&lt;=E192, Pricing_Rules!D:D&gt;=E192), 1)
   + INDEX(FILTER(Pricing_Rules!F:F, Pricing_Rules!A:A=A192, Pricing_Rules!B:B=B192, Pricing_Rules!C:C"&amp;"&lt;=E192, Pricing_Rules!D:D&gt;=E192), 1)
 )
 * (1 + IFERROR( INDEX(Config!D:D, MATCH(A192, Config!A:A, 0)), 0 )),
"""")
"),5.8999999999999995)</f>
        <v>5.9</v>
      </c>
      <c r="K192" s="19">
        <f t="shared" si="3"/>
        <v>-5.9</v>
      </c>
      <c r="L192" s="20" t="str">
        <f t="shared" si="4"/>
        <v/>
      </c>
    </row>
    <row r="193" ht="15.75" customHeight="1">
      <c r="A193" s="9" t="s">
        <v>9</v>
      </c>
      <c r="B193" s="12" t="str">
        <f t="array" ref="B193">XLOOKUP(C193, Channel_Listings!C:C, Channel_Listings!B:B)
</f>
        <v>Apparel_Accessories_Winter</v>
      </c>
      <c r="C193" s="23" t="s">
        <v>162</v>
      </c>
      <c r="D193" s="14" t="str">
        <f t="array" ref="D193">XLOOKUP(C193, Channel_Listings!C:C, Channel_Listings!D:D)
</f>
        <v>BANDANA-HANKY-PAISLEYPO3-BLACKNAVYWHITE</v>
      </c>
      <c r="E193" s="15"/>
      <c r="F193" s="16">
        <f t="array" ref="F193">IFERROR(
  VALUE( INDEX(Product_Master!$I:$I,
               MATCH( INDEX(Pack_Master!$B:$B, MATCH($D193, Pack_Master!$A:$A, 0)),
                      Product_Master!$B:$B, 0)
  )) 
  * VALUE( INDEX(Pack_Master!$C:$C, MATCH($D193, Pack_Master!$A:$A, 0)) )
  + VALUE( INDEX(Pack_Master!$D:$D, MATCH($D193, Pack_Master!$A:$A, 0)) ),
"")
</f>
        <v>0</v>
      </c>
      <c r="G193" s="17">
        <f t="array" ref="G193">IFERROR(
 ( INDEX(Pack_Master!E:E, MATCH($D193, Pack_Master!A:A, 0))
   * INDEX(Pack_Master!F:F, MATCH($D193, Pack_Master!A:A, 0))
   * INDEX(Pack_Master!G:G, MATCH($D193, Pack_Master!A:A, 0))
 ) / INDEX(Config!C:C, MATCH($A193, Config!A:A, 0)),
"")
</f>
        <v>0</v>
      </c>
      <c r="H193" s="17">
        <f t="array" ref="H193">MAX( INDEX(Pack_Master!H:H, MATCH($D193, Pack_Master!A:A, 0)),
      IFERROR(G193, 0) )
</f>
        <v>0</v>
      </c>
      <c r="I193" s="18" t="str">
        <f>IFERROR(__xludf.DUMMYFUNCTION("IFERROR(
 INDEX(
   FILTER(Shipping_Rate_Card!B:F, Shipping_Rate_Card!A:A=$A193),
   MATCH($H193, FILTER(Shipping_Rate_Card!B:B, Shipping_Rate_Card!A:A=$A193), 1),
   IF( INDEX(Config!B:B, MATCH($A193, Config!A:A, 0))=""Local"", 2,
     IF( INDEX(Config!B"&amp;":B, MATCH($A193, Config!A:A, 0))=""Regional"", 3, 4 )
   )
 ),
"""")
"),"")</f>
        <v/>
      </c>
      <c r="J193" s="16">
        <f>IFERROR(__xludf.DUMMYFUNCTION("IFERROR(
 ( E193 * INDEX(FILTER(Pricing_Rules!E:E, Pricing_Rules!A:A=A193, Pricing_Rules!B:B=B193, Pricing_Rules!C:C&lt;=E193, Pricing_Rules!D:D&gt;=E193), 1)
   + INDEX(FILTER(Pricing_Rules!F:F, Pricing_Rules!A:A=A193, Pricing_Rules!B:B=B193, Pricing_Rules!C:C"&amp;"&lt;=E193, Pricing_Rules!D:D&gt;=E193), 1)
 )
 * (1 + IFERROR( INDEX(Config!D:D, MATCH(A193, Config!A:A, 0)), 0 )),
"""")
"),5.8999999999999995)</f>
        <v>5.9</v>
      </c>
      <c r="K193" s="19">
        <f t="shared" si="3"/>
        <v>-5.9</v>
      </c>
      <c r="L193" s="20" t="str">
        <f t="shared" si="4"/>
        <v/>
      </c>
    </row>
    <row r="194" ht="15.75" customHeight="1">
      <c r="A194" s="9" t="s">
        <v>9</v>
      </c>
      <c r="B194" s="12" t="str">
        <f t="array" ref="B194">XLOOKUP(C194, Channel_Listings!C:C, Channel_Listings!B:B)
</f>
        <v>Apparel_Accessories_Winter</v>
      </c>
      <c r="C194" s="23" t="s">
        <v>163</v>
      </c>
      <c r="D194" s="14" t="str">
        <f t="array" ref="D194">XLOOKUP(C194, Channel_Listings!C:C, Channel_Listings!D:D)
</f>
        <v>BANDANA-HANKY-PAISLEYPO3-BLACKREDWHITE</v>
      </c>
      <c r="E194" s="15"/>
      <c r="F194" s="16">
        <f t="array" ref="F194">IFERROR(
  VALUE( INDEX(Product_Master!$I:$I,
               MATCH( INDEX(Pack_Master!$B:$B, MATCH($D194, Pack_Master!$A:$A, 0)),
                      Product_Master!$B:$B, 0)
  )) 
  * VALUE( INDEX(Pack_Master!$C:$C, MATCH($D194, Pack_Master!$A:$A, 0)) )
  + VALUE( INDEX(Pack_Master!$D:$D, MATCH($D194, Pack_Master!$A:$A, 0)) ),
"")
</f>
        <v>0</v>
      </c>
      <c r="G194" s="17">
        <f t="array" ref="G194">IFERROR(
 ( INDEX(Pack_Master!E:E, MATCH($D194, Pack_Master!A:A, 0))
   * INDEX(Pack_Master!F:F, MATCH($D194, Pack_Master!A:A, 0))
   * INDEX(Pack_Master!G:G, MATCH($D194, Pack_Master!A:A, 0))
 ) / INDEX(Config!C:C, MATCH($A194, Config!A:A, 0)),
"")
</f>
        <v>0</v>
      </c>
      <c r="H194" s="17">
        <f t="array" ref="H194">MAX( INDEX(Pack_Master!H:H, MATCH($D194, Pack_Master!A:A, 0)),
      IFERROR(G194, 0) )
</f>
        <v>0</v>
      </c>
      <c r="I194" s="18" t="str">
        <f>IFERROR(__xludf.DUMMYFUNCTION("IFERROR(
 INDEX(
   FILTER(Shipping_Rate_Card!B:F, Shipping_Rate_Card!A:A=$A194),
   MATCH($H194, FILTER(Shipping_Rate_Card!B:B, Shipping_Rate_Card!A:A=$A194), 1),
   IF( INDEX(Config!B:B, MATCH($A194, Config!A:A, 0))=""Local"", 2,
     IF( INDEX(Config!B"&amp;":B, MATCH($A194, Config!A:A, 0))=""Regional"", 3, 4 )
   )
 ),
"""")
"),"")</f>
        <v/>
      </c>
      <c r="J194" s="16">
        <f>IFERROR(__xludf.DUMMYFUNCTION("IFERROR(
 ( E194 * INDEX(FILTER(Pricing_Rules!E:E, Pricing_Rules!A:A=A194, Pricing_Rules!B:B=B194, Pricing_Rules!C:C&lt;=E194, Pricing_Rules!D:D&gt;=E194), 1)
   + INDEX(FILTER(Pricing_Rules!F:F, Pricing_Rules!A:A=A194, Pricing_Rules!B:B=B194, Pricing_Rules!C:C"&amp;"&lt;=E194, Pricing_Rules!D:D&gt;=E194), 1)
 )
 * (1 + IFERROR( INDEX(Config!D:D, MATCH(A194, Config!A:A, 0)), 0 )),
"""")
"),5.8999999999999995)</f>
        <v>5.9</v>
      </c>
      <c r="K194" s="19">
        <f t="shared" si="3"/>
        <v>-5.9</v>
      </c>
      <c r="L194" s="20" t="str">
        <f t="shared" si="4"/>
        <v/>
      </c>
    </row>
    <row r="195" ht="15.75" customHeight="1">
      <c r="A195" s="9" t="s">
        <v>9</v>
      </c>
      <c r="B195" s="12" t="str">
        <f t="array" ref="B195">XLOOKUP(C195, Channel_Listings!C:C, Channel_Listings!B:B)
</f>
        <v>Apparel_Accessories_Winter</v>
      </c>
      <c r="C195" s="23" t="s">
        <v>164</v>
      </c>
      <c r="D195" s="14" t="str">
        <f t="array" ref="D195">XLOOKUP(C195, Channel_Listings!C:C, Channel_Listings!D:D)
</f>
        <v>BANDANA-HANKY-PAISLEYPO3-ORANGENAVYWHITE</v>
      </c>
      <c r="E195" s="15"/>
      <c r="F195" s="16">
        <f t="array" ref="F195">IFERROR(
  VALUE( INDEX(Product_Master!$I:$I,
               MATCH( INDEX(Pack_Master!$B:$B, MATCH($D195, Pack_Master!$A:$A, 0)),
                      Product_Master!$B:$B, 0)
  )) 
  * VALUE( INDEX(Pack_Master!$C:$C, MATCH($D195, Pack_Master!$A:$A, 0)) )
  + VALUE( INDEX(Pack_Master!$D:$D, MATCH($D195, Pack_Master!$A:$A, 0)) ),
"")
</f>
        <v>0</v>
      </c>
      <c r="G195" s="17">
        <f t="array" ref="G195">IFERROR(
 ( INDEX(Pack_Master!E:E, MATCH($D195, Pack_Master!A:A, 0))
   * INDEX(Pack_Master!F:F, MATCH($D195, Pack_Master!A:A, 0))
   * INDEX(Pack_Master!G:G, MATCH($D195, Pack_Master!A:A, 0))
 ) / INDEX(Config!C:C, MATCH($A195, Config!A:A, 0)),
"")
</f>
        <v>0</v>
      </c>
      <c r="H195" s="17">
        <f t="array" ref="H195">MAX( INDEX(Pack_Master!H:H, MATCH($D195, Pack_Master!A:A, 0)),
      IFERROR(G195, 0) )
</f>
        <v>0</v>
      </c>
      <c r="I195" s="18" t="str">
        <f>IFERROR(__xludf.DUMMYFUNCTION("IFERROR(
 INDEX(
   FILTER(Shipping_Rate_Card!B:F, Shipping_Rate_Card!A:A=$A195),
   MATCH($H195, FILTER(Shipping_Rate_Card!B:B, Shipping_Rate_Card!A:A=$A195), 1),
   IF( INDEX(Config!B:B, MATCH($A195, Config!A:A, 0))=""Local"", 2,
     IF( INDEX(Config!B"&amp;":B, MATCH($A195, Config!A:A, 0))=""Regional"", 3, 4 )
   )
 ),
"""")
"),"")</f>
        <v/>
      </c>
      <c r="J195" s="16">
        <f>IFERROR(__xludf.DUMMYFUNCTION("IFERROR(
 ( E195 * INDEX(FILTER(Pricing_Rules!E:E, Pricing_Rules!A:A=A195, Pricing_Rules!B:B=B195, Pricing_Rules!C:C&lt;=E195, Pricing_Rules!D:D&gt;=E195), 1)
   + INDEX(FILTER(Pricing_Rules!F:F, Pricing_Rules!A:A=A195, Pricing_Rules!B:B=B195, Pricing_Rules!C:C"&amp;"&lt;=E195, Pricing_Rules!D:D&gt;=E195), 1)
 )
 * (1 + IFERROR( INDEX(Config!D:D, MATCH(A195, Config!A:A, 0)), 0 )),
"""")
"),5.8999999999999995)</f>
        <v>5.9</v>
      </c>
      <c r="K195" s="19">
        <f t="shared" si="3"/>
        <v>-5.9</v>
      </c>
      <c r="L195" s="20" t="str">
        <f t="shared" si="4"/>
        <v/>
      </c>
    </row>
    <row r="196" ht="15.75" customHeight="1">
      <c r="A196" s="9" t="s">
        <v>9</v>
      </c>
      <c r="B196" s="12" t="str">
        <f t="array" ref="B196">XLOOKUP(C196, Channel_Listings!C:C, Channel_Listings!B:B)
</f>
        <v>Apparel_Accessories_Winter</v>
      </c>
      <c r="C196" s="23" t="s">
        <v>165</v>
      </c>
      <c r="D196" s="14" t="str">
        <f t="array" ref="D196">XLOOKUP(C196, Channel_Listings!C:C, Channel_Listings!D:D)
</f>
        <v>BANDANA-HANKY-PAISLEYPO3-ORANGEREDMAROON</v>
      </c>
      <c r="E196" s="15"/>
      <c r="F196" s="16">
        <f t="array" ref="F196">IFERROR(
  VALUE( INDEX(Product_Master!$I:$I,
               MATCH( INDEX(Pack_Master!$B:$B, MATCH($D196, Pack_Master!$A:$A, 0)),
                      Product_Master!$B:$B, 0)
  )) 
  * VALUE( INDEX(Pack_Master!$C:$C, MATCH($D196, Pack_Master!$A:$A, 0)) )
  + VALUE( INDEX(Pack_Master!$D:$D, MATCH($D196, Pack_Master!$A:$A, 0)) ),
"")
</f>
        <v>0</v>
      </c>
      <c r="G196" s="17">
        <f t="array" ref="G196">IFERROR(
 ( INDEX(Pack_Master!E:E, MATCH($D196, Pack_Master!A:A, 0))
   * INDEX(Pack_Master!F:F, MATCH($D196, Pack_Master!A:A, 0))
   * INDEX(Pack_Master!G:G, MATCH($D196, Pack_Master!A:A, 0))
 ) / INDEX(Config!C:C, MATCH($A196, Config!A:A, 0)),
"")
</f>
        <v>0</v>
      </c>
      <c r="H196" s="17">
        <f t="array" ref="H196">MAX( INDEX(Pack_Master!H:H, MATCH($D196, Pack_Master!A:A, 0)),
      IFERROR(G196, 0) )
</f>
        <v>0</v>
      </c>
      <c r="I196" s="18" t="str">
        <f>IFERROR(__xludf.DUMMYFUNCTION("IFERROR(
 INDEX(
   FILTER(Shipping_Rate_Card!B:F, Shipping_Rate_Card!A:A=$A196),
   MATCH($H196, FILTER(Shipping_Rate_Card!B:B, Shipping_Rate_Card!A:A=$A196), 1),
   IF( INDEX(Config!B:B, MATCH($A196, Config!A:A, 0))=""Local"", 2,
     IF( INDEX(Config!B"&amp;":B, MATCH($A196, Config!A:A, 0))=""Regional"", 3, 4 )
   )
 ),
"""")
"),"")</f>
        <v/>
      </c>
      <c r="J196" s="16">
        <f>IFERROR(__xludf.DUMMYFUNCTION("IFERROR(
 ( E196 * INDEX(FILTER(Pricing_Rules!E:E, Pricing_Rules!A:A=A196, Pricing_Rules!B:B=B196, Pricing_Rules!C:C&lt;=E196, Pricing_Rules!D:D&gt;=E196), 1)
   + INDEX(FILTER(Pricing_Rules!F:F, Pricing_Rules!A:A=A196, Pricing_Rules!B:B=B196, Pricing_Rules!C:C"&amp;"&lt;=E196, Pricing_Rules!D:D&gt;=E196), 1)
 )
 * (1 + IFERROR( INDEX(Config!D:D, MATCH(A196, Config!A:A, 0)), 0 )),
"""")
"),5.8999999999999995)</f>
        <v>5.9</v>
      </c>
      <c r="K196" s="19">
        <f t="shared" si="3"/>
        <v>-5.9</v>
      </c>
      <c r="L196" s="20" t="str">
        <f t="shared" si="4"/>
        <v/>
      </c>
    </row>
    <row r="197" ht="15.75" customHeight="1">
      <c r="A197" s="9" t="s">
        <v>9</v>
      </c>
      <c r="B197" s="12" t="str">
        <f t="array" ref="B197">XLOOKUP(C197, Channel_Listings!C:C, Channel_Listings!B:B)
</f>
        <v>Apparel_Accessories_Winter</v>
      </c>
      <c r="C197" s="23" t="s">
        <v>166</v>
      </c>
      <c r="D197" s="14" t="str">
        <f t="array" ref="D197">XLOOKUP(C197, Channel_Listings!C:C, Channel_Listings!D:D)
</f>
        <v>BANDANA-HANKY-PAISLEYPO3-REDNAVYWHITE</v>
      </c>
      <c r="E197" s="15"/>
      <c r="F197" s="16">
        <f t="array" ref="F197">IFERROR(
  VALUE( INDEX(Product_Master!$I:$I,
               MATCH( INDEX(Pack_Master!$B:$B, MATCH($D197, Pack_Master!$A:$A, 0)),
                      Product_Master!$B:$B, 0)
  )) 
  * VALUE( INDEX(Pack_Master!$C:$C, MATCH($D197, Pack_Master!$A:$A, 0)) )
  + VALUE( INDEX(Pack_Master!$D:$D, MATCH($D197, Pack_Master!$A:$A, 0)) ),
"")
</f>
        <v>0</v>
      </c>
      <c r="G197" s="17">
        <f t="array" ref="G197">IFERROR(
 ( INDEX(Pack_Master!E:E, MATCH($D197, Pack_Master!A:A, 0))
   * INDEX(Pack_Master!F:F, MATCH($D197, Pack_Master!A:A, 0))
   * INDEX(Pack_Master!G:G, MATCH($D197, Pack_Master!A:A, 0))
 ) / INDEX(Config!C:C, MATCH($A197, Config!A:A, 0)),
"")
</f>
        <v>0</v>
      </c>
      <c r="H197" s="17">
        <f t="array" ref="H197">MAX( INDEX(Pack_Master!H:H, MATCH($D197, Pack_Master!A:A, 0)),
      IFERROR(G197, 0) )
</f>
        <v>0</v>
      </c>
      <c r="I197" s="18" t="str">
        <f>IFERROR(__xludf.DUMMYFUNCTION("IFERROR(
 INDEX(
   FILTER(Shipping_Rate_Card!B:F, Shipping_Rate_Card!A:A=$A197),
   MATCH($H197, FILTER(Shipping_Rate_Card!B:B, Shipping_Rate_Card!A:A=$A197), 1),
   IF( INDEX(Config!B:B, MATCH($A197, Config!A:A, 0))=""Local"", 2,
     IF( INDEX(Config!B"&amp;":B, MATCH($A197, Config!A:A, 0))=""Regional"", 3, 4 )
   )
 ),
"""")
"),"")</f>
        <v/>
      </c>
      <c r="J197" s="16">
        <f>IFERROR(__xludf.DUMMYFUNCTION("IFERROR(
 ( E197 * INDEX(FILTER(Pricing_Rules!E:E, Pricing_Rules!A:A=A197, Pricing_Rules!B:B=B197, Pricing_Rules!C:C&lt;=E197, Pricing_Rules!D:D&gt;=E197), 1)
   + INDEX(FILTER(Pricing_Rules!F:F, Pricing_Rules!A:A=A197, Pricing_Rules!B:B=B197, Pricing_Rules!C:C"&amp;"&lt;=E197, Pricing_Rules!D:D&gt;=E197), 1)
 )
 * (1 + IFERROR( INDEX(Config!D:D, MATCH(A197, Config!A:A, 0)), 0 )),
"""")
"),5.8999999999999995)</f>
        <v>5.9</v>
      </c>
      <c r="K197" s="19">
        <f t="shared" si="3"/>
        <v>-5.9</v>
      </c>
      <c r="L197" s="20" t="str">
        <f t="shared" si="4"/>
        <v/>
      </c>
    </row>
    <row r="198" ht="15.75" customHeight="1">
      <c r="A198" s="9" t="s">
        <v>9</v>
      </c>
      <c r="B198" s="12" t="str">
        <f t="array" ref="B198">XLOOKUP(C198, Channel_Listings!C:C, Channel_Listings!B:B)
</f>
        <v>Automotive_FaceMasks</v>
      </c>
      <c r="C198" s="22" t="s">
        <v>167</v>
      </c>
      <c r="D198" s="14" t="str">
        <f t="array" ref="D198">XLOOKUP(C198, Channel_Listings!C:C, Channel_Listings!D:D)
</f>
        <v>BANDANA-PATTERN-MULTICOLOR-PK10</v>
      </c>
      <c r="E198" s="15"/>
      <c r="F198" s="16">
        <f t="array" ref="F198">IFERROR(
  VALUE( INDEX(Product_Master!$I:$I,
               MATCH( INDEX(Pack_Master!$B:$B, MATCH($D198, Pack_Master!$A:$A, 0)),
                      Product_Master!$B:$B, 0)
  )) 
  * VALUE( INDEX(Pack_Master!$C:$C, MATCH($D198, Pack_Master!$A:$A, 0)) )
  + VALUE( INDEX(Pack_Master!$D:$D, MATCH($D198, Pack_Master!$A:$A, 0)) ),
"")
</f>
        <v>0</v>
      </c>
      <c r="G198" s="17">
        <f t="array" ref="G198">IFERROR(
 ( INDEX(Pack_Master!E:E, MATCH($D198, Pack_Master!A:A, 0))
   * INDEX(Pack_Master!F:F, MATCH($D198, Pack_Master!A:A, 0))
   * INDEX(Pack_Master!G:G, MATCH($D198, Pack_Master!A:A, 0))
 ) / INDEX(Config!C:C, MATCH($A198, Config!A:A, 0)),
"")
</f>
        <v>0</v>
      </c>
      <c r="H198" s="17">
        <f t="array" ref="H198">MAX( INDEX(Pack_Master!H:H, MATCH($D198, Pack_Master!A:A, 0)),
      IFERROR(G198, 0) )
</f>
        <v>0</v>
      </c>
      <c r="I198" s="18" t="str">
        <f>IFERROR(__xludf.DUMMYFUNCTION("IFERROR(
 INDEX(
   FILTER(Shipping_Rate_Card!B:F, Shipping_Rate_Card!A:A=$A198),
   MATCH($H198, FILTER(Shipping_Rate_Card!B:B, Shipping_Rate_Card!A:A=$A198), 1),
   IF( INDEX(Config!B:B, MATCH($A198, Config!A:A, 0))=""Local"", 2,
     IF( INDEX(Config!B"&amp;":B, MATCH($A198, Config!A:A, 0))=""Regional"", 3, 4 )
   )
 ),
"""")
"),"")</f>
        <v/>
      </c>
      <c r="J198" s="16">
        <f>IFERROR(__xludf.DUMMYFUNCTION("IFERROR(
 ( E198 * INDEX(FILTER(Pricing_Rules!E:E, Pricing_Rules!A:A=A198, Pricing_Rules!B:B=B198, Pricing_Rules!C:C&lt;=E198, Pricing_Rules!D:D&gt;=E198), 1)
   + INDEX(FILTER(Pricing_Rules!F:F, Pricing_Rules!A:A=A198, Pricing_Rules!B:B=B198, Pricing_Rules!C:C"&amp;"&lt;=E198, Pricing_Rules!D:D&gt;=E198), 1)
 )
 * (1 + IFERROR( INDEX(Config!D:D, MATCH(A198, Config!A:A, 0)), 0 )),
"""")
"),5.8999999999999995)</f>
        <v>5.9</v>
      </c>
      <c r="K198" s="19">
        <f t="shared" si="3"/>
        <v>-5.9</v>
      </c>
      <c r="L198" s="20" t="str">
        <f t="shared" si="4"/>
        <v/>
      </c>
    </row>
    <row r="199" ht="15.75" customHeight="1">
      <c r="A199" s="9" t="s">
        <v>9</v>
      </c>
      <c r="B199" s="12" t="str">
        <f t="array" ref="B199">XLOOKUP(C199, Channel_Listings!C:C, Channel_Listings!B:B)
</f>
        <v>Automotive_FaceMasks</v>
      </c>
      <c r="C199" s="23" t="s">
        <v>168</v>
      </c>
      <c r="D199" s="14" t="str">
        <f t="array" ref="D199">XLOOKUP(C199, Channel_Listings!C:C, Channel_Listings!D:D)
</f>
        <v>BANDANA-PATTERN-BLACK-PK5</v>
      </c>
      <c r="E199" s="15"/>
      <c r="F199" s="16">
        <f t="array" ref="F199">IFERROR(
  VALUE( INDEX(Product_Master!$I:$I,
               MATCH( INDEX(Pack_Master!$B:$B, MATCH($D199, Pack_Master!$A:$A, 0)),
                      Product_Master!$B:$B, 0)
  )) 
  * VALUE( INDEX(Pack_Master!$C:$C, MATCH($D199, Pack_Master!$A:$A, 0)) )
  + VALUE( INDEX(Pack_Master!$D:$D, MATCH($D199, Pack_Master!$A:$A, 0)) ),
"")
</f>
        <v>0</v>
      </c>
      <c r="G199" s="17">
        <f t="array" ref="G199">IFERROR(
 ( INDEX(Pack_Master!E:E, MATCH($D199, Pack_Master!A:A, 0))
   * INDEX(Pack_Master!F:F, MATCH($D199, Pack_Master!A:A, 0))
   * INDEX(Pack_Master!G:G, MATCH($D199, Pack_Master!A:A, 0))
 ) / INDEX(Config!C:C, MATCH($A199, Config!A:A, 0)),
"")
</f>
        <v>0</v>
      </c>
      <c r="H199" s="17">
        <f t="array" ref="H199">MAX( INDEX(Pack_Master!H:H, MATCH($D199, Pack_Master!A:A, 0)),
      IFERROR(G199, 0) )
</f>
        <v>0</v>
      </c>
      <c r="I199" s="18" t="str">
        <f>IFERROR(__xludf.DUMMYFUNCTION("IFERROR(
 INDEX(
   FILTER(Shipping_Rate_Card!B:F, Shipping_Rate_Card!A:A=$A199),
   MATCH($H199, FILTER(Shipping_Rate_Card!B:B, Shipping_Rate_Card!A:A=$A199), 1),
   IF( INDEX(Config!B:B, MATCH($A199, Config!A:A, 0))=""Local"", 2,
     IF( INDEX(Config!B"&amp;":B, MATCH($A199, Config!A:A, 0))=""Regional"", 3, 4 )
   )
 ),
"""")
"),"")</f>
        <v/>
      </c>
      <c r="J199" s="16">
        <f>IFERROR(__xludf.DUMMYFUNCTION("IFERROR(
 ( E199 * INDEX(FILTER(Pricing_Rules!E:E, Pricing_Rules!A:A=A199, Pricing_Rules!B:B=B199, Pricing_Rules!C:C&lt;=E199, Pricing_Rules!D:D&gt;=E199), 1)
   + INDEX(FILTER(Pricing_Rules!F:F, Pricing_Rules!A:A=A199, Pricing_Rules!B:B=B199, Pricing_Rules!C:C"&amp;"&lt;=E199, Pricing_Rules!D:D&gt;=E199), 1)
 )
 * (1 + IFERROR( INDEX(Config!D:D, MATCH(A199, Config!A:A, 0)), 0 )),
"""")
"),5.8999999999999995)</f>
        <v>5.9</v>
      </c>
      <c r="K199" s="19">
        <f t="shared" si="3"/>
        <v>-5.9</v>
      </c>
      <c r="L199" s="20" t="str">
        <f t="shared" si="4"/>
        <v/>
      </c>
    </row>
    <row r="200" ht="15.75" customHeight="1">
      <c r="A200" s="9" t="s">
        <v>9</v>
      </c>
      <c r="B200" s="12" t="str">
        <f t="array" ref="B200">XLOOKUP(C200, Channel_Listings!C:C, Channel_Listings!B:B)
</f>
        <v>Automotive_FaceMasks</v>
      </c>
      <c r="C200" s="23" t="s">
        <v>170</v>
      </c>
      <c r="D200" s="14" t="str">
        <f t="array" ref="D200">XLOOKUP(C200, Channel_Listings!C:C, Channel_Listings!D:D)
</f>
        <v>BANDANA-PATTERN-BLUE-PK5</v>
      </c>
      <c r="E200" s="15"/>
      <c r="F200" s="16">
        <f t="array" ref="F200">IFERROR(
  VALUE( INDEX(Product_Master!$I:$I,
               MATCH( INDEX(Pack_Master!$B:$B, MATCH($D200, Pack_Master!$A:$A, 0)),
                      Product_Master!$B:$B, 0)
  )) 
  * VALUE( INDEX(Pack_Master!$C:$C, MATCH($D200, Pack_Master!$A:$A, 0)) )
  + VALUE( INDEX(Pack_Master!$D:$D, MATCH($D200, Pack_Master!$A:$A, 0)) ),
"")
</f>
        <v>0</v>
      </c>
      <c r="G200" s="17">
        <f t="array" ref="G200">IFERROR(
 ( INDEX(Pack_Master!E:E, MATCH($D200, Pack_Master!A:A, 0))
   * INDEX(Pack_Master!F:F, MATCH($D200, Pack_Master!A:A, 0))
   * INDEX(Pack_Master!G:G, MATCH($D200, Pack_Master!A:A, 0))
 ) / INDEX(Config!C:C, MATCH($A200, Config!A:A, 0)),
"")
</f>
        <v>0</v>
      </c>
      <c r="H200" s="17">
        <f t="array" ref="H200">MAX( INDEX(Pack_Master!H:H, MATCH($D200, Pack_Master!A:A, 0)),
      IFERROR(G200, 0) )
</f>
        <v>0</v>
      </c>
      <c r="I200" s="18" t="str">
        <f>IFERROR(__xludf.DUMMYFUNCTION("IFERROR(
 INDEX(
   FILTER(Shipping_Rate_Card!B:F, Shipping_Rate_Card!A:A=$A200),
   MATCH($H200, FILTER(Shipping_Rate_Card!B:B, Shipping_Rate_Card!A:A=$A200), 1),
   IF( INDEX(Config!B:B, MATCH($A200, Config!A:A, 0))=""Local"", 2,
     IF( INDEX(Config!B"&amp;":B, MATCH($A200, Config!A:A, 0))=""Regional"", 3, 4 )
   )
 ),
"""")
"),"")</f>
        <v/>
      </c>
      <c r="J200" s="16">
        <f>IFERROR(__xludf.DUMMYFUNCTION("IFERROR(
 ( E200 * INDEX(FILTER(Pricing_Rules!E:E, Pricing_Rules!A:A=A200, Pricing_Rules!B:B=B200, Pricing_Rules!C:C&lt;=E200, Pricing_Rules!D:D&gt;=E200), 1)
   + INDEX(FILTER(Pricing_Rules!F:F, Pricing_Rules!A:A=A200, Pricing_Rules!B:B=B200, Pricing_Rules!C:C"&amp;"&lt;=E200, Pricing_Rules!D:D&gt;=E200), 1)
 )
 * (1 + IFERROR( INDEX(Config!D:D, MATCH(A200, Config!A:A, 0)), 0 )),
"""")
"),5.8999999999999995)</f>
        <v>5.9</v>
      </c>
      <c r="K200" s="19">
        <f t="shared" si="3"/>
        <v>-5.9</v>
      </c>
      <c r="L200" s="20" t="str">
        <f t="shared" si="4"/>
        <v/>
      </c>
    </row>
    <row r="201" ht="15.75" customHeight="1">
      <c r="A201" s="9" t="s">
        <v>9</v>
      </c>
      <c r="B201" s="12" t="str">
        <f t="array" ref="B201">XLOOKUP(C201, Channel_Listings!C:C, Channel_Listings!B:B)
</f>
        <v>Automotive_FaceMasks</v>
      </c>
      <c r="C201" s="23" t="s">
        <v>172</v>
      </c>
      <c r="D201" s="14" t="str">
        <f t="array" ref="D201">XLOOKUP(C201, Channel_Listings!C:C, Channel_Listings!D:D)
</f>
        <v>BANDANA-PATTERN-CAMOREGULAR-PK5</v>
      </c>
      <c r="E201" s="15"/>
      <c r="F201" s="16">
        <f t="array" ref="F201">IFERROR(
  VALUE( INDEX(Product_Master!$I:$I,
               MATCH( INDEX(Pack_Master!$B:$B, MATCH($D201, Pack_Master!$A:$A, 0)),
                      Product_Master!$B:$B, 0)
  )) 
  * VALUE( INDEX(Pack_Master!$C:$C, MATCH($D201, Pack_Master!$A:$A, 0)) )
  + VALUE( INDEX(Pack_Master!$D:$D, MATCH($D201, Pack_Master!$A:$A, 0)) ),
"")
</f>
        <v>0</v>
      </c>
      <c r="G201" s="17">
        <f t="array" ref="G201">IFERROR(
 ( INDEX(Pack_Master!E:E, MATCH($D201, Pack_Master!A:A, 0))
   * INDEX(Pack_Master!F:F, MATCH($D201, Pack_Master!A:A, 0))
   * INDEX(Pack_Master!G:G, MATCH($D201, Pack_Master!A:A, 0))
 ) / INDEX(Config!C:C, MATCH($A201, Config!A:A, 0)),
"")
</f>
        <v>0</v>
      </c>
      <c r="H201" s="17">
        <f t="array" ref="H201">MAX( INDEX(Pack_Master!H:H, MATCH($D201, Pack_Master!A:A, 0)),
      IFERROR(G201, 0) )
</f>
        <v>0</v>
      </c>
      <c r="I201" s="18" t="str">
        <f>IFERROR(__xludf.DUMMYFUNCTION("IFERROR(
 INDEX(
   FILTER(Shipping_Rate_Card!B:F, Shipping_Rate_Card!A:A=$A201),
   MATCH($H201, FILTER(Shipping_Rate_Card!B:B, Shipping_Rate_Card!A:A=$A201), 1),
   IF( INDEX(Config!B:B, MATCH($A201, Config!A:A, 0))=""Local"", 2,
     IF( INDEX(Config!B"&amp;":B, MATCH($A201, Config!A:A, 0))=""Regional"", 3, 4 )
   )
 ),
"""")
"),"")</f>
        <v/>
      </c>
      <c r="J201" s="16">
        <f>IFERROR(__xludf.DUMMYFUNCTION("IFERROR(
 ( E201 * INDEX(FILTER(Pricing_Rules!E:E, Pricing_Rules!A:A=A201, Pricing_Rules!B:B=B201, Pricing_Rules!C:C&lt;=E201, Pricing_Rules!D:D&gt;=E201), 1)
   + INDEX(FILTER(Pricing_Rules!F:F, Pricing_Rules!A:A=A201, Pricing_Rules!B:B=B201, Pricing_Rules!C:C"&amp;"&lt;=E201, Pricing_Rules!D:D&gt;=E201), 1)
 )
 * (1 + IFERROR( INDEX(Config!D:D, MATCH(A201, Config!A:A, 0)), 0 )),
"""")
"),5.8999999999999995)</f>
        <v>5.9</v>
      </c>
      <c r="K201" s="19">
        <f t="shared" si="3"/>
        <v>-5.9</v>
      </c>
      <c r="L201" s="20" t="str">
        <f t="shared" si="4"/>
        <v/>
      </c>
    </row>
    <row r="202" ht="15.75" customHeight="1">
      <c r="A202" s="9" t="s">
        <v>9</v>
      </c>
      <c r="B202" s="12" t="str">
        <f t="array" ref="B202">XLOOKUP(C202, Channel_Listings!C:C, Channel_Listings!B:B)
</f>
        <v>Automotive_FaceMasks</v>
      </c>
      <c r="C202" s="23" t="s">
        <v>174</v>
      </c>
      <c r="D202" s="14" t="str">
        <f t="array" ref="D202">XLOOKUP(C202, Channel_Listings!C:C, Channel_Listings!D:D)
</f>
        <v>BANDANA-PATTERN-MULTICOLOR-PK5</v>
      </c>
      <c r="E202" s="15"/>
      <c r="F202" s="16">
        <f t="array" ref="F202">IFERROR(
  VALUE( INDEX(Product_Master!$I:$I,
               MATCH( INDEX(Pack_Master!$B:$B, MATCH($D202, Pack_Master!$A:$A, 0)),
                      Product_Master!$B:$B, 0)
  )) 
  * VALUE( INDEX(Pack_Master!$C:$C, MATCH($D202, Pack_Master!$A:$A, 0)) )
  + VALUE( INDEX(Pack_Master!$D:$D, MATCH($D202, Pack_Master!$A:$A, 0)) ),
"")
</f>
        <v>0</v>
      </c>
      <c r="G202" s="17">
        <f t="array" ref="G202">IFERROR(
 ( INDEX(Pack_Master!E:E, MATCH($D202, Pack_Master!A:A, 0))
   * INDEX(Pack_Master!F:F, MATCH($D202, Pack_Master!A:A, 0))
   * INDEX(Pack_Master!G:G, MATCH($D202, Pack_Master!A:A, 0))
 ) / INDEX(Config!C:C, MATCH($A202, Config!A:A, 0)),
"")
</f>
        <v>0</v>
      </c>
      <c r="H202" s="17">
        <f t="array" ref="H202">MAX( INDEX(Pack_Master!H:H, MATCH($D202, Pack_Master!A:A, 0)),
      IFERROR(G202, 0) )
</f>
        <v>0</v>
      </c>
      <c r="I202" s="18" t="str">
        <f>IFERROR(__xludf.DUMMYFUNCTION("IFERROR(
 INDEX(
   FILTER(Shipping_Rate_Card!B:F, Shipping_Rate_Card!A:A=$A202),
   MATCH($H202, FILTER(Shipping_Rate_Card!B:B, Shipping_Rate_Card!A:A=$A202), 1),
   IF( INDEX(Config!B:B, MATCH($A202, Config!A:A, 0))=""Local"", 2,
     IF( INDEX(Config!B"&amp;":B, MATCH($A202, Config!A:A, 0))=""Regional"", 3, 4 )
   )
 ),
"""")
"),"")</f>
        <v/>
      </c>
      <c r="J202" s="16">
        <f>IFERROR(__xludf.DUMMYFUNCTION("IFERROR(
 ( E202 * INDEX(FILTER(Pricing_Rules!E:E, Pricing_Rules!A:A=A202, Pricing_Rules!B:B=B202, Pricing_Rules!C:C&lt;=E202, Pricing_Rules!D:D&gt;=E202), 1)
   + INDEX(FILTER(Pricing_Rules!F:F, Pricing_Rules!A:A=A202, Pricing_Rules!B:B=B202, Pricing_Rules!C:C"&amp;"&lt;=E202, Pricing_Rules!D:D&gt;=E202), 1)
 )
 * (1 + IFERROR( INDEX(Config!D:D, MATCH(A202, Config!A:A, 0)), 0 )),
"""")
"),5.8999999999999995)</f>
        <v>5.9</v>
      </c>
      <c r="K202" s="19">
        <f t="shared" si="3"/>
        <v>-5.9</v>
      </c>
      <c r="L202" s="20" t="str">
        <f t="shared" si="4"/>
        <v/>
      </c>
    </row>
    <row r="203" ht="15.75" customHeight="1">
      <c r="A203" s="9" t="s">
        <v>9</v>
      </c>
      <c r="B203" s="12" t="str">
        <f t="array" ref="B203">XLOOKUP(C203, Channel_Listings!C:C, Channel_Listings!B:B)
</f>
        <v>Automotive_FaceMasks</v>
      </c>
      <c r="C203" s="23" t="s">
        <v>175</v>
      </c>
      <c r="D203" s="14" t="str">
        <f t="array" ref="D203">XLOOKUP(C203, Channel_Listings!C:C, Channel_Listings!D:D)
</f>
        <v>BANDANA-PATTERN-SKULL-PK5</v>
      </c>
      <c r="E203" s="15"/>
      <c r="F203" s="16">
        <f t="array" ref="F203">IFERROR(
  VALUE( INDEX(Product_Master!$I:$I,
               MATCH( INDEX(Pack_Master!$B:$B, MATCH($D203, Pack_Master!$A:$A, 0)),
                      Product_Master!$B:$B, 0)
  )) 
  * VALUE( INDEX(Pack_Master!$C:$C, MATCH($D203, Pack_Master!$A:$A, 0)) )
  + VALUE( INDEX(Pack_Master!$D:$D, MATCH($D203, Pack_Master!$A:$A, 0)) ),
"")
</f>
        <v>0</v>
      </c>
      <c r="G203" s="17">
        <f t="array" ref="G203">IFERROR(
 ( INDEX(Pack_Master!E:E, MATCH($D203, Pack_Master!A:A, 0))
   * INDEX(Pack_Master!F:F, MATCH($D203, Pack_Master!A:A, 0))
   * INDEX(Pack_Master!G:G, MATCH($D203, Pack_Master!A:A, 0))
 ) / INDEX(Config!C:C, MATCH($A203, Config!A:A, 0)),
"")
</f>
        <v>0</v>
      </c>
      <c r="H203" s="17">
        <f t="array" ref="H203">MAX( INDEX(Pack_Master!H:H, MATCH($D203, Pack_Master!A:A, 0)),
      IFERROR(G203, 0) )
</f>
        <v>0</v>
      </c>
      <c r="I203" s="18" t="str">
        <f>IFERROR(__xludf.DUMMYFUNCTION("IFERROR(
 INDEX(
   FILTER(Shipping_Rate_Card!B:F, Shipping_Rate_Card!A:A=$A203),
   MATCH($H203, FILTER(Shipping_Rate_Card!B:B, Shipping_Rate_Card!A:A=$A203), 1),
   IF( INDEX(Config!B:B, MATCH($A203, Config!A:A, 0))=""Local"", 2,
     IF( INDEX(Config!B"&amp;":B, MATCH($A203, Config!A:A, 0))=""Regional"", 3, 4 )
   )
 ),
"""")
"),"")</f>
        <v/>
      </c>
      <c r="J203" s="16">
        <f>IFERROR(__xludf.DUMMYFUNCTION("IFERROR(
 ( E203 * INDEX(FILTER(Pricing_Rules!E:E, Pricing_Rules!A:A=A203, Pricing_Rules!B:B=B203, Pricing_Rules!C:C&lt;=E203, Pricing_Rules!D:D&gt;=E203), 1)
   + INDEX(FILTER(Pricing_Rules!F:F, Pricing_Rules!A:A=A203, Pricing_Rules!B:B=B203, Pricing_Rules!C:C"&amp;"&lt;=E203, Pricing_Rules!D:D&gt;=E203), 1)
 )
 * (1 + IFERROR( INDEX(Config!D:D, MATCH(A203, Config!A:A, 0)), 0 )),
"""")
"),5.8999999999999995)</f>
        <v>5.9</v>
      </c>
      <c r="K203" s="19">
        <f t="shared" si="3"/>
        <v>-5.9</v>
      </c>
      <c r="L203" s="20" t="str">
        <f t="shared" si="4"/>
        <v/>
      </c>
    </row>
    <row r="204" ht="15.75" customHeight="1">
      <c r="A204" s="9" t="s">
        <v>9</v>
      </c>
      <c r="B204" s="12" t="str">
        <f t="array" ref="B204">XLOOKUP(C204, Channel_Listings!C:C, Channel_Listings!B:B)
</f>
        <v>Automotive_FaceMasks</v>
      </c>
      <c r="C204" s="23" t="s">
        <v>177</v>
      </c>
      <c r="D204" s="14" t="str">
        <f t="array" ref="D204">XLOOKUP(C204, Channel_Listings!C:C, Channel_Listings!D:D)
</f>
        <v>BANDANA-SOLID-BLACK-PK5</v>
      </c>
      <c r="E204" s="15"/>
      <c r="F204" s="16">
        <f t="array" ref="F204">IFERROR(
  VALUE( INDEX(Product_Master!$I:$I,
               MATCH( INDEX(Pack_Master!$B:$B, MATCH($D204, Pack_Master!$A:$A, 0)),
                      Product_Master!$B:$B, 0)
  )) 
  * VALUE( INDEX(Pack_Master!$C:$C, MATCH($D204, Pack_Master!$A:$A, 0)) )
  + VALUE( INDEX(Pack_Master!$D:$D, MATCH($D204, Pack_Master!$A:$A, 0)) ),
"")
</f>
        <v>0</v>
      </c>
      <c r="G204" s="17">
        <f t="array" ref="G204">IFERROR(
 ( INDEX(Pack_Master!E:E, MATCH($D204, Pack_Master!A:A, 0))
   * INDEX(Pack_Master!F:F, MATCH($D204, Pack_Master!A:A, 0))
   * INDEX(Pack_Master!G:G, MATCH($D204, Pack_Master!A:A, 0))
 ) / INDEX(Config!C:C, MATCH($A204, Config!A:A, 0)),
"")
</f>
        <v>0</v>
      </c>
      <c r="H204" s="17">
        <f t="array" ref="H204">MAX( INDEX(Pack_Master!H:H, MATCH($D204, Pack_Master!A:A, 0)),
      IFERROR(G204, 0) )
</f>
        <v>0</v>
      </c>
      <c r="I204" s="18" t="str">
        <f>IFERROR(__xludf.DUMMYFUNCTION("IFERROR(
 INDEX(
   FILTER(Shipping_Rate_Card!B:F, Shipping_Rate_Card!A:A=$A204),
   MATCH($H204, FILTER(Shipping_Rate_Card!B:B, Shipping_Rate_Card!A:A=$A204), 1),
   IF( INDEX(Config!B:B, MATCH($A204, Config!A:A, 0))=""Local"", 2,
     IF( INDEX(Config!B"&amp;":B, MATCH($A204, Config!A:A, 0))=""Regional"", 3, 4 )
   )
 ),
"""")
"),"")</f>
        <v/>
      </c>
      <c r="J204" s="16">
        <f>IFERROR(__xludf.DUMMYFUNCTION("IFERROR(
 ( E204 * INDEX(FILTER(Pricing_Rules!E:E, Pricing_Rules!A:A=A204, Pricing_Rules!B:B=B204, Pricing_Rules!C:C&lt;=E204, Pricing_Rules!D:D&gt;=E204), 1)
   + INDEX(FILTER(Pricing_Rules!F:F, Pricing_Rules!A:A=A204, Pricing_Rules!B:B=B204, Pricing_Rules!C:C"&amp;"&lt;=E204, Pricing_Rules!D:D&gt;=E204), 1)
 )
 * (1 + IFERROR( INDEX(Config!D:D, MATCH(A204, Config!A:A, 0)), 0 )),
"""")
"),5.8999999999999995)</f>
        <v>5.9</v>
      </c>
      <c r="K204" s="19">
        <f t="shared" si="3"/>
        <v>-5.9</v>
      </c>
      <c r="L204" s="20" t="str">
        <f t="shared" si="4"/>
        <v/>
      </c>
    </row>
    <row r="205" ht="15.75" customHeight="1">
      <c r="A205" s="9" t="s">
        <v>9</v>
      </c>
      <c r="B205" s="12" t="str">
        <f t="array" ref="B205">XLOOKUP(C205, Channel_Listings!C:C, Channel_Listings!B:B)
</f>
        <v>Apparel_Caps_Beanies</v>
      </c>
      <c r="C205" s="23" t="s">
        <v>179</v>
      </c>
      <c r="D205" s="14" t="str">
        <f t="array" ref="D205">XLOOKUP(C205, Channel_Listings!C:C, Channel_Listings!D:D)
</f>
        <v>BEANIE-FOLD-2PLAIN-BLUE</v>
      </c>
      <c r="E205" s="15"/>
      <c r="F205" s="16">
        <f t="array" ref="F205">IFERROR(
  VALUE( INDEX(Product_Master!$I:$I,
               MATCH( INDEX(Pack_Master!$B:$B, MATCH($D205, Pack_Master!$A:$A, 0)),
                      Product_Master!$B:$B, 0)
  )) 
  * VALUE( INDEX(Pack_Master!$C:$C, MATCH($D205, Pack_Master!$A:$A, 0)) )
  + VALUE( INDEX(Pack_Master!$D:$D, MATCH($D205, Pack_Master!$A:$A, 0)) ),
"")
</f>
        <v>109</v>
      </c>
      <c r="G205" s="17">
        <f t="array" ref="G205">IFERROR(
 ( INDEX(Pack_Master!E:E, MATCH($D205, Pack_Master!A:A, 0))
   * INDEX(Pack_Master!F:F, MATCH($D205, Pack_Master!A:A, 0))
   * INDEX(Pack_Master!G:G, MATCH($D205, Pack_Master!A:A, 0))
 ) / INDEX(Config!C:C, MATCH($A205, Config!A:A, 0)),
"")
</f>
        <v>0.375</v>
      </c>
      <c r="H205" s="17">
        <f t="array" ref="H205">MAX( INDEX(Pack_Master!H:H, MATCH($D205, Pack_Master!A:A, 0)),
      IFERROR(G205, 0) )
</f>
        <v>0.5</v>
      </c>
      <c r="I205" s="18">
        <f>IFERROR(__xludf.DUMMYFUNCTION("IFERROR(
 INDEX(
   FILTER(Shipping_Rate_Card!B:F, Shipping_Rate_Card!A:A=$A205),
   MATCH($H205, FILTER(Shipping_Rate_Card!B:B, Shipping_Rate_Card!A:A=$A205), 1),
   IF( INDEX(Config!B:B, MATCH($A205, Config!A:A, 0))=""Local"", 2,
     IF( INDEX(Config!B"&amp;":B, MATCH($A205, Config!A:A, 0))=""Regional"", 3, 4 )
   )
 ),
"""")
"),67.0)</f>
        <v>67</v>
      </c>
      <c r="J205" s="16">
        <f>IFERROR(__xludf.DUMMYFUNCTION("IFERROR(
 ( E205 * INDEX(FILTER(Pricing_Rules!E:E, Pricing_Rules!A:A=A205, Pricing_Rules!B:B=B205, Pricing_Rules!C:C&lt;=E205, Pricing_Rules!D:D&gt;=E205), 1)
   + INDEX(FILTER(Pricing_Rules!F:F, Pricing_Rules!A:A=A205, Pricing_Rules!B:B=B205, Pricing_Rules!C:C"&amp;"&lt;=E205, Pricing_Rules!D:D&gt;=E205), 1)
 )
 * (1 + IFERROR( INDEX(Config!D:D, MATCH(A205, Config!A:A, 0)), 0 )),
"""")
"),5.8999999999999995)</f>
        <v>5.9</v>
      </c>
      <c r="K205" s="19">
        <f t="shared" si="3"/>
        <v>-181.9</v>
      </c>
      <c r="L205" s="20" t="str">
        <f t="shared" si="4"/>
        <v/>
      </c>
    </row>
    <row r="206" ht="15.75" customHeight="1">
      <c r="A206" s="9" t="s">
        <v>9</v>
      </c>
      <c r="B206" s="12" t="str">
        <f t="array" ref="B206">XLOOKUP(C206, Channel_Listings!C:C, Channel_Listings!B:B)
</f>
        <v>Apparel_Caps_Beanies</v>
      </c>
      <c r="C206" s="23" t="s">
        <v>181</v>
      </c>
      <c r="D206" s="14" t="str">
        <f t="array" ref="D206">XLOOKUP(C206, Channel_Listings!C:C, Channel_Listings!D:D)
</f>
        <v>BEANIE-FOLD-2PLAIN-BROWN</v>
      </c>
      <c r="E206" s="15">
        <v>299.0</v>
      </c>
      <c r="F206" s="16">
        <f t="array" ref="F206">IFERROR(
  VALUE( INDEX(Product_Master!$I:$I,
               MATCH( INDEX(Pack_Master!$B:$B, MATCH($D206, Pack_Master!$A:$A, 0)),
                      Product_Master!$B:$B, 0)
  )) 
  * VALUE( INDEX(Pack_Master!$C:$C, MATCH($D206, Pack_Master!$A:$A, 0)) )
  + VALUE( INDEX(Pack_Master!$D:$D, MATCH($D206, Pack_Master!$A:$A, 0)) ),
"")
</f>
        <v>109</v>
      </c>
      <c r="G206" s="17">
        <f t="array" ref="G206">IFERROR(
 ( INDEX(Pack_Master!E:E, MATCH($D206, Pack_Master!A:A, 0))
   * INDEX(Pack_Master!F:F, MATCH($D206, Pack_Master!A:A, 0))
   * INDEX(Pack_Master!G:G, MATCH($D206, Pack_Master!A:A, 0))
 ) / INDEX(Config!C:C, MATCH($A206, Config!A:A, 0)),
"")
</f>
        <v>0.375</v>
      </c>
      <c r="H206" s="17">
        <f t="array" ref="H206">MAX( INDEX(Pack_Master!H:H, MATCH($D206, Pack_Master!A:A, 0)),
      IFERROR(G206, 0) )
</f>
        <v>0.5</v>
      </c>
      <c r="I206" s="18">
        <f>IFERROR(__xludf.DUMMYFUNCTION("IFERROR(
 INDEX(
   FILTER(Shipping_Rate_Card!B:F, Shipping_Rate_Card!A:A=$A206),
   MATCH($H206, FILTER(Shipping_Rate_Card!B:B, Shipping_Rate_Card!A:A=$A206), 1),
   IF( INDEX(Config!B:B, MATCH($A206, Config!A:A, 0))=""Local"", 2,
     IF( INDEX(Config!B"&amp;":B, MATCH($A206, Config!A:A, 0))=""Regional"", 3, 4 )
   )
 ),
"""")
"),67.0)</f>
        <v>67</v>
      </c>
      <c r="J206" s="16">
        <f>IFERROR(__xludf.DUMMYFUNCTION("IFERROR(
 ( E206 * INDEX(FILTER(Pricing_Rules!E:E, Pricing_Rules!A:A=A206, Pricing_Rules!B:B=B206, Pricing_Rules!C:C&lt;=E206, Pricing_Rules!D:D&gt;=E206), 1)
   + INDEX(FILTER(Pricing_Rules!F:F, Pricing_Rules!A:A=A206, Pricing_Rules!B:B=B206, Pricing_Rules!C:C"&amp;"&lt;=E206, Pricing_Rules!D:D&gt;=E206), 1)
 )
 * (1 + IFERROR( INDEX(Config!D:D, MATCH(A206, Config!A:A, 0)), 0 )),
"""")
"),5.8999999999999995)</f>
        <v>5.9</v>
      </c>
      <c r="K206" s="19">
        <f t="shared" si="3"/>
        <v>117.1</v>
      </c>
      <c r="L206" s="20">
        <f t="shared" si="4"/>
        <v>0.391638796</v>
      </c>
    </row>
    <row r="207" ht="15.75" customHeight="1">
      <c r="A207" s="9" t="s">
        <v>9</v>
      </c>
      <c r="B207" s="12" t="str">
        <f t="array" ref="B207">XLOOKUP(C207, Channel_Listings!C:C, Channel_Listings!B:B)
</f>
        <v>Apparel_Caps_Beanies</v>
      </c>
      <c r="C207" s="23" t="s">
        <v>183</v>
      </c>
      <c r="D207" s="14" t="str">
        <f t="array" ref="D207">XLOOKUP(C207, Channel_Listings!C:C, Channel_Listings!D:D)
</f>
        <v>BEANIE-FOLD-2PLAIN-GREEN</v>
      </c>
      <c r="E207" s="15">
        <v>299.0</v>
      </c>
      <c r="F207" s="16">
        <f t="array" ref="F207">IFERROR(
  VALUE( INDEX(Product_Master!$I:$I,
               MATCH( INDEX(Pack_Master!$B:$B, MATCH($D207, Pack_Master!$A:$A, 0)),
                      Product_Master!$B:$B, 0)
  )) 
  * VALUE( INDEX(Pack_Master!$C:$C, MATCH($D207, Pack_Master!$A:$A, 0)) )
  + VALUE( INDEX(Pack_Master!$D:$D, MATCH($D207, Pack_Master!$A:$A, 0)) ),
"")
</f>
        <v>109</v>
      </c>
      <c r="G207" s="17">
        <f t="array" ref="G207">IFERROR(
 ( INDEX(Pack_Master!E:E, MATCH($D207, Pack_Master!A:A, 0))
   * INDEX(Pack_Master!F:F, MATCH($D207, Pack_Master!A:A, 0))
   * INDEX(Pack_Master!G:G, MATCH($D207, Pack_Master!A:A, 0))
 ) / INDEX(Config!C:C, MATCH($A207, Config!A:A, 0)),
"")
</f>
        <v>0.375</v>
      </c>
      <c r="H207" s="17">
        <f t="array" ref="H207">MAX( INDEX(Pack_Master!H:H, MATCH($D207, Pack_Master!A:A, 0)),
      IFERROR(G207, 0) )
</f>
        <v>0.5</v>
      </c>
      <c r="I207" s="18">
        <f>IFERROR(__xludf.DUMMYFUNCTION("IFERROR(
 INDEX(
   FILTER(Shipping_Rate_Card!B:F, Shipping_Rate_Card!A:A=$A207),
   MATCH($H207, FILTER(Shipping_Rate_Card!B:B, Shipping_Rate_Card!A:A=$A207), 1),
   IF( INDEX(Config!B:B, MATCH($A207, Config!A:A, 0))=""Local"", 2,
     IF( INDEX(Config!B"&amp;":B, MATCH($A207, Config!A:A, 0))=""Regional"", 3, 4 )
   )
 ),
"""")
"),67.0)</f>
        <v>67</v>
      </c>
      <c r="J207" s="16">
        <f>IFERROR(__xludf.DUMMYFUNCTION("IFERROR(
 ( E207 * INDEX(FILTER(Pricing_Rules!E:E, Pricing_Rules!A:A=A207, Pricing_Rules!B:B=B207, Pricing_Rules!C:C&lt;=E207, Pricing_Rules!D:D&gt;=E207), 1)
   + INDEX(FILTER(Pricing_Rules!F:F, Pricing_Rules!A:A=A207, Pricing_Rules!B:B=B207, Pricing_Rules!C:C"&amp;"&lt;=E207, Pricing_Rules!D:D&gt;=E207), 1)
 )
 * (1 + IFERROR( INDEX(Config!D:D, MATCH(A207, Config!A:A, 0)), 0 )),
"""")
"),5.8999999999999995)</f>
        <v>5.9</v>
      </c>
      <c r="K207" s="19">
        <f t="shared" si="3"/>
        <v>117.1</v>
      </c>
      <c r="L207" s="20">
        <f t="shared" si="4"/>
        <v>0.391638796</v>
      </c>
    </row>
    <row r="208" ht="15.75" customHeight="1">
      <c r="A208" s="9" t="s">
        <v>9</v>
      </c>
      <c r="B208" s="12" t="str">
        <f t="array" ref="B208">XLOOKUP(C208, Channel_Listings!C:C, Channel_Listings!B:B)
</f>
        <v>Apparel_Caps_Beanies</v>
      </c>
      <c r="C208" s="23" t="s">
        <v>185</v>
      </c>
      <c r="D208" s="14" t="str">
        <f t="array" ref="D208">XLOOKUP(C208, Channel_Listings!C:C, Channel_Listings!D:D)
</f>
        <v>BEANIE-FOLD-2PLAIN-MAROON</v>
      </c>
      <c r="E208" s="15">
        <v>299.0</v>
      </c>
      <c r="F208" s="16">
        <f t="array" ref="F208">IFERROR(
  VALUE( INDEX(Product_Master!$I:$I,
               MATCH( INDEX(Pack_Master!$B:$B, MATCH($D208, Pack_Master!$A:$A, 0)),
                      Product_Master!$B:$B, 0)
  )) 
  * VALUE( INDEX(Pack_Master!$C:$C, MATCH($D208, Pack_Master!$A:$A, 0)) )
  + VALUE( INDEX(Pack_Master!$D:$D, MATCH($D208, Pack_Master!$A:$A, 0)) ),
"")
</f>
        <v>109</v>
      </c>
      <c r="G208" s="17">
        <f t="array" ref="G208">IFERROR(
 ( INDEX(Pack_Master!E:E, MATCH($D208, Pack_Master!A:A, 0))
   * INDEX(Pack_Master!F:F, MATCH($D208, Pack_Master!A:A, 0))
   * INDEX(Pack_Master!G:G, MATCH($D208, Pack_Master!A:A, 0))
 ) / INDEX(Config!C:C, MATCH($A208, Config!A:A, 0)),
"")
</f>
        <v>0.375</v>
      </c>
      <c r="H208" s="17">
        <f t="array" ref="H208">MAX( INDEX(Pack_Master!H:H, MATCH($D208, Pack_Master!A:A, 0)),
      IFERROR(G208, 0) )
</f>
        <v>0.5</v>
      </c>
      <c r="I208" s="18">
        <f>IFERROR(__xludf.DUMMYFUNCTION("IFERROR(
 INDEX(
   FILTER(Shipping_Rate_Card!B:F, Shipping_Rate_Card!A:A=$A208),
   MATCH($H208, FILTER(Shipping_Rate_Card!B:B, Shipping_Rate_Card!A:A=$A208), 1),
   IF( INDEX(Config!B:B, MATCH($A208, Config!A:A, 0))=""Local"", 2,
     IF( INDEX(Config!B"&amp;":B, MATCH($A208, Config!A:A, 0))=""Regional"", 3, 4 )
   )
 ),
"""")
"),67.0)</f>
        <v>67</v>
      </c>
      <c r="J208" s="16">
        <f>IFERROR(__xludf.DUMMYFUNCTION("IFERROR(
 ( E208 * INDEX(FILTER(Pricing_Rules!E:E, Pricing_Rules!A:A=A208, Pricing_Rules!B:B=B208, Pricing_Rules!C:C&lt;=E208, Pricing_Rules!D:D&gt;=E208), 1)
   + INDEX(FILTER(Pricing_Rules!F:F, Pricing_Rules!A:A=A208, Pricing_Rules!B:B=B208, Pricing_Rules!C:C"&amp;"&lt;=E208, Pricing_Rules!D:D&gt;=E208), 1)
 )
 * (1 + IFERROR( INDEX(Config!D:D, MATCH(A208, Config!A:A, 0)), 0 )),
"""")
"),5.8999999999999995)</f>
        <v>5.9</v>
      </c>
      <c r="K208" s="19">
        <f t="shared" si="3"/>
        <v>117.1</v>
      </c>
      <c r="L208" s="20">
        <f t="shared" si="4"/>
        <v>0.391638796</v>
      </c>
    </row>
    <row r="209" ht="15.75" customHeight="1">
      <c r="A209" s="9" t="s">
        <v>9</v>
      </c>
      <c r="B209" s="12" t="str">
        <f t="array" ref="B209">XLOOKUP(C209, Channel_Listings!C:C, Channel_Listings!B:B)
</f>
        <v>Apparel_Caps_Beanies</v>
      </c>
      <c r="C209" s="23" t="s">
        <v>187</v>
      </c>
      <c r="D209" s="14" t="str">
        <f t="array" ref="D209">XLOOKUP(C209, Channel_Listings!C:C, Channel_Listings!D:D)
</f>
        <v>BEANIE-FOLD-2PLAIN-OLIVE</v>
      </c>
      <c r="E209" s="15">
        <v>299.0</v>
      </c>
      <c r="F209" s="16">
        <f t="array" ref="F209">IFERROR(
  VALUE( INDEX(Product_Master!$I:$I,
               MATCH( INDEX(Pack_Master!$B:$B, MATCH($D209, Pack_Master!$A:$A, 0)),
                      Product_Master!$B:$B, 0)
  )) 
  * VALUE( INDEX(Pack_Master!$C:$C, MATCH($D209, Pack_Master!$A:$A, 0)) )
  + VALUE( INDEX(Pack_Master!$D:$D, MATCH($D209, Pack_Master!$A:$A, 0)) ),
"")
</f>
        <v>109</v>
      </c>
      <c r="G209" s="17">
        <f t="array" ref="G209">IFERROR(
 ( INDEX(Pack_Master!E:E, MATCH($D209, Pack_Master!A:A, 0))
   * INDEX(Pack_Master!F:F, MATCH($D209, Pack_Master!A:A, 0))
   * INDEX(Pack_Master!G:G, MATCH($D209, Pack_Master!A:A, 0))
 ) / INDEX(Config!C:C, MATCH($A209, Config!A:A, 0)),
"")
</f>
        <v>0.375</v>
      </c>
      <c r="H209" s="17">
        <f t="array" ref="H209">MAX( INDEX(Pack_Master!H:H, MATCH($D209, Pack_Master!A:A, 0)),
      IFERROR(G209, 0) )
</f>
        <v>0.5</v>
      </c>
      <c r="I209" s="18">
        <f>IFERROR(__xludf.DUMMYFUNCTION("IFERROR(
 INDEX(
   FILTER(Shipping_Rate_Card!B:F, Shipping_Rate_Card!A:A=$A209),
   MATCH($H209, FILTER(Shipping_Rate_Card!B:B, Shipping_Rate_Card!A:A=$A209), 1),
   IF( INDEX(Config!B:B, MATCH($A209, Config!A:A, 0))=""Local"", 2,
     IF( INDEX(Config!B"&amp;":B, MATCH($A209, Config!A:A, 0))=""Regional"", 3, 4 )
   )
 ),
"""")
"),67.0)</f>
        <v>67</v>
      </c>
      <c r="J209" s="16">
        <f>IFERROR(__xludf.DUMMYFUNCTION("IFERROR(
 ( E209 * INDEX(FILTER(Pricing_Rules!E:E, Pricing_Rules!A:A=A209, Pricing_Rules!B:B=B209, Pricing_Rules!C:C&lt;=E209, Pricing_Rules!D:D&gt;=E209), 1)
   + INDEX(FILTER(Pricing_Rules!F:F, Pricing_Rules!A:A=A209, Pricing_Rules!B:B=B209, Pricing_Rules!C:C"&amp;"&lt;=E209, Pricing_Rules!D:D&gt;=E209), 1)
 )
 * (1 + IFERROR( INDEX(Config!D:D, MATCH(A209, Config!A:A, 0)), 0 )),
"""")
"),5.8999999999999995)</f>
        <v>5.9</v>
      </c>
      <c r="K209" s="19">
        <f t="shared" si="3"/>
        <v>117.1</v>
      </c>
      <c r="L209" s="20">
        <f t="shared" si="4"/>
        <v>0.391638796</v>
      </c>
    </row>
    <row r="210" ht="15.75" customHeight="1">
      <c r="A210" s="9" t="s">
        <v>9</v>
      </c>
      <c r="B210" s="12" t="str">
        <f t="array" ref="B210">XLOOKUP(C210, Channel_Listings!C:C, Channel_Listings!B:B)
</f>
        <v>Apparel_Caps_Beanies</v>
      </c>
      <c r="C210" s="23" t="s">
        <v>189</v>
      </c>
      <c r="D210" s="14" t="str">
        <f t="array" ref="D210">XLOOKUP(C210, Channel_Listings!C:C, Channel_Listings!D:D)
</f>
        <v>BEANIE-FOLD-2PLAIN-YELLOW</v>
      </c>
      <c r="E210" s="15">
        <v>299.0</v>
      </c>
      <c r="F210" s="16">
        <f t="array" ref="F210">IFERROR(
  VALUE( INDEX(Product_Master!$I:$I,
               MATCH( INDEX(Pack_Master!$B:$B, MATCH($D210, Pack_Master!$A:$A, 0)),
                      Product_Master!$B:$B, 0)
  )) 
  * VALUE( INDEX(Pack_Master!$C:$C, MATCH($D210, Pack_Master!$A:$A, 0)) )
  + VALUE( INDEX(Pack_Master!$D:$D, MATCH($D210, Pack_Master!$A:$A, 0)) ),
"")
</f>
        <v>109</v>
      </c>
      <c r="G210" s="17">
        <f t="array" ref="G210">IFERROR(
 ( INDEX(Pack_Master!E:E, MATCH($D210, Pack_Master!A:A, 0))
   * INDEX(Pack_Master!F:F, MATCH($D210, Pack_Master!A:A, 0))
   * INDEX(Pack_Master!G:G, MATCH($D210, Pack_Master!A:A, 0))
 ) / INDEX(Config!C:C, MATCH($A210, Config!A:A, 0)),
"")
</f>
        <v>0.375</v>
      </c>
      <c r="H210" s="17">
        <f t="array" ref="H210">MAX( INDEX(Pack_Master!H:H, MATCH($D210, Pack_Master!A:A, 0)),
      IFERROR(G210, 0) )
</f>
        <v>0.5</v>
      </c>
      <c r="I210" s="18">
        <f>IFERROR(__xludf.DUMMYFUNCTION("IFERROR(
 INDEX(
   FILTER(Shipping_Rate_Card!B:F, Shipping_Rate_Card!A:A=$A210),
   MATCH($H210, FILTER(Shipping_Rate_Card!B:B, Shipping_Rate_Card!A:A=$A210), 1),
   IF( INDEX(Config!B:B, MATCH($A210, Config!A:A, 0))=""Local"", 2,
     IF( INDEX(Config!B"&amp;":B, MATCH($A210, Config!A:A, 0))=""Regional"", 3, 4 )
   )
 ),
"""")
"),67.0)</f>
        <v>67</v>
      </c>
      <c r="J210" s="16">
        <f>IFERROR(__xludf.DUMMYFUNCTION("IFERROR(
 ( E210 * INDEX(FILTER(Pricing_Rules!E:E, Pricing_Rules!A:A=A210, Pricing_Rules!B:B=B210, Pricing_Rules!C:C&lt;=E210, Pricing_Rules!D:D&gt;=E210), 1)
   + INDEX(FILTER(Pricing_Rules!F:F, Pricing_Rules!A:A=A210, Pricing_Rules!B:B=B210, Pricing_Rules!C:C"&amp;"&lt;=E210, Pricing_Rules!D:D&gt;=E210), 1)
 )
 * (1 + IFERROR( INDEX(Config!D:D, MATCH(A210, Config!A:A, 0)), 0 )),
"""")
"),5.8999999999999995)</f>
        <v>5.9</v>
      </c>
      <c r="K210" s="19">
        <f t="shared" si="3"/>
        <v>117.1</v>
      </c>
      <c r="L210" s="20">
        <f t="shared" si="4"/>
        <v>0.391638796</v>
      </c>
    </row>
    <row r="211" ht="15.75" customHeight="1">
      <c r="A211" s="9" t="s">
        <v>9</v>
      </c>
      <c r="B211" s="12" t="str">
        <f t="array" ref="B211">XLOOKUP(C211, Channel_Listings!C:C, Channel_Listings!B:B)
</f>
        <v>Apparel_Caps_Beanies</v>
      </c>
      <c r="C211" s="23" t="s">
        <v>191</v>
      </c>
      <c r="D211" s="14" t="str">
        <f t="array" ref="D211">XLOOKUP(C211, Channel_Listings!C:C, Channel_Listings!D:D)
</f>
        <v>BEANIE-FOLD-BINGO-BLUE</v>
      </c>
      <c r="E211" s="15">
        <v>299.0</v>
      </c>
      <c r="F211" s="16">
        <f t="array" ref="F211">IFERROR(
  VALUE( INDEX(Product_Master!$I:$I,
               MATCH( INDEX(Pack_Master!$B:$B, MATCH($D211, Pack_Master!$A:$A, 0)),
                      Product_Master!$B:$B, 0)
  )) 
  * VALUE( INDEX(Pack_Master!$C:$C, MATCH($D211, Pack_Master!$A:$A, 0)) )
  + VALUE( INDEX(Pack_Master!$D:$D, MATCH($D211, Pack_Master!$A:$A, 0)) ),
"")
</f>
        <v>109</v>
      </c>
      <c r="G211" s="17">
        <f t="array" ref="G211">IFERROR(
 ( INDEX(Pack_Master!E:E, MATCH($D211, Pack_Master!A:A, 0))
   * INDEX(Pack_Master!F:F, MATCH($D211, Pack_Master!A:A, 0))
   * INDEX(Pack_Master!G:G, MATCH($D211, Pack_Master!A:A, 0))
 ) / INDEX(Config!C:C, MATCH($A211, Config!A:A, 0)),
"")
</f>
        <v>0.375</v>
      </c>
      <c r="H211" s="17">
        <f t="array" ref="H211">MAX( INDEX(Pack_Master!H:H, MATCH($D211, Pack_Master!A:A, 0)),
      IFERROR(G211, 0) )
</f>
        <v>0.5</v>
      </c>
      <c r="I211" s="18">
        <f>IFERROR(__xludf.DUMMYFUNCTION("IFERROR(
 INDEX(
   FILTER(Shipping_Rate_Card!B:F, Shipping_Rate_Card!A:A=$A211),
   MATCH($H211, FILTER(Shipping_Rate_Card!B:B, Shipping_Rate_Card!A:A=$A211), 1),
   IF( INDEX(Config!B:B, MATCH($A211, Config!A:A, 0))=""Local"", 2,
     IF( INDEX(Config!B"&amp;":B, MATCH($A211, Config!A:A, 0))=""Regional"", 3, 4 )
   )
 ),
"""")
"),67.0)</f>
        <v>67</v>
      </c>
      <c r="J211" s="16">
        <f>IFERROR(__xludf.DUMMYFUNCTION("IFERROR(
 ( E211 * INDEX(FILTER(Pricing_Rules!E:E, Pricing_Rules!A:A=A211, Pricing_Rules!B:B=B211, Pricing_Rules!C:C&lt;=E211, Pricing_Rules!D:D&gt;=E211), 1)
   + INDEX(FILTER(Pricing_Rules!F:F, Pricing_Rules!A:A=A211, Pricing_Rules!B:B=B211, Pricing_Rules!C:C"&amp;"&lt;=E211, Pricing_Rules!D:D&gt;=E211), 1)
 )
 * (1 + IFERROR( INDEX(Config!D:D, MATCH(A211, Config!A:A, 0)), 0 )),
"""")
"),5.8999999999999995)</f>
        <v>5.9</v>
      </c>
      <c r="K211" s="19">
        <f t="shared" si="3"/>
        <v>117.1</v>
      </c>
      <c r="L211" s="20">
        <f t="shared" si="4"/>
        <v>0.391638796</v>
      </c>
    </row>
    <row r="212" ht="15.75" customHeight="1">
      <c r="A212" s="9" t="s">
        <v>9</v>
      </c>
      <c r="B212" s="12" t="str">
        <f t="array" ref="B212">XLOOKUP(C212, Channel_Listings!C:C, Channel_Listings!B:B)
</f>
        <v>Apparel_Caps_Beanies</v>
      </c>
      <c r="C212" s="23" t="s">
        <v>193</v>
      </c>
      <c r="D212" s="14" t="str">
        <f t="array" ref="D212">XLOOKUP(C212, Channel_Listings!C:C, Channel_Listings!D:D)
</f>
        <v>BEANIE-FOLD-BINGO-BRICK</v>
      </c>
      <c r="E212" s="15">
        <v>299.0</v>
      </c>
      <c r="F212" s="16">
        <f t="array" ref="F212">IFERROR(
  VALUE( INDEX(Product_Master!$I:$I,
               MATCH( INDEX(Pack_Master!$B:$B, MATCH($D212, Pack_Master!$A:$A, 0)),
                      Product_Master!$B:$B, 0)
  )) 
  * VALUE( INDEX(Pack_Master!$C:$C, MATCH($D212, Pack_Master!$A:$A, 0)) )
  + VALUE( INDEX(Pack_Master!$D:$D, MATCH($D212, Pack_Master!$A:$A, 0)) ),
"")
</f>
        <v>109</v>
      </c>
      <c r="G212" s="17">
        <f t="array" ref="G212">IFERROR(
 ( INDEX(Pack_Master!E:E, MATCH($D212, Pack_Master!A:A, 0))
   * INDEX(Pack_Master!F:F, MATCH($D212, Pack_Master!A:A, 0))
   * INDEX(Pack_Master!G:G, MATCH($D212, Pack_Master!A:A, 0))
 ) / INDEX(Config!C:C, MATCH($A212, Config!A:A, 0)),
"")
</f>
        <v>0.375</v>
      </c>
      <c r="H212" s="17">
        <f t="array" ref="H212">MAX( INDEX(Pack_Master!H:H, MATCH($D212, Pack_Master!A:A, 0)),
      IFERROR(G212, 0) )
</f>
        <v>0.5</v>
      </c>
      <c r="I212" s="18">
        <f>IFERROR(__xludf.DUMMYFUNCTION("IFERROR(
 INDEX(
   FILTER(Shipping_Rate_Card!B:F, Shipping_Rate_Card!A:A=$A212),
   MATCH($H212, FILTER(Shipping_Rate_Card!B:B, Shipping_Rate_Card!A:A=$A212), 1),
   IF( INDEX(Config!B:B, MATCH($A212, Config!A:A, 0))=""Local"", 2,
     IF( INDEX(Config!B"&amp;":B, MATCH($A212, Config!A:A, 0))=""Regional"", 3, 4 )
   )
 ),
"""")
"),67.0)</f>
        <v>67</v>
      </c>
      <c r="J212" s="16">
        <f>IFERROR(__xludf.DUMMYFUNCTION("IFERROR(
 ( E212 * INDEX(FILTER(Pricing_Rules!E:E, Pricing_Rules!A:A=A212, Pricing_Rules!B:B=B212, Pricing_Rules!C:C&lt;=E212, Pricing_Rules!D:D&gt;=E212), 1)
   + INDEX(FILTER(Pricing_Rules!F:F, Pricing_Rules!A:A=A212, Pricing_Rules!B:B=B212, Pricing_Rules!C:C"&amp;"&lt;=E212, Pricing_Rules!D:D&gt;=E212), 1)
 )
 * (1 + IFERROR( INDEX(Config!D:D, MATCH(A212, Config!A:A, 0)), 0 )),
"""")
"),5.8999999999999995)</f>
        <v>5.9</v>
      </c>
      <c r="K212" s="19">
        <f t="shared" si="3"/>
        <v>117.1</v>
      </c>
      <c r="L212" s="20">
        <f t="shared" si="4"/>
        <v>0.391638796</v>
      </c>
    </row>
    <row r="213" ht="15.75" customHeight="1">
      <c r="A213" s="9" t="s">
        <v>9</v>
      </c>
      <c r="B213" s="12" t="str">
        <f t="array" ref="B213">XLOOKUP(C213, Channel_Listings!C:C, Channel_Listings!B:B)
</f>
        <v>Apparel_Caps_Beanies</v>
      </c>
      <c r="C213" s="23" t="s">
        <v>195</v>
      </c>
      <c r="D213" s="14" t="str">
        <f t="array" ref="D213">XLOOKUP(C213, Channel_Listings!C:C, Channel_Listings!D:D)
</f>
        <v>BEANIE-FOLD-BINGO-BROWN</v>
      </c>
      <c r="E213" s="15">
        <v>299.0</v>
      </c>
      <c r="F213" s="16">
        <f t="array" ref="F213">IFERROR(
  VALUE( INDEX(Product_Master!$I:$I,
               MATCH( INDEX(Pack_Master!$B:$B, MATCH($D213, Pack_Master!$A:$A, 0)),
                      Product_Master!$B:$B, 0)
  )) 
  * VALUE( INDEX(Pack_Master!$C:$C, MATCH($D213, Pack_Master!$A:$A, 0)) )
  + VALUE( INDEX(Pack_Master!$D:$D, MATCH($D213, Pack_Master!$A:$A, 0)) ),
"")
</f>
        <v>109</v>
      </c>
      <c r="G213" s="17">
        <f t="array" ref="G213">IFERROR(
 ( INDEX(Pack_Master!E:E, MATCH($D213, Pack_Master!A:A, 0))
   * INDEX(Pack_Master!F:F, MATCH($D213, Pack_Master!A:A, 0))
   * INDEX(Pack_Master!G:G, MATCH($D213, Pack_Master!A:A, 0))
 ) / INDEX(Config!C:C, MATCH($A213, Config!A:A, 0)),
"")
</f>
        <v>0.375</v>
      </c>
      <c r="H213" s="17">
        <f t="array" ref="H213">MAX( INDEX(Pack_Master!H:H, MATCH($D213, Pack_Master!A:A, 0)),
      IFERROR(G213, 0) )
</f>
        <v>0.5</v>
      </c>
      <c r="I213" s="18">
        <f>IFERROR(__xludf.DUMMYFUNCTION("IFERROR(
 INDEX(
   FILTER(Shipping_Rate_Card!B:F, Shipping_Rate_Card!A:A=$A213),
   MATCH($H213, FILTER(Shipping_Rate_Card!B:B, Shipping_Rate_Card!A:A=$A213), 1),
   IF( INDEX(Config!B:B, MATCH($A213, Config!A:A, 0))=""Local"", 2,
     IF( INDEX(Config!B"&amp;":B, MATCH($A213, Config!A:A, 0))=""Regional"", 3, 4 )
   )
 ),
"""")
"),67.0)</f>
        <v>67</v>
      </c>
      <c r="J213" s="16">
        <f>IFERROR(__xludf.DUMMYFUNCTION("IFERROR(
 ( E213 * INDEX(FILTER(Pricing_Rules!E:E, Pricing_Rules!A:A=A213, Pricing_Rules!B:B=B213, Pricing_Rules!C:C&lt;=E213, Pricing_Rules!D:D&gt;=E213), 1)
   + INDEX(FILTER(Pricing_Rules!F:F, Pricing_Rules!A:A=A213, Pricing_Rules!B:B=B213, Pricing_Rules!C:C"&amp;"&lt;=E213, Pricing_Rules!D:D&gt;=E213), 1)
 )
 * (1 + IFERROR( INDEX(Config!D:D, MATCH(A213, Config!A:A, 0)), 0 )),
"""")
"),5.8999999999999995)</f>
        <v>5.9</v>
      </c>
      <c r="K213" s="19">
        <f t="shared" si="3"/>
        <v>117.1</v>
      </c>
      <c r="L213" s="20">
        <f t="shared" si="4"/>
        <v>0.391638796</v>
      </c>
    </row>
    <row r="214" ht="15.75" customHeight="1">
      <c r="A214" s="9" t="s">
        <v>9</v>
      </c>
      <c r="B214" s="12" t="str">
        <f t="array" ref="B214">XLOOKUP(C214, Channel_Listings!C:C, Channel_Listings!B:B)
</f>
        <v>Apparel_Caps_Beanies</v>
      </c>
      <c r="C214" s="23" t="s">
        <v>197</v>
      </c>
      <c r="D214" s="14" t="str">
        <f t="array" ref="D214">XLOOKUP(C214, Channel_Listings!C:C, Channel_Listings!D:D)
</f>
        <v>BEANIE-FOLD-BINGO-GREEN</v>
      </c>
      <c r="E214" s="15">
        <v>299.0</v>
      </c>
      <c r="F214" s="16">
        <f t="array" ref="F214">IFERROR(
  VALUE( INDEX(Product_Master!$I:$I,
               MATCH( INDEX(Pack_Master!$B:$B, MATCH($D214, Pack_Master!$A:$A, 0)),
                      Product_Master!$B:$B, 0)
  )) 
  * VALUE( INDEX(Pack_Master!$C:$C, MATCH($D214, Pack_Master!$A:$A, 0)) )
  + VALUE( INDEX(Pack_Master!$D:$D, MATCH($D214, Pack_Master!$A:$A, 0)) ),
"")
</f>
        <v>109</v>
      </c>
      <c r="G214" s="17">
        <f t="array" ref="G214">IFERROR(
 ( INDEX(Pack_Master!E:E, MATCH($D214, Pack_Master!A:A, 0))
   * INDEX(Pack_Master!F:F, MATCH($D214, Pack_Master!A:A, 0))
   * INDEX(Pack_Master!G:G, MATCH($D214, Pack_Master!A:A, 0))
 ) / INDEX(Config!C:C, MATCH($A214, Config!A:A, 0)),
"")
</f>
        <v>0.375</v>
      </c>
      <c r="H214" s="17">
        <f t="array" ref="H214">MAX( INDEX(Pack_Master!H:H, MATCH($D214, Pack_Master!A:A, 0)),
      IFERROR(G214, 0) )
</f>
        <v>0.5</v>
      </c>
      <c r="I214" s="18">
        <f>IFERROR(__xludf.DUMMYFUNCTION("IFERROR(
 INDEX(
   FILTER(Shipping_Rate_Card!B:F, Shipping_Rate_Card!A:A=$A214),
   MATCH($H214, FILTER(Shipping_Rate_Card!B:B, Shipping_Rate_Card!A:A=$A214), 1),
   IF( INDEX(Config!B:B, MATCH($A214, Config!A:A, 0))=""Local"", 2,
     IF( INDEX(Config!B"&amp;":B, MATCH($A214, Config!A:A, 0))=""Regional"", 3, 4 )
   )
 ),
"""")
"),67.0)</f>
        <v>67</v>
      </c>
      <c r="J214" s="16">
        <f>IFERROR(__xludf.DUMMYFUNCTION("IFERROR(
 ( E214 * INDEX(FILTER(Pricing_Rules!E:E, Pricing_Rules!A:A=A214, Pricing_Rules!B:B=B214, Pricing_Rules!C:C&lt;=E214, Pricing_Rules!D:D&gt;=E214), 1)
   + INDEX(FILTER(Pricing_Rules!F:F, Pricing_Rules!A:A=A214, Pricing_Rules!B:B=B214, Pricing_Rules!C:C"&amp;"&lt;=E214, Pricing_Rules!D:D&gt;=E214), 1)
 )
 * (1 + IFERROR( INDEX(Config!D:D, MATCH(A214, Config!A:A, 0)), 0 )),
"""")
"),5.8999999999999995)</f>
        <v>5.9</v>
      </c>
      <c r="K214" s="19">
        <f t="shared" si="3"/>
        <v>117.1</v>
      </c>
      <c r="L214" s="20">
        <f t="shared" si="4"/>
        <v>0.391638796</v>
      </c>
    </row>
    <row r="215" ht="15.75" customHeight="1">
      <c r="A215" s="9" t="s">
        <v>9</v>
      </c>
      <c r="B215" s="12" t="str">
        <f t="array" ref="B215">XLOOKUP(C215, Channel_Listings!C:C, Channel_Listings!B:B)
</f>
        <v>Apparel_Caps_Beanies</v>
      </c>
      <c r="C215" s="23" t="s">
        <v>199</v>
      </c>
      <c r="D215" s="14" t="str">
        <f t="array" ref="D215">XLOOKUP(C215, Channel_Listings!C:C, Channel_Listings!D:D)
</f>
        <v>BEANIE-FOLD-BINGO-GREY</v>
      </c>
      <c r="E215" s="15">
        <v>299.0</v>
      </c>
      <c r="F215" s="16">
        <f t="array" ref="F215">IFERROR(
  VALUE( INDEX(Product_Master!$I:$I,
               MATCH( INDEX(Pack_Master!$B:$B, MATCH($D215, Pack_Master!$A:$A, 0)),
                      Product_Master!$B:$B, 0)
  )) 
  * VALUE( INDEX(Pack_Master!$C:$C, MATCH($D215, Pack_Master!$A:$A, 0)) )
  + VALUE( INDEX(Pack_Master!$D:$D, MATCH($D215, Pack_Master!$A:$A, 0)) ),
"")
</f>
        <v>109</v>
      </c>
      <c r="G215" s="17">
        <f t="array" ref="G215">IFERROR(
 ( INDEX(Pack_Master!E:E, MATCH($D215, Pack_Master!A:A, 0))
   * INDEX(Pack_Master!F:F, MATCH($D215, Pack_Master!A:A, 0))
   * INDEX(Pack_Master!G:G, MATCH($D215, Pack_Master!A:A, 0))
 ) / INDEX(Config!C:C, MATCH($A215, Config!A:A, 0)),
"")
</f>
        <v>0.375</v>
      </c>
      <c r="H215" s="17">
        <f t="array" ref="H215">MAX( INDEX(Pack_Master!H:H, MATCH($D215, Pack_Master!A:A, 0)),
      IFERROR(G215, 0) )
</f>
        <v>0.5</v>
      </c>
      <c r="I215" s="18">
        <f>IFERROR(__xludf.DUMMYFUNCTION("IFERROR(
 INDEX(
   FILTER(Shipping_Rate_Card!B:F, Shipping_Rate_Card!A:A=$A215),
   MATCH($H215, FILTER(Shipping_Rate_Card!B:B, Shipping_Rate_Card!A:A=$A215), 1),
   IF( INDEX(Config!B:B, MATCH($A215, Config!A:A, 0))=""Local"", 2,
     IF( INDEX(Config!B"&amp;":B, MATCH($A215, Config!A:A, 0))=""Regional"", 3, 4 )
   )
 ),
"""")
"),67.0)</f>
        <v>67</v>
      </c>
      <c r="J215" s="16">
        <f>IFERROR(__xludf.DUMMYFUNCTION("IFERROR(
 ( E215 * INDEX(FILTER(Pricing_Rules!E:E, Pricing_Rules!A:A=A215, Pricing_Rules!B:B=B215, Pricing_Rules!C:C&lt;=E215, Pricing_Rules!D:D&gt;=E215), 1)
   + INDEX(FILTER(Pricing_Rules!F:F, Pricing_Rules!A:A=A215, Pricing_Rules!B:B=B215, Pricing_Rules!C:C"&amp;"&lt;=E215, Pricing_Rules!D:D&gt;=E215), 1)
 )
 * (1 + IFERROR( INDEX(Config!D:D, MATCH(A215, Config!A:A, 0)), 0 )),
"""")
"),5.8999999999999995)</f>
        <v>5.9</v>
      </c>
      <c r="K215" s="19">
        <f t="shared" si="3"/>
        <v>117.1</v>
      </c>
      <c r="L215" s="20">
        <f t="shared" si="4"/>
        <v>0.391638796</v>
      </c>
    </row>
    <row r="216" ht="15.75" customHeight="1">
      <c r="A216" s="9" t="s">
        <v>9</v>
      </c>
      <c r="B216" s="12" t="str">
        <f t="array" ref="B216">XLOOKUP(C216, Channel_Listings!C:C, Channel_Listings!B:B)
</f>
        <v>Apparel_Caps_Beanies</v>
      </c>
      <c r="C216" s="23" t="s">
        <v>201</v>
      </c>
      <c r="D216" s="14" t="str">
        <f t="array" ref="D216">XLOOKUP(C216, Channel_Listings!C:C, Channel_Listings!D:D)
</f>
        <v>BEANIE-FOLD-BINGO-LIGHTBROWN</v>
      </c>
      <c r="E216" s="15">
        <v>299.0</v>
      </c>
      <c r="F216" s="16">
        <f t="array" ref="F216">IFERROR(
  VALUE( INDEX(Product_Master!$I:$I,
               MATCH( INDEX(Pack_Master!$B:$B, MATCH($D216, Pack_Master!$A:$A, 0)),
                      Product_Master!$B:$B, 0)
  )) 
  * VALUE( INDEX(Pack_Master!$C:$C, MATCH($D216, Pack_Master!$A:$A, 0)) )
  + VALUE( INDEX(Pack_Master!$D:$D, MATCH($D216, Pack_Master!$A:$A, 0)) ),
"")
</f>
        <v>109</v>
      </c>
      <c r="G216" s="17">
        <f t="array" ref="G216">IFERROR(
 ( INDEX(Pack_Master!E:E, MATCH($D216, Pack_Master!A:A, 0))
   * INDEX(Pack_Master!F:F, MATCH($D216, Pack_Master!A:A, 0))
   * INDEX(Pack_Master!G:G, MATCH($D216, Pack_Master!A:A, 0))
 ) / INDEX(Config!C:C, MATCH($A216, Config!A:A, 0)),
"")
</f>
        <v>0.375</v>
      </c>
      <c r="H216" s="17">
        <f t="array" ref="H216">MAX( INDEX(Pack_Master!H:H, MATCH($D216, Pack_Master!A:A, 0)),
      IFERROR(G216, 0) )
</f>
        <v>0.5</v>
      </c>
      <c r="I216" s="18">
        <f>IFERROR(__xludf.DUMMYFUNCTION("IFERROR(
 INDEX(
   FILTER(Shipping_Rate_Card!B:F, Shipping_Rate_Card!A:A=$A216),
   MATCH($H216, FILTER(Shipping_Rate_Card!B:B, Shipping_Rate_Card!A:A=$A216), 1),
   IF( INDEX(Config!B:B, MATCH($A216, Config!A:A, 0))=""Local"", 2,
     IF( INDEX(Config!B"&amp;":B, MATCH($A216, Config!A:A, 0))=""Regional"", 3, 4 )
   )
 ),
"""")
"),67.0)</f>
        <v>67</v>
      </c>
      <c r="J216" s="16">
        <f>IFERROR(__xludf.DUMMYFUNCTION("IFERROR(
 ( E216 * INDEX(FILTER(Pricing_Rules!E:E, Pricing_Rules!A:A=A216, Pricing_Rules!B:B=B216, Pricing_Rules!C:C&lt;=E216, Pricing_Rules!D:D&gt;=E216), 1)
   + INDEX(FILTER(Pricing_Rules!F:F, Pricing_Rules!A:A=A216, Pricing_Rules!B:B=B216, Pricing_Rules!C:C"&amp;"&lt;=E216, Pricing_Rules!D:D&gt;=E216), 1)
 )
 * (1 + IFERROR( INDEX(Config!D:D, MATCH(A216, Config!A:A, 0)), 0 )),
"""")
"),5.8999999999999995)</f>
        <v>5.9</v>
      </c>
      <c r="K216" s="19">
        <f t="shared" si="3"/>
        <v>117.1</v>
      </c>
      <c r="L216" s="20">
        <f t="shared" si="4"/>
        <v>0.391638796</v>
      </c>
    </row>
    <row r="217" ht="15.75" customHeight="1">
      <c r="A217" s="9" t="s">
        <v>9</v>
      </c>
      <c r="B217" s="12" t="str">
        <f t="array" ref="B217">XLOOKUP(C217, Channel_Listings!C:C, Channel_Listings!B:B)
</f>
        <v>Apparel_Caps_Beanies</v>
      </c>
      <c r="C217" s="23" t="s">
        <v>203</v>
      </c>
      <c r="D217" s="14" t="str">
        <f t="array" ref="D217">XLOOKUP(C217, Channel_Listings!C:C, Channel_Listings!D:D)
</f>
        <v>BEANIE-FOLD-BRAND-BLUE</v>
      </c>
      <c r="E217" s="15">
        <v>299.0</v>
      </c>
      <c r="F217" s="16">
        <f t="array" ref="F217">IFERROR(
  VALUE( INDEX(Product_Master!$I:$I,
               MATCH( INDEX(Pack_Master!$B:$B, MATCH($D217, Pack_Master!$A:$A, 0)),
                      Product_Master!$B:$B, 0)
  )) 
  * VALUE( INDEX(Pack_Master!$C:$C, MATCH($D217, Pack_Master!$A:$A, 0)) )
  + VALUE( INDEX(Pack_Master!$D:$D, MATCH($D217, Pack_Master!$A:$A, 0)) ),
"")
</f>
        <v>109</v>
      </c>
      <c r="G217" s="17">
        <f t="array" ref="G217">IFERROR(
 ( INDEX(Pack_Master!E:E, MATCH($D217, Pack_Master!A:A, 0))
   * INDEX(Pack_Master!F:F, MATCH($D217, Pack_Master!A:A, 0))
   * INDEX(Pack_Master!G:G, MATCH($D217, Pack_Master!A:A, 0))
 ) / INDEX(Config!C:C, MATCH($A217, Config!A:A, 0)),
"")
</f>
        <v>0.375</v>
      </c>
      <c r="H217" s="17">
        <f t="array" ref="H217">MAX( INDEX(Pack_Master!H:H, MATCH($D217, Pack_Master!A:A, 0)),
      IFERROR(G217, 0) )
</f>
        <v>0.5</v>
      </c>
      <c r="I217" s="18">
        <f>IFERROR(__xludf.DUMMYFUNCTION("IFERROR(
 INDEX(
   FILTER(Shipping_Rate_Card!B:F, Shipping_Rate_Card!A:A=$A217),
   MATCH($H217, FILTER(Shipping_Rate_Card!B:B, Shipping_Rate_Card!A:A=$A217), 1),
   IF( INDEX(Config!B:B, MATCH($A217, Config!A:A, 0))=""Local"", 2,
     IF( INDEX(Config!B"&amp;":B, MATCH($A217, Config!A:A, 0))=""Regional"", 3, 4 )
   )
 ),
"""")
"),67.0)</f>
        <v>67</v>
      </c>
      <c r="J217" s="16">
        <f>IFERROR(__xludf.DUMMYFUNCTION("IFERROR(
 ( E217 * INDEX(FILTER(Pricing_Rules!E:E, Pricing_Rules!A:A=A217, Pricing_Rules!B:B=B217, Pricing_Rules!C:C&lt;=E217, Pricing_Rules!D:D&gt;=E217), 1)
   + INDEX(FILTER(Pricing_Rules!F:F, Pricing_Rules!A:A=A217, Pricing_Rules!B:B=B217, Pricing_Rules!C:C"&amp;"&lt;=E217, Pricing_Rules!D:D&gt;=E217), 1)
 )
 * (1 + IFERROR( INDEX(Config!D:D, MATCH(A217, Config!A:A, 0)), 0 )),
"""")
"),5.8999999999999995)</f>
        <v>5.9</v>
      </c>
      <c r="K217" s="19">
        <f t="shared" si="3"/>
        <v>117.1</v>
      </c>
      <c r="L217" s="20">
        <f t="shared" si="4"/>
        <v>0.391638796</v>
      </c>
    </row>
    <row r="218" ht="15.75" customHeight="1">
      <c r="A218" s="9" t="s">
        <v>9</v>
      </c>
      <c r="B218" s="12" t="str">
        <f t="array" ref="B218">XLOOKUP(C218, Channel_Listings!C:C, Channel_Listings!B:B)
</f>
        <v>Apparel_Caps_Beanies</v>
      </c>
      <c r="C218" s="23" t="s">
        <v>205</v>
      </c>
      <c r="D218" s="14" t="str">
        <f t="array" ref="D218">XLOOKUP(C218, Channel_Listings!C:C, Channel_Listings!D:D)
</f>
        <v>BEANIE-FOLD-BRAND-GREEN</v>
      </c>
      <c r="E218" s="15">
        <v>299.0</v>
      </c>
      <c r="F218" s="16">
        <f t="array" ref="F218">IFERROR(
  VALUE( INDEX(Product_Master!$I:$I,
               MATCH( INDEX(Pack_Master!$B:$B, MATCH($D218, Pack_Master!$A:$A, 0)),
                      Product_Master!$B:$B, 0)
  )) 
  * VALUE( INDEX(Pack_Master!$C:$C, MATCH($D218, Pack_Master!$A:$A, 0)) )
  + VALUE( INDEX(Pack_Master!$D:$D, MATCH($D218, Pack_Master!$A:$A, 0)) ),
"")
</f>
        <v>109</v>
      </c>
      <c r="G218" s="17">
        <f t="array" ref="G218">IFERROR(
 ( INDEX(Pack_Master!E:E, MATCH($D218, Pack_Master!A:A, 0))
   * INDEX(Pack_Master!F:F, MATCH($D218, Pack_Master!A:A, 0))
   * INDEX(Pack_Master!G:G, MATCH($D218, Pack_Master!A:A, 0))
 ) / INDEX(Config!C:C, MATCH($A218, Config!A:A, 0)),
"")
</f>
        <v>0.375</v>
      </c>
      <c r="H218" s="17">
        <f t="array" ref="H218">MAX( INDEX(Pack_Master!H:H, MATCH($D218, Pack_Master!A:A, 0)),
      IFERROR(G218, 0) )
</f>
        <v>0.5</v>
      </c>
      <c r="I218" s="18">
        <f>IFERROR(__xludf.DUMMYFUNCTION("IFERROR(
 INDEX(
   FILTER(Shipping_Rate_Card!B:F, Shipping_Rate_Card!A:A=$A218),
   MATCH($H218, FILTER(Shipping_Rate_Card!B:B, Shipping_Rate_Card!A:A=$A218), 1),
   IF( INDEX(Config!B:B, MATCH($A218, Config!A:A, 0))=""Local"", 2,
     IF( INDEX(Config!B"&amp;":B, MATCH($A218, Config!A:A, 0))=""Regional"", 3, 4 )
   )
 ),
"""")
"),67.0)</f>
        <v>67</v>
      </c>
      <c r="J218" s="16">
        <f>IFERROR(__xludf.DUMMYFUNCTION("IFERROR(
 ( E218 * INDEX(FILTER(Pricing_Rules!E:E, Pricing_Rules!A:A=A218, Pricing_Rules!B:B=B218, Pricing_Rules!C:C&lt;=E218, Pricing_Rules!D:D&gt;=E218), 1)
   + INDEX(FILTER(Pricing_Rules!F:F, Pricing_Rules!A:A=A218, Pricing_Rules!B:B=B218, Pricing_Rules!C:C"&amp;"&lt;=E218, Pricing_Rules!D:D&gt;=E218), 1)
 )
 * (1 + IFERROR( INDEX(Config!D:D, MATCH(A218, Config!A:A, 0)), 0 )),
"""")
"),5.8999999999999995)</f>
        <v>5.9</v>
      </c>
      <c r="K218" s="19">
        <f t="shared" si="3"/>
        <v>117.1</v>
      </c>
      <c r="L218" s="20">
        <f t="shared" si="4"/>
        <v>0.391638796</v>
      </c>
    </row>
    <row r="219" ht="15.75" customHeight="1">
      <c r="A219" s="9" t="s">
        <v>9</v>
      </c>
      <c r="B219" s="12" t="str">
        <f t="array" ref="B219">XLOOKUP(C219, Channel_Listings!C:C, Channel_Listings!B:B)
</f>
        <v>Apparel_Caps_Beanies</v>
      </c>
      <c r="C219" s="23" t="s">
        <v>207</v>
      </c>
      <c r="D219" s="14" t="str">
        <f t="array" ref="D219">XLOOKUP(C219, Channel_Listings!C:C, Channel_Listings!D:D)
</f>
        <v>BEANIE-FOLD-BRAND-GREY</v>
      </c>
      <c r="E219" s="15">
        <v>299.0</v>
      </c>
      <c r="F219" s="16">
        <f t="array" ref="F219">IFERROR(
  VALUE( INDEX(Product_Master!$I:$I,
               MATCH( INDEX(Pack_Master!$B:$B, MATCH($D219, Pack_Master!$A:$A, 0)),
                      Product_Master!$B:$B, 0)
  )) 
  * VALUE( INDEX(Pack_Master!$C:$C, MATCH($D219, Pack_Master!$A:$A, 0)) )
  + VALUE( INDEX(Pack_Master!$D:$D, MATCH($D219, Pack_Master!$A:$A, 0)) ),
"")
</f>
        <v>109</v>
      </c>
      <c r="G219" s="17">
        <f t="array" ref="G219">IFERROR(
 ( INDEX(Pack_Master!E:E, MATCH($D219, Pack_Master!A:A, 0))
   * INDEX(Pack_Master!F:F, MATCH($D219, Pack_Master!A:A, 0))
   * INDEX(Pack_Master!G:G, MATCH($D219, Pack_Master!A:A, 0))
 ) / INDEX(Config!C:C, MATCH($A219, Config!A:A, 0)),
"")
</f>
        <v>0.375</v>
      </c>
      <c r="H219" s="17">
        <f t="array" ref="H219">MAX( INDEX(Pack_Master!H:H, MATCH($D219, Pack_Master!A:A, 0)),
      IFERROR(G219, 0) )
</f>
        <v>0.5</v>
      </c>
      <c r="I219" s="18">
        <f>IFERROR(__xludf.DUMMYFUNCTION("IFERROR(
 INDEX(
   FILTER(Shipping_Rate_Card!B:F, Shipping_Rate_Card!A:A=$A219),
   MATCH($H219, FILTER(Shipping_Rate_Card!B:B, Shipping_Rate_Card!A:A=$A219), 1),
   IF( INDEX(Config!B:B, MATCH($A219, Config!A:A, 0))=""Local"", 2,
     IF( INDEX(Config!B"&amp;":B, MATCH($A219, Config!A:A, 0))=""Regional"", 3, 4 )
   )
 ),
"""")
"),67.0)</f>
        <v>67</v>
      </c>
      <c r="J219" s="16">
        <f>IFERROR(__xludf.DUMMYFUNCTION("IFERROR(
 ( E219 * INDEX(FILTER(Pricing_Rules!E:E, Pricing_Rules!A:A=A219, Pricing_Rules!B:B=B219, Pricing_Rules!C:C&lt;=E219, Pricing_Rules!D:D&gt;=E219), 1)
   + INDEX(FILTER(Pricing_Rules!F:F, Pricing_Rules!A:A=A219, Pricing_Rules!B:B=B219, Pricing_Rules!C:C"&amp;"&lt;=E219, Pricing_Rules!D:D&gt;=E219), 1)
 )
 * (1 + IFERROR( INDEX(Config!D:D, MATCH(A219, Config!A:A, 0)), 0 )),
"""")
"),5.8999999999999995)</f>
        <v>5.9</v>
      </c>
      <c r="K219" s="19">
        <f t="shared" si="3"/>
        <v>117.1</v>
      </c>
      <c r="L219" s="20">
        <f t="shared" si="4"/>
        <v>0.391638796</v>
      </c>
    </row>
    <row r="220" ht="15.75" customHeight="1">
      <c r="A220" s="9" t="s">
        <v>9</v>
      </c>
      <c r="B220" s="12" t="str">
        <f t="array" ref="B220">XLOOKUP(C220, Channel_Listings!C:C, Channel_Listings!B:B)
</f>
        <v>Apparel_Caps_Beanies</v>
      </c>
      <c r="C220" s="23" t="s">
        <v>209</v>
      </c>
      <c r="D220" s="14" t="str">
        <f t="array" ref="D220">XLOOKUP(C220, Channel_Listings!C:C, Channel_Listings!D:D)
</f>
        <v>BEANIE-FOLD-BRAND-LIGHTBROWN</v>
      </c>
      <c r="E220" s="15">
        <v>299.0</v>
      </c>
      <c r="F220" s="16">
        <f t="array" ref="F220">IFERROR(
  VALUE( INDEX(Product_Master!$I:$I,
               MATCH( INDEX(Pack_Master!$B:$B, MATCH($D220, Pack_Master!$A:$A, 0)),
                      Product_Master!$B:$B, 0)
  )) 
  * VALUE( INDEX(Pack_Master!$C:$C, MATCH($D220, Pack_Master!$A:$A, 0)) )
  + VALUE( INDEX(Pack_Master!$D:$D, MATCH($D220, Pack_Master!$A:$A, 0)) ),
"")
</f>
        <v>109</v>
      </c>
      <c r="G220" s="17">
        <f t="array" ref="G220">IFERROR(
 ( INDEX(Pack_Master!E:E, MATCH($D220, Pack_Master!A:A, 0))
   * INDEX(Pack_Master!F:F, MATCH($D220, Pack_Master!A:A, 0))
   * INDEX(Pack_Master!G:G, MATCH($D220, Pack_Master!A:A, 0))
 ) / INDEX(Config!C:C, MATCH($A220, Config!A:A, 0)),
"")
</f>
        <v>0.375</v>
      </c>
      <c r="H220" s="17">
        <f t="array" ref="H220">MAX( INDEX(Pack_Master!H:H, MATCH($D220, Pack_Master!A:A, 0)),
      IFERROR(G220, 0) )
</f>
        <v>0.5</v>
      </c>
      <c r="I220" s="18">
        <f>IFERROR(__xludf.DUMMYFUNCTION("IFERROR(
 INDEX(
   FILTER(Shipping_Rate_Card!B:F, Shipping_Rate_Card!A:A=$A220),
   MATCH($H220, FILTER(Shipping_Rate_Card!B:B, Shipping_Rate_Card!A:A=$A220), 1),
   IF( INDEX(Config!B:B, MATCH($A220, Config!A:A, 0))=""Local"", 2,
     IF( INDEX(Config!B"&amp;":B, MATCH($A220, Config!A:A, 0))=""Regional"", 3, 4 )
   )
 ),
"""")
"),67.0)</f>
        <v>67</v>
      </c>
      <c r="J220" s="16">
        <f>IFERROR(__xludf.DUMMYFUNCTION("IFERROR(
 ( E220 * INDEX(FILTER(Pricing_Rules!E:E, Pricing_Rules!A:A=A220, Pricing_Rules!B:B=B220, Pricing_Rules!C:C&lt;=E220, Pricing_Rules!D:D&gt;=E220), 1)
   + INDEX(FILTER(Pricing_Rules!F:F, Pricing_Rules!A:A=A220, Pricing_Rules!B:B=B220, Pricing_Rules!C:C"&amp;"&lt;=E220, Pricing_Rules!D:D&gt;=E220), 1)
 )
 * (1 + IFERROR( INDEX(Config!D:D, MATCH(A220, Config!A:A, 0)), 0 )),
"""")
"),5.8999999999999995)</f>
        <v>5.9</v>
      </c>
      <c r="K220" s="19">
        <f t="shared" si="3"/>
        <v>117.1</v>
      </c>
      <c r="L220" s="20">
        <f t="shared" si="4"/>
        <v>0.391638796</v>
      </c>
    </row>
    <row r="221" ht="15.75" customHeight="1">
      <c r="A221" s="9" t="s">
        <v>9</v>
      </c>
      <c r="B221" s="12" t="str">
        <f t="array" ref="B221">XLOOKUP(C221, Channel_Listings!C:C, Channel_Listings!B:B)
</f>
        <v>Apparel_Caps_Beanies</v>
      </c>
      <c r="C221" s="23" t="s">
        <v>211</v>
      </c>
      <c r="D221" s="14" t="str">
        <f t="array" ref="D221">XLOOKUP(C221, Channel_Listings!C:C, Channel_Listings!D:D)
</f>
        <v>BEANIE-FOLD-BRAND-MAROON</v>
      </c>
      <c r="E221" s="15">
        <v>299.0</v>
      </c>
      <c r="F221" s="16">
        <f t="array" ref="F221">IFERROR(
  VALUE( INDEX(Product_Master!$I:$I,
               MATCH( INDEX(Pack_Master!$B:$B, MATCH($D221, Pack_Master!$A:$A, 0)),
                      Product_Master!$B:$B, 0)
  )) 
  * VALUE( INDEX(Pack_Master!$C:$C, MATCH($D221, Pack_Master!$A:$A, 0)) )
  + VALUE( INDEX(Pack_Master!$D:$D, MATCH($D221, Pack_Master!$A:$A, 0)) ),
"")
</f>
        <v>109</v>
      </c>
      <c r="G221" s="17">
        <f t="array" ref="G221">IFERROR(
 ( INDEX(Pack_Master!E:E, MATCH($D221, Pack_Master!A:A, 0))
   * INDEX(Pack_Master!F:F, MATCH($D221, Pack_Master!A:A, 0))
   * INDEX(Pack_Master!G:G, MATCH($D221, Pack_Master!A:A, 0))
 ) / INDEX(Config!C:C, MATCH($A221, Config!A:A, 0)),
"")
</f>
        <v>0.375</v>
      </c>
      <c r="H221" s="17">
        <f t="array" ref="H221">MAX( INDEX(Pack_Master!H:H, MATCH($D221, Pack_Master!A:A, 0)),
      IFERROR(G221, 0) )
</f>
        <v>0.5</v>
      </c>
      <c r="I221" s="18">
        <f>IFERROR(__xludf.DUMMYFUNCTION("IFERROR(
 INDEX(
   FILTER(Shipping_Rate_Card!B:F, Shipping_Rate_Card!A:A=$A221),
   MATCH($H221, FILTER(Shipping_Rate_Card!B:B, Shipping_Rate_Card!A:A=$A221), 1),
   IF( INDEX(Config!B:B, MATCH($A221, Config!A:A, 0))=""Local"", 2,
     IF( INDEX(Config!B"&amp;":B, MATCH($A221, Config!A:A, 0))=""Regional"", 3, 4 )
   )
 ),
"""")
"),67.0)</f>
        <v>67</v>
      </c>
      <c r="J221" s="16">
        <f>IFERROR(__xludf.DUMMYFUNCTION("IFERROR(
 ( E221 * INDEX(FILTER(Pricing_Rules!E:E, Pricing_Rules!A:A=A221, Pricing_Rules!B:B=B221, Pricing_Rules!C:C&lt;=E221, Pricing_Rules!D:D&gt;=E221), 1)
   + INDEX(FILTER(Pricing_Rules!F:F, Pricing_Rules!A:A=A221, Pricing_Rules!B:B=B221, Pricing_Rules!C:C"&amp;"&lt;=E221, Pricing_Rules!D:D&gt;=E221), 1)
 )
 * (1 + IFERROR( INDEX(Config!D:D, MATCH(A221, Config!A:A, 0)), 0 )),
"""")
"),5.8999999999999995)</f>
        <v>5.9</v>
      </c>
      <c r="K221" s="19">
        <f t="shared" si="3"/>
        <v>117.1</v>
      </c>
      <c r="L221" s="20">
        <f t="shared" si="4"/>
        <v>0.391638796</v>
      </c>
    </row>
    <row r="222" ht="15.75" customHeight="1">
      <c r="A222" s="9" t="s">
        <v>9</v>
      </c>
      <c r="B222" s="12" t="str">
        <f t="array" ref="B222">XLOOKUP(C222, Channel_Listings!C:C, Channel_Listings!B:B)
</f>
        <v>Apparel_Caps_Beanies</v>
      </c>
      <c r="C222" s="23" t="s">
        <v>213</v>
      </c>
      <c r="D222" s="14" t="str">
        <f t="array" ref="D222">XLOOKUP(C222, Channel_Listings!C:C, Channel_Listings!D:D)
</f>
        <v>BEANIE-FOLD-BRAND-SKIN</v>
      </c>
      <c r="E222" s="15">
        <v>299.0</v>
      </c>
      <c r="F222" s="16">
        <f t="array" ref="F222">IFERROR(
  VALUE( INDEX(Product_Master!$I:$I,
               MATCH( INDEX(Pack_Master!$B:$B, MATCH($D222, Pack_Master!$A:$A, 0)),
                      Product_Master!$B:$B, 0)
  )) 
  * VALUE( INDEX(Pack_Master!$C:$C, MATCH($D222, Pack_Master!$A:$A, 0)) )
  + VALUE( INDEX(Pack_Master!$D:$D, MATCH($D222, Pack_Master!$A:$A, 0)) ),
"")
</f>
        <v>109</v>
      </c>
      <c r="G222" s="17">
        <f t="array" ref="G222">IFERROR(
 ( INDEX(Pack_Master!E:E, MATCH($D222, Pack_Master!A:A, 0))
   * INDEX(Pack_Master!F:F, MATCH($D222, Pack_Master!A:A, 0))
   * INDEX(Pack_Master!G:G, MATCH($D222, Pack_Master!A:A, 0))
 ) / INDEX(Config!C:C, MATCH($A222, Config!A:A, 0)),
"")
</f>
        <v>0.375</v>
      </c>
      <c r="H222" s="17">
        <f t="array" ref="H222">MAX( INDEX(Pack_Master!H:H, MATCH($D222, Pack_Master!A:A, 0)),
      IFERROR(G222, 0) )
</f>
        <v>0.5</v>
      </c>
      <c r="I222" s="18">
        <f>IFERROR(__xludf.DUMMYFUNCTION("IFERROR(
 INDEX(
   FILTER(Shipping_Rate_Card!B:F, Shipping_Rate_Card!A:A=$A222),
   MATCH($H222, FILTER(Shipping_Rate_Card!B:B, Shipping_Rate_Card!A:A=$A222), 1),
   IF( INDEX(Config!B:B, MATCH($A222, Config!A:A, 0))=""Local"", 2,
     IF( INDEX(Config!B"&amp;":B, MATCH($A222, Config!A:A, 0))=""Regional"", 3, 4 )
   )
 ),
"""")
"),67.0)</f>
        <v>67</v>
      </c>
      <c r="J222" s="16">
        <f>IFERROR(__xludf.DUMMYFUNCTION("IFERROR(
 ( E222 * INDEX(FILTER(Pricing_Rules!E:E, Pricing_Rules!A:A=A222, Pricing_Rules!B:B=B222, Pricing_Rules!C:C&lt;=E222, Pricing_Rules!D:D&gt;=E222), 1)
   + INDEX(FILTER(Pricing_Rules!F:F, Pricing_Rules!A:A=A222, Pricing_Rules!B:B=B222, Pricing_Rules!C:C"&amp;"&lt;=E222, Pricing_Rules!D:D&gt;=E222), 1)
 )
 * (1 + IFERROR( INDEX(Config!D:D, MATCH(A222, Config!A:A, 0)), 0 )),
"""")
"),5.8999999999999995)</f>
        <v>5.9</v>
      </c>
      <c r="K222" s="19">
        <f t="shared" si="3"/>
        <v>117.1</v>
      </c>
      <c r="L222" s="20">
        <f t="shared" si="4"/>
        <v>0.391638796</v>
      </c>
    </row>
    <row r="223" ht="15.75" customHeight="1">
      <c r="A223" s="9" t="s">
        <v>9</v>
      </c>
      <c r="B223" s="12" t="str">
        <f t="array" ref="B223">XLOOKUP(C223, Channel_Listings!C:C, Channel_Listings!B:B)
</f>
        <v>Apparel_Caps_Beanies</v>
      </c>
      <c r="C223" s="23" t="s">
        <v>215</v>
      </c>
      <c r="D223" s="14" t="str">
        <f t="array" ref="D223">XLOOKUP(C223, Channel_Listings!C:C, Channel_Listings!D:D)
</f>
        <v>BEANIE-FOLD-CHECK-BLUE</v>
      </c>
      <c r="E223" s="15">
        <v>299.0</v>
      </c>
      <c r="F223" s="16">
        <f t="array" ref="F223">IFERROR(
  VALUE( INDEX(Product_Master!$I:$I,
               MATCH( INDEX(Pack_Master!$B:$B, MATCH($D223, Pack_Master!$A:$A, 0)),
                      Product_Master!$B:$B, 0)
  )) 
  * VALUE( INDEX(Pack_Master!$C:$C, MATCH($D223, Pack_Master!$A:$A, 0)) )
  + VALUE( INDEX(Pack_Master!$D:$D, MATCH($D223, Pack_Master!$A:$A, 0)) ),
"")
</f>
        <v>109</v>
      </c>
      <c r="G223" s="17">
        <f t="array" ref="G223">IFERROR(
 ( INDEX(Pack_Master!E:E, MATCH($D223, Pack_Master!A:A, 0))
   * INDEX(Pack_Master!F:F, MATCH($D223, Pack_Master!A:A, 0))
   * INDEX(Pack_Master!G:G, MATCH($D223, Pack_Master!A:A, 0))
 ) / INDEX(Config!C:C, MATCH($A223, Config!A:A, 0)),
"")
</f>
        <v>0.375</v>
      </c>
      <c r="H223" s="17">
        <f t="array" ref="H223">MAX( INDEX(Pack_Master!H:H, MATCH($D223, Pack_Master!A:A, 0)),
      IFERROR(G223, 0) )
</f>
        <v>0.5</v>
      </c>
      <c r="I223" s="18">
        <f>IFERROR(__xludf.DUMMYFUNCTION("IFERROR(
 INDEX(
   FILTER(Shipping_Rate_Card!B:F, Shipping_Rate_Card!A:A=$A223),
   MATCH($H223, FILTER(Shipping_Rate_Card!B:B, Shipping_Rate_Card!A:A=$A223), 1),
   IF( INDEX(Config!B:B, MATCH($A223, Config!A:A, 0))=""Local"", 2,
     IF( INDEX(Config!B"&amp;":B, MATCH($A223, Config!A:A, 0))=""Regional"", 3, 4 )
   )
 ),
"""")
"),67.0)</f>
        <v>67</v>
      </c>
      <c r="J223" s="16">
        <f>IFERROR(__xludf.DUMMYFUNCTION("IFERROR(
 ( E223 * INDEX(FILTER(Pricing_Rules!E:E, Pricing_Rules!A:A=A223, Pricing_Rules!B:B=B223, Pricing_Rules!C:C&lt;=E223, Pricing_Rules!D:D&gt;=E223), 1)
   + INDEX(FILTER(Pricing_Rules!F:F, Pricing_Rules!A:A=A223, Pricing_Rules!B:B=B223, Pricing_Rules!C:C"&amp;"&lt;=E223, Pricing_Rules!D:D&gt;=E223), 1)
 )
 * (1 + IFERROR( INDEX(Config!D:D, MATCH(A223, Config!A:A, 0)), 0 )),
"""")
"),5.8999999999999995)</f>
        <v>5.9</v>
      </c>
      <c r="K223" s="19">
        <f t="shared" si="3"/>
        <v>117.1</v>
      </c>
      <c r="L223" s="20">
        <f t="shared" si="4"/>
        <v>0.391638796</v>
      </c>
    </row>
    <row r="224" ht="15.75" customHeight="1">
      <c r="A224" s="9" t="s">
        <v>9</v>
      </c>
      <c r="B224" s="12" t="str">
        <f t="array" ref="B224">XLOOKUP(C224, Channel_Listings!C:C, Channel_Listings!B:B)
</f>
        <v>Apparel_Caps_Beanies</v>
      </c>
      <c r="C224" s="23" t="s">
        <v>218</v>
      </c>
      <c r="D224" s="14" t="str">
        <f t="array" ref="D224">XLOOKUP(C224, Channel_Listings!C:C, Channel_Listings!D:D)
</f>
        <v>BEANIE-FOLD-CHECK-GREY</v>
      </c>
      <c r="E224" s="15">
        <v>299.0</v>
      </c>
      <c r="F224" s="16">
        <f t="array" ref="F224">IFERROR(
  VALUE( INDEX(Product_Master!$I:$I,
               MATCH( INDEX(Pack_Master!$B:$B, MATCH($D224, Pack_Master!$A:$A, 0)),
                      Product_Master!$B:$B, 0)
  )) 
  * VALUE( INDEX(Pack_Master!$C:$C, MATCH($D224, Pack_Master!$A:$A, 0)) )
  + VALUE( INDEX(Pack_Master!$D:$D, MATCH($D224, Pack_Master!$A:$A, 0)) ),
"")
</f>
        <v>109</v>
      </c>
      <c r="G224" s="17">
        <f t="array" ref="G224">IFERROR(
 ( INDEX(Pack_Master!E:E, MATCH($D224, Pack_Master!A:A, 0))
   * INDEX(Pack_Master!F:F, MATCH($D224, Pack_Master!A:A, 0))
   * INDEX(Pack_Master!G:G, MATCH($D224, Pack_Master!A:A, 0))
 ) / INDEX(Config!C:C, MATCH($A224, Config!A:A, 0)),
"")
</f>
        <v>0.375</v>
      </c>
      <c r="H224" s="17">
        <f t="array" ref="H224">MAX( INDEX(Pack_Master!H:H, MATCH($D224, Pack_Master!A:A, 0)),
      IFERROR(G224, 0) )
</f>
        <v>0.5</v>
      </c>
      <c r="I224" s="18">
        <f>IFERROR(__xludf.DUMMYFUNCTION("IFERROR(
 INDEX(
   FILTER(Shipping_Rate_Card!B:F, Shipping_Rate_Card!A:A=$A224),
   MATCH($H224, FILTER(Shipping_Rate_Card!B:B, Shipping_Rate_Card!A:A=$A224), 1),
   IF( INDEX(Config!B:B, MATCH($A224, Config!A:A, 0))=""Local"", 2,
     IF( INDEX(Config!B"&amp;":B, MATCH($A224, Config!A:A, 0))=""Regional"", 3, 4 )
   )
 ),
"""")
"),67.0)</f>
        <v>67</v>
      </c>
      <c r="J224" s="16">
        <f>IFERROR(__xludf.DUMMYFUNCTION("IFERROR(
 ( E224 * INDEX(FILTER(Pricing_Rules!E:E, Pricing_Rules!A:A=A224, Pricing_Rules!B:B=B224, Pricing_Rules!C:C&lt;=E224, Pricing_Rules!D:D&gt;=E224), 1)
   + INDEX(FILTER(Pricing_Rules!F:F, Pricing_Rules!A:A=A224, Pricing_Rules!B:B=B224, Pricing_Rules!C:C"&amp;"&lt;=E224, Pricing_Rules!D:D&gt;=E224), 1)
 )
 * (1 + IFERROR( INDEX(Config!D:D, MATCH(A224, Config!A:A, 0)), 0 )),
"""")
"),5.8999999999999995)</f>
        <v>5.9</v>
      </c>
      <c r="K224" s="19">
        <f t="shared" si="3"/>
        <v>117.1</v>
      </c>
      <c r="L224" s="20">
        <f t="shared" si="4"/>
        <v>0.391638796</v>
      </c>
    </row>
    <row r="225" ht="15.75" customHeight="1">
      <c r="A225" s="9" t="s">
        <v>9</v>
      </c>
      <c r="B225" s="12" t="str">
        <f t="array" ref="B225">XLOOKUP(C225, Channel_Listings!C:C, Channel_Listings!B:B)
</f>
        <v>Apparel_Caps_Beanies</v>
      </c>
      <c r="C225" s="23" t="s">
        <v>221</v>
      </c>
      <c r="D225" s="14" t="str">
        <f t="array" ref="D225">XLOOKUP(C225, Channel_Listings!C:C, Channel_Listings!D:D)
</f>
        <v>BEANIE-FOLD-CHECK-LIGHTBROWN</v>
      </c>
      <c r="E225" s="15">
        <v>299.0</v>
      </c>
      <c r="F225" s="16">
        <f t="array" ref="F225">IFERROR(
  VALUE( INDEX(Product_Master!$I:$I,
               MATCH( INDEX(Pack_Master!$B:$B, MATCH($D225, Pack_Master!$A:$A, 0)),
                      Product_Master!$B:$B, 0)
  )) 
  * VALUE( INDEX(Pack_Master!$C:$C, MATCH($D225, Pack_Master!$A:$A, 0)) )
  + VALUE( INDEX(Pack_Master!$D:$D, MATCH($D225, Pack_Master!$A:$A, 0)) ),
"")
</f>
        <v>109</v>
      </c>
      <c r="G225" s="17">
        <f t="array" ref="G225">IFERROR(
 ( INDEX(Pack_Master!E:E, MATCH($D225, Pack_Master!A:A, 0))
   * INDEX(Pack_Master!F:F, MATCH($D225, Pack_Master!A:A, 0))
   * INDEX(Pack_Master!G:G, MATCH($D225, Pack_Master!A:A, 0))
 ) / INDEX(Config!C:C, MATCH($A225, Config!A:A, 0)),
"")
</f>
        <v>0.375</v>
      </c>
      <c r="H225" s="17">
        <f t="array" ref="H225">MAX( INDEX(Pack_Master!H:H, MATCH($D225, Pack_Master!A:A, 0)),
      IFERROR(G225, 0) )
</f>
        <v>0.5</v>
      </c>
      <c r="I225" s="18">
        <f>IFERROR(__xludf.DUMMYFUNCTION("IFERROR(
 INDEX(
   FILTER(Shipping_Rate_Card!B:F, Shipping_Rate_Card!A:A=$A225),
   MATCH($H225, FILTER(Shipping_Rate_Card!B:B, Shipping_Rate_Card!A:A=$A225), 1),
   IF( INDEX(Config!B:B, MATCH($A225, Config!A:A, 0))=""Local"", 2,
     IF( INDEX(Config!B"&amp;":B, MATCH($A225, Config!A:A, 0))=""Regional"", 3, 4 )
   )
 ),
"""")
"),67.0)</f>
        <v>67</v>
      </c>
      <c r="J225" s="16">
        <f>IFERROR(__xludf.DUMMYFUNCTION("IFERROR(
 ( E225 * INDEX(FILTER(Pricing_Rules!E:E, Pricing_Rules!A:A=A225, Pricing_Rules!B:B=B225, Pricing_Rules!C:C&lt;=E225, Pricing_Rules!D:D&gt;=E225), 1)
   + INDEX(FILTER(Pricing_Rules!F:F, Pricing_Rules!A:A=A225, Pricing_Rules!B:B=B225, Pricing_Rules!C:C"&amp;"&lt;=E225, Pricing_Rules!D:D&gt;=E225), 1)
 )
 * (1 + IFERROR( INDEX(Config!D:D, MATCH(A225, Config!A:A, 0)), 0 )),
"""")
"),5.8999999999999995)</f>
        <v>5.9</v>
      </c>
      <c r="K225" s="19">
        <f t="shared" si="3"/>
        <v>117.1</v>
      </c>
      <c r="L225" s="20">
        <f t="shared" si="4"/>
        <v>0.391638796</v>
      </c>
    </row>
    <row r="226" ht="15.75" customHeight="1">
      <c r="A226" s="9" t="s">
        <v>9</v>
      </c>
      <c r="B226" s="12" t="str">
        <f t="array" ref="B226">XLOOKUP(C226, Channel_Listings!C:C, Channel_Listings!B:B)
</f>
        <v>Apparel_Caps_Beanies</v>
      </c>
      <c r="C226" s="23" t="s">
        <v>224</v>
      </c>
      <c r="D226" s="14" t="str">
        <f t="array" ref="D226">XLOOKUP(C226, Channel_Listings!C:C, Channel_Listings!D:D)
</f>
        <v>BEANIE-FOLD-CHECK-MAROON</v>
      </c>
      <c r="E226" s="15">
        <v>299.0</v>
      </c>
      <c r="F226" s="16">
        <f t="array" ref="F226">IFERROR(
  VALUE( INDEX(Product_Master!$I:$I,
               MATCH( INDEX(Pack_Master!$B:$B, MATCH($D226, Pack_Master!$A:$A, 0)),
                      Product_Master!$B:$B, 0)
  )) 
  * VALUE( INDEX(Pack_Master!$C:$C, MATCH($D226, Pack_Master!$A:$A, 0)) )
  + VALUE( INDEX(Pack_Master!$D:$D, MATCH($D226, Pack_Master!$A:$A, 0)) ),
"")
</f>
        <v>109</v>
      </c>
      <c r="G226" s="17">
        <f t="array" ref="G226">IFERROR(
 ( INDEX(Pack_Master!E:E, MATCH($D226, Pack_Master!A:A, 0))
   * INDEX(Pack_Master!F:F, MATCH($D226, Pack_Master!A:A, 0))
   * INDEX(Pack_Master!G:G, MATCH($D226, Pack_Master!A:A, 0))
 ) / INDEX(Config!C:C, MATCH($A226, Config!A:A, 0)),
"")
</f>
        <v>0.375</v>
      </c>
      <c r="H226" s="17">
        <f t="array" ref="H226">MAX( INDEX(Pack_Master!H:H, MATCH($D226, Pack_Master!A:A, 0)),
      IFERROR(G226, 0) )
</f>
        <v>0.5</v>
      </c>
      <c r="I226" s="18">
        <f>IFERROR(__xludf.DUMMYFUNCTION("IFERROR(
 INDEX(
   FILTER(Shipping_Rate_Card!B:F, Shipping_Rate_Card!A:A=$A226),
   MATCH($H226, FILTER(Shipping_Rate_Card!B:B, Shipping_Rate_Card!A:A=$A226), 1),
   IF( INDEX(Config!B:B, MATCH($A226, Config!A:A, 0))=""Local"", 2,
     IF( INDEX(Config!B"&amp;":B, MATCH($A226, Config!A:A, 0))=""Regional"", 3, 4 )
   )
 ),
"""")
"),67.0)</f>
        <v>67</v>
      </c>
      <c r="J226" s="16">
        <f>IFERROR(__xludf.DUMMYFUNCTION("IFERROR(
 ( E226 * INDEX(FILTER(Pricing_Rules!E:E, Pricing_Rules!A:A=A226, Pricing_Rules!B:B=B226, Pricing_Rules!C:C&lt;=E226, Pricing_Rules!D:D&gt;=E226), 1)
   + INDEX(FILTER(Pricing_Rules!F:F, Pricing_Rules!A:A=A226, Pricing_Rules!B:B=B226, Pricing_Rules!C:C"&amp;"&lt;=E226, Pricing_Rules!D:D&gt;=E226), 1)
 )
 * (1 + IFERROR( INDEX(Config!D:D, MATCH(A226, Config!A:A, 0)), 0 )),
"""")
"),5.8999999999999995)</f>
        <v>5.9</v>
      </c>
      <c r="K226" s="19">
        <f t="shared" si="3"/>
        <v>117.1</v>
      </c>
      <c r="L226" s="20">
        <f t="shared" si="4"/>
        <v>0.391638796</v>
      </c>
    </row>
    <row r="227" ht="15.75" customHeight="1">
      <c r="A227" s="9" t="s">
        <v>9</v>
      </c>
      <c r="B227" s="12" t="str">
        <f t="array" ref="B227">XLOOKUP(C227, Channel_Listings!C:C, Channel_Listings!B:B)
</f>
        <v>Apparel_Caps_Beanies</v>
      </c>
      <c r="C227" s="23" t="s">
        <v>227</v>
      </c>
      <c r="D227" s="14" t="str">
        <f t="array" ref="D227">XLOOKUP(C227, Channel_Listings!C:C, Channel_Listings!D:D)
</f>
        <v>BEANIE-FOLD-CHECK-OLIVE</v>
      </c>
      <c r="E227" s="15">
        <v>299.0</v>
      </c>
      <c r="F227" s="16">
        <f t="array" ref="F227">IFERROR(
  VALUE( INDEX(Product_Master!$I:$I,
               MATCH( INDEX(Pack_Master!$B:$B, MATCH($D227, Pack_Master!$A:$A, 0)),
                      Product_Master!$B:$B, 0)
  )) 
  * VALUE( INDEX(Pack_Master!$C:$C, MATCH($D227, Pack_Master!$A:$A, 0)) )
  + VALUE( INDEX(Pack_Master!$D:$D, MATCH($D227, Pack_Master!$A:$A, 0)) ),
"")
</f>
        <v>109</v>
      </c>
      <c r="G227" s="17">
        <f t="array" ref="G227">IFERROR(
 ( INDEX(Pack_Master!E:E, MATCH($D227, Pack_Master!A:A, 0))
   * INDEX(Pack_Master!F:F, MATCH($D227, Pack_Master!A:A, 0))
   * INDEX(Pack_Master!G:G, MATCH($D227, Pack_Master!A:A, 0))
 ) / INDEX(Config!C:C, MATCH($A227, Config!A:A, 0)),
"")
</f>
        <v>0.375</v>
      </c>
      <c r="H227" s="17">
        <f t="array" ref="H227">MAX( INDEX(Pack_Master!H:H, MATCH($D227, Pack_Master!A:A, 0)),
      IFERROR(G227, 0) )
</f>
        <v>0.5</v>
      </c>
      <c r="I227" s="18">
        <f>IFERROR(__xludf.DUMMYFUNCTION("IFERROR(
 INDEX(
   FILTER(Shipping_Rate_Card!B:F, Shipping_Rate_Card!A:A=$A227),
   MATCH($H227, FILTER(Shipping_Rate_Card!B:B, Shipping_Rate_Card!A:A=$A227), 1),
   IF( INDEX(Config!B:B, MATCH($A227, Config!A:A, 0))=""Local"", 2,
     IF( INDEX(Config!B"&amp;":B, MATCH($A227, Config!A:A, 0))=""Regional"", 3, 4 )
   )
 ),
"""")
"),67.0)</f>
        <v>67</v>
      </c>
      <c r="J227" s="16">
        <f>IFERROR(__xludf.DUMMYFUNCTION("IFERROR(
 ( E227 * INDEX(FILTER(Pricing_Rules!E:E, Pricing_Rules!A:A=A227, Pricing_Rules!B:B=B227, Pricing_Rules!C:C&lt;=E227, Pricing_Rules!D:D&gt;=E227), 1)
   + INDEX(FILTER(Pricing_Rules!F:F, Pricing_Rules!A:A=A227, Pricing_Rules!B:B=B227, Pricing_Rules!C:C"&amp;"&lt;=E227, Pricing_Rules!D:D&gt;=E227), 1)
 )
 * (1 + IFERROR( INDEX(Config!D:D, MATCH(A227, Config!A:A, 0)), 0 )),
"""")
"),5.8999999999999995)</f>
        <v>5.9</v>
      </c>
      <c r="K227" s="19">
        <f t="shared" si="3"/>
        <v>117.1</v>
      </c>
      <c r="L227" s="20">
        <f t="shared" si="4"/>
        <v>0.391638796</v>
      </c>
    </row>
    <row r="228" ht="15.75" customHeight="1">
      <c r="A228" s="9" t="s">
        <v>9</v>
      </c>
      <c r="B228" s="12" t="str">
        <f t="array" ref="B228">XLOOKUP(C228, Channel_Listings!C:C, Channel_Listings!B:B)
</f>
        <v>Apparel_Caps_Beanies</v>
      </c>
      <c r="C228" s="23" t="s">
        <v>230</v>
      </c>
      <c r="D228" s="14" t="str">
        <f t="array" ref="D228">XLOOKUP(C228, Channel_Listings!C:C, Channel_Listings!D:D)
</f>
        <v>BEANIE-FOLD-KING-ASHGREEN</v>
      </c>
      <c r="E228" s="15">
        <v>299.0</v>
      </c>
      <c r="F228" s="16">
        <f t="array" ref="F228">IFERROR(
  VALUE( INDEX(Product_Master!$I:$I,
               MATCH( INDEX(Pack_Master!$B:$B, MATCH($D228, Pack_Master!$A:$A, 0)),
                      Product_Master!$B:$B, 0)
  )) 
  * VALUE( INDEX(Pack_Master!$C:$C, MATCH($D228, Pack_Master!$A:$A, 0)) )
  + VALUE( INDEX(Pack_Master!$D:$D, MATCH($D228, Pack_Master!$A:$A, 0)) ),
"")
</f>
        <v>109</v>
      </c>
      <c r="G228" s="17">
        <f t="array" ref="G228">IFERROR(
 ( INDEX(Pack_Master!E:E, MATCH($D228, Pack_Master!A:A, 0))
   * INDEX(Pack_Master!F:F, MATCH($D228, Pack_Master!A:A, 0))
   * INDEX(Pack_Master!G:G, MATCH($D228, Pack_Master!A:A, 0))
 ) / INDEX(Config!C:C, MATCH($A228, Config!A:A, 0)),
"")
</f>
        <v>0.375</v>
      </c>
      <c r="H228" s="17">
        <f t="array" ref="H228">MAX( INDEX(Pack_Master!H:H, MATCH($D228, Pack_Master!A:A, 0)),
      IFERROR(G228, 0) )
</f>
        <v>0.5</v>
      </c>
      <c r="I228" s="18">
        <f>IFERROR(__xludf.DUMMYFUNCTION("IFERROR(
 INDEX(
   FILTER(Shipping_Rate_Card!B:F, Shipping_Rate_Card!A:A=$A228),
   MATCH($H228, FILTER(Shipping_Rate_Card!B:B, Shipping_Rate_Card!A:A=$A228), 1),
   IF( INDEX(Config!B:B, MATCH($A228, Config!A:A, 0))=""Local"", 2,
     IF( INDEX(Config!B"&amp;":B, MATCH($A228, Config!A:A, 0))=""Regional"", 3, 4 )
   )
 ),
"""")
"),67.0)</f>
        <v>67</v>
      </c>
      <c r="J228" s="16">
        <f>IFERROR(__xludf.DUMMYFUNCTION("IFERROR(
 ( E228 * INDEX(FILTER(Pricing_Rules!E:E, Pricing_Rules!A:A=A228, Pricing_Rules!B:B=B228, Pricing_Rules!C:C&lt;=E228, Pricing_Rules!D:D&gt;=E228), 1)
   + INDEX(FILTER(Pricing_Rules!F:F, Pricing_Rules!A:A=A228, Pricing_Rules!B:B=B228, Pricing_Rules!C:C"&amp;"&lt;=E228, Pricing_Rules!D:D&gt;=E228), 1)
 )
 * (1 + IFERROR( INDEX(Config!D:D, MATCH(A228, Config!A:A, 0)), 0 )),
"""")
"),5.8999999999999995)</f>
        <v>5.9</v>
      </c>
      <c r="K228" s="19">
        <f t="shared" si="3"/>
        <v>117.1</v>
      </c>
      <c r="L228" s="20">
        <f t="shared" si="4"/>
        <v>0.391638796</v>
      </c>
    </row>
    <row r="229" ht="15.75" customHeight="1">
      <c r="A229" s="9" t="s">
        <v>9</v>
      </c>
      <c r="B229" s="12" t="str">
        <f t="array" ref="B229">XLOOKUP(C229, Channel_Listings!C:C, Channel_Listings!B:B)
</f>
        <v>Apparel_Caps_Beanies</v>
      </c>
      <c r="C229" s="23" t="s">
        <v>232</v>
      </c>
      <c r="D229" s="14" t="str">
        <f t="array" ref="D229">XLOOKUP(C229, Channel_Listings!C:C, Channel_Listings!D:D)
</f>
        <v>BEANIE-FOLD-KING-BLUE</v>
      </c>
      <c r="E229" s="15">
        <v>299.0</v>
      </c>
      <c r="F229" s="16">
        <f t="array" ref="F229">IFERROR(
  VALUE( INDEX(Product_Master!$I:$I,
               MATCH( INDEX(Pack_Master!$B:$B, MATCH($D229, Pack_Master!$A:$A, 0)),
                      Product_Master!$B:$B, 0)
  )) 
  * VALUE( INDEX(Pack_Master!$C:$C, MATCH($D229, Pack_Master!$A:$A, 0)) )
  + VALUE( INDEX(Pack_Master!$D:$D, MATCH($D229, Pack_Master!$A:$A, 0)) ),
"")
</f>
        <v>109</v>
      </c>
      <c r="G229" s="17">
        <f t="array" ref="G229">IFERROR(
 ( INDEX(Pack_Master!E:E, MATCH($D229, Pack_Master!A:A, 0))
   * INDEX(Pack_Master!F:F, MATCH($D229, Pack_Master!A:A, 0))
   * INDEX(Pack_Master!G:G, MATCH($D229, Pack_Master!A:A, 0))
 ) / INDEX(Config!C:C, MATCH($A229, Config!A:A, 0)),
"")
</f>
        <v>0.375</v>
      </c>
      <c r="H229" s="17">
        <f t="array" ref="H229">MAX( INDEX(Pack_Master!H:H, MATCH($D229, Pack_Master!A:A, 0)),
      IFERROR(G229, 0) )
</f>
        <v>0.5</v>
      </c>
      <c r="I229" s="18">
        <f>IFERROR(__xludf.DUMMYFUNCTION("IFERROR(
 INDEX(
   FILTER(Shipping_Rate_Card!B:F, Shipping_Rate_Card!A:A=$A229),
   MATCH($H229, FILTER(Shipping_Rate_Card!B:B, Shipping_Rate_Card!A:A=$A229), 1),
   IF( INDEX(Config!B:B, MATCH($A229, Config!A:A, 0))=""Local"", 2,
     IF( INDEX(Config!B"&amp;":B, MATCH($A229, Config!A:A, 0))=""Regional"", 3, 4 )
   )
 ),
"""")
"),67.0)</f>
        <v>67</v>
      </c>
      <c r="J229" s="16">
        <f>IFERROR(__xludf.DUMMYFUNCTION("IFERROR(
 ( E229 * INDEX(FILTER(Pricing_Rules!E:E, Pricing_Rules!A:A=A229, Pricing_Rules!B:B=B229, Pricing_Rules!C:C&lt;=E229, Pricing_Rules!D:D&gt;=E229), 1)
   + INDEX(FILTER(Pricing_Rules!F:F, Pricing_Rules!A:A=A229, Pricing_Rules!B:B=B229, Pricing_Rules!C:C"&amp;"&lt;=E229, Pricing_Rules!D:D&gt;=E229), 1)
 )
 * (1 + IFERROR( INDEX(Config!D:D, MATCH(A229, Config!A:A, 0)), 0 )),
"""")
"),5.8999999999999995)</f>
        <v>5.9</v>
      </c>
      <c r="K229" s="19">
        <f t="shared" si="3"/>
        <v>117.1</v>
      </c>
      <c r="L229" s="20">
        <f t="shared" si="4"/>
        <v>0.391638796</v>
      </c>
    </row>
    <row r="230" ht="15.75" customHeight="1">
      <c r="A230" s="9" t="s">
        <v>9</v>
      </c>
      <c r="B230" s="12" t="str">
        <f t="array" ref="B230">XLOOKUP(C230, Channel_Listings!C:C, Channel_Listings!B:B)
</f>
        <v>Apparel_Caps_Beanies</v>
      </c>
      <c r="C230" s="23" t="s">
        <v>234</v>
      </c>
      <c r="D230" s="14" t="str">
        <f t="array" ref="D230">XLOOKUP(C230, Channel_Listings!C:C, Channel_Listings!D:D)
</f>
        <v>BEANIE-FOLD-KING-BROWN</v>
      </c>
      <c r="E230" s="15">
        <v>299.0</v>
      </c>
      <c r="F230" s="16">
        <f t="array" ref="F230">IFERROR(
  VALUE( INDEX(Product_Master!$I:$I,
               MATCH( INDEX(Pack_Master!$B:$B, MATCH($D230, Pack_Master!$A:$A, 0)),
                      Product_Master!$B:$B, 0)
  )) 
  * VALUE( INDEX(Pack_Master!$C:$C, MATCH($D230, Pack_Master!$A:$A, 0)) )
  + VALUE( INDEX(Pack_Master!$D:$D, MATCH($D230, Pack_Master!$A:$A, 0)) ),
"")
</f>
        <v>109</v>
      </c>
      <c r="G230" s="17">
        <f t="array" ref="G230">IFERROR(
 ( INDEX(Pack_Master!E:E, MATCH($D230, Pack_Master!A:A, 0))
   * INDEX(Pack_Master!F:F, MATCH($D230, Pack_Master!A:A, 0))
   * INDEX(Pack_Master!G:G, MATCH($D230, Pack_Master!A:A, 0))
 ) / INDEX(Config!C:C, MATCH($A230, Config!A:A, 0)),
"")
</f>
        <v>0.375</v>
      </c>
      <c r="H230" s="17">
        <f t="array" ref="H230">MAX( INDEX(Pack_Master!H:H, MATCH($D230, Pack_Master!A:A, 0)),
      IFERROR(G230, 0) )
</f>
        <v>0.5</v>
      </c>
      <c r="I230" s="18">
        <f>IFERROR(__xludf.DUMMYFUNCTION("IFERROR(
 INDEX(
   FILTER(Shipping_Rate_Card!B:F, Shipping_Rate_Card!A:A=$A230),
   MATCH($H230, FILTER(Shipping_Rate_Card!B:B, Shipping_Rate_Card!A:A=$A230), 1),
   IF( INDEX(Config!B:B, MATCH($A230, Config!A:A, 0))=""Local"", 2,
     IF( INDEX(Config!B"&amp;":B, MATCH($A230, Config!A:A, 0))=""Regional"", 3, 4 )
   )
 ),
"""")
"),67.0)</f>
        <v>67</v>
      </c>
      <c r="J230" s="16">
        <f>IFERROR(__xludf.DUMMYFUNCTION("IFERROR(
 ( E230 * INDEX(FILTER(Pricing_Rules!E:E, Pricing_Rules!A:A=A230, Pricing_Rules!B:B=B230, Pricing_Rules!C:C&lt;=E230, Pricing_Rules!D:D&gt;=E230), 1)
   + INDEX(FILTER(Pricing_Rules!F:F, Pricing_Rules!A:A=A230, Pricing_Rules!B:B=B230, Pricing_Rules!C:C"&amp;"&lt;=E230, Pricing_Rules!D:D&gt;=E230), 1)
 )
 * (1 + IFERROR( INDEX(Config!D:D, MATCH(A230, Config!A:A, 0)), 0 )),
"""")
"),5.8999999999999995)</f>
        <v>5.9</v>
      </c>
      <c r="K230" s="19">
        <f t="shared" si="3"/>
        <v>117.1</v>
      </c>
      <c r="L230" s="20">
        <f t="shared" si="4"/>
        <v>0.391638796</v>
      </c>
    </row>
    <row r="231" ht="15.75" customHeight="1">
      <c r="A231" s="9" t="s">
        <v>9</v>
      </c>
      <c r="B231" s="12" t="str">
        <f t="array" ref="B231">XLOOKUP(C231, Channel_Listings!C:C, Channel_Listings!B:B)
</f>
        <v>Apparel_Caps_Beanies</v>
      </c>
      <c r="C231" s="23" t="s">
        <v>236</v>
      </c>
      <c r="D231" s="14" t="str">
        <f t="array" ref="D231">XLOOKUP(C231, Channel_Listings!C:C, Channel_Listings!D:D)
</f>
        <v>BEANIE-FOLD-KING-GREEN</v>
      </c>
      <c r="E231" s="15">
        <v>299.0</v>
      </c>
      <c r="F231" s="16">
        <f t="array" ref="F231">IFERROR(
  VALUE( INDEX(Product_Master!$I:$I,
               MATCH( INDEX(Pack_Master!$B:$B, MATCH($D231, Pack_Master!$A:$A, 0)),
                      Product_Master!$B:$B, 0)
  )) 
  * VALUE( INDEX(Pack_Master!$C:$C, MATCH($D231, Pack_Master!$A:$A, 0)) )
  + VALUE( INDEX(Pack_Master!$D:$D, MATCH($D231, Pack_Master!$A:$A, 0)) ),
"")
</f>
        <v>109</v>
      </c>
      <c r="G231" s="17">
        <f t="array" ref="G231">IFERROR(
 ( INDEX(Pack_Master!E:E, MATCH($D231, Pack_Master!A:A, 0))
   * INDEX(Pack_Master!F:F, MATCH($D231, Pack_Master!A:A, 0))
   * INDEX(Pack_Master!G:G, MATCH($D231, Pack_Master!A:A, 0))
 ) / INDEX(Config!C:C, MATCH($A231, Config!A:A, 0)),
"")
</f>
        <v>0.375</v>
      </c>
      <c r="H231" s="17">
        <f t="array" ref="H231">MAX( INDEX(Pack_Master!H:H, MATCH($D231, Pack_Master!A:A, 0)),
      IFERROR(G231, 0) )
</f>
        <v>0.5</v>
      </c>
      <c r="I231" s="18">
        <f>IFERROR(__xludf.DUMMYFUNCTION("IFERROR(
 INDEX(
   FILTER(Shipping_Rate_Card!B:F, Shipping_Rate_Card!A:A=$A231),
   MATCH($H231, FILTER(Shipping_Rate_Card!B:B, Shipping_Rate_Card!A:A=$A231), 1),
   IF( INDEX(Config!B:B, MATCH($A231, Config!A:A, 0))=""Local"", 2,
     IF( INDEX(Config!B"&amp;":B, MATCH($A231, Config!A:A, 0))=""Regional"", 3, 4 )
   )
 ),
"""")
"),67.0)</f>
        <v>67</v>
      </c>
      <c r="J231" s="16">
        <f>IFERROR(__xludf.DUMMYFUNCTION("IFERROR(
 ( E231 * INDEX(FILTER(Pricing_Rules!E:E, Pricing_Rules!A:A=A231, Pricing_Rules!B:B=B231, Pricing_Rules!C:C&lt;=E231, Pricing_Rules!D:D&gt;=E231), 1)
   + INDEX(FILTER(Pricing_Rules!F:F, Pricing_Rules!A:A=A231, Pricing_Rules!B:B=B231, Pricing_Rules!C:C"&amp;"&lt;=E231, Pricing_Rules!D:D&gt;=E231), 1)
 )
 * (1 + IFERROR( INDEX(Config!D:D, MATCH(A231, Config!A:A, 0)), 0 )),
"""")
"),5.8999999999999995)</f>
        <v>5.9</v>
      </c>
      <c r="K231" s="19">
        <f t="shared" si="3"/>
        <v>117.1</v>
      </c>
      <c r="L231" s="20">
        <f t="shared" si="4"/>
        <v>0.391638796</v>
      </c>
    </row>
    <row r="232" ht="15.75" customHeight="1">
      <c r="A232" s="9" t="s">
        <v>9</v>
      </c>
      <c r="B232" s="12" t="str">
        <f t="array" ref="B232">XLOOKUP(C232, Channel_Listings!C:C, Channel_Listings!B:B)
</f>
        <v>Apparel_Caps_Beanies</v>
      </c>
      <c r="C232" s="23" t="s">
        <v>238</v>
      </c>
      <c r="D232" s="14" t="str">
        <f t="array" ref="D232">XLOOKUP(C232, Channel_Listings!C:C, Channel_Listings!D:D)
</f>
        <v>BEANIE-FOLD-KING-LIGHTGREEN</v>
      </c>
      <c r="E232" s="15">
        <v>299.0</v>
      </c>
      <c r="F232" s="16">
        <f t="array" ref="F232">IFERROR(
  VALUE( INDEX(Product_Master!$I:$I,
               MATCH( INDEX(Pack_Master!$B:$B, MATCH($D232, Pack_Master!$A:$A, 0)),
                      Product_Master!$B:$B, 0)
  )) 
  * VALUE( INDEX(Pack_Master!$C:$C, MATCH($D232, Pack_Master!$A:$A, 0)) )
  + VALUE( INDEX(Pack_Master!$D:$D, MATCH($D232, Pack_Master!$A:$A, 0)) ),
"")
</f>
        <v>2</v>
      </c>
      <c r="G232" s="17">
        <f t="array" ref="G232">IFERROR(
 ( INDEX(Pack_Master!E:E, MATCH($D232, Pack_Master!A:A, 0))
   * INDEX(Pack_Master!F:F, MATCH($D232, Pack_Master!A:A, 0))
   * INDEX(Pack_Master!G:G, MATCH($D232, Pack_Master!A:A, 0))
 ) / INDEX(Config!C:C, MATCH($A232, Config!A:A, 0)),
"")
</f>
        <v>0.375</v>
      </c>
      <c r="H232" s="17">
        <f t="array" ref="H232">MAX( INDEX(Pack_Master!H:H, MATCH($D232, Pack_Master!A:A, 0)),
      IFERROR(G232, 0) )
</f>
        <v>0.5</v>
      </c>
      <c r="I232" s="18">
        <f>IFERROR(__xludf.DUMMYFUNCTION("IFERROR(
 INDEX(
   FILTER(Shipping_Rate_Card!B:F, Shipping_Rate_Card!A:A=$A232),
   MATCH($H232, FILTER(Shipping_Rate_Card!B:B, Shipping_Rate_Card!A:A=$A232), 1),
   IF( INDEX(Config!B:B, MATCH($A232, Config!A:A, 0))=""Local"", 2,
     IF( INDEX(Config!B"&amp;":B, MATCH($A232, Config!A:A, 0))=""Regional"", 3, 4 )
   )
 ),
"""")
"),67.0)</f>
        <v>67</v>
      </c>
      <c r="J232" s="16">
        <f>IFERROR(__xludf.DUMMYFUNCTION("IFERROR(
 ( E232 * INDEX(FILTER(Pricing_Rules!E:E, Pricing_Rules!A:A=A232, Pricing_Rules!B:B=B232, Pricing_Rules!C:C&lt;=E232, Pricing_Rules!D:D&gt;=E232), 1)
   + INDEX(FILTER(Pricing_Rules!F:F, Pricing_Rules!A:A=A232, Pricing_Rules!B:B=B232, Pricing_Rules!C:C"&amp;"&lt;=E232, Pricing_Rules!D:D&gt;=E232), 1)
 )
 * (1 + IFERROR( INDEX(Config!D:D, MATCH(A232, Config!A:A, 0)), 0 )),
"""")
"),5.8999999999999995)</f>
        <v>5.9</v>
      </c>
      <c r="K232" s="19">
        <f t="shared" si="3"/>
        <v>224.1</v>
      </c>
      <c r="L232" s="20">
        <f t="shared" si="4"/>
        <v>0.7494983278</v>
      </c>
    </row>
    <row r="233" ht="15.75" customHeight="1">
      <c r="A233" s="9" t="s">
        <v>9</v>
      </c>
      <c r="B233" s="12" t="str">
        <f t="array" ref="B233">XLOOKUP(C233, Channel_Listings!C:C, Channel_Listings!B:B)
</f>
        <v>Apparel_Caps_Beanies</v>
      </c>
      <c r="C233" s="23" t="s">
        <v>240</v>
      </c>
      <c r="D233" s="14" t="str">
        <f t="array" ref="D233">XLOOKUP(C233, Channel_Listings!C:C, Channel_Listings!D:D)
</f>
        <v>BEANIE-FOLD-KING-MAROON</v>
      </c>
      <c r="E233" s="15">
        <v>299.0</v>
      </c>
      <c r="F233" s="16">
        <f t="array" ref="F233">IFERROR(
  VALUE( INDEX(Product_Master!$I:$I,
               MATCH( INDEX(Pack_Master!$B:$B, MATCH($D233, Pack_Master!$A:$A, 0)),
                      Product_Master!$B:$B, 0)
  )) 
  * VALUE( INDEX(Pack_Master!$C:$C, MATCH($D233, Pack_Master!$A:$A, 0)) )
  + VALUE( INDEX(Pack_Master!$D:$D, MATCH($D233, Pack_Master!$A:$A, 0)) ),
"")
</f>
        <v>109</v>
      </c>
      <c r="G233" s="17">
        <f t="array" ref="G233">IFERROR(
 ( INDEX(Pack_Master!E:E, MATCH($D233, Pack_Master!A:A, 0))
   * INDEX(Pack_Master!F:F, MATCH($D233, Pack_Master!A:A, 0))
   * INDEX(Pack_Master!G:G, MATCH($D233, Pack_Master!A:A, 0))
 ) / INDEX(Config!C:C, MATCH($A233, Config!A:A, 0)),
"")
</f>
        <v>0.375</v>
      </c>
      <c r="H233" s="17">
        <f t="array" ref="H233">MAX( INDEX(Pack_Master!H:H, MATCH($D233, Pack_Master!A:A, 0)),
      IFERROR(G233, 0) )
</f>
        <v>0.5</v>
      </c>
      <c r="I233" s="18">
        <f>IFERROR(__xludf.DUMMYFUNCTION("IFERROR(
 INDEX(
   FILTER(Shipping_Rate_Card!B:F, Shipping_Rate_Card!A:A=$A233),
   MATCH($H233, FILTER(Shipping_Rate_Card!B:B, Shipping_Rate_Card!A:A=$A233), 1),
   IF( INDEX(Config!B:B, MATCH($A233, Config!A:A, 0))=""Local"", 2,
     IF( INDEX(Config!B"&amp;":B, MATCH($A233, Config!A:A, 0))=""Regional"", 3, 4 )
   )
 ),
"""")
"),67.0)</f>
        <v>67</v>
      </c>
      <c r="J233" s="16">
        <f>IFERROR(__xludf.DUMMYFUNCTION("IFERROR(
 ( E233 * INDEX(FILTER(Pricing_Rules!E:E, Pricing_Rules!A:A=A233, Pricing_Rules!B:B=B233, Pricing_Rules!C:C&lt;=E233, Pricing_Rules!D:D&gt;=E233), 1)
   + INDEX(FILTER(Pricing_Rules!F:F, Pricing_Rules!A:A=A233, Pricing_Rules!B:B=B233, Pricing_Rules!C:C"&amp;"&lt;=E233, Pricing_Rules!D:D&gt;=E233), 1)
 )
 * (1 + IFERROR( INDEX(Config!D:D, MATCH(A233, Config!A:A, 0)), 0 )),
"""")
"),5.8999999999999995)</f>
        <v>5.9</v>
      </c>
      <c r="K233" s="19">
        <f t="shared" si="3"/>
        <v>117.1</v>
      </c>
      <c r="L233" s="20">
        <f t="shared" si="4"/>
        <v>0.391638796</v>
      </c>
    </row>
    <row r="234" ht="15.75" customHeight="1">
      <c r="A234" s="9" t="s">
        <v>9</v>
      </c>
      <c r="B234" s="12" t="str">
        <f t="array" ref="B234">XLOOKUP(C234, Channel_Listings!C:C, Channel_Listings!B:B)
</f>
        <v>Apparel_Caps_Beanies</v>
      </c>
      <c r="C234" s="23" t="s">
        <v>242</v>
      </c>
      <c r="D234" s="14" t="str">
        <f t="array" ref="D234">XLOOKUP(C234, Channel_Listings!C:C, Channel_Listings!D:D)
</f>
        <v>BEANIE-FOLD-PLAIN-BLACK</v>
      </c>
      <c r="E234" s="15">
        <v>299.0</v>
      </c>
      <c r="F234" s="16">
        <f t="array" ref="F234">IFERROR(
  VALUE( INDEX(Product_Master!$I:$I,
               MATCH( INDEX(Pack_Master!$B:$B, MATCH($D234, Pack_Master!$A:$A, 0)),
                      Product_Master!$B:$B, 0)
  )) 
  * VALUE( INDEX(Pack_Master!$C:$C, MATCH($D234, Pack_Master!$A:$A, 0)) )
  + VALUE( INDEX(Pack_Master!$D:$D, MATCH($D234, Pack_Master!$A:$A, 0)) ),
"")
</f>
        <v>109</v>
      </c>
      <c r="G234" s="17">
        <f t="array" ref="G234">IFERROR(
 ( INDEX(Pack_Master!E:E, MATCH($D234, Pack_Master!A:A, 0))
   * INDEX(Pack_Master!F:F, MATCH($D234, Pack_Master!A:A, 0))
   * INDEX(Pack_Master!G:G, MATCH($D234, Pack_Master!A:A, 0))
 ) / INDEX(Config!C:C, MATCH($A234, Config!A:A, 0)),
"")
</f>
        <v>0.375</v>
      </c>
      <c r="H234" s="17">
        <f t="array" ref="H234">MAX( INDEX(Pack_Master!H:H, MATCH($D234, Pack_Master!A:A, 0)),
      IFERROR(G234, 0) )
</f>
        <v>0.5</v>
      </c>
      <c r="I234" s="18">
        <f>IFERROR(__xludf.DUMMYFUNCTION("IFERROR(
 INDEX(
   FILTER(Shipping_Rate_Card!B:F, Shipping_Rate_Card!A:A=$A234),
   MATCH($H234, FILTER(Shipping_Rate_Card!B:B, Shipping_Rate_Card!A:A=$A234), 1),
   IF( INDEX(Config!B:B, MATCH($A234, Config!A:A, 0))=""Local"", 2,
     IF( INDEX(Config!B"&amp;":B, MATCH($A234, Config!A:A, 0))=""Regional"", 3, 4 )
   )
 ),
"""")
"),67.0)</f>
        <v>67</v>
      </c>
      <c r="J234" s="16">
        <f>IFERROR(__xludf.DUMMYFUNCTION("IFERROR(
 ( E234 * INDEX(FILTER(Pricing_Rules!E:E, Pricing_Rules!A:A=A234, Pricing_Rules!B:B=B234, Pricing_Rules!C:C&lt;=E234, Pricing_Rules!D:D&gt;=E234), 1)
   + INDEX(FILTER(Pricing_Rules!F:F, Pricing_Rules!A:A=A234, Pricing_Rules!B:B=B234, Pricing_Rules!C:C"&amp;"&lt;=E234, Pricing_Rules!D:D&gt;=E234), 1)
 )
 * (1 + IFERROR( INDEX(Config!D:D, MATCH(A234, Config!A:A, 0)), 0 )),
"""")
"),5.8999999999999995)</f>
        <v>5.9</v>
      </c>
      <c r="K234" s="19">
        <f t="shared" si="3"/>
        <v>117.1</v>
      </c>
      <c r="L234" s="20">
        <f t="shared" si="4"/>
        <v>0.391638796</v>
      </c>
    </row>
    <row r="235" ht="15.75" customHeight="1">
      <c r="A235" s="9" t="s">
        <v>9</v>
      </c>
      <c r="B235" s="12" t="str">
        <f t="array" ref="B235">XLOOKUP(C235, Channel_Listings!C:C, Channel_Listings!B:B)
</f>
        <v>Apparel_Caps_Beanies</v>
      </c>
      <c r="C235" s="23" t="s">
        <v>244</v>
      </c>
      <c r="D235" s="14" t="str">
        <f t="array" ref="D235">XLOOKUP(C235, Channel_Listings!C:C, Channel_Listings!D:D)
</f>
        <v>BEANIE-FOLD-PLAIN-BLUE</v>
      </c>
      <c r="E235" s="15">
        <v>299.0</v>
      </c>
      <c r="F235" s="16">
        <f t="array" ref="F235">IFERROR(
  VALUE( INDEX(Product_Master!$I:$I,
               MATCH( INDEX(Pack_Master!$B:$B, MATCH($D235, Pack_Master!$A:$A, 0)),
                      Product_Master!$B:$B, 0)
  )) 
  * VALUE( INDEX(Pack_Master!$C:$C, MATCH($D235, Pack_Master!$A:$A, 0)) )
  + VALUE( INDEX(Pack_Master!$D:$D, MATCH($D235, Pack_Master!$A:$A, 0)) ),
"")
</f>
        <v>109</v>
      </c>
      <c r="G235" s="17">
        <f t="array" ref="G235">IFERROR(
 ( INDEX(Pack_Master!E:E, MATCH($D235, Pack_Master!A:A, 0))
   * INDEX(Pack_Master!F:F, MATCH($D235, Pack_Master!A:A, 0))
   * INDEX(Pack_Master!G:G, MATCH($D235, Pack_Master!A:A, 0))
 ) / INDEX(Config!C:C, MATCH($A235, Config!A:A, 0)),
"")
</f>
        <v>0.375</v>
      </c>
      <c r="H235" s="17">
        <f t="array" ref="H235">MAX( INDEX(Pack_Master!H:H, MATCH($D235, Pack_Master!A:A, 0)),
      IFERROR(G235, 0) )
</f>
        <v>0.5</v>
      </c>
      <c r="I235" s="18">
        <f>IFERROR(__xludf.DUMMYFUNCTION("IFERROR(
 INDEX(
   FILTER(Shipping_Rate_Card!B:F, Shipping_Rate_Card!A:A=$A235),
   MATCH($H235, FILTER(Shipping_Rate_Card!B:B, Shipping_Rate_Card!A:A=$A235), 1),
   IF( INDEX(Config!B:B, MATCH($A235, Config!A:A, 0))=""Local"", 2,
     IF( INDEX(Config!B"&amp;":B, MATCH($A235, Config!A:A, 0))=""Regional"", 3, 4 )
   )
 ),
"""")
"),67.0)</f>
        <v>67</v>
      </c>
      <c r="J235" s="16">
        <f>IFERROR(__xludf.DUMMYFUNCTION("IFERROR(
 ( E235 * INDEX(FILTER(Pricing_Rules!E:E, Pricing_Rules!A:A=A235, Pricing_Rules!B:B=B235, Pricing_Rules!C:C&lt;=E235, Pricing_Rules!D:D&gt;=E235), 1)
   + INDEX(FILTER(Pricing_Rules!F:F, Pricing_Rules!A:A=A235, Pricing_Rules!B:B=B235, Pricing_Rules!C:C"&amp;"&lt;=E235, Pricing_Rules!D:D&gt;=E235), 1)
 )
 * (1 + IFERROR( INDEX(Config!D:D, MATCH(A235, Config!A:A, 0)), 0 )),
"""")
"),5.8999999999999995)</f>
        <v>5.9</v>
      </c>
      <c r="K235" s="19">
        <f t="shared" si="3"/>
        <v>117.1</v>
      </c>
      <c r="L235" s="20">
        <f t="shared" si="4"/>
        <v>0.391638796</v>
      </c>
    </row>
    <row r="236" ht="15.75" customHeight="1">
      <c r="A236" s="9" t="s">
        <v>9</v>
      </c>
      <c r="B236" s="12" t="str">
        <f t="array" ref="B236">XLOOKUP(C236, Channel_Listings!C:C, Channel_Listings!B:B)
</f>
        <v>Apparel_Caps_Beanies</v>
      </c>
      <c r="C236" s="23" t="s">
        <v>246</v>
      </c>
      <c r="D236" s="14" t="str">
        <f t="array" ref="D236">XLOOKUP(C236, Channel_Listings!C:C, Channel_Listings!D:D)
</f>
        <v>BEANIE-FOLD-PLAIN-DARKGREEN</v>
      </c>
      <c r="E236" s="15">
        <v>299.0</v>
      </c>
      <c r="F236" s="16">
        <f t="array" ref="F236">IFERROR(
  VALUE( INDEX(Product_Master!$I:$I,
               MATCH( INDEX(Pack_Master!$B:$B, MATCH($D236, Pack_Master!$A:$A, 0)),
                      Product_Master!$B:$B, 0)
  )) 
  * VALUE( INDEX(Pack_Master!$C:$C, MATCH($D236, Pack_Master!$A:$A, 0)) )
  + VALUE( INDEX(Pack_Master!$D:$D, MATCH($D236, Pack_Master!$A:$A, 0)) ),
"")
</f>
        <v>109</v>
      </c>
      <c r="G236" s="17">
        <f t="array" ref="G236">IFERROR(
 ( INDEX(Pack_Master!E:E, MATCH($D236, Pack_Master!A:A, 0))
   * INDEX(Pack_Master!F:F, MATCH($D236, Pack_Master!A:A, 0))
   * INDEX(Pack_Master!G:G, MATCH($D236, Pack_Master!A:A, 0))
 ) / INDEX(Config!C:C, MATCH($A236, Config!A:A, 0)),
"")
</f>
        <v>0.375</v>
      </c>
      <c r="H236" s="17">
        <f t="array" ref="H236">MAX( INDEX(Pack_Master!H:H, MATCH($D236, Pack_Master!A:A, 0)),
      IFERROR(G236, 0) )
</f>
        <v>0.5</v>
      </c>
      <c r="I236" s="18">
        <f>IFERROR(__xludf.DUMMYFUNCTION("IFERROR(
 INDEX(
   FILTER(Shipping_Rate_Card!B:F, Shipping_Rate_Card!A:A=$A236),
   MATCH($H236, FILTER(Shipping_Rate_Card!B:B, Shipping_Rate_Card!A:A=$A236), 1),
   IF( INDEX(Config!B:B, MATCH($A236, Config!A:A, 0))=""Local"", 2,
     IF( INDEX(Config!B"&amp;":B, MATCH($A236, Config!A:A, 0))=""Regional"", 3, 4 )
   )
 ),
"""")
"),67.0)</f>
        <v>67</v>
      </c>
      <c r="J236" s="16">
        <f>IFERROR(__xludf.DUMMYFUNCTION("IFERROR(
 ( E236 * INDEX(FILTER(Pricing_Rules!E:E, Pricing_Rules!A:A=A236, Pricing_Rules!B:B=B236, Pricing_Rules!C:C&lt;=E236, Pricing_Rules!D:D&gt;=E236), 1)
   + INDEX(FILTER(Pricing_Rules!F:F, Pricing_Rules!A:A=A236, Pricing_Rules!B:B=B236, Pricing_Rules!C:C"&amp;"&lt;=E236, Pricing_Rules!D:D&gt;=E236), 1)
 )
 * (1 + IFERROR( INDEX(Config!D:D, MATCH(A236, Config!A:A, 0)), 0 )),
"""")
"),5.8999999999999995)</f>
        <v>5.9</v>
      </c>
      <c r="K236" s="19">
        <f t="shared" si="3"/>
        <v>117.1</v>
      </c>
      <c r="L236" s="20">
        <f t="shared" si="4"/>
        <v>0.391638796</v>
      </c>
    </row>
    <row r="237" ht="15.75" customHeight="1">
      <c r="A237" s="9" t="s">
        <v>9</v>
      </c>
      <c r="B237" s="12" t="str">
        <f t="array" ref="B237">XLOOKUP(C237, Channel_Listings!C:C, Channel_Listings!B:B)
</f>
        <v>Apparel_Caps_Beanies</v>
      </c>
      <c r="C237" s="23" t="s">
        <v>248</v>
      </c>
      <c r="D237" s="14" t="str">
        <f t="array" ref="D237">XLOOKUP(C237, Channel_Listings!C:C, Channel_Listings!D:D)
</f>
        <v>BEANIE-FOLD-PLAIN-GREEN</v>
      </c>
      <c r="E237" s="15">
        <v>299.0</v>
      </c>
      <c r="F237" s="16">
        <f t="array" ref="F237">IFERROR(
  VALUE( INDEX(Product_Master!$I:$I,
               MATCH( INDEX(Pack_Master!$B:$B, MATCH($D237, Pack_Master!$A:$A, 0)),
                      Product_Master!$B:$B, 0)
  )) 
  * VALUE( INDEX(Pack_Master!$C:$C, MATCH($D237, Pack_Master!$A:$A, 0)) )
  + VALUE( INDEX(Pack_Master!$D:$D, MATCH($D237, Pack_Master!$A:$A, 0)) ),
"")
</f>
        <v>109</v>
      </c>
      <c r="G237" s="17">
        <f t="array" ref="G237">IFERROR(
 ( INDEX(Pack_Master!E:E, MATCH($D237, Pack_Master!A:A, 0))
   * INDEX(Pack_Master!F:F, MATCH($D237, Pack_Master!A:A, 0))
   * INDEX(Pack_Master!G:G, MATCH($D237, Pack_Master!A:A, 0))
 ) / INDEX(Config!C:C, MATCH($A237, Config!A:A, 0)),
"")
</f>
        <v>0.375</v>
      </c>
      <c r="H237" s="17">
        <f t="array" ref="H237">MAX( INDEX(Pack_Master!H:H, MATCH($D237, Pack_Master!A:A, 0)),
      IFERROR(G237, 0) )
</f>
        <v>0.5</v>
      </c>
      <c r="I237" s="18">
        <f>IFERROR(__xludf.DUMMYFUNCTION("IFERROR(
 INDEX(
   FILTER(Shipping_Rate_Card!B:F, Shipping_Rate_Card!A:A=$A237),
   MATCH($H237, FILTER(Shipping_Rate_Card!B:B, Shipping_Rate_Card!A:A=$A237), 1),
   IF( INDEX(Config!B:B, MATCH($A237, Config!A:A, 0))=""Local"", 2,
     IF( INDEX(Config!B"&amp;":B, MATCH($A237, Config!A:A, 0))=""Regional"", 3, 4 )
   )
 ),
"""")
"),67.0)</f>
        <v>67</v>
      </c>
      <c r="J237" s="16">
        <f>IFERROR(__xludf.DUMMYFUNCTION("IFERROR(
 ( E237 * INDEX(FILTER(Pricing_Rules!E:E, Pricing_Rules!A:A=A237, Pricing_Rules!B:B=B237, Pricing_Rules!C:C&lt;=E237, Pricing_Rules!D:D&gt;=E237), 1)
   + INDEX(FILTER(Pricing_Rules!F:F, Pricing_Rules!A:A=A237, Pricing_Rules!B:B=B237, Pricing_Rules!C:C"&amp;"&lt;=E237, Pricing_Rules!D:D&gt;=E237), 1)
 )
 * (1 + IFERROR( INDEX(Config!D:D, MATCH(A237, Config!A:A, 0)), 0 )),
"""")
"),5.8999999999999995)</f>
        <v>5.9</v>
      </c>
      <c r="K237" s="19">
        <f t="shared" si="3"/>
        <v>117.1</v>
      </c>
      <c r="L237" s="20">
        <f t="shared" si="4"/>
        <v>0.391638796</v>
      </c>
    </row>
    <row r="238" ht="15.75" customHeight="1">
      <c r="A238" s="9" t="s">
        <v>9</v>
      </c>
      <c r="B238" s="12" t="str">
        <f t="array" ref="B238">XLOOKUP(C238, Channel_Listings!C:C, Channel_Listings!B:B)
</f>
        <v>Apparel_Caps_Beanies</v>
      </c>
      <c r="C238" s="23" t="s">
        <v>250</v>
      </c>
      <c r="D238" s="14" t="str">
        <f t="array" ref="D238">XLOOKUP(C238, Channel_Listings!C:C, Channel_Listings!D:D)
</f>
        <v>BEANIE-FOLD-PLAIN-GREY</v>
      </c>
      <c r="E238" s="15">
        <v>299.0</v>
      </c>
      <c r="F238" s="16">
        <f t="array" ref="F238">IFERROR(
  VALUE( INDEX(Product_Master!$I:$I,
               MATCH( INDEX(Pack_Master!$B:$B, MATCH($D238, Pack_Master!$A:$A, 0)),
                      Product_Master!$B:$B, 0)
  )) 
  * VALUE( INDEX(Pack_Master!$C:$C, MATCH($D238, Pack_Master!$A:$A, 0)) )
  + VALUE( INDEX(Pack_Master!$D:$D, MATCH($D238, Pack_Master!$A:$A, 0)) ),
"")
</f>
        <v>109</v>
      </c>
      <c r="G238" s="17">
        <f t="array" ref="G238">IFERROR(
 ( INDEX(Pack_Master!E:E, MATCH($D238, Pack_Master!A:A, 0))
   * INDEX(Pack_Master!F:F, MATCH($D238, Pack_Master!A:A, 0))
   * INDEX(Pack_Master!G:G, MATCH($D238, Pack_Master!A:A, 0))
 ) / INDEX(Config!C:C, MATCH($A238, Config!A:A, 0)),
"")
</f>
        <v>0.375</v>
      </c>
      <c r="H238" s="17">
        <f t="array" ref="H238">MAX( INDEX(Pack_Master!H:H, MATCH($D238, Pack_Master!A:A, 0)),
      IFERROR(G238, 0) )
</f>
        <v>0.5</v>
      </c>
      <c r="I238" s="18">
        <f>IFERROR(__xludf.DUMMYFUNCTION("IFERROR(
 INDEX(
   FILTER(Shipping_Rate_Card!B:F, Shipping_Rate_Card!A:A=$A238),
   MATCH($H238, FILTER(Shipping_Rate_Card!B:B, Shipping_Rate_Card!A:A=$A238), 1),
   IF( INDEX(Config!B:B, MATCH($A238, Config!A:A, 0))=""Local"", 2,
     IF( INDEX(Config!B"&amp;":B, MATCH($A238, Config!A:A, 0))=""Regional"", 3, 4 )
   )
 ),
"""")
"),67.0)</f>
        <v>67</v>
      </c>
      <c r="J238" s="16">
        <f>IFERROR(__xludf.DUMMYFUNCTION("IFERROR(
 ( E238 * INDEX(FILTER(Pricing_Rules!E:E, Pricing_Rules!A:A=A238, Pricing_Rules!B:B=B238, Pricing_Rules!C:C&lt;=E238, Pricing_Rules!D:D&gt;=E238), 1)
   + INDEX(FILTER(Pricing_Rules!F:F, Pricing_Rules!A:A=A238, Pricing_Rules!B:B=B238, Pricing_Rules!C:C"&amp;"&lt;=E238, Pricing_Rules!D:D&gt;=E238), 1)
 )
 * (1 + IFERROR( INDEX(Config!D:D, MATCH(A238, Config!A:A, 0)), 0 )),
"""")
"),5.8999999999999995)</f>
        <v>5.9</v>
      </c>
      <c r="K238" s="19">
        <f t="shared" si="3"/>
        <v>117.1</v>
      </c>
      <c r="L238" s="20">
        <f t="shared" si="4"/>
        <v>0.391638796</v>
      </c>
    </row>
    <row r="239" ht="15.75" customHeight="1">
      <c r="A239" s="9" t="s">
        <v>9</v>
      </c>
      <c r="B239" s="12" t="str">
        <f t="array" ref="B239">XLOOKUP(C239, Channel_Listings!C:C, Channel_Listings!B:B)
</f>
        <v>Apparel_Caps_Beanies</v>
      </c>
      <c r="C239" s="23" t="s">
        <v>252</v>
      </c>
      <c r="D239" s="14" t="str">
        <f t="array" ref="D239">XLOOKUP(C239, Channel_Listings!C:C, Channel_Listings!D:D)
</f>
        <v>BEANIE-FOLD-PLAIN-OLIVE</v>
      </c>
      <c r="E239" s="15">
        <v>299.0</v>
      </c>
      <c r="F239" s="16">
        <f t="array" ref="F239">IFERROR(
  VALUE( INDEX(Product_Master!$I:$I,
               MATCH( INDEX(Pack_Master!$B:$B, MATCH($D239, Pack_Master!$A:$A, 0)),
                      Product_Master!$B:$B, 0)
  )) 
  * VALUE( INDEX(Pack_Master!$C:$C, MATCH($D239, Pack_Master!$A:$A, 0)) )
  + VALUE( INDEX(Pack_Master!$D:$D, MATCH($D239, Pack_Master!$A:$A, 0)) ),
"")
</f>
        <v>109</v>
      </c>
      <c r="G239" s="17">
        <f t="array" ref="G239">IFERROR(
 ( INDEX(Pack_Master!E:E, MATCH($D239, Pack_Master!A:A, 0))
   * INDEX(Pack_Master!F:F, MATCH($D239, Pack_Master!A:A, 0))
   * INDEX(Pack_Master!G:G, MATCH($D239, Pack_Master!A:A, 0))
 ) / INDEX(Config!C:C, MATCH($A239, Config!A:A, 0)),
"")
</f>
        <v>0.375</v>
      </c>
      <c r="H239" s="17">
        <f t="array" ref="H239">MAX( INDEX(Pack_Master!H:H, MATCH($D239, Pack_Master!A:A, 0)),
      IFERROR(G239, 0) )
</f>
        <v>0.5</v>
      </c>
      <c r="I239" s="18">
        <f>IFERROR(__xludf.DUMMYFUNCTION("IFERROR(
 INDEX(
   FILTER(Shipping_Rate_Card!B:F, Shipping_Rate_Card!A:A=$A239),
   MATCH($H239, FILTER(Shipping_Rate_Card!B:B, Shipping_Rate_Card!A:A=$A239), 1),
   IF( INDEX(Config!B:B, MATCH($A239, Config!A:A, 0))=""Local"", 2,
     IF( INDEX(Config!B"&amp;":B, MATCH($A239, Config!A:A, 0))=""Regional"", 3, 4 )
   )
 ),
"""")
"),67.0)</f>
        <v>67</v>
      </c>
      <c r="J239" s="16">
        <f>IFERROR(__xludf.DUMMYFUNCTION("IFERROR(
 ( E239 * INDEX(FILTER(Pricing_Rules!E:E, Pricing_Rules!A:A=A239, Pricing_Rules!B:B=B239, Pricing_Rules!C:C&lt;=E239, Pricing_Rules!D:D&gt;=E239), 1)
   + INDEX(FILTER(Pricing_Rules!F:F, Pricing_Rules!A:A=A239, Pricing_Rules!B:B=B239, Pricing_Rules!C:C"&amp;"&lt;=E239, Pricing_Rules!D:D&gt;=E239), 1)
 )
 * (1 + IFERROR( INDEX(Config!D:D, MATCH(A239, Config!A:A, 0)), 0 )),
"""")
"),5.8999999999999995)</f>
        <v>5.9</v>
      </c>
      <c r="K239" s="19">
        <f t="shared" si="3"/>
        <v>117.1</v>
      </c>
      <c r="L239" s="20">
        <f t="shared" si="4"/>
        <v>0.391638796</v>
      </c>
    </row>
    <row r="240" ht="15.75" customHeight="1">
      <c r="A240" s="9" t="s">
        <v>9</v>
      </c>
      <c r="B240" s="12" t="str">
        <f t="array" ref="B240">XLOOKUP(C240, Channel_Listings!C:C, Channel_Listings!B:B)
</f>
        <v>Apparel_Caps_Beanies</v>
      </c>
      <c r="C240" s="23" t="s">
        <v>254</v>
      </c>
      <c r="D240" s="14" t="str">
        <f t="array" ref="D240">XLOOKUP(C240, Channel_Listings!C:C, Channel_Listings!D:D)
</f>
        <v>BEANIE-FOLD-PLAIN-SKIN</v>
      </c>
      <c r="E240" s="15">
        <v>299.0</v>
      </c>
      <c r="F240" s="16">
        <f t="array" ref="F240">IFERROR(
  VALUE( INDEX(Product_Master!$I:$I,
               MATCH( INDEX(Pack_Master!$B:$B, MATCH($D240, Pack_Master!$A:$A, 0)),
                      Product_Master!$B:$B, 0)
  )) 
  * VALUE( INDEX(Pack_Master!$C:$C, MATCH($D240, Pack_Master!$A:$A, 0)) )
  + VALUE( INDEX(Pack_Master!$D:$D, MATCH($D240, Pack_Master!$A:$A, 0)) ),
"")
</f>
        <v>109</v>
      </c>
      <c r="G240" s="17">
        <f t="array" ref="G240">IFERROR(
 ( INDEX(Pack_Master!E:E, MATCH($D240, Pack_Master!A:A, 0))
   * INDEX(Pack_Master!F:F, MATCH($D240, Pack_Master!A:A, 0))
   * INDEX(Pack_Master!G:G, MATCH($D240, Pack_Master!A:A, 0))
 ) / INDEX(Config!C:C, MATCH($A240, Config!A:A, 0)),
"")
</f>
        <v>0.375</v>
      </c>
      <c r="H240" s="17">
        <f t="array" ref="H240">MAX( INDEX(Pack_Master!H:H, MATCH($D240, Pack_Master!A:A, 0)),
      IFERROR(G240, 0) )
</f>
        <v>0.5</v>
      </c>
      <c r="I240" s="18">
        <f>IFERROR(__xludf.DUMMYFUNCTION("IFERROR(
 INDEX(
   FILTER(Shipping_Rate_Card!B:F, Shipping_Rate_Card!A:A=$A240),
   MATCH($H240, FILTER(Shipping_Rate_Card!B:B, Shipping_Rate_Card!A:A=$A240), 1),
   IF( INDEX(Config!B:B, MATCH($A240, Config!A:A, 0))=""Local"", 2,
     IF( INDEX(Config!B"&amp;":B, MATCH($A240, Config!A:A, 0))=""Regional"", 3, 4 )
   )
 ),
"""")
"),67.0)</f>
        <v>67</v>
      </c>
      <c r="J240" s="16">
        <f>IFERROR(__xludf.DUMMYFUNCTION("IFERROR(
 ( E240 * INDEX(FILTER(Pricing_Rules!E:E, Pricing_Rules!A:A=A240, Pricing_Rules!B:B=B240, Pricing_Rules!C:C&lt;=E240, Pricing_Rules!D:D&gt;=E240), 1)
   + INDEX(FILTER(Pricing_Rules!F:F, Pricing_Rules!A:A=A240, Pricing_Rules!B:B=B240, Pricing_Rules!C:C"&amp;"&lt;=E240, Pricing_Rules!D:D&gt;=E240), 1)
 )
 * (1 + IFERROR( INDEX(Config!D:D, MATCH(A240, Config!A:A, 0)), 0 )),
"""")
"),5.8999999999999995)</f>
        <v>5.9</v>
      </c>
      <c r="K240" s="19">
        <f t="shared" si="3"/>
        <v>117.1</v>
      </c>
      <c r="L240" s="20">
        <f t="shared" si="4"/>
        <v>0.391638796</v>
      </c>
    </row>
    <row r="241" ht="15.75" customHeight="1">
      <c r="A241" s="9" t="s">
        <v>9</v>
      </c>
      <c r="B241" s="12" t="str">
        <f t="array" ref="B241">XLOOKUP(C241, Channel_Listings!C:C, Channel_Listings!B:B)
</f>
        <v>Apparel_Caps_Beanies</v>
      </c>
      <c r="C241" s="22" t="s">
        <v>256</v>
      </c>
      <c r="D241" s="14" t="str">
        <f t="array" ref="D241">XLOOKUP(C241, Channel_Listings!C:C, Channel_Listings!D:D)
</f>
        <v>BEANIE-SHORTFUR-BEIGE</v>
      </c>
      <c r="E241" s="15">
        <v>299.0</v>
      </c>
      <c r="F241" s="16">
        <f t="array" ref="F241">IFERROR(
  VALUE( INDEX(Product_Master!$I:$I,
               MATCH( INDEX(Pack_Master!$B:$B, MATCH($D241, Pack_Master!$A:$A, 0)),
                      Product_Master!$B:$B, 0)
  )) 
  * VALUE( INDEX(Pack_Master!$C:$C, MATCH($D241, Pack_Master!$A:$A, 0)) )
  + VALUE( INDEX(Pack_Master!$D:$D, MATCH($D241, Pack_Master!$A:$A, 0)) ),
"")
</f>
        <v>109</v>
      </c>
      <c r="G241" s="17">
        <f t="array" ref="G241">IFERROR(
 ( INDEX(Pack_Master!E:E, MATCH($D241, Pack_Master!A:A, 0))
   * INDEX(Pack_Master!F:F, MATCH($D241, Pack_Master!A:A, 0))
   * INDEX(Pack_Master!G:G, MATCH($D241, Pack_Master!A:A, 0))
 ) / INDEX(Config!C:C, MATCH($A241, Config!A:A, 0)),
"")
</f>
        <v>0.375</v>
      </c>
      <c r="H241" s="17">
        <f t="array" ref="H241">MAX( INDEX(Pack_Master!H:H, MATCH($D241, Pack_Master!A:A, 0)),
      IFERROR(G241, 0) )
</f>
        <v>0.5</v>
      </c>
      <c r="I241" s="18">
        <f>IFERROR(__xludf.DUMMYFUNCTION("IFERROR(
 INDEX(
   FILTER(Shipping_Rate_Card!B:F, Shipping_Rate_Card!A:A=$A241),
   MATCH($H241, FILTER(Shipping_Rate_Card!B:B, Shipping_Rate_Card!A:A=$A241), 1),
   IF( INDEX(Config!B:B, MATCH($A241, Config!A:A, 0))=""Local"", 2,
     IF( INDEX(Config!B"&amp;":B, MATCH($A241, Config!A:A, 0))=""Regional"", 3, 4 )
   )
 ),
"""")
"),67.0)</f>
        <v>67</v>
      </c>
      <c r="J241" s="16">
        <f>IFERROR(__xludf.DUMMYFUNCTION("IFERROR(
 ( E241 * INDEX(FILTER(Pricing_Rules!E:E, Pricing_Rules!A:A=A241, Pricing_Rules!B:B=B241, Pricing_Rules!C:C&lt;=E241, Pricing_Rules!D:D&gt;=E241), 1)
   + INDEX(FILTER(Pricing_Rules!F:F, Pricing_Rules!A:A=A241, Pricing_Rules!B:B=B241, Pricing_Rules!C:C"&amp;"&lt;=E241, Pricing_Rules!D:D&gt;=E241), 1)
 )
 * (1 + IFERROR( INDEX(Config!D:D, MATCH(A241, Config!A:A, 0)), 0 )),
"""")
"),5.8999999999999995)</f>
        <v>5.9</v>
      </c>
      <c r="K241" s="19">
        <f t="shared" si="3"/>
        <v>117.1</v>
      </c>
      <c r="L241" s="20">
        <f t="shared" si="4"/>
        <v>0.391638796</v>
      </c>
    </row>
    <row r="242" ht="15.75" customHeight="1">
      <c r="A242" s="9" t="s">
        <v>9</v>
      </c>
      <c r="B242" s="12" t="str">
        <f t="array" ref="B242">XLOOKUP(C242, Channel_Listings!C:C, Channel_Listings!B:B)
</f>
        <v>Apparel_Caps_Beanies</v>
      </c>
      <c r="C242" s="22" t="s">
        <v>258</v>
      </c>
      <c r="D242" s="14" t="str">
        <f t="array" ref="D242">XLOOKUP(C242, Channel_Listings!C:C, Channel_Listings!D:D)
</f>
        <v>BEANIE-SHORTFUR-BLACK</v>
      </c>
      <c r="E242" s="15">
        <v>299.0</v>
      </c>
      <c r="F242" s="16">
        <f t="array" ref="F242">IFERROR(
  VALUE( INDEX(Product_Master!$I:$I,
               MATCH( INDEX(Pack_Master!$B:$B, MATCH($D242, Pack_Master!$A:$A, 0)),
                      Product_Master!$B:$B, 0)
  )) 
  * VALUE( INDEX(Pack_Master!$C:$C, MATCH($D242, Pack_Master!$A:$A, 0)) )
  + VALUE( INDEX(Pack_Master!$D:$D, MATCH($D242, Pack_Master!$A:$A, 0)) ),
"")
</f>
        <v>109</v>
      </c>
      <c r="G242" s="17">
        <f t="array" ref="G242">IFERROR(
 ( INDEX(Pack_Master!E:E, MATCH($D242, Pack_Master!A:A, 0))
   * INDEX(Pack_Master!F:F, MATCH($D242, Pack_Master!A:A, 0))
   * INDEX(Pack_Master!G:G, MATCH($D242, Pack_Master!A:A, 0))
 ) / INDEX(Config!C:C, MATCH($A242, Config!A:A, 0)),
"")
</f>
        <v>0.375</v>
      </c>
      <c r="H242" s="17">
        <f t="array" ref="H242">MAX( INDEX(Pack_Master!H:H, MATCH($D242, Pack_Master!A:A, 0)),
      IFERROR(G242, 0) )
</f>
        <v>0.5</v>
      </c>
      <c r="I242" s="18">
        <f>IFERROR(__xludf.DUMMYFUNCTION("IFERROR(
 INDEX(
   FILTER(Shipping_Rate_Card!B:F, Shipping_Rate_Card!A:A=$A242),
   MATCH($H242, FILTER(Shipping_Rate_Card!B:B, Shipping_Rate_Card!A:A=$A242), 1),
   IF( INDEX(Config!B:B, MATCH($A242, Config!A:A, 0))=""Local"", 2,
     IF( INDEX(Config!B"&amp;":B, MATCH($A242, Config!A:A, 0))=""Regional"", 3, 4 )
   )
 ),
"""")
"),67.0)</f>
        <v>67</v>
      </c>
      <c r="J242" s="16">
        <f>IFERROR(__xludf.DUMMYFUNCTION("IFERROR(
 ( E242 * INDEX(FILTER(Pricing_Rules!E:E, Pricing_Rules!A:A=A242, Pricing_Rules!B:B=B242, Pricing_Rules!C:C&lt;=E242, Pricing_Rules!D:D&gt;=E242), 1)
   + INDEX(FILTER(Pricing_Rules!F:F, Pricing_Rules!A:A=A242, Pricing_Rules!B:B=B242, Pricing_Rules!C:C"&amp;"&lt;=E242, Pricing_Rules!D:D&gt;=E242), 1)
 )
 * (1 + IFERROR( INDEX(Config!D:D, MATCH(A242, Config!A:A, 0)), 0 )),
"""")
"),5.8999999999999995)</f>
        <v>5.9</v>
      </c>
      <c r="K242" s="19">
        <f t="shared" si="3"/>
        <v>117.1</v>
      </c>
      <c r="L242" s="20">
        <f t="shared" si="4"/>
        <v>0.391638796</v>
      </c>
    </row>
    <row r="243" ht="15.75" customHeight="1">
      <c r="A243" s="9" t="s">
        <v>9</v>
      </c>
      <c r="B243" s="12" t="str">
        <f t="array" ref="B243">XLOOKUP(C243, Channel_Listings!C:C, Channel_Listings!B:B)
</f>
        <v>Apparel_Caps_Beanies</v>
      </c>
      <c r="C243" s="22" t="s">
        <v>260</v>
      </c>
      <c r="D243" s="14" t="str">
        <f t="array" ref="D243">XLOOKUP(C243, Channel_Listings!C:C, Channel_Listings!D:D)
</f>
        <v>BEANIE-SHORTFUR-NAVYBLUE</v>
      </c>
      <c r="E243" s="15">
        <v>299.0</v>
      </c>
      <c r="F243" s="16">
        <f t="array" ref="F243">IFERROR(
  VALUE( INDEX(Product_Master!$I:$I,
               MATCH( INDEX(Pack_Master!$B:$B, MATCH($D243, Pack_Master!$A:$A, 0)),
                      Product_Master!$B:$B, 0)
  )) 
  * VALUE( INDEX(Pack_Master!$C:$C, MATCH($D243, Pack_Master!$A:$A, 0)) )
  + VALUE( INDEX(Pack_Master!$D:$D, MATCH($D243, Pack_Master!$A:$A, 0)) ),
"")
</f>
        <v>109</v>
      </c>
      <c r="G243" s="17">
        <f t="array" ref="G243">IFERROR(
 ( INDEX(Pack_Master!E:E, MATCH($D243, Pack_Master!A:A, 0))
   * INDEX(Pack_Master!F:F, MATCH($D243, Pack_Master!A:A, 0))
   * INDEX(Pack_Master!G:G, MATCH($D243, Pack_Master!A:A, 0))
 ) / INDEX(Config!C:C, MATCH($A243, Config!A:A, 0)),
"")
</f>
        <v>0.375</v>
      </c>
      <c r="H243" s="17">
        <f t="array" ref="H243">MAX( INDEX(Pack_Master!H:H, MATCH($D243, Pack_Master!A:A, 0)),
      IFERROR(G243, 0) )
</f>
        <v>0.5</v>
      </c>
      <c r="I243" s="18">
        <f>IFERROR(__xludf.DUMMYFUNCTION("IFERROR(
 INDEX(
   FILTER(Shipping_Rate_Card!B:F, Shipping_Rate_Card!A:A=$A243),
   MATCH($H243, FILTER(Shipping_Rate_Card!B:B, Shipping_Rate_Card!A:A=$A243), 1),
   IF( INDEX(Config!B:B, MATCH($A243, Config!A:A, 0))=""Local"", 2,
     IF( INDEX(Config!B"&amp;":B, MATCH($A243, Config!A:A, 0))=""Regional"", 3, 4 )
   )
 ),
"""")
"),67.0)</f>
        <v>67</v>
      </c>
      <c r="J243" s="16">
        <f>IFERROR(__xludf.DUMMYFUNCTION("IFERROR(
 ( E243 * INDEX(FILTER(Pricing_Rules!E:E, Pricing_Rules!A:A=A243, Pricing_Rules!B:B=B243, Pricing_Rules!C:C&lt;=E243, Pricing_Rules!D:D&gt;=E243), 1)
   + INDEX(FILTER(Pricing_Rules!F:F, Pricing_Rules!A:A=A243, Pricing_Rules!B:B=B243, Pricing_Rules!C:C"&amp;"&lt;=E243, Pricing_Rules!D:D&gt;=E243), 1)
 )
 * (1 + IFERROR( INDEX(Config!D:D, MATCH(A243, Config!A:A, 0)), 0 )),
"""")
"),5.8999999999999995)</f>
        <v>5.9</v>
      </c>
      <c r="K243" s="19">
        <f t="shared" si="3"/>
        <v>117.1</v>
      </c>
      <c r="L243" s="20">
        <f t="shared" si="4"/>
        <v>0.391638796</v>
      </c>
    </row>
    <row r="244" ht="15.75" customHeight="1">
      <c r="A244" s="9" t="s">
        <v>9</v>
      </c>
      <c r="B244" s="12" t="str">
        <f t="array" ref="B244">XLOOKUP(C244, Channel_Listings!C:C, Channel_Listings!B:B)
</f>
        <v>Apparel_Caps_Beanies</v>
      </c>
      <c r="C244" s="22" t="s">
        <v>262</v>
      </c>
      <c r="D244" s="14" t="str">
        <f t="array" ref="D244">XLOOKUP(C244, Channel_Listings!C:C, Channel_Listings!D:D)
</f>
        <v>BEANIE-SHORTFUR-BROWN</v>
      </c>
      <c r="E244" s="15">
        <v>299.0</v>
      </c>
      <c r="F244" s="16">
        <f t="array" ref="F244">IFERROR(
  VALUE( INDEX(Product_Master!$I:$I,
               MATCH( INDEX(Pack_Master!$B:$B, MATCH($D244, Pack_Master!$A:$A, 0)),
                      Product_Master!$B:$B, 0)
  )) 
  * VALUE( INDEX(Pack_Master!$C:$C, MATCH($D244, Pack_Master!$A:$A, 0)) )
  + VALUE( INDEX(Pack_Master!$D:$D, MATCH($D244, Pack_Master!$A:$A, 0)) ),
"")
</f>
        <v>109</v>
      </c>
      <c r="G244" s="17">
        <f t="array" ref="G244">IFERROR(
 ( INDEX(Pack_Master!E:E, MATCH($D244, Pack_Master!A:A, 0))
   * INDEX(Pack_Master!F:F, MATCH($D244, Pack_Master!A:A, 0))
   * INDEX(Pack_Master!G:G, MATCH($D244, Pack_Master!A:A, 0))
 ) / INDEX(Config!C:C, MATCH($A244, Config!A:A, 0)),
"")
</f>
        <v>0.375</v>
      </c>
      <c r="H244" s="17">
        <f t="array" ref="H244">MAX( INDEX(Pack_Master!H:H, MATCH($D244, Pack_Master!A:A, 0)),
      IFERROR(G244, 0) )
</f>
        <v>0.5</v>
      </c>
      <c r="I244" s="18">
        <f>IFERROR(__xludf.DUMMYFUNCTION("IFERROR(
 INDEX(
   FILTER(Shipping_Rate_Card!B:F, Shipping_Rate_Card!A:A=$A244),
   MATCH($H244, FILTER(Shipping_Rate_Card!B:B, Shipping_Rate_Card!A:A=$A244), 1),
   IF( INDEX(Config!B:B, MATCH($A244, Config!A:A, 0))=""Local"", 2,
     IF( INDEX(Config!B"&amp;":B, MATCH($A244, Config!A:A, 0))=""Regional"", 3, 4 )
   )
 ),
"""")
"),67.0)</f>
        <v>67</v>
      </c>
      <c r="J244" s="16">
        <f>IFERROR(__xludf.DUMMYFUNCTION("IFERROR(
 ( E244 * INDEX(FILTER(Pricing_Rules!E:E, Pricing_Rules!A:A=A244, Pricing_Rules!B:B=B244, Pricing_Rules!C:C&lt;=E244, Pricing_Rules!D:D&gt;=E244), 1)
   + INDEX(FILTER(Pricing_Rules!F:F, Pricing_Rules!A:A=A244, Pricing_Rules!B:B=B244, Pricing_Rules!C:C"&amp;"&lt;=E244, Pricing_Rules!D:D&gt;=E244), 1)
 )
 * (1 + IFERROR( INDEX(Config!D:D, MATCH(A244, Config!A:A, 0)), 0 )),
"""")
"),5.8999999999999995)</f>
        <v>5.9</v>
      </c>
      <c r="K244" s="19">
        <f t="shared" si="3"/>
        <v>117.1</v>
      </c>
      <c r="L244" s="20">
        <f t="shared" si="4"/>
        <v>0.391638796</v>
      </c>
    </row>
    <row r="245" ht="15.75" customHeight="1">
      <c r="A245" s="9" t="s">
        <v>9</v>
      </c>
      <c r="B245" s="12" t="str">
        <f t="array" ref="B245">XLOOKUP(C245, Channel_Listings!C:C, Channel_Listings!B:B)
</f>
        <v>Apparel_Caps_Beanies</v>
      </c>
      <c r="C245" s="22" t="s">
        <v>264</v>
      </c>
      <c r="D245" s="14" t="str">
        <f t="array" ref="D245">XLOOKUP(C245, Channel_Listings!C:C, Channel_Listings!D:D)
</f>
        <v>BEANIE-LONGFUR-GREEN</v>
      </c>
      <c r="E245" s="15">
        <v>299.0</v>
      </c>
      <c r="F245" s="16">
        <f t="array" ref="F245">IFERROR(
  VALUE( INDEX(Product_Master!$I:$I,
               MATCH( INDEX(Pack_Master!$B:$B, MATCH($D245, Pack_Master!$A:$A, 0)),
                      Product_Master!$B:$B, 0)
  )) 
  * VALUE( INDEX(Pack_Master!$C:$C, MATCH($D245, Pack_Master!$A:$A, 0)) )
  + VALUE( INDEX(Pack_Master!$D:$D, MATCH($D245, Pack_Master!$A:$A, 0)) ),
"")
</f>
        <v>109</v>
      </c>
      <c r="G245" s="17">
        <f t="array" ref="G245">IFERROR(
 ( INDEX(Pack_Master!E:E, MATCH($D245, Pack_Master!A:A, 0))
   * INDEX(Pack_Master!F:F, MATCH($D245, Pack_Master!A:A, 0))
   * INDEX(Pack_Master!G:G, MATCH($D245, Pack_Master!A:A, 0))
 ) / INDEX(Config!C:C, MATCH($A245, Config!A:A, 0)),
"")
</f>
        <v>0.375</v>
      </c>
      <c r="H245" s="17">
        <f t="array" ref="H245">MAX( INDEX(Pack_Master!H:H, MATCH($D245, Pack_Master!A:A, 0)),
      IFERROR(G245, 0) )
</f>
        <v>0.5</v>
      </c>
      <c r="I245" s="18">
        <f>IFERROR(__xludf.DUMMYFUNCTION("IFERROR(
 INDEX(
   FILTER(Shipping_Rate_Card!B:F, Shipping_Rate_Card!A:A=$A245),
   MATCH($H245, FILTER(Shipping_Rate_Card!B:B, Shipping_Rate_Card!A:A=$A245), 1),
   IF( INDEX(Config!B:B, MATCH($A245, Config!A:A, 0))=""Local"", 2,
     IF( INDEX(Config!B"&amp;":B, MATCH($A245, Config!A:A, 0))=""Regional"", 3, 4 )
   )
 ),
"""")
"),67.0)</f>
        <v>67</v>
      </c>
      <c r="J245" s="16">
        <f>IFERROR(__xludf.DUMMYFUNCTION("IFERROR(
 ( E245 * INDEX(FILTER(Pricing_Rules!E:E, Pricing_Rules!A:A=A245, Pricing_Rules!B:B=B245, Pricing_Rules!C:C&lt;=E245, Pricing_Rules!D:D&gt;=E245), 1)
   + INDEX(FILTER(Pricing_Rules!F:F, Pricing_Rules!A:A=A245, Pricing_Rules!B:B=B245, Pricing_Rules!C:C"&amp;"&lt;=E245, Pricing_Rules!D:D&gt;=E245), 1)
 )
 * (1 + IFERROR( INDEX(Config!D:D, MATCH(A245, Config!A:A, 0)), 0 )),
"""")
"),5.8999999999999995)</f>
        <v>5.9</v>
      </c>
      <c r="K245" s="19">
        <f t="shared" si="3"/>
        <v>117.1</v>
      </c>
      <c r="L245" s="20">
        <f t="shared" si="4"/>
        <v>0.391638796</v>
      </c>
    </row>
    <row r="246" ht="15.75" customHeight="1">
      <c r="A246" s="9" t="s">
        <v>9</v>
      </c>
      <c r="B246" s="12" t="str">
        <f t="array" ref="B246">XLOOKUP(C246, Channel_Listings!C:C, Channel_Listings!B:B)
</f>
        <v>Apparel_Caps_Beanies</v>
      </c>
      <c r="C246" s="22" t="s">
        <v>266</v>
      </c>
      <c r="D246" s="14" t="str">
        <f t="array" ref="D246">XLOOKUP(C246, Channel_Listings!C:C, Channel_Listings!D:D)
</f>
        <v>BEANIE-SHORTFUR-GREY</v>
      </c>
      <c r="E246" s="15">
        <v>299.0</v>
      </c>
      <c r="F246" s="16">
        <f t="array" ref="F246">IFERROR(
  VALUE( INDEX(Product_Master!$I:$I,
               MATCH( INDEX(Pack_Master!$B:$B, MATCH($D246, Pack_Master!$A:$A, 0)),
                      Product_Master!$B:$B, 0)
  )) 
  * VALUE( INDEX(Pack_Master!$C:$C, MATCH($D246, Pack_Master!$A:$A, 0)) )
  + VALUE( INDEX(Pack_Master!$D:$D, MATCH($D246, Pack_Master!$A:$A, 0)) ),
"")
</f>
        <v>109</v>
      </c>
      <c r="G246" s="17">
        <f t="array" ref="G246">IFERROR(
 ( INDEX(Pack_Master!E:E, MATCH($D246, Pack_Master!A:A, 0))
   * INDEX(Pack_Master!F:F, MATCH($D246, Pack_Master!A:A, 0))
   * INDEX(Pack_Master!G:G, MATCH($D246, Pack_Master!A:A, 0))
 ) / INDEX(Config!C:C, MATCH($A246, Config!A:A, 0)),
"")
</f>
        <v>0.375</v>
      </c>
      <c r="H246" s="17">
        <f t="array" ref="H246">MAX( INDEX(Pack_Master!H:H, MATCH($D246, Pack_Master!A:A, 0)),
      IFERROR(G246, 0) )
</f>
        <v>0.5</v>
      </c>
      <c r="I246" s="18">
        <f>IFERROR(__xludf.DUMMYFUNCTION("IFERROR(
 INDEX(
   FILTER(Shipping_Rate_Card!B:F, Shipping_Rate_Card!A:A=$A246),
   MATCH($H246, FILTER(Shipping_Rate_Card!B:B, Shipping_Rate_Card!A:A=$A246), 1),
   IF( INDEX(Config!B:B, MATCH($A246, Config!A:A, 0))=""Local"", 2,
     IF( INDEX(Config!B"&amp;":B, MATCH($A246, Config!A:A, 0))=""Regional"", 3, 4 )
   )
 ),
"""")
"),67.0)</f>
        <v>67</v>
      </c>
      <c r="J246" s="16">
        <f>IFERROR(__xludf.DUMMYFUNCTION("IFERROR(
 ( E246 * INDEX(FILTER(Pricing_Rules!E:E, Pricing_Rules!A:A=A246, Pricing_Rules!B:B=B246, Pricing_Rules!C:C&lt;=E246, Pricing_Rules!D:D&gt;=E246), 1)
   + INDEX(FILTER(Pricing_Rules!F:F, Pricing_Rules!A:A=A246, Pricing_Rules!B:B=B246, Pricing_Rules!C:C"&amp;"&lt;=E246, Pricing_Rules!D:D&gt;=E246), 1)
 )
 * (1 + IFERROR( INDEX(Config!D:D, MATCH(A246, Config!A:A, 0)), 0 )),
"""")
"),5.8999999999999995)</f>
        <v>5.9</v>
      </c>
      <c r="K246" s="19">
        <f t="shared" si="3"/>
        <v>117.1</v>
      </c>
      <c r="L246" s="20">
        <f t="shared" si="4"/>
        <v>0.391638796</v>
      </c>
    </row>
    <row r="247" ht="15.75" customHeight="1">
      <c r="A247" s="9" t="s">
        <v>9</v>
      </c>
      <c r="B247" s="12" t="str">
        <f t="array" ref="B247">XLOOKUP(C247, Channel_Listings!C:C, Channel_Listings!B:B)
</f>
        <v>Apparel_Caps_Beanies</v>
      </c>
      <c r="C247" s="22" t="s">
        <v>268</v>
      </c>
      <c r="D247" s="14" t="str">
        <f t="array" ref="D247">XLOOKUP(C247, Channel_Listings!C:C, Channel_Listings!D:D)
</f>
        <v>BEANIE-SHORTFUR-RED</v>
      </c>
      <c r="E247" s="15">
        <v>299.0</v>
      </c>
      <c r="F247" s="16">
        <f t="array" ref="F247">IFERROR(
  VALUE( INDEX(Product_Master!$I:$I,
               MATCH( INDEX(Pack_Master!$B:$B, MATCH($D247, Pack_Master!$A:$A, 0)),
                      Product_Master!$B:$B, 0)
  )) 
  * VALUE( INDEX(Pack_Master!$C:$C, MATCH($D247, Pack_Master!$A:$A, 0)) )
  + VALUE( INDEX(Pack_Master!$D:$D, MATCH($D247, Pack_Master!$A:$A, 0)) ),
"")
</f>
        <v>109</v>
      </c>
      <c r="G247" s="17">
        <f t="array" ref="G247">IFERROR(
 ( INDEX(Pack_Master!E:E, MATCH($D247, Pack_Master!A:A, 0))
   * INDEX(Pack_Master!F:F, MATCH($D247, Pack_Master!A:A, 0))
   * INDEX(Pack_Master!G:G, MATCH($D247, Pack_Master!A:A, 0))
 ) / INDEX(Config!C:C, MATCH($A247, Config!A:A, 0)),
"")
</f>
        <v>0.375</v>
      </c>
      <c r="H247" s="17">
        <f t="array" ref="H247">MAX( INDEX(Pack_Master!H:H, MATCH($D247, Pack_Master!A:A, 0)),
      IFERROR(G247, 0) )
</f>
        <v>0.5</v>
      </c>
      <c r="I247" s="18">
        <f>IFERROR(__xludf.DUMMYFUNCTION("IFERROR(
 INDEX(
   FILTER(Shipping_Rate_Card!B:F, Shipping_Rate_Card!A:A=$A247),
   MATCH($H247, FILTER(Shipping_Rate_Card!B:B, Shipping_Rate_Card!A:A=$A247), 1),
   IF( INDEX(Config!B:B, MATCH($A247, Config!A:A, 0))=""Local"", 2,
     IF( INDEX(Config!B"&amp;":B, MATCH($A247, Config!A:A, 0))=""Regional"", 3, 4 )
   )
 ),
"""")
"),67.0)</f>
        <v>67</v>
      </c>
      <c r="J247" s="16">
        <f>IFERROR(__xludf.DUMMYFUNCTION("IFERROR(
 ( E247 * INDEX(FILTER(Pricing_Rules!E:E, Pricing_Rules!A:A=A247, Pricing_Rules!B:B=B247, Pricing_Rules!C:C&lt;=E247, Pricing_Rules!D:D&gt;=E247), 1)
   + INDEX(FILTER(Pricing_Rules!F:F, Pricing_Rules!A:A=A247, Pricing_Rules!B:B=B247, Pricing_Rules!C:C"&amp;"&lt;=E247, Pricing_Rules!D:D&gt;=E247), 1)
 )
 * (1 + IFERROR( INDEX(Config!D:D, MATCH(A247, Config!A:A, 0)), 0 )),
"""")
"),5.8999999999999995)</f>
        <v>5.9</v>
      </c>
      <c r="K247" s="19">
        <f t="shared" si="3"/>
        <v>117.1</v>
      </c>
      <c r="L247" s="20">
        <f t="shared" si="4"/>
        <v>0.391638796</v>
      </c>
    </row>
    <row r="248" ht="15.75" customHeight="1">
      <c r="A248" s="9" t="s">
        <v>9</v>
      </c>
      <c r="B248" s="12" t="str">
        <f t="array" ref="B248">XLOOKUP(C248, Channel_Listings!C:C, Channel_Listings!B:B)
</f>
        <v>Apparel_Caps_Beanies</v>
      </c>
      <c r="C248" s="22" t="s">
        <v>270</v>
      </c>
      <c r="D248" s="14" t="str">
        <f t="array" ref="D248">XLOOKUP(C248, Channel_Listings!C:C, Channel_Listings!D:D)
</f>
        <v>BEANIE-SHORTFUR-PURPLE</v>
      </c>
      <c r="E248" s="15">
        <v>299.0</v>
      </c>
      <c r="F248" s="16">
        <f t="array" ref="F248">IFERROR(
  VALUE( INDEX(Product_Master!$I:$I,
               MATCH( INDEX(Pack_Master!$B:$B, MATCH($D248, Pack_Master!$A:$A, 0)),
                      Product_Master!$B:$B, 0)
  )) 
  * VALUE( INDEX(Pack_Master!$C:$C, MATCH($D248, Pack_Master!$A:$A, 0)) )
  + VALUE( INDEX(Pack_Master!$D:$D, MATCH($D248, Pack_Master!$A:$A, 0)) ),
"")
</f>
        <v>0</v>
      </c>
      <c r="G248" s="17">
        <f t="array" ref="G248">IFERROR(
 ( INDEX(Pack_Master!E:E, MATCH($D248, Pack_Master!A:A, 0))
   * INDEX(Pack_Master!F:F, MATCH($D248, Pack_Master!A:A, 0))
   * INDEX(Pack_Master!G:G, MATCH($D248, Pack_Master!A:A, 0))
 ) / INDEX(Config!C:C, MATCH($A248, Config!A:A, 0)),
"")
</f>
        <v>0</v>
      </c>
      <c r="H248" s="17">
        <f t="array" ref="H248">MAX( INDEX(Pack_Master!H:H, MATCH($D248, Pack_Master!A:A, 0)),
      IFERROR(G248, 0) )
</f>
        <v>0</v>
      </c>
      <c r="I248" s="18" t="str">
        <f>IFERROR(__xludf.DUMMYFUNCTION("IFERROR(
 INDEX(
   FILTER(Shipping_Rate_Card!B:F, Shipping_Rate_Card!A:A=$A248),
   MATCH($H248, FILTER(Shipping_Rate_Card!B:B, Shipping_Rate_Card!A:A=$A248), 1),
   IF( INDEX(Config!B:B, MATCH($A248, Config!A:A, 0))=""Local"", 2,
     IF( INDEX(Config!B"&amp;":B, MATCH($A248, Config!A:A, 0))=""Regional"", 3, 4 )
   )
 ),
"""")
"),"")</f>
        <v/>
      </c>
      <c r="J248" s="16">
        <f>IFERROR(__xludf.DUMMYFUNCTION("IFERROR(
 ( E248 * INDEX(FILTER(Pricing_Rules!E:E, Pricing_Rules!A:A=A248, Pricing_Rules!B:B=B248, Pricing_Rules!C:C&lt;=E248, Pricing_Rules!D:D&gt;=E248), 1)
   + INDEX(FILTER(Pricing_Rules!F:F, Pricing_Rules!A:A=A248, Pricing_Rules!B:B=B248, Pricing_Rules!C:C"&amp;"&lt;=E248, Pricing_Rules!D:D&gt;=E248), 1)
 )
 * (1 + IFERROR( INDEX(Config!D:D, MATCH(A248, Config!A:A, 0)), 0 )),
"""")
"),5.8999999999999995)</f>
        <v>5.9</v>
      </c>
      <c r="K248" s="19">
        <f t="shared" si="3"/>
        <v>293.1</v>
      </c>
      <c r="L248" s="20">
        <f t="shared" si="4"/>
        <v>0.9802675585</v>
      </c>
    </row>
    <row r="249" ht="15.75" customHeight="1">
      <c r="A249" s="9" t="s">
        <v>9</v>
      </c>
      <c r="B249" s="12" t="str">
        <f t="array" ref="B249">XLOOKUP(C249, Channel_Listings!C:C, Channel_Listings!B:B)
</f>
        <v>Apparel_Caps_Beanies</v>
      </c>
      <c r="C249" s="22" t="s">
        <v>272</v>
      </c>
      <c r="D249" s="14" t="str">
        <f t="array" ref="D249">XLOOKUP(C249, Channel_Listings!C:C, Channel_Listings!D:D)
</f>
        <v>BEANIE-SHORTFUR-RED</v>
      </c>
      <c r="E249" s="15">
        <v>299.0</v>
      </c>
      <c r="F249" s="16">
        <f t="array" ref="F249">IFERROR(
  VALUE( INDEX(Product_Master!$I:$I,
               MATCH( INDEX(Pack_Master!$B:$B, MATCH($D249, Pack_Master!$A:$A, 0)),
                      Product_Master!$B:$B, 0)
  )) 
  * VALUE( INDEX(Pack_Master!$C:$C, MATCH($D249, Pack_Master!$A:$A, 0)) )
  + VALUE( INDEX(Pack_Master!$D:$D, MATCH($D249, Pack_Master!$A:$A, 0)) ),
"")
</f>
        <v>109</v>
      </c>
      <c r="G249" s="17">
        <f t="array" ref="G249">IFERROR(
 ( INDEX(Pack_Master!E:E, MATCH($D249, Pack_Master!A:A, 0))
   * INDEX(Pack_Master!F:F, MATCH($D249, Pack_Master!A:A, 0))
   * INDEX(Pack_Master!G:G, MATCH($D249, Pack_Master!A:A, 0))
 ) / INDEX(Config!C:C, MATCH($A249, Config!A:A, 0)),
"")
</f>
        <v>0.375</v>
      </c>
      <c r="H249" s="17">
        <f t="array" ref="H249">MAX( INDEX(Pack_Master!H:H, MATCH($D249, Pack_Master!A:A, 0)),
      IFERROR(G249, 0) )
</f>
        <v>0.5</v>
      </c>
      <c r="I249" s="18">
        <f>IFERROR(__xludf.DUMMYFUNCTION("IFERROR(
 INDEX(
   FILTER(Shipping_Rate_Card!B:F, Shipping_Rate_Card!A:A=$A249),
   MATCH($H249, FILTER(Shipping_Rate_Card!B:B, Shipping_Rate_Card!A:A=$A249), 1),
   IF( INDEX(Config!B:B, MATCH($A249, Config!A:A, 0))=""Local"", 2,
     IF( INDEX(Config!B"&amp;":B, MATCH($A249, Config!A:A, 0))=""Regional"", 3, 4 )
   )
 ),
"""")
"),67.0)</f>
        <v>67</v>
      </c>
      <c r="J249" s="16">
        <f>IFERROR(__xludf.DUMMYFUNCTION("IFERROR(
 ( E249 * INDEX(FILTER(Pricing_Rules!E:E, Pricing_Rules!A:A=A249, Pricing_Rules!B:B=B249, Pricing_Rules!C:C&lt;=E249, Pricing_Rules!D:D&gt;=E249), 1)
   + INDEX(FILTER(Pricing_Rules!F:F, Pricing_Rules!A:A=A249, Pricing_Rules!B:B=B249, Pricing_Rules!C:C"&amp;"&lt;=E249, Pricing_Rules!D:D&gt;=E249), 1)
 )
 * (1 + IFERROR( INDEX(Config!D:D, MATCH(A249, Config!A:A, 0)), 0 )),
"""")
"),5.8999999999999995)</f>
        <v>5.9</v>
      </c>
      <c r="K249" s="19">
        <f t="shared" si="3"/>
        <v>117.1</v>
      </c>
      <c r="L249" s="20">
        <f t="shared" si="4"/>
        <v>0.391638796</v>
      </c>
    </row>
    <row r="250" ht="15.75" customHeight="1">
      <c r="A250" s="9" t="s">
        <v>9</v>
      </c>
      <c r="B250" s="12" t="str">
        <f t="array" ref="B250">XLOOKUP(C250, Channel_Listings!C:C, Channel_Listings!B:B)
</f>
        <v>Apparel_Caps_Beanies</v>
      </c>
      <c r="C250" s="23" t="s">
        <v>273</v>
      </c>
      <c r="D250" s="14" t="str">
        <f t="array" ref="D250">XLOOKUP(C250, Channel_Listings!C:C, Channel_Listings!D:D)
</f>
        <v>BEANIE-FUR-SHORT-YELLOW</v>
      </c>
      <c r="E250" s="15">
        <v>299.0</v>
      </c>
      <c r="F250" s="16">
        <f t="array" ref="F250">IFERROR(
  VALUE( INDEX(Product_Master!$I:$I,
               MATCH( INDEX(Pack_Master!$B:$B, MATCH($D250, Pack_Master!$A:$A, 0)),
                      Product_Master!$B:$B, 0)
  )) 
  * VALUE( INDEX(Pack_Master!$C:$C, MATCH($D250, Pack_Master!$A:$A, 0)) )
  + VALUE( INDEX(Pack_Master!$D:$D, MATCH($D250, Pack_Master!$A:$A, 0)) ),
"")
</f>
        <v>109</v>
      </c>
      <c r="G250" s="17">
        <f t="array" ref="G250">IFERROR(
 ( INDEX(Pack_Master!E:E, MATCH($D250, Pack_Master!A:A, 0))
   * INDEX(Pack_Master!F:F, MATCH($D250, Pack_Master!A:A, 0))
   * INDEX(Pack_Master!G:G, MATCH($D250, Pack_Master!A:A, 0))
 ) / INDEX(Config!C:C, MATCH($A250, Config!A:A, 0)),
"")
</f>
        <v>0.375</v>
      </c>
      <c r="H250" s="17">
        <f t="array" ref="H250">MAX( INDEX(Pack_Master!H:H, MATCH($D250, Pack_Master!A:A, 0)),
      IFERROR(G250, 0) )
</f>
        <v>0.5</v>
      </c>
      <c r="I250" s="18">
        <f>IFERROR(__xludf.DUMMYFUNCTION("IFERROR(
 INDEX(
   FILTER(Shipping_Rate_Card!B:F, Shipping_Rate_Card!A:A=$A250),
   MATCH($H250, FILTER(Shipping_Rate_Card!B:B, Shipping_Rate_Card!A:A=$A250), 1),
   IF( INDEX(Config!B:B, MATCH($A250, Config!A:A, 0))=""Local"", 2,
     IF( INDEX(Config!B"&amp;":B, MATCH($A250, Config!A:A, 0))=""Regional"", 3, 4 )
   )
 ),
"""")
"),67.0)</f>
        <v>67</v>
      </c>
      <c r="J250" s="16">
        <f>IFERROR(__xludf.DUMMYFUNCTION("IFERROR(
 ( E250 * INDEX(FILTER(Pricing_Rules!E:E, Pricing_Rules!A:A=A250, Pricing_Rules!B:B=B250, Pricing_Rules!C:C&lt;=E250, Pricing_Rules!D:D&gt;=E250), 1)
   + INDEX(FILTER(Pricing_Rules!F:F, Pricing_Rules!A:A=A250, Pricing_Rules!B:B=B250, Pricing_Rules!C:C"&amp;"&lt;=E250, Pricing_Rules!D:D&gt;=E250), 1)
 )
 * (1 + IFERROR( INDEX(Config!D:D, MATCH(A250, Config!A:A, 0)), 0 )),
"""")
"),5.8999999999999995)</f>
        <v>5.9</v>
      </c>
      <c r="K250" s="19">
        <f t="shared" si="3"/>
        <v>117.1</v>
      </c>
      <c r="L250" s="20">
        <f t="shared" si="4"/>
        <v>0.391638796</v>
      </c>
    </row>
    <row r="251" ht="15.75" customHeight="1">
      <c r="A251" s="9" t="s">
        <v>9</v>
      </c>
      <c r="B251" s="12" t="str">
        <f t="array" ref="B251">XLOOKUP(C251, Channel_Listings!C:C, Channel_Listings!B:B)
</f>
        <v>Apparel_Caps_Beanies</v>
      </c>
      <c r="C251" s="22" t="s">
        <v>274</v>
      </c>
      <c r="D251" s="14" t="str">
        <f t="array" ref="D251">XLOOKUP(C251, Channel_Listings!C:C, Channel_Listings!D:D)
</f>
        <v>BEANIE-SHORT-FUROUT-BLACK</v>
      </c>
      <c r="E251" s="15">
        <v>299.0</v>
      </c>
      <c r="F251" s="16">
        <f t="array" ref="F251">IFERROR(
  VALUE( INDEX(Product_Master!$I:$I,
               MATCH( INDEX(Pack_Master!$B:$B, MATCH($D251, Pack_Master!$A:$A, 0)),
                      Product_Master!$B:$B, 0)
  )) 
  * VALUE( INDEX(Pack_Master!$C:$C, MATCH($D251, Pack_Master!$A:$A, 0)) )
  + VALUE( INDEX(Pack_Master!$D:$D, MATCH($D251, Pack_Master!$A:$A, 0)) ),
"")
</f>
        <v>0</v>
      </c>
      <c r="G251" s="17">
        <f t="array" ref="G251">IFERROR(
 ( INDEX(Pack_Master!E:E, MATCH($D251, Pack_Master!A:A, 0))
   * INDEX(Pack_Master!F:F, MATCH($D251, Pack_Master!A:A, 0))
   * INDEX(Pack_Master!G:G, MATCH($D251, Pack_Master!A:A, 0))
 ) / INDEX(Config!C:C, MATCH($A251, Config!A:A, 0)),
"")
</f>
        <v>0</v>
      </c>
      <c r="H251" s="17">
        <f t="array" ref="H251">MAX( INDEX(Pack_Master!H:H, MATCH($D251, Pack_Master!A:A, 0)),
      IFERROR(G251, 0) )
</f>
        <v>0</v>
      </c>
      <c r="I251" s="18" t="str">
        <f>IFERROR(__xludf.DUMMYFUNCTION("IFERROR(
 INDEX(
   FILTER(Shipping_Rate_Card!B:F, Shipping_Rate_Card!A:A=$A251),
   MATCH($H251, FILTER(Shipping_Rate_Card!B:B, Shipping_Rate_Card!A:A=$A251), 1),
   IF( INDEX(Config!B:B, MATCH($A251, Config!A:A, 0))=""Local"", 2,
     IF( INDEX(Config!B"&amp;":B, MATCH($A251, Config!A:A, 0))=""Regional"", 3, 4 )
   )
 ),
"""")
"),"")</f>
        <v/>
      </c>
      <c r="J251" s="16">
        <f>IFERROR(__xludf.DUMMYFUNCTION("IFERROR(
 ( E251 * INDEX(FILTER(Pricing_Rules!E:E, Pricing_Rules!A:A=A251, Pricing_Rules!B:B=B251, Pricing_Rules!C:C&lt;=E251, Pricing_Rules!D:D&gt;=E251), 1)
   + INDEX(FILTER(Pricing_Rules!F:F, Pricing_Rules!A:A=A251, Pricing_Rules!B:B=B251, Pricing_Rules!C:C"&amp;"&lt;=E251, Pricing_Rules!D:D&gt;=E251), 1)
 )
 * (1 + IFERROR( INDEX(Config!D:D, MATCH(A251, Config!A:A, 0)), 0 )),
"""")
"),5.8999999999999995)</f>
        <v>5.9</v>
      </c>
      <c r="K251" s="19">
        <f t="shared" si="3"/>
        <v>293.1</v>
      </c>
      <c r="L251" s="20">
        <f t="shared" si="4"/>
        <v>0.9802675585</v>
      </c>
    </row>
    <row r="252" ht="15.75" customHeight="1">
      <c r="A252" s="9" t="s">
        <v>9</v>
      </c>
      <c r="B252" s="12" t="str">
        <f t="array" ref="B252">XLOOKUP(C252, Channel_Listings!C:C, Channel_Listings!B:B)
</f>
        <v>Apparel_Caps_Beanies</v>
      </c>
      <c r="C252" s="22" t="s">
        <v>276</v>
      </c>
      <c r="D252" s="14" t="str">
        <f t="array" ref="D252">XLOOKUP(C252, Channel_Listings!C:C, Channel_Listings!D:D)
</f>
        <v>BEANIE-SHORT-FUROUT-BLUE</v>
      </c>
      <c r="E252" s="15">
        <v>299.0</v>
      </c>
      <c r="F252" s="16">
        <f t="array" ref="F252">IFERROR(
  VALUE( INDEX(Product_Master!$I:$I,
               MATCH( INDEX(Pack_Master!$B:$B, MATCH($D252, Pack_Master!$A:$A, 0)),
                      Product_Master!$B:$B, 0)
  )) 
  * VALUE( INDEX(Pack_Master!$C:$C, MATCH($D252, Pack_Master!$A:$A, 0)) )
  + VALUE( INDEX(Pack_Master!$D:$D, MATCH($D252, Pack_Master!$A:$A, 0)) ),
"")
</f>
        <v>0</v>
      </c>
      <c r="G252" s="17">
        <f t="array" ref="G252">IFERROR(
 ( INDEX(Pack_Master!E:E, MATCH($D252, Pack_Master!A:A, 0))
   * INDEX(Pack_Master!F:F, MATCH($D252, Pack_Master!A:A, 0))
   * INDEX(Pack_Master!G:G, MATCH($D252, Pack_Master!A:A, 0))
 ) / INDEX(Config!C:C, MATCH($A252, Config!A:A, 0)),
"")
</f>
        <v>0</v>
      </c>
      <c r="H252" s="17">
        <f t="array" ref="H252">MAX( INDEX(Pack_Master!H:H, MATCH($D252, Pack_Master!A:A, 0)),
      IFERROR(G252, 0) )
</f>
        <v>0</v>
      </c>
      <c r="I252" s="18" t="str">
        <f>IFERROR(__xludf.DUMMYFUNCTION("IFERROR(
 INDEX(
   FILTER(Shipping_Rate_Card!B:F, Shipping_Rate_Card!A:A=$A252),
   MATCH($H252, FILTER(Shipping_Rate_Card!B:B, Shipping_Rate_Card!A:A=$A252), 1),
   IF( INDEX(Config!B:B, MATCH($A252, Config!A:A, 0))=""Local"", 2,
     IF( INDEX(Config!B"&amp;":B, MATCH($A252, Config!A:A, 0))=""Regional"", 3, 4 )
   )
 ),
"""")
"),"")</f>
        <v/>
      </c>
      <c r="J252" s="16">
        <f>IFERROR(__xludf.DUMMYFUNCTION("IFERROR(
 ( E252 * INDEX(FILTER(Pricing_Rules!E:E, Pricing_Rules!A:A=A252, Pricing_Rules!B:B=B252, Pricing_Rules!C:C&lt;=E252, Pricing_Rules!D:D&gt;=E252), 1)
   + INDEX(FILTER(Pricing_Rules!F:F, Pricing_Rules!A:A=A252, Pricing_Rules!B:B=B252, Pricing_Rules!C:C"&amp;"&lt;=E252, Pricing_Rules!D:D&gt;=E252), 1)
 )
 * (1 + IFERROR( INDEX(Config!D:D, MATCH(A252, Config!A:A, 0)), 0 )),
"""")
"),5.8999999999999995)</f>
        <v>5.9</v>
      </c>
      <c r="K252" s="19">
        <f t="shared" si="3"/>
        <v>293.1</v>
      </c>
      <c r="L252" s="20">
        <f t="shared" si="4"/>
        <v>0.9802675585</v>
      </c>
    </row>
    <row r="253" ht="15.75" customHeight="1">
      <c r="A253" s="9" t="s">
        <v>9</v>
      </c>
      <c r="B253" s="12" t="str">
        <f t="array" ref="B253">XLOOKUP(C253, Channel_Listings!C:C, Channel_Listings!B:B)
</f>
        <v>Apparel_Caps_Beanies</v>
      </c>
      <c r="C253" s="22" t="s">
        <v>278</v>
      </c>
      <c r="D253" s="14" t="str">
        <f t="array" ref="D253">XLOOKUP(C253, Channel_Listings!C:C, Channel_Listings!D:D)
</f>
        <v>BEANIE-SHORT-FUROUT-MAROON</v>
      </c>
      <c r="E253" s="15">
        <v>299.0</v>
      </c>
      <c r="F253" s="16">
        <f t="array" ref="F253">IFERROR(
  VALUE( INDEX(Product_Master!$I:$I,
               MATCH( INDEX(Pack_Master!$B:$B, MATCH($D253, Pack_Master!$A:$A, 0)),
                      Product_Master!$B:$B, 0)
  )) 
  * VALUE( INDEX(Pack_Master!$C:$C, MATCH($D253, Pack_Master!$A:$A, 0)) )
  + VALUE( INDEX(Pack_Master!$D:$D, MATCH($D253, Pack_Master!$A:$A, 0)) ),
"")
</f>
        <v>0</v>
      </c>
      <c r="G253" s="17">
        <f t="array" ref="G253">IFERROR(
 ( INDEX(Pack_Master!E:E, MATCH($D253, Pack_Master!A:A, 0))
   * INDEX(Pack_Master!F:F, MATCH($D253, Pack_Master!A:A, 0))
   * INDEX(Pack_Master!G:G, MATCH($D253, Pack_Master!A:A, 0))
 ) / INDEX(Config!C:C, MATCH($A253, Config!A:A, 0)),
"")
</f>
        <v>0</v>
      </c>
      <c r="H253" s="17">
        <f t="array" ref="H253">MAX( INDEX(Pack_Master!H:H, MATCH($D253, Pack_Master!A:A, 0)),
      IFERROR(G253, 0) )
</f>
        <v>0</v>
      </c>
      <c r="I253" s="18" t="str">
        <f>IFERROR(__xludf.DUMMYFUNCTION("IFERROR(
 INDEX(
   FILTER(Shipping_Rate_Card!B:F, Shipping_Rate_Card!A:A=$A253),
   MATCH($H253, FILTER(Shipping_Rate_Card!B:B, Shipping_Rate_Card!A:A=$A253), 1),
   IF( INDEX(Config!B:B, MATCH($A253, Config!A:A, 0))=""Local"", 2,
     IF( INDEX(Config!B"&amp;":B, MATCH($A253, Config!A:A, 0))=""Regional"", 3, 4 )
   )
 ),
"""")
"),"")</f>
        <v/>
      </c>
      <c r="J253" s="16">
        <f>IFERROR(__xludf.DUMMYFUNCTION("IFERROR(
 ( E253 * INDEX(FILTER(Pricing_Rules!E:E, Pricing_Rules!A:A=A253, Pricing_Rules!B:B=B253, Pricing_Rules!C:C&lt;=E253, Pricing_Rules!D:D&gt;=E253), 1)
   + INDEX(FILTER(Pricing_Rules!F:F, Pricing_Rules!A:A=A253, Pricing_Rules!B:B=B253, Pricing_Rules!C:C"&amp;"&lt;=E253, Pricing_Rules!D:D&gt;=E253), 1)
 )
 * (1 + IFERROR( INDEX(Config!D:D, MATCH(A253, Config!A:A, 0)), 0 )),
"""")
"),5.8999999999999995)</f>
        <v>5.9</v>
      </c>
      <c r="K253" s="19">
        <f t="shared" si="3"/>
        <v>293.1</v>
      </c>
      <c r="L253" s="20">
        <f t="shared" si="4"/>
        <v>0.9802675585</v>
      </c>
    </row>
    <row r="254" ht="15.75" customHeight="1">
      <c r="A254" s="9" t="s">
        <v>9</v>
      </c>
      <c r="B254" s="12" t="str">
        <f t="array" ref="B254">XLOOKUP(C254, Channel_Listings!C:C, Channel_Listings!B:B)
</f>
        <v>Apparel_Caps_Beanies</v>
      </c>
      <c r="C254" s="23" t="s">
        <v>280</v>
      </c>
      <c r="D254" s="14" t="str">
        <f t="array" ref="D254">XLOOKUP(C254, Channel_Listings!C:C, Channel_Listings!D:D)
</f>
        <v>BEANIE-LONGFUR-BLACK</v>
      </c>
      <c r="E254" s="15">
        <v>299.0</v>
      </c>
      <c r="F254" s="16">
        <f t="array" ref="F254">IFERROR(
  VALUE( INDEX(Product_Master!$I:$I,
               MATCH( INDEX(Pack_Master!$B:$B, MATCH($D254, Pack_Master!$A:$A, 0)),
                      Product_Master!$B:$B, 0)
  )) 
  * VALUE( INDEX(Pack_Master!$C:$C, MATCH($D254, Pack_Master!$A:$A, 0)) )
  + VALUE( INDEX(Pack_Master!$D:$D, MATCH($D254, Pack_Master!$A:$A, 0)) ),
"")
</f>
        <v>109</v>
      </c>
      <c r="G254" s="17">
        <f t="array" ref="G254">IFERROR(
 ( INDEX(Pack_Master!E:E, MATCH($D254, Pack_Master!A:A, 0))
   * INDEX(Pack_Master!F:F, MATCH($D254, Pack_Master!A:A, 0))
   * INDEX(Pack_Master!G:G, MATCH($D254, Pack_Master!A:A, 0))
 ) / INDEX(Config!C:C, MATCH($A254, Config!A:A, 0)),
"")
</f>
        <v>0.375</v>
      </c>
      <c r="H254" s="17">
        <f t="array" ref="H254">MAX( INDEX(Pack_Master!H:H, MATCH($D254, Pack_Master!A:A, 0)),
      IFERROR(G254, 0) )
</f>
        <v>0.5</v>
      </c>
      <c r="I254" s="18">
        <f>IFERROR(__xludf.DUMMYFUNCTION("IFERROR(
 INDEX(
   FILTER(Shipping_Rate_Card!B:F, Shipping_Rate_Card!A:A=$A254),
   MATCH($H254, FILTER(Shipping_Rate_Card!B:B, Shipping_Rate_Card!A:A=$A254), 1),
   IF( INDEX(Config!B:B, MATCH($A254, Config!A:A, 0))=""Local"", 2,
     IF( INDEX(Config!B"&amp;":B, MATCH($A254, Config!A:A, 0))=""Regional"", 3, 4 )
   )
 ),
"""")
"),67.0)</f>
        <v>67</v>
      </c>
      <c r="J254" s="16">
        <f>IFERROR(__xludf.DUMMYFUNCTION("IFERROR(
 ( E254 * INDEX(FILTER(Pricing_Rules!E:E, Pricing_Rules!A:A=A254, Pricing_Rules!B:B=B254, Pricing_Rules!C:C&lt;=E254, Pricing_Rules!D:D&gt;=E254), 1)
   + INDEX(FILTER(Pricing_Rules!F:F, Pricing_Rules!A:A=A254, Pricing_Rules!B:B=B254, Pricing_Rules!C:C"&amp;"&lt;=E254, Pricing_Rules!D:D&gt;=E254), 1)
 )
 * (1 + IFERROR( INDEX(Config!D:D, MATCH(A254, Config!A:A, 0)), 0 )),
"""")
"),5.8999999999999995)</f>
        <v>5.9</v>
      </c>
      <c r="K254" s="19">
        <f t="shared" si="3"/>
        <v>117.1</v>
      </c>
      <c r="L254" s="20">
        <f t="shared" si="4"/>
        <v>0.391638796</v>
      </c>
    </row>
    <row r="255" ht="15.75" customHeight="1">
      <c r="A255" s="9" t="s">
        <v>9</v>
      </c>
      <c r="B255" s="12" t="str">
        <f t="array" ref="B255">XLOOKUP(C255, Channel_Listings!C:C, Channel_Listings!B:B)
</f>
        <v>Apparel_Caps_Beanies</v>
      </c>
      <c r="C255" s="23" t="s">
        <v>283</v>
      </c>
      <c r="D255" s="14" t="str">
        <f t="array" ref="D255">XLOOKUP(C255, Channel_Listings!C:C, Channel_Listings!D:D)
</f>
        <v>BEANIE-LONGFUR-BEIGE</v>
      </c>
      <c r="E255" s="15">
        <v>299.0</v>
      </c>
      <c r="F255" s="16">
        <f t="array" ref="F255">IFERROR(
  VALUE( INDEX(Product_Master!$I:$I,
               MATCH( INDEX(Pack_Master!$B:$B, MATCH($D255, Pack_Master!$A:$A, 0)),
                      Product_Master!$B:$B, 0)
  )) 
  * VALUE( INDEX(Pack_Master!$C:$C, MATCH($D255, Pack_Master!$A:$A, 0)) )
  + VALUE( INDEX(Pack_Master!$D:$D, MATCH($D255, Pack_Master!$A:$A, 0)) ),
"")
</f>
        <v>109</v>
      </c>
      <c r="G255" s="17">
        <f t="array" ref="G255">IFERROR(
 ( INDEX(Pack_Master!E:E, MATCH($D255, Pack_Master!A:A, 0))
   * INDEX(Pack_Master!F:F, MATCH($D255, Pack_Master!A:A, 0))
   * INDEX(Pack_Master!G:G, MATCH($D255, Pack_Master!A:A, 0))
 ) / INDEX(Config!C:C, MATCH($A255, Config!A:A, 0)),
"")
</f>
        <v>0.375</v>
      </c>
      <c r="H255" s="17">
        <f t="array" ref="H255">MAX( INDEX(Pack_Master!H:H, MATCH($D255, Pack_Master!A:A, 0)),
      IFERROR(G255, 0) )
</f>
        <v>0.5</v>
      </c>
      <c r="I255" s="18">
        <f>IFERROR(__xludf.DUMMYFUNCTION("IFERROR(
 INDEX(
   FILTER(Shipping_Rate_Card!B:F, Shipping_Rate_Card!A:A=$A255),
   MATCH($H255, FILTER(Shipping_Rate_Card!B:B, Shipping_Rate_Card!A:A=$A255), 1),
   IF( INDEX(Config!B:B, MATCH($A255, Config!A:A, 0))=""Local"", 2,
     IF( INDEX(Config!B"&amp;":B, MATCH($A255, Config!A:A, 0))=""Regional"", 3, 4 )
   )
 ),
"""")
"),67.0)</f>
        <v>67</v>
      </c>
      <c r="J255" s="16">
        <f>IFERROR(__xludf.DUMMYFUNCTION("IFERROR(
 ( E255 * INDEX(FILTER(Pricing_Rules!E:E, Pricing_Rules!A:A=A255, Pricing_Rules!B:B=B255, Pricing_Rules!C:C&lt;=E255, Pricing_Rules!D:D&gt;=E255), 1)
   + INDEX(FILTER(Pricing_Rules!F:F, Pricing_Rules!A:A=A255, Pricing_Rules!B:B=B255, Pricing_Rules!C:C"&amp;"&lt;=E255, Pricing_Rules!D:D&gt;=E255), 1)
 )
 * (1 + IFERROR( INDEX(Config!D:D, MATCH(A255, Config!A:A, 0)), 0 )),
"""")
"),5.8999999999999995)</f>
        <v>5.9</v>
      </c>
      <c r="K255" s="19">
        <f t="shared" si="3"/>
        <v>117.1</v>
      </c>
      <c r="L255" s="20">
        <f t="shared" si="4"/>
        <v>0.391638796</v>
      </c>
    </row>
    <row r="256" ht="15.75" customHeight="1">
      <c r="A256" s="9" t="s">
        <v>9</v>
      </c>
      <c r="B256" s="12" t="str">
        <f t="array" ref="B256">XLOOKUP(C256, Channel_Listings!C:C, Channel_Listings!B:B)
</f>
        <v>Apparel_Caps_Beanies</v>
      </c>
      <c r="C256" s="23" t="s">
        <v>281</v>
      </c>
      <c r="D256" s="14" t="str">
        <f t="array" ref="D256">XLOOKUP(C256, Channel_Listings!C:C, Channel_Listings!D:D)
</f>
        <v>BEANIE-LONGFUR-BLACK</v>
      </c>
      <c r="E256" s="15">
        <v>299.0</v>
      </c>
      <c r="F256" s="16">
        <f t="array" ref="F256">IFERROR(
  VALUE( INDEX(Product_Master!$I:$I,
               MATCH( INDEX(Pack_Master!$B:$B, MATCH($D256, Pack_Master!$A:$A, 0)),
                      Product_Master!$B:$B, 0)
  )) 
  * VALUE( INDEX(Pack_Master!$C:$C, MATCH($D256, Pack_Master!$A:$A, 0)) )
  + VALUE( INDEX(Pack_Master!$D:$D, MATCH($D256, Pack_Master!$A:$A, 0)) ),
"")
</f>
        <v>109</v>
      </c>
      <c r="G256" s="17">
        <f t="array" ref="G256">IFERROR(
 ( INDEX(Pack_Master!E:E, MATCH($D256, Pack_Master!A:A, 0))
   * INDEX(Pack_Master!F:F, MATCH($D256, Pack_Master!A:A, 0))
   * INDEX(Pack_Master!G:G, MATCH($D256, Pack_Master!A:A, 0))
 ) / INDEX(Config!C:C, MATCH($A256, Config!A:A, 0)),
"")
</f>
        <v>0.375</v>
      </c>
      <c r="H256" s="17">
        <f t="array" ref="H256">MAX( INDEX(Pack_Master!H:H, MATCH($D256, Pack_Master!A:A, 0)),
      IFERROR(G256, 0) )
</f>
        <v>0.5</v>
      </c>
      <c r="I256" s="18">
        <f>IFERROR(__xludf.DUMMYFUNCTION("IFERROR(
 INDEX(
   FILTER(Shipping_Rate_Card!B:F, Shipping_Rate_Card!A:A=$A256),
   MATCH($H256, FILTER(Shipping_Rate_Card!B:B, Shipping_Rate_Card!A:A=$A256), 1),
   IF( INDEX(Config!B:B, MATCH($A256, Config!A:A, 0))=""Local"", 2,
     IF( INDEX(Config!B"&amp;":B, MATCH($A256, Config!A:A, 0))=""Regional"", 3, 4 )
   )
 ),
"""")
"),67.0)</f>
        <v>67</v>
      </c>
      <c r="J256" s="16">
        <f>IFERROR(__xludf.DUMMYFUNCTION("IFERROR(
 ( E256 * INDEX(FILTER(Pricing_Rules!E:E, Pricing_Rules!A:A=A256, Pricing_Rules!B:B=B256, Pricing_Rules!C:C&lt;=E256, Pricing_Rules!D:D&gt;=E256), 1)
   + INDEX(FILTER(Pricing_Rules!F:F, Pricing_Rules!A:A=A256, Pricing_Rules!B:B=B256, Pricing_Rules!C:C"&amp;"&lt;=E256, Pricing_Rules!D:D&gt;=E256), 1)
 )
 * (1 + IFERROR( INDEX(Config!D:D, MATCH(A256, Config!A:A, 0)), 0 )),
"""")
"),5.8999999999999995)</f>
        <v>5.9</v>
      </c>
      <c r="K256" s="19">
        <f t="shared" si="3"/>
        <v>117.1</v>
      </c>
      <c r="L256" s="20">
        <f t="shared" si="4"/>
        <v>0.391638796</v>
      </c>
    </row>
    <row r="257" ht="15.75" customHeight="1">
      <c r="A257" s="9" t="s">
        <v>9</v>
      </c>
      <c r="B257" s="12" t="str">
        <f t="array" ref="B257">XLOOKUP(C257, Channel_Listings!C:C, Channel_Listings!B:B)
</f>
        <v>Apparel_Caps_Beanies</v>
      </c>
      <c r="C257" s="23" t="s">
        <v>286</v>
      </c>
      <c r="D257" s="14" t="str">
        <f t="array" ref="D257">XLOOKUP(C257, Channel_Listings!C:C, Channel_Listings!D:D)
</f>
        <v>BEANIE-LONGFUR-BROWN</v>
      </c>
      <c r="E257" s="15">
        <v>299.0</v>
      </c>
      <c r="F257" s="16">
        <f t="array" ref="F257">IFERROR(
  VALUE( INDEX(Product_Master!$I:$I,
               MATCH( INDEX(Pack_Master!$B:$B, MATCH($D257, Pack_Master!$A:$A, 0)),
                      Product_Master!$B:$B, 0)
  )) 
  * VALUE( INDEX(Pack_Master!$C:$C, MATCH($D257, Pack_Master!$A:$A, 0)) )
  + VALUE( INDEX(Pack_Master!$D:$D, MATCH($D257, Pack_Master!$A:$A, 0)) ),
"")
</f>
        <v>109</v>
      </c>
      <c r="G257" s="17">
        <f t="array" ref="G257">IFERROR(
 ( INDEX(Pack_Master!E:E, MATCH($D257, Pack_Master!A:A, 0))
   * INDEX(Pack_Master!F:F, MATCH($D257, Pack_Master!A:A, 0))
   * INDEX(Pack_Master!G:G, MATCH($D257, Pack_Master!A:A, 0))
 ) / INDEX(Config!C:C, MATCH($A257, Config!A:A, 0)),
"")
</f>
        <v>0.375</v>
      </c>
      <c r="H257" s="17">
        <f t="array" ref="H257">MAX( INDEX(Pack_Master!H:H, MATCH($D257, Pack_Master!A:A, 0)),
      IFERROR(G257, 0) )
</f>
        <v>0.5</v>
      </c>
      <c r="I257" s="18">
        <f>IFERROR(__xludf.DUMMYFUNCTION("IFERROR(
 INDEX(
   FILTER(Shipping_Rate_Card!B:F, Shipping_Rate_Card!A:A=$A257),
   MATCH($H257, FILTER(Shipping_Rate_Card!B:B, Shipping_Rate_Card!A:A=$A257), 1),
   IF( INDEX(Config!B:B, MATCH($A257, Config!A:A, 0))=""Local"", 2,
     IF( INDEX(Config!B"&amp;":B, MATCH($A257, Config!A:A, 0))=""Regional"", 3, 4 )
   )
 ),
"""")
"),67.0)</f>
        <v>67</v>
      </c>
      <c r="J257" s="16">
        <f>IFERROR(__xludf.DUMMYFUNCTION("IFERROR(
 ( E257 * INDEX(FILTER(Pricing_Rules!E:E, Pricing_Rules!A:A=A257, Pricing_Rules!B:B=B257, Pricing_Rules!C:C&lt;=E257, Pricing_Rules!D:D&gt;=E257), 1)
   + INDEX(FILTER(Pricing_Rules!F:F, Pricing_Rules!A:A=A257, Pricing_Rules!B:B=B257, Pricing_Rules!C:C"&amp;"&lt;=E257, Pricing_Rules!D:D&gt;=E257), 1)
 )
 * (1 + IFERROR( INDEX(Config!D:D, MATCH(A257, Config!A:A, 0)), 0 )),
"""")
"),5.8999999999999995)</f>
        <v>5.9</v>
      </c>
      <c r="K257" s="19">
        <f t="shared" si="3"/>
        <v>117.1</v>
      </c>
      <c r="L257" s="20">
        <f t="shared" si="4"/>
        <v>0.391638796</v>
      </c>
    </row>
    <row r="258" ht="15.75" customHeight="1">
      <c r="A258" s="9" t="s">
        <v>9</v>
      </c>
      <c r="B258" s="12" t="str">
        <f t="array" ref="B258">XLOOKUP(C258, Channel_Listings!C:C, Channel_Listings!B:B)
</f>
        <v>Apparel_Caps_Beanies</v>
      </c>
      <c r="C258" s="23" t="s">
        <v>288</v>
      </c>
      <c r="D258" s="14" t="str">
        <f t="array" ref="D258">XLOOKUP(C258, Channel_Listings!C:C, Channel_Listings!D:D)
</f>
        <v>BEANIE-LONGFUR-CHARCOAL</v>
      </c>
      <c r="E258" s="15">
        <v>299.0</v>
      </c>
      <c r="F258" s="16">
        <f t="array" ref="F258">IFERROR(
  VALUE( INDEX(Product_Master!$I:$I,
               MATCH( INDEX(Pack_Master!$B:$B, MATCH($D258, Pack_Master!$A:$A, 0)),
                      Product_Master!$B:$B, 0)
  )) 
  * VALUE( INDEX(Pack_Master!$C:$C, MATCH($D258, Pack_Master!$A:$A, 0)) )
  + VALUE( INDEX(Pack_Master!$D:$D, MATCH($D258, Pack_Master!$A:$A, 0)) ),
"")
</f>
        <v>109</v>
      </c>
      <c r="G258" s="17">
        <f t="array" ref="G258">IFERROR(
 ( INDEX(Pack_Master!E:E, MATCH($D258, Pack_Master!A:A, 0))
   * INDEX(Pack_Master!F:F, MATCH($D258, Pack_Master!A:A, 0))
   * INDEX(Pack_Master!G:G, MATCH($D258, Pack_Master!A:A, 0))
 ) / INDEX(Config!C:C, MATCH($A258, Config!A:A, 0)),
"")
</f>
        <v>0.375</v>
      </c>
      <c r="H258" s="17">
        <f t="array" ref="H258">MAX( INDEX(Pack_Master!H:H, MATCH($D258, Pack_Master!A:A, 0)),
      IFERROR(G258, 0) )
</f>
        <v>0.5</v>
      </c>
      <c r="I258" s="18">
        <f>IFERROR(__xludf.DUMMYFUNCTION("IFERROR(
 INDEX(
   FILTER(Shipping_Rate_Card!B:F, Shipping_Rate_Card!A:A=$A258),
   MATCH($H258, FILTER(Shipping_Rate_Card!B:B, Shipping_Rate_Card!A:A=$A258), 1),
   IF( INDEX(Config!B:B, MATCH($A258, Config!A:A, 0))=""Local"", 2,
     IF( INDEX(Config!B"&amp;":B, MATCH($A258, Config!A:A, 0))=""Regional"", 3, 4 )
   )
 ),
"""")
"),67.0)</f>
        <v>67</v>
      </c>
      <c r="J258" s="16">
        <f>IFERROR(__xludf.DUMMYFUNCTION("IFERROR(
 ( E258 * INDEX(FILTER(Pricing_Rules!E:E, Pricing_Rules!A:A=A258, Pricing_Rules!B:B=B258, Pricing_Rules!C:C&lt;=E258, Pricing_Rules!D:D&gt;=E258), 1)
   + INDEX(FILTER(Pricing_Rules!F:F, Pricing_Rules!A:A=A258, Pricing_Rules!B:B=B258, Pricing_Rules!C:C"&amp;"&lt;=E258, Pricing_Rules!D:D&gt;=E258), 1)
 )
 * (1 + IFERROR( INDEX(Config!D:D, MATCH(A258, Config!A:A, 0)), 0 )),
"""")
"),5.8999999999999995)</f>
        <v>5.9</v>
      </c>
      <c r="K258" s="19">
        <f t="shared" si="3"/>
        <v>117.1</v>
      </c>
      <c r="L258" s="20">
        <f t="shared" si="4"/>
        <v>0.391638796</v>
      </c>
    </row>
    <row r="259" ht="15.75" customHeight="1">
      <c r="A259" s="9" t="s">
        <v>9</v>
      </c>
      <c r="B259" s="12" t="str">
        <f t="array" ref="B259">XLOOKUP(C259, Channel_Listings!C:C, Channel_Listings!B:B)
</f>
        <v>Apparel_Caps_Beanies</v>
      </c>
      <c r="C259" s="23" t="s">
        <v>265</v>
      </c>
      <c r="D259" s="14" t="str">
        <f t="array" ref="D259">XLOOKUP(C259, Channel_Listings!C:C, Channel_Listings!D:D)
</f>
        <v>BEANIE-LONGFUR-GREEN</v>
      </c>
      <c r="E259" s="15">
        <v>299.0</v>
      </c>
      <c r="F259" s="16">
        <f t="array" ref="F259">IFERROR(
  VALUE( INDEX(Product_Master!$I:$I,
               MATCH( INDEX(Pack_Master!$B:$B, MATCH($D259, Pack_Master!$A:$A, 0)),
                      Product_Master!$B:$B, 0)
  )) 
  * VALUE( INDEX(Pack_Master!$C:$C, MATCH($D259, Pack_Master!$A:$A, 0)) )
  + VALUE( INDEX(Pack_Master!$D:$D, MATCH($D259, Pack_Master!$A:$A, 0)) ),
"")
</f>
        <v>109</v>
      </c>
      <c r="G259" s="17">
        <f t="array" ref="G259">IFERROR(
 ( INDEX(Pack_Master!E:E, MATCH($D259, Pack_Master!A:A, 0))
   * INDEX(Pack_Master!F:F, MATCH($D259, Pack_Master!A:A, 0))
   * INDEX(Pack_Master!G:G, MATCH($D259, Pack_Master!A:A, 0))
 ) / INDEX(Config!C:C, MATCH($A259, Config!A:A, 0)),
"")
</f>
        <v>0.375</v>
      </c>
      <c r="H259" s="17">
        <f t="array" ref="H259">MAX( INDEX(Pack_Master!H:H, MATCH($D259, Pack_Master!A:A, 0)),
      IFERROR(G259, 0) )
</f>
        <v>0.5</v>
      </c>
      <c r="I259" s="18">
        <f>IFERROR(__xludf.DUMMYFUNCTION("IFERROR(
 INDEX(
   FILTER(Shipping_Rate_Card!B:F, Shipping_Rate_Card!A:A=$A259),
   MATCH($H259, FILTER(Shipping_Rate_Card!B:B, Shipping_Rate_Card!A:A=$A259), 1),
   IF( INDEX(Config!B:B, MATCH($A259, Config!A:A, 0))=""Local"", 2,
     IF( INDEX(Config!B"&amp;":B, MATCH($A259, Config!A:A, 0))=""Regional"", 3, 4 )
   )
 ),
"""")
"),67.0)</f>
        <v>67</v>
      </c>
      <c r="J259" s="16">
        <f>IFERROR(__xludf.DUMMYFUNCTION("IFERROR(
 ( E259 * INDEX(FILTER(Pricing_Rules!E:E, Pricing_Rules!A:A=A259, Pricing_Rules!B:B=B259, Pricing_Rules!C:C&lt;=E259, Pricing_Rules!D:D&gt;=E259), 1)
   + INDEX(FILTER(Pricing_Rules!F:F, Pricing_Rules!A:A=A259, Pricing_Rules!B:B=B259, Pricing_Rules!C:C"&amp;"&lt;=E259, Pricing_Rules!D:D&gt;=E259), 1)
 )
 * (1 + IFERROR( INDEX(Config!D:D, MATCH(A259, Config!A:A, 0)), 0 )),
"""")
"),5.8999999999999995)</f>
        <v>5.9</v>
      </c>
      <c r="K259" s="19">
        <f t="shared" si="3"/>
        <v>117.1</v>
      </c>
      <c r="L259" s="20">
        <f t="shared" si="4"/>
        <v>0.391638796</v>
      </c>
    </row>
    <row r="260" ht="15.75" customHeight="1">
      <c r="A260" s="9" t="s">
        <v>9</v>
      </c>
      <c r="B260" s="12" t="str">
        <f t="array" ref="B260">XLOOKUP(C260, Channel_Listings!C:C, Channel_Listings!B:B)
</f>
        <v>Apparel_Caps_Beanies</v>
      </c>
      <c r="C260" s="23" t="s">
        <v>291</v>
      </c>
      <c r="D260" s="14" t="str">
        <f t="array" ref="D260">XLOOKUP(C260, Channel_Listings!C:C, Channel_Listings!D:D)
</f>
        <v>BEANIE-LONGFUR-MAROON</v>
      </c>
      <c r="E260" s="15">
        <v>299.0</v>
      </c>
      <c r="F260" s="16">
        <f t="array" ref="F260">IFERROR(
  VALUE( INDEX(Product_Master!$I:$I,
               MATCH( INDEX(Pack_Master!$B:$B, MATCH($D260, Pack_Master!$A:$A, 0)),
                      Product_Master!$B:$B, 0)
  )) 
  * VALUE( INDEX(Pack_Master!$C:$C, MATCH($D260, Pack_Master!$A:$A, 0)) )
  + VALUE( INDEX(Pack_Master!$D:$D, MATCH($D260, Pack_Master!$A:$A, 0)) ),
"")
</f>
        <v>109</v>
      </c>
      <c r="G260" s="17">
        <f t="array" ref="G260">IFERROR(
 ( INDEX(Pack_Master!E:E, MATCH($D260, Pack_Master!A:A, 0))
   * INDEX(Pack_Master!F:F, MATCH($D260, Pack_Master!A:A, 0))
   * INDEX(Pack_Master!G:G, MATCH($D260, Pack_Master!A:A, 0))
 ) / INDEX(Config!C:C, MATCH($A260, Config!A:A, 0)),
"")
</f>
        <v>0.375</v>
      </c>
      <c r="H260" s="17">
        <f t="array" ref="H260">MAX( INDEX(Pack_Master!H:H, MATCH($D260, Pack_Master!A:A, 0)),
      IFERROR(G260, 0) )
</f>
        <v>0.5</v>
      </c>
      <c r="I260" s="18">
        <f>IFERROR(__xludf.DUMMYFUNCTION("IFERROR(
 INDEX(
   FILTER(Shipping_Rate_Card!B:F, Shipping_Rate_Card!A:A=$A260),
   MATCH($H260, FILTER(Shipping_Rate_Card!B:B, Shipping_Rate_Card!A:A=$A260), 1),
   IF( INDEX(Config!B:B, MATCH($A260, Config!A:A, 0))=""Local"", 2,
     IF( INDEX(Config!B"&amp;":B, MATCH($A260, Config!A:A, 0))=""Regional"", 3, 4 )
   )
 ),
"""")
"),67.0)</f>
        <v>67</v>
      </c>
      <c r="J260" s="16">
        <f>IFERROR(__xludf.DUMMYFUNCTION("IFERROR(
 ( E260 * INDEX(FILTER(Pricing_Rules!E:E, Pricing_Rules!A:A=A260, Pricing_Rules!B:B=B260, Pricing_Rules!C:C&lt;=E260, Pricing_Rules!D:D&gt;=E260), 1)
   + INDEX(FILTER(Pricing_Rules!F:F, Pricing_Rules!A:A=A260, Pricing_Rules!B:B=B260, Pricing_Rules!C:C"&amp;"&lt;=E260, Pricing_Rules!D:D&gt;=E260), 1)
 )
 * (1 + IFERROR( INDEX(Config!D:D, MATCH(A260, Config!A:A, 0)), 0 )),
"""")
"),5.8999999999999995)</f>
        <v>5.9</v>
      </c>
      <c r="K260" s="19">
        <f t="shared" si="3"/>
        <v>117.1</v>
      </c>
      <c r="L260" s="20">
        <f t="shared" si="4"/>
        <v>0.391638796</v>
      </c>
    </row>
    <row r="261" ht="15.75" customHeight="1">
      <c r="A261" s="9" t="s">
        <v>9</v>
      </c>
      <c r="B261" s="12" t="str">
        <f t="array" ref="B261">XLOOKUP(C261, Channel_Listings!C:C, Channel_Listings!B:B)
</f>
        <v>Apparel_Caps_Beanies</v>
      </c>
      <c r="C261" s="23" t="s">
        <v>293</v>
      </c>
      <c r="D261" s="14" t="str">
        <f t="array" ref="D261">XLOOKUP(C261, Channel_Listings!C:C, Channel_Listings!D:D)
</f>
        <v>BEANIE-LONGFUR-NAVYBLUE</v>
      </c>
      <c r="E261" s="15">
        <v>299.0</v>
      </c>
      <c r="F261" s="16">
        <f t="array" ref="F261">IFERROR(
  VALUE( INDEX(Product_Master!$I:$I,
               MATCH( INDEX(Pack_Master!$B:$B, MATCH($D261, Pack_Master!$A:$A, 0)),
                      Product_Master!$B:$B, 0)
  )) 
  * VALUE( INDEX(Pack_Master!$C:$C, MATCH($D261, Pack_Master!$A:$A, 0)) )
  + VALUE( INDEX(Pack_Master!$D:$D, MATCH($D261, Pack_Master!$A:$A, 0)) ),
"")
</f>
        <v>109</v>
      </c>
      <c r="G261" s="17">
        <f t="array" ref="G261">IFERROR(
 ( INDEX(Pack_Master!E:E, MATCH($D261, Pack_Master!A:A, 0))
   * INDEX(Pack_Master!F:F, MATCH($D261, Pack_Master!A:A, 0))
   * INDEX(Pack_Master!G:G, MATCH($D261, Pack_Master!A:A, 0))
 ) / INDEX(Config!C:C, MATCH($A261, Config!A:A, 0)),
"")
</f>
        <v>0.375</v>
      </c>
      <c r="H261" s="17">
        <f t="array" ref="H261">MAX( INDEX(Pack_Master!H:H, MATCH($D261, Pack_Master!A:A, 0)),
      IFERROR(G261, 0) )
</f>
        <v>0.5</v>
      </c>
      <c r="I261" s="18">
        <f>IFERROR(__xludf.DUMMYFUNCTION("IFERROR(
 INDEX(
   FILTER(Shipping_Rate_Card!B:F, Shipping_Rate_Card!A:A=$A261),
   MATCH($H261, FILTER(Shipping_Rate_Card!B:B, Shipping_Rate_Card!A:A=$A261), 1),
   IF( INDEX(Config!B:B, MATCH($A261, Config!A:A, 0))=""Local"", 2,
     IF( INDEX(Config!B"&amp;":B, MATCH($A261, Config!A:A, 0))=""Regional"", 3, 4 )
   )
 ),
"""")
"),67.0)</f>
        <v>67</v>
      </c>
      <c r="J261" s="16">
        <f>IFERROR(__xludf.DUMMYFUNCTION("IFERROR(
 ( E261 * INDEX(FILTER(Pricing_Rules!E:E, Pricing_Rules!A:A=A261, Pricing_Rules!B:B=B261, Pricing_Rules!C:C&lt;=E261, Pricing_Rules!D:D&gt;=E261), 1)
   + INDEX(FILTER(Pricing_Rules!F:F, Pricing_Rules!A:A=A261, Pricing_Rules!B:B=B261, Pricing_Rules!C:C"&amp;"&lt;=E261, Pricing_Rules!D:D&gt;=E261), 1)
 )
 * (1 + IFERROR( INDEX(Config!D:D, MATCH(A261, Config!A:A, 0)), 0 )),
"""")
"),5.8999999999999995)</f>
        <v>5.9</v>
      </c>
      <c r="K261" s="19">
        <f t="shared" si="3"/>
        <v>117.1</v>
      </c>
      <c r="L261" s="20">
        <f t="shared" si="4"/>
        <v>0.391638796</v>
      </c>
    </row>
    <row r="262" ht="15.75" customHeight="1">
      <c r="A262" s="9" t="s">
        <v>9</v>
      </c>
      <c r="B262" s="12" t="str">
        <f t="array" ref="B262">XLOOKUP(C262, Channel_Listings!C:C, Channel_Listings!B:B)
</f>
        <v>Apparel_Caps_Beanies</v>
      </c>
      <c r="C262" s="22" t="s">
        <v>295</v>
      </c>
      <c r="D262" s="14" t="str">
        <f t="array" ref="D262">XLOOKUP(C262, Channel_Listings!C:C, Channel_Listings!D:D)
</f>
        <v>BEANIE-SHORT-ZIPPER-MAROON</v>
      </c>
      <c r="E262" s="15">
        <v>299.0</v>
      </c>
      <c r="F262" s="16">
        <f t="array" ref="F262">IFERROR(
  VALUE( INDEX(Product_Master!$I:$I,
               MATCH( INDEX(Pack_Master!$B:$B, MATCH($D262, Pack_Master!$A:$A, 0)),
                      Product_Master!$B:$B, 0)
  )) 
  * VALUE( INDEX(Pack_Master!$C:$C, MATCH($D262, Pack_Master!$A:$A, 0)) )
  + VALUE( INDEX(Pack_Master!$D:$D, MATCH($D262, Pack_Master!$A:$A, 0)) ),
"")
</f>
        <v>0</v>
      </c>
      <c r="G262" s="17">
        <f t="array" ref="G262">IFERROR(
 ( INDEX(Pack_Master!E:E, MATCH($D262, Pack_Master!A:A, 0))
   * INDEX(Pack_Master!F:F, MATCH($D262, Pack_Master!A:A, 0))
   * INDEX(Pack_Master!G:G, MATCH($D262, Pack_Master!A:A, 0))
 ) / INDEX(Config!C:C, MATCH($A262, Config!A:A, 0)),
"")
</f>
        <v>0</v>
      </c>
      <c r="H262" s="17">
        <f t="array" ref="H262">MAX( INDEX(Pack_Master!H:H, MATCH($D262, Pack_Master!A:A, 0)),
      IFERROR(G262, 0) )
</f>
        <v>0</v>
      </c>
      <c r="I262" s="18" t="str">
        <f>IFERROR(__xludf.DUMMYFUNCTION("IFERROR(
 INDEX(
   FILTER(Shipping_Rate_Card!B:F, Shipping_Rate_Card!A:A=$A262),
   MATCH($H262, FILTER(Shipping_Rate_Card!B:B, Shipping_Rate_Card!A:A=$A262), 1),
   IF( INDEX(Config!B:B, MATCH($A262, Config!A:A, 0))=""Local"", 2,
     IF( INDEX(Config!B"&amp;":B, MATCH($A262, Config!A:A, 0))=""Regional"", 3, 4 )
   )
 ),
"""")
"),"")</f>
        <v/>
      </c>
      <c r="J262" s="16">
        <f>IFERROR(__xludf.DUMMYFUNCTION("IFERROR(
 ( E262 * INDEX(FILTER(Pricing_Rules!E:E, Pricing_Rules!A:A=A262, Pricing_Rules!B:B=B262, Pricing_Rules!C:C&lt;=E262, Pricing_Rules!D:D&gt;=E262), 1)
   + INDEX(FILTER(Pricing_Rules!F:F, Pricing_Rules!A:A=A262, Pricing_Rules!B:B=B262, Pricing_Rules!C:C"&amp;"&lt;=E262, Pricing_Rules!D:D&gt;=E262), 1)
 )
 * (1 + IFERROR( INDEX(Config!D:D, MATCH(A262, Config!A:A, 0)), 0 )),
"""")
"),5.8999999999999995)</f>
        <v>5.9</v>
      </c>
      <c r="K262" s="19">
        <f t="shared" si="3"/>
        <v>293.1</v>
      </c>
      <c r="L262" s="20">
        <f t="shared" si="4"/>
        <v>0.9802675585</v>
      </c>
    </row>
    <row r="263" ht="15.75" customHeight="1">
      <c r="A263" s="9" t="s">
        <v>9</v>
      </c>
      <c r="B263" s="12" t="str">
        <f t="array" ref="B263">XLOOKUP(C263, Channel_Listings!C:C, Channel_Listings!B:B)
</f>
        <v>Apparel_Caps_Beanies</v>
      </c>
      <c r="C263" s="23" t="s">
        <v>257</v>
      </c>
      <c r="D263" s="14" t="str">
        <f t="array" ref="D263">XLOOKUP(C263, Channel_Listings!C:C, Channel_Listings!D:D)
</f>
        <v>BEANIE-SHORTFUR-BEIGE</v>
      </c>
      <c r="E263" s="15">
        <v>299.0</v>
      </c>
      <c r="F263" s="16">
        <f t="array" ref="F263">IFERROR(
  VALUE( INDEX(Product_Master!$I:$I,
               MATCH( INDEX(Pack_Master!$B:$B, MATCH($D263, Pack_Master!$A:$A, 0)),
                      Product_Master!$B:$B, 0)
  )) 
  * VALUE( INDEX(Pack_Master!$C:$C, MATCH($D263, Pack_Master!$A:$A, 0)) )
  + VALUE( INDEX(Pack_Master!$D:$D, MATCH($D263, Pack_Master!$A:$A, 0)) ),
"")
</f>
        <v>109</v>
      </c>
      <c r="G263" s="17">
        <f t="array" ref="G263">IFERROR(
 ( INDEX(Pack_Master!E:E, MATCH($D263, Pack_Master!A:A, 0))
   * INDEX(Pack_Master!F:F, MATCH($D263, Pack_Master!A:A, 0))
   * INDEX(Pack_Master!G:G, MATCH($D263, Pack_Master!A:A, 0))
 ) / INDEX(Config!C:C, MATCH($A263, Config!A:A, 0)),
"")
</f>
        <v>0.375</v>
      </c>
      <c r="H263" s="17">
        <f t="array" ref="H263">MAX( INDEX(Pack_Master!H:H, MATCH($D263, Pack_Master!A:A, 0)),
      IFERROR(G263, 0) )
</f>
        <v>0.5</v>
      </c>
      <c r="I263" s="18">
        <f>IFERROR(__xludf.DUMMYFUNCTION("IFERROR(
 INDEX(
   FILTER(Shipping_Rate_Card!B:F, Shipping_Rate_Card!A:A=$A263),
   MATCH($H263, FILTER(Shipping_Rate_Card!B:B, Shipping_Rate_Card!A:A=$A263), 1),
   IF( INDEX(Config!B:B, MATCH($A263, Config!A:A, 0))=""Local"", 2,
     IF( INDEX(Config!B"&amp;":B, MATCH($A263, Config!A:A, 0))=""Regional"", 3, 4 )
   )
 ),
"""")
"),67.0)</f>
        <v>67</v>
      </c>
      <c r="J263" s="16">
        <f>IFERROR(__xludf.DUMMYFUNCTION("IFERROR(
 ( E263 * INDEX(FILTER(Pricing_Rules!E:E, Pricing_Rules!A:A=A263, Pricing_Rules!B:B=B263, Pricing_Rules!C:C&lt;=E263, Pricing_Rules!D:D&gt;=E263), 1)
   + INDEX(FILTER(Pricing_Rules!F:F, Pricing_Rules!A:A=A263, Pricing_Rules!B:B=B263, Pricing_Rules!C:C"&amp;"&lt;=E263, Pricing_Rules!D:D&gt;=E263), 1)
 )
 * (1 + IFERROR( INDEX(Config!D:D, MATCH(A263, Config!A:A, 0)), 0 )),
"""")
"),5.8999999999999995)</f>
        <v>5.9</v>
      </c>
      <c r="K263" s="19">
        <f t="shared" si="3"/>
        <v>117.1</v>
      </c>
      <c r="L263" s="20">
        <f t="shared" si="4"/>
        <v>0.391638796</v>
      </c>
    </row>
    <row r="264" ht="15.75" customHeight="1">
      <c r="A264" s="9" t="s">
        <v>9</v>
      </c>
      <c r="B264" s="12" t="str">
        <f t="array" ref="B264">XLOOKUP(C264, Channel_Listings!C:C, Channel_Listings!B:B)
</f>
        <v>Apparel_Caps_Beanies</v>
      </c>
      <c r="C264" s="23" t="s">
        <v>259</v>
      </c>
      <c r="D264" s="14" t="str">
        <f t="array" ref="D264">XLOOKUP(C264, Channel_Listings!C:C, Channel_Listings!D:D)
</f>
        <v>BEANIE-SHORTFUR-BLACK</v>
      </c>
      <c r="E264" s="15">
        <v>299.0</v>
      </c>
      <c r="F264" s="16">
        <f t="array" ref="F264">IFERROR(
  VALUE( INDEX(Product_Master!$I:$I,
               MATCH( INDEX(Pack_Master!$B:$B, MATCH($D264, Pack_Master!$A:$A, 0)),
                      Product_Master!$B:$B, 0)
  )) 
  * VALUE( INDEX(Pack_Master!$C:$C, MATCH($D264, Pack_Master!$A:$A, 0)) )
  + VALUE( INDEX(Pack_Master!$D:$D, MATCH($D264, Pack_Master!$A:$A, 0)) ),
"")
</f>
        <v>109</v>
      </c>
      <c r="G264" s="17">
        <f t="array" ref="G264">IFERROR(
 ( INDEX(Pack_Master!E:E, MATCH($D264, Pack_Master!A:A, 0))
   * INDEX(Pack_Master!F:F, MATCH($D264, Pack_Master!A:A, 0))
   * INDEX(Pack_Master!G:G, MATCH($D264, Pack_Master!A:A, 0))
 ) / INDEX(Config!C:C, MATCH($A264, Config!A:A, 0)),
"")
</f>
        <v>0.375</v>
      </c>
      <c r="H264" s="17">
        <f t="array" ref="H264">MAX( INDEX(Pack_Master!H:H, MATCH($D264, Pack_Master!A:A, 0)),
      IFERROR(G264, 0) )
</f>
        <v>0.5</v>
      </c>
      <c r="I264" s="18">
        <f>IFERROR(__xludf.DUMMYFUNCTION("IFERROR(
 INDEX(
   FILTER(Shipping_Rate_Card!B:F, Shipping_Rate_Card!A:A=$A264),
   MATCH($H264, FILTER(Shipping_Rate_Card!B:B, Shipping_Rate_Card!A:A=$A264), 1),
   IF( INDEX(Config!B:B, MATCH($A264, Config!A:A, 0))=""Local"", 2,
     IF( INDEX(Config!B"&amp;":B, MATCH($A264, Config!A:A, 0))=""Regional"", 3, 4 )
   )
 ),
"""")
"),67.0)</f>
        <v>67</v>
      </c>
      <c r="J264" s="16">
        <f>IFERROR(__xludf.DUMMYFUNCTION("IFERROR(
 ( E264 * INDEX(FILTER(Pricing_Rules!E:E, Pricing_Rules!A:A=A264, Pricing_Rules!B:B=B264, Pricing_Rules!C:C&lt;=E264, Pricing_Rules!D:D&gt;=E264), 1)
   + INDEX(FILTER(Pricing_Rules!F:F, Pricing_Rules!A:A=A264, Pricing_Rules!B:B=B264, Pricing_Rules!C:C"&amp;"&lt;=E264, Pricing_Rules!D:D&gt;=E264), 1)
 )
 * (1 + IFERROR( INDEX(Config!D:D, MATCH(A264, Config!A:A, 0)), 0 )),
"""")
"),5.8999999999999995)</f>
        <v>5.9</v>
      </c>
      <c r="K264" s="19">
        <f t="shared" si="3"/>
        <v>117.1</v>
      </c>
      <c r="L264" s="20">
        <f t="shared" si="4"/>
        <v>0.391638796</v>
      </c>
    </row>
    <row r="265" ht="15.75" customHeight="1">
      <c r="A265" s="9" t="s">
        <v>9</v>
      </c>
      <c r="B265" s="12" t="str">
        <f t="array" ref="B265">XLOOKUP(C265, Channel_Listings!C:C, Channel_Listings!B:B)
</f>
        <v>Apparel_Caps_Beanies</v>
      </c>
      <c r="C265" s="23" t="s">
        <v>299</v>
      </c>
      <c r="D265" s="14" t="str">
        <f t="array" ref="D265">XLOOKUP(C265, Channel_Listings!C:C, Channel_Listings!D:D)
</f>
        <v>BEANIE-SHORTFUR-NAVYBLUE</v>
      </c>
      <c r="E265" s="15">
        <v>299.0</v>
      </c>
      <c r="F265" s="16">
        <f t="array" ref="F265">IFERROR(
  VALUE( INDEX(Product_Master!$I:$I,
               MATCH( INDEX(Pack_Master!$B:$B, MATCH($D265, Pack_Master!$A:$A, 0)),
                      Product_Master!$B:$B, 0)
  )) 
  * VALUE( INDEX(Pack_Master!$C:$C, MATCH($D265, Pack_Master!$A:$A, 0)) )
  + VALUE( INDEX(Pack_Master!$D:$D, MATCH($D265, Pack_Master!$A:$A, 0)) ),
"")
</f>
        <v>109</v>
      </c>
      <c r="G265" s="17">
        <f t="array" ref="G265">IFERROR(
 ( INDEX(Pack_Master!E:E, MATCH($D265, Pack_Master!A:A, 0))
   * INDEX(Pack_Master!F:F, MATCH($D265, Pack_Master!A:A, 0))
   * INDEX(Pack_Master!G:G, MATCH($D265, Pack_Master!A:A, 0))
 ) / INDEX(Config!C:C, MATCH($A265, Config!A:A, 0)),
"")
</f>
        <v>0.375</v>
      </c>
      <c r="H265" s="17">
        <f t="array" ref="H265">MAX( INDEX(Pack_Master!H:H, MATCH($D265, Pack_Master!A:A, 0)),
      IFERROR(G265, 0) )
</f>
        <v>0.5</v>
      </c>
      <c r="I265" s="18">
        <f>IFERROR(__xludf.DUMMYFUNCTION("IFERROR(
 INDEX(
   FILTER(Shipping_Rate_Card!B:F, Shipping_Rate_Card!A:A=$A265),
   MATCH($H265, FILTER(Shipping_Rate_Card!B:B, Shipping_Rate_Card!A:A=$A265), 1),
   IF( INDEX(Config!B:B, MATCH($A265, Config!A:A, 0))=""Local"", 2,
     IF( INDEX(Config!B"&amp;":B, MATCH($A265, Config!A:A, 0))=""Regional"", 3, 4 )
   )
 ),
"""")
"),67.0)</f>
        <v>67</v>
      </c>
      <c r="J265" s="16">
        <f>IFERROR(__xludf.DUMMYFUNCTION("IFERROR(
 ( E265 * INDEX(FILTER(Pricing_Rules!E:E, Pricing_Rules!A:A=A265, Pricing_Rules!B:B=B265, Pricing_Rules!C:C&lt;=E265, Pricing_Rules!D:D&gt;=E265), 1)
   + INDEX(FILTER(Pricing_Rules!F:F, Pricing_Rules!A:A=A265, Pricing_Rules!B:B=B265, Pricing_Rules!C:C"&amp;"&lt;=E265, Pricing_Rules!D:D&gt;=E265), 1)
 )
 * (1 + IFERROR( INDEX(Config!D:D, MATCH(A265, Config!A:A, 0)), 0 )),
"""")
"),5.8999999999999995)</f>
        <v>5.9</v>
      </c>
      <c r="K265" s="19">
        <f t="shared" si="3"/>
        <v>117.1</v>
      </c>
      <c r="L265" s="20">
        <f t="shared" si="4"/>
        <v>0.391638796</v>
      </c>
    </row>
    <row r="266" ht="15.75" customHeight="1">
      <c r="A266" s="9" t="s">
        <v>9</v>
      </c>
      <c r="B266" s="12" t="str">
        <f t="array" ref="B266">XLOOKUP(C266, Channel_Listings!C:C, Channel_Listings!B:B)
</f>
        <v>Apparel_Caps_Beanies</v>
      </c>
      <c r="C266" s="23" t="s">
        <v>263</v>
      </c>
      <c r="D266" s="14" t="str">
        <f t="array" ref="D266">XLOOKUP(C266, Channel_Listings!C:C, Channel_Listings!D:D)
</f>
        <v>BEANIE-SHORTFUR-BROWN</v>
      </c>
      <c r="E266" s="15">
        <v>299.0</v>
      </c>
      <c r="F266" s="16">
        <f t="array" ref="F266">IFERROR(
  VALUE( INDEX(Product_Master!$I:$I,
               MATCH( INDEX(Pack_Master!$B:$B, MATCH($D266, Pack_Master!$A:$A, 0)),
                      Product_Master!$B:$B, 0)
  )) 
  * VALUE( INDEX(Pack_Master!$C:$C, MATCH($D266, Pack_Master!$A:$A, 0)) )
  + VALUE( INDEX(Pack_Master!$D:$D, MATCH($D266, Pack_Master!$A:$A, 0)) ),
"")
</f>
        <v>109</v>
      </c>
      <c r="G266" s="17">
        <f t="array" ref="G266">IFERROR(
 ( INDEX(Pack_Master!E:E, MATCH($D266, Pack_Master!A:A, 0))
   * INDEX(Pack_Master!F:F, MATCH($D266, Pack_Master!A:A, 0))
   * INDEX(Pack_Master!G:G, MATCH($D266, Pack_Master!A:A, 0))
 ) / INDEX(Config!C:C, MATCH($A266, Config!A:A, 0)),
"")
</f>
        <v>0.375</v>
      </c>
      <c r="H266" s="17">
        <f t="array" ref="H266">MAX( INDEX(Pack_Master!H:H, MATCH($D266, Pack_Master!A:A, 0)),
      IFERROR(G266, 0) )
</f>
        <v>0.5</v>
      </c>
      <c r="I266" s="18">
        <f>IFERROR(__xludf.DUMMYFUNCTION("IFERROR(
 INDEX(
   FILTER(Shipping_Rate_Card!B:F, Shipping_Rate_Card!A:A=$A266),
   MATCH($H266, FILTER(Shipping_Rate_Card!B:B, Shipping_Rate_Card!A:A=$A266), 1),
   IF( INDEX(Config!B:B, MATCH($A266, Config!A:A, 0))=""Local"", 2,
     IF( INDEX(Config!B"&amp;":B, MATCH($A266, Config!A:A, 0))=""Regional"", 3, 4 )
   )
 ),
"""")
"),67.0)</f>
        <v>67</v>
      </c>
      <c r="J266" s="16">
        <f>IFERROR(__xludf.DUMMYFUNCTION("IFERROR(
 ( E266 * INDEX(FILTER(Pricing_Rules!E:E, Pricing_Rules!A:A=A266, Pricing_Rules!B:B=B266, Pricing_Rules!C:C&lt;=E266, Pricing_Rules!D:D&gt;=E266), 1)
   + INDEX(FILTER(Pricing_Rules!F:F, Pricing_Rules!A:A=A266, Pricing_Rules!B:B=B266, Pricing_Rules!C:C"&amp;"&lt;=E266, Pricing_Rules!D:D&gt;=E266), 1)
 )
 * (1 + IFERROR( INDEX(Config!D:D, MATCH(A266, Config!A:A, 0)), 0 )),
"""")
"),5.8999999999999995)</f>
        <v>5.9</v>
      </c>
      <c r="K266" s="19">
        <f t="shared" si="3"/>
        <v>117.1</v>
      </c>
      <c r="L266" s="20">
        <f t="shared" si="4"/>
        <v>0.391638796</v>
      </c>
    </row>
    <row r="267" ht="15.75" customHeight="1">
      <c r="A267" s="9" t="s">
        <v>9</v>
      </c>
      <c r="B267" s="12" t="str">
        <f t="array" ref="B267">XLOOKUP(C267, Channel_Listings!C:C, Channel_Listings!B:B)
</f>
        <v>Apparel_Caps_Beanies</v>
      </c>
      <c r="C267" s="23" t="s">
        <v>302</v>
      </c>
      <c r="D267" s="14" t="str">
        <f t="array" ref="D267">XLOOKUP(C267, Channel_Listings!C:C, Channel_Listings!D:D)
</f>
        <v>BEANIE-SHORTFUR-GREY</v>
      </c>
      <c r="E267" s="15">
        <v>299.0</v>
      </c>
      <c r="F267" s="16">
        <f t="array" ref="F267">IFERROR(
  VALUE( INDEX(Product_Master!$I:$I,
               MATCH( INDEX(Pack_Master!$B:$B, MATCH($D267, Pack_Master!$A:$A, 0)),
                      Product_Master!$B:$B, 0)
  )) 
  * VALUE( INDEX(Pack_Master!$C:$C, MATCH($D267, Pack_Master!$A:$A, 0)) )
  + VALUE( INDEX(Pack_Master!$D:$D, MATCH($D267, Pack_Master!$A:$A, 0)) ),
"")
</f>
        <v>109</v>
      </c>
      <c r="G267" s="17">
        <f t="array" ref="G267">IFERROR(
 ( INDEX(Pack_Master!E:E, MATCH($D267, Pack_Master!A:A, 0))
   * INDEX(Pack_Master!F:F, MATCH($D267, Pack_Master!A:A, 0))
   * INDEX(Pack_Master!G:G, MATCH($D267, Pack_Master!A:A, 0))
 ) / INDEX(Config!C:C, MATCH($A267, Config!A:A, 0)),
"")
</f>
        <v>0.375</v>
      </c>
      <c r="H267" s="17">
        <f t="array" ref="H267">MAX( INDEX(Pack_Master!H:H, MATCH($D267, Pack_Master!A:A, 0)),
      IFERROR(G267, 0) )
</f>
        <v>0.5</v>
      </c>
      <c r="I267" s="18">
        <f>IFERROR(__xludf.DUMMYFUNCTION("IFERROR(
 INDEX(
   FILTER(Shipping_Rate_Card!B:F, Shipping_Rate_Card!A:A=$A267),
   MATCH($H267, FILTER(Shipping_Rate_Card!B:B, Shipping_Rate_Card!A:A=$A267), 1),
   IF( INDEX(Config!B:B, MATCH($A267, Config!A:A, 0))=""Local"", 2,
     IF( INDEX(Config!B"&amp;":B, MATCH($A267, Config!A:A, 0))=""Regional"", 3, 4 )
   )
 ),
"""")
"),67.0)</f>
        <v>67</v>
      </c>
      <c r="J267" s="16">
        <f>IFERROR(__xludf.DUMMYFUNCTION("IFERROR(
 ( E267 * INDEX(FILTER(Pricing_Rules!E:E, Pricing_Rules!A:A=A267, Pricing_Rules!B:B=B267, Pricing_Rules!C:C&lt;=E267, Pricing_Rules!D:D&gt;=E267), 1)
   + INDEX(FILTER(Pricing_Rules!F:F, Pricing_Rules!A:A=A267, Pricing_Rules!B:B=B267, Pricing_Rules!C:C"&amp;"&lt;=E267, Pricing_Rules!D:D&gt;=E267), 1)
 )
 * (1 + IFERROR( INDEX(Config!D:D, MATCH(A267, Config!A:A, 0)), 0 )),
"""")
"),5.8999999999999995)</f>
        <v>5.9</v>
      </c>
      <c r="K267" s="19">
        <f t="shared" si="3"/>
        <v>117.1</v>
      </c>
      <c r="L267" s="20">
        <f t="shared" si="4"/>
        <v>0.391638796</v>
      </c>
    </row>
    <row r="268" ht="15.75" customHeight="1">
      <c r="A268" s="9" t="s">
        <v>9</v>
      </c>
      <c r="B268" s="12" t="str">
        <f t="array" ref="B268">XLOOKUP(C268, Channel_Listings!C:C, Channel_Listings!B:B)
</f>
        <v>Apparel_Caps_Beanies</v>
      </c>
      <c r="C268" s="23" t="s">
        <v>267</v>
      </c>
      <c r="D268" s="14" t="str">
        <f t="array" ref="D268">XLOOKUP(C268, Channel_Listings!C:C, Channel_Listings!D:D)
</f>
        <v>BEANIE-SHORTFUR-GREY</v>
      </c>
      <c r="E268" s="15">
        <v>299.0</v>
      </c>
      <c r="F268" s="16">
        <f t="array" ref="F268">IFERROR(
  VALUE( INDEX(Product_Master!$I:$I,
               MATCH( INDEX(Pack_Master!$B:$B, MATCH($D268, Pack_Master!$A:$A, 0)),
                      Product_Master!$B:$B, 0)
  )) 
  * VALUE( INDEX(Pack_Master!$C:$C, MATCH($D268, Pack_Master!$A:$A, 0)) )
  + VALUE( INDEX(Pack_Master!$D:$D, MATCH($D268, Pack_Master!$A:$A, 0)) ),
"")
</f>
        <v>109</v>
      </c>
      <c r="G268" s="17">
        <f t="array" ref="G268">IFERROR(
 ( INDEX(Pack_Master!E:E, MATCH($D268, Pack_Master!A:A, 0))
   * INDEX(Pack_Master!F:F, MATCH($D268, Pack_Master!A:A, 0))
   * INDEX(Pack_Master!G:G, MATCH($D268, Pack_Master!A:A, 0))
 ) / INDEX(Config!C:C, MATCH($A268, Config!A:A, 0)),
"")
</f>
        <v>0.375</v>
      </c>
      <c r="H268" s="17">
        <f t="array" ref="H268">MAX( INDEX(Pack_Master!H:H, MATCH($D268, Pack_Master!A:A, 0)),
      IFERROR(G268, 0) )
</f>
        <v>0.5</v>
      </c>
      <c r="I268" s="18">
        <f>IFERROR(__xludf.DUMMYFUNCTION("IFERROR(
 INDEX(
   FILTER(Shipping_Rate_Card!B:F, Shipping_Rate_Card!A:A=$A268),
   MATCH($H268, FILTER(Shipping_Rate_Card!B:B, Shipping_Rate_Card!A:A=$A268), 1),
   IF( INDEX(Config!B:B, MATCH($A268, Config!A:A, 0))=""Local"", 2,
     IF( INDEX(Config!B"&amp;":B, MATCH($A268, Config!A:A, 0))=""Regional"", 3, 4 )
   )
 ),
"""")
"),67.0)</f>
        <v>67</v>
      </c>
      <c r="J268" s="16">
        <f>IFERROR(__xludf.DUMMYFUNCTION("IFERROR(
 ( E268 * INDEX(FILTER(Pricing_Rules!E:E, Pricing_Rules!A:A=A268, Pricing_Rules!B:B=B268, Pricing_Rules!C:C&lt;=E268, Pricing_Rules!D:D&gt;=E268), 1)
   + INDEX(FILTER(Pricing_Rules!F:F, Pricing_Rules!A:A=A268, Pricing_Rules!B:B=B268, Pricing_Rules!C:C"&amp;"&lt;=E268, Pricing_Rules!D:D&gt;=E268), 1)
 )
 * (1 + IFERROR( INDEX(Config!D:D, MATCH(A268, Config!A:A, 0)), 0 )),
"""")
"),5.8999999999999995)</f>
        <v>5.9</v>
      </c>
      <c r="K268" s="19">
        <f t="shared" si="3"/>
        <v>117.1</v>
      </c>
      <c r="L268" s="20">
        <f t="shared" si="4"/>
        <v>0.391638796</v>
      </c>
    </row>
    <row r="269" ht="15.75" customHeight="1">
      <c r="A269" s="9" t="s">
        <v>9</v>
      </c>
      <c r="B269" s="12" t="str">
        <f t="array" ref="B269">XLOOKUP(C269, Channel_Listings!C:C, Channel_Listings!B:B)
</f>
        <v>Apparel_Caps_Beanies</v>
      </c>
      <c r="C269" s="23" t="s">
        <v>305</v>
      </c>
      <c r="D269" s="14" t="str">
        <f t="array" ref="D269">XLOOKUP(C269, Channel_Listings!C:C, Channel_Listings!D:D)
</f>
        <v>BEANIE-SHORTFUR-MESH-BEIGE</v>
      </c>
      <c r="E269" s="15">
        <v>299.0</v>
      </c>
      <c r="F269" s="16">
        <f t="array" ref="F269">IFERROR(
  VALUE( INDEX(Product_Master!$I:$I,
               MATCH( INDEX(Pack_Master!$B:$B, MATCH($D269, Pack_Master!$A:$A, 0)),
                      Product_Master!$B:$B, 0)
  )) 
  * VALUE( INDEX(Pack_Master!$C:$C, MATCH($D269, Pack_Master!$A:$A, 0)) )
  + VALUE( INDEX(Pack_Master!$D:$D, MATCH($D269, Pack_Master!$A:$A, 0)) ),
"")
</f>
        <v>109</v>
      </c>
      <c r="G269" s="17">
        <f t="array" ref="G269">IFERROR(
 ( INDEX(Pack_Master!E:E, MATCH($D269, Pack_Master!A:A, 0))
   * INDEX(Pack_Master!F:F, MATCH($D269, Pack_Master!A:A, 0))
   * INDEX(Pack_Master!G:G, MATCH($D269, Pack_Master!A:A, 0))
 ) / INDEX(Config!C:C, MATCH($A269, Config!A:A, 0)),
"")
</f>
        <v>0.375</v>
      </c>
      <c r="H269" s="17">
        <f t="array" ref="H269">MAX( INDEX(Pack_Master!H:H, MATCH($D269, Pack_Master!A:A, 0)),
      IFERROR(G269, 0) )
</f>
        <v>0.5</v>
      </c>
      <c r="I269" s="18">
        <f>IFERROR(__xludf.DUMMYFUNCTION("IFERROR(
 INDEX(
   FILTER(Shipping_Rate_Card!B:F, Shipping_Rate_Card!A:A=$A269),
   MATCH($H269, FILTER(Shipping_Rate_Card!B:B, Shipping_Rate_Card!A:A=$A269), 1),
   IF( INDEX(Config!B:B, MATCH($A269, Config!A:A, 0))=""Local"", 2,
     IF( INDEX(Config!B"&amp;":B, MATCH($A269, Config!A:A, 0))=""Regional"", 3, 4 )
   )
 ),
"""")
"),67.0)</f>
        <v>67</v>
      </c>
      <c r="J269" s="16">
        <f>IFERROR(__xludf.DUMMYFUNCTION("IFERROR(
 ( E269 * INDEX(FILTER(Pricing_Rules!E:E, Pricing_Rules!A:A=A269, Pricing_Rules!B:B=B269, Pricing_Rules!C:C&lt;=E269, Pricing_Rules!D:D&gt;=E269), 1)
   + INDEX(FILTER(Pricing_Rules!F:F, Pricing_Rules!A:A=A269, Pricing_Rules!B:B=B269, Pricing_Rules!C:C"&amp;"&lt;=E269, Pricing_Rules!D:D&gt;=E269), 1)
 )
 * (1 + IFERROR( INDEX(Config!D:D, MATCH(A269, Config!A:A, 0)), 0 )),
"""")
"),5.8999999999999995)</f>
        <v>5.9</v>
      </c>
      <c r="K269" s="19">
        <f t="shared" si="3"/>
        <v>117.1</v>
      </c>
      <c r="L269" s="20">
        <f t="shared" si="4"/>
        <v>0.391638796</v>
      </c>
    </row>
    <row r="270" ht="15.75" customHeight="1">
      <c r="A270" s="9" t="s">
        <v>9</v>
      </c>
      <c r="B270" s="12" t="str">
        <f t="array" ref="B270">XLOOKUP(C270, Channel_Listings!C:C, Channel_Listings!B:B)
</f>
        <v>Apparel_Caps_Beanies</v>
      </c>
      <c r="C270" s="23" t="s">
        <v>307</v>
      </c>
      <c r="D270" s="14" t="str">
        <f t="array" ref="D270">XLOOKUP(C270, Channel_Listings!C:C, Channel_Listings!D:D)
</f>
        <v>BEANIE-SHORTFUR-MESH-BLACK</v>
      </c>
      <c r="E270" s="15">
        <v>299.0</v>
      </c>
      <c r="F270" s="16">
        <f t="array" ref="F270">IFERROR(
  VALUE( INDEX(Product_Master!$I:$I,
               MATCH( INDEX(Pack_Master!$B:$B, MATCH($D270, Pack_Master!$A:$A, 0)),
                      Product_Master!$B:$B, 0)
  )) 
  * VALUE( INDEX(Pack_Master!$C:$C, MATCH($D270, Pack_Master!$A:$A, 0)) )
  + VALUE( INDEX(Pack_Master!$D:$D, MATCH($D270, Pack_Master!$A:$A, 0)) ),
"")
</f>
        <v>109</v>
      </c>
      <c r="G270" s="17">
        <f t="array" ref="G270">IFERROR(
 ( INDEX(Pack_Master!E:E, MATCH($D270, Pack_Master!A:A, 0))
   * INDEX(Pack_Master!F:F, MATCH($D270, Pack_Master!A:A, 0))
   * INDEX(Pack_Master!G:G, MATCH($D270, Pack_Master!A:A, 0))
 ) / INDEX(Config!C:C, MATCH($A270, Config!A:A, 0)),
"")
</f>
        <v>0.375</v>
      </c>
      <c r="H270" s="17">
        <f t="array" ref="H270">MAX( INDEX(Pack_Master!H:H, MATCH($D270, Pack_Master!A:A, 0)),
      IFERROR(G270, 0) )
</f>
        <v>0.5</v>
      </c>
      <c r="I270" s="18">
        <f>IFERROR(__xludf.DUMMYFUNCTION("IFERROR(
 INDEX(
   FILTER(Shipping_Rate_Card!B:F, Shipping_Rate_Card!A:A=$A270),
   MATCH($H270, FILTER(Shipping_Rate_Card!B:B, Shipping_Rate_Card!A:A=$A270), 1),
   IF( INDEX(Config!B:B, MATCH($A270, Config!A:A, 0))=""Local"", 2,
     IF( INDEX(Config!B"&amp;":B, MATCH($A270, Config!A:A, 0))=""Regional"", 3, 4 )
   )
 ),
"""")
"),67.0)</f>
        <v>67</v>
      </c>
      <c r="J270" s="16">
        <f>IFERROR(__xludf.DUMMYFUNCTION("IFERROR(
 ( E270 * INDEX(FILTER(Pricing_Rules!E:E, Pricing_Rules!A:A=A270, Pricing_Rules!B:B=B270, Pricing_Rules!C:C&lt;=E270, Pricing_Rules!D:D&gt;=E270), 1)
   + INDEX(FILTER(Pricing_Rules!F:F, Pricing_Rules!A:A=A270, Pricing_Rules!B:B=B270, Pricing_Rules!C:C"&amp;"&lt;=E270, Pricing_Rules!D:D&gt;=E270), 1)
 )
 * (1 + IFERROR( INDEX(Config!D:D, MATCH(A270, Config!A:A, 0)), 0 )),
"""")
"),5.8999999999999995)</f>
        <v>5.9</v>
      </c>
      <c r="K270" s="19">
        <f t="shared" si="3"/>
        <v>117.1</v>
      </c>
      <c r="L270" s="20">
        <f t="shared" si="4"/>
        <v>0.391638796</v>
      </c>
    </row>
    <row r="271" ht="15.75" customHeight="1">
      <c r="A271" s="9" t="s">
        <v>9</v>
      </c>
      <c r="B271" s="12" t="str">
        <f t="array" ref="B271">XLOOKUP(C271, Channel_Listings!C:C, Channel_Listings!B:B)
</f>
        <v>Apparel_Caps_Beanies</v>
      </c>
      <c r="C271" s="23" t="s">
        <v>309</v>
      </c>
      <c r="D271" s="14" t="str">
        <f t="array" ref="D271">XLOOKUP(C271, Channel_Listings!C:C, Channel_Listings!D:D)
</f>
        <v>BEANIE-SHORTFUR-MESH-GREEN</v>
      </c>
      <c r="E271" s="15">
        <v>299.0</v>
      </c>
      <c r="F271" s="16">
        <f t="array" ref="F271">IFERROR(
  VALUE( INDEX(Product_Master!$I:$I,
               MATCH( INDEX(Pack_Master!$B:$B, MATCH($D271, Pack_Master!$A:$A, 0)),
                      Product_Master!$B:$B, 0)
  )) 
  * VALUE( INDEX(Pack_Master!$C:$C, MATCH($D271, Pack_Master!$A:$A, 0)) )
  + VALUE( INDEX(Pack_Master!$D:$D, MATCH($D271, Pack_Master!$A:$A, 0)) ),
"")
</f>
        <v>109</v>
      </c>
      <c r="G271" s="17">
        <f t="array" ref="G271">IFERROR(
 ( INDEX(Pack_Master!E:E, MATCH($D271, Pack_Master!A:A, 0))
   * INDEX(Pack_Master!F:F, MATCH($D271, Pack_Master!A:A, 0))
   * INDEX(Pack_Master!G:G, MATCH($D271, Pack_Master!A:A, 0))
 ) / INDEX(Config!C:C, MATCH($A271, Config!A:A, 0)),
"")
</f>
        <v>0.375</v>
      </c>
      <c r="H271" s="17">
        <f t="array" ref="H271">MAX( INDEX(Pack_Master!H:H, MATCH($D271, Pack_Master!A:A, 0)),
      IFERROR(G271, 0) )
</f>
        <v>0.5</v>
      </c>
      <c r="I271" s="18">
        <f>IFERROR(__xludf.DUMMYFUNCTION("IFERROR(
 INDEX(
   FILTER(Shipping_Rate_Card!B:F, Shipping_Rate_Card!A:A=$A271),
   MATCH($H271, FILTER(Shipping_Rate_Card!B:B, Shipping_Rate_Card!A:A=$A271), 1),
   IF( INDEX(Config!B:B, MATCH($A271, Config!A:A, 0))=""Local"", 2,
     IF( INDEX(Config!B"&amp;":B, MATCH($A271, Config!A:A, 0))=""Regional"", 3, 4 )
   )
 ),
"""")
"),67.0)</f>
        <v>67</v>
      </c>
      <c r="J271" s="16">
        <f>IFERROR(__xludf.DUMMYFUNCTION("IFERROR(
 ( E271 * INDEX(FILTER(Pricing_Rules!E:E, Pricing_Rules!A:A=A271, Pricing_Rules!B:B=B271, Pricing_Rules!C:C&lt;=E271, Pricing_Rules!D:D&gt;=E271), 1)
   + INDEX(FILTER(Pricing_Rules!F:F, Pricing_Rules!A:A=A271, Pricing_Rules!B:B=B271, Pricing_Rules!C:C"&amp;"&lt;=E271, Pricing_Rules!D:D&gt;=E271), 1)
 )
 * (1 + IFERROR( INDEX(Config!D:D, MATCH(A271, Config!A:A, 0)), 0 )),
"""")
"),5.8999999999999995)</f>
        <v>5.9</v>
      </c>
      <c r="K271" s="19">
        <f t="shared" si="3"/>
        <v>117.1</v>
      </c>
      <c r="L271" s="20">
        <f t="shared" si="4"/>
        <v>0.391638796</v>
      </c>
    </row>
    <row r="272" ht="15.75" customHeight="1">
      <c r="A272" s="9" t="s">
        <v>9</v>
      </c>
      <c r="B272" s="12" t="str">
        <f t="array" ref="B272">XLOOKUP(C272, Channel_Listings!C:C, Channel_Listings!B:B)
</f>
        <v>Apparel_Caps_Beanies</v>
      </c>
      <c r="C272" s="23" t="s">
        <v>311</v>
      </c>
      <c r="D272" s="14" t="str">
        <f t="array" ref="D272">XLOOKUP(C272, Channel_Listings!C:C, Channel_Listings!D:D)
</f>
        <v>BEANIE-SHORTFUR-MESH-MAROON</v>
      </c>
      <c r="E272" s="15">
        <v>299.0</v>
      </c>
      <c r="F272" s="16">
        <f t="array" ref="F272">IFERROR(
  VALUE( INDEX(Product_Master!$I:$I,
               MATCH( INDEX(Pack_Master!$B:$B, MATCH($D272, Pack_Master!$A:$A, 0)),
                      Product_Master!$B:$B, 0)
  )) 
  * VALUE( INDEX(Pack_Master!$C:$C, MATCH($D272, Pack_Master!$A:$A, 0)) )
  + VALUE( INDEX(Pack_Master!$D:$D, MATCH($D272, Pack_Master!$A:$A, 0)) ),
"")
</f>
        <v>109</v>
      </c>
      <c r="G272" s="17">
        <f t="array" ref="G272">IFERROR(
 ( INDEX(Pack_Master!E:E, MATCH($D272, Pack_Master!A:A, 0))
   * INDEX(Pack_Master!F:F, MATCH($D272, Pack_Master!A:A, 0))
   * INDEX(Pack_Master!G:G, MATCH($D272, Pack_Master!A:A, 0))
 ) / INDEX(Config!C:C, MATCH($A272, Config!A:A, 0)),
"")
</f>
        <v>0.375</v>
      </c>
      <c r="H272" s="17">
        <f t="array" ref="H272">MAX( INDEX(Pack_Master!H:H, MATCH($D272, Pack_Master!A:A, 0)),
      IFERROR(G272, 0) )
</f>
        <v>0.5</v>
      </c>
      <c r="I272" s="18">
        <f>IFERROR(__xludf.DUMMYFUNCTION("IFERROR(
 INDEX(
   FILTER(Shipping_Rate_Card!B:F, Shipping_Rate_Card!A:A=$A272),
   MATCH($H272, FILTER(Shipping_Rate_Card!B:B, Shipping_Rate_Card!A:A=$A272), 1),
   IF( INDEX(Config!B:B, MATCH($A272, Config!A:A, 0))=""Local"", 2,
     IF( INDEX(Config!B"&amp;":B, MATCH($A272, Config!A:A, 0))=""Regional"", 3, 4 )
   )
 ),
"""")
"),67.0)</f>
        <v>67</v>
      </c>
      <c r="J272" s="16">
        <f>IFERROR(__xludf.DUMMYFUNCTION("IFERROR(
 ( E272 * INDEX(FILTER(Pricing_Rules!E:E, Pricing_Rules!A:A=A272, Pricing_Rules!B:B=B272, Pricing_Rules!C:C&lt;=E272, Pricing_Rules!D:D&gt;=E272), 1)
   + INDEX(FILTER(Pricing_Rules!F:F, Pricing_Rules!A:A=A272, Pricing_Rules!B:B=B272, Pricing_Rules!C:C"&amp;"&lt;=E272, Pricing_Rules!D:D&gt;=E272), 1)
 )
 * (1 + IFERROR( INDEX(Config!D:D, MATCH(A272, Config!A:A, 0)), 0 )),
"""")
"),5.8999999999999995)</f>
        <v>5.9</v>
      </c>
      <c r="K272" s="19">
        <f t="shared" si="3"/>
        <v>117.1</v>
      </c>
      <c r="L272" s="20">
        <f t="shared" si="4"/>
        <v>0.391638796</v>
      </c>
    </row>
    <row r="273" ht="15.75" customHeight="1">
      <c r="A273" s="9" t="s">
        <v>9</v>
      </c>
      <c r="B273" s="12" t="str">
        <f t="array" ref="B273">XLOOKUP(C273, Channel_Listings!C:C, Channel_Listings!B:B)
</f>
        <v>Apparel_Caps_Beanies</v>
      </c>
      <c r="C273" s="23" t="s">
        <v>313</v>
      </c>
      <c r="D273" s="14" t="str">
        <f t="array" ref="D273">XLOOKUP(C273, Channel_Listings!C:C, Channel_Listings!D:D)
</f>
        <v>BEANIE-SHORTFUR-MESH-NAVYBLUE</v>
      </c>
      <c r="E273" s="15">
        <v>299.0</v>
      </c>
      <c r="F273" s="16">
        <f t="array" ref="F273">IFERROR(
  VALUE( INDEX(Product_Master!$I:$I,
               MATCH( INDEX(Pack_Master!$B:$B, MATCH($D273, Pack_Master!$A:$A, 0)),
                      Product_Master!$B:$B, 0)
  )) 
  * VALUE( INDEX(Pack_Master!$C:$C, MATCH($D273, Pack_Master!$A:$A, 0)) )
  + VALUE( INDEX(Pack_Master!$D:$D, MATCH($D273, Pack_Master!$A:$A, 0)) ),
"")
</f>
        <v>109</v>
      </c>
      <c r="G273" s="17">
        <f t="array" ref="G273">IFERROR(
 ( INDEX(Pack_Master!E:E, MATCH($D273, Pack_Master!A:A, 0))
   * INDEX(Pack_Master!F:F, MATCH($D273, Pack_Master!A:A, 0))
   * INDEX(Pack_Master!G:G, MATCH($D273, Pack_Master!A:A, 0))
 ) / INDEX(Config!C:C, MATCH($A273, Config!A:A, 0)),
"")
</f>
        <v>0.375</v>
      </c>
      <c r="H273" s="17">
        <f t="array" ref="H273">MAX( INDEX(Pack_Master!H:H, MATCH($D273, Pack_Master!A:A, 0)),
      IFERROR(G273, 0) )
</f>
        <v>0.5</v>
      </c>
      <c r="I273" s="18">
        <f>IFERROR(__xludf.DUMMYFUNCTION("IFERROR(
 INDEX(
   FILTER(Shipping_Rate_Card!B:F, Shipping_Rate_Card!A:A=$A273),
   MATCH($H273, FILTER(Shipping_Rate_Card!B:B, Shipping_Rate_Card!A:A=$A273), 1),
   IF( INDEX(Config!B:B, MATCH($A273, Config!A:A, 0))=""Local"", 2,
     IF( INDEX(Config!B"&amp;":B, MATCH($A273, Config!A:A, 0))=""Regional"", 3, 4 )
   )
 ),
"""")
"),67.0)</f>
        <v>67</v>
      </c>
      <c r="J273" s="16">
        <f>IFERROR(__xludf.DUMMYFUNCTION("IFERROR(
 ( E273 * INDEX(FILTER(Pricing_Rules!E:E, Pricing_Rules!A:A=A273, Pricing_Rules!B:B=B273, Pricing_Rules!C:C&lt;=E273, Pricing_Rules!D:D&gt;=E273), 1)
   + INDEX(FILTER(Pricing_Rules!F:F, Pricing_Rules!A:A=A273, Pricing_Rules!B:B=B273, Pricing_Rules!C:C"&amp;"&lt;=E273, Pricing_Rules!D:D&gt;=E273), 1)
 )
 * (1 + IFERROR( INDEX(Config!D:D, MATCH(A273, Config!A:A, 0)), 0 )),
"""")
"),5.8999999999999995)</f>
        <v>5.9</v>
      </c>
      <c r="K273" s="19">
        <f t="shared" si="3"/>
        <v>117.1</v>
      </c>
      <c r="L273" s="20">
        <f t="shared" si="4"/>
        <v>0.391638796</v>
      </c>
    </row>
    <row r="274" ht="15.75" customHeight="1">
      <c r="A274" s="9" t="s">
        <v>9</v>
      </c>
      <c r="B274" s="12" t="str">
        <f t="array" ref="B274">XLOOKUP(C274, Channel_Listings!C:C, Channel_Listings!B:B)
</f>
        <v>Apparel_Caps_Beanies</v>
      </c>
      <c r="C274" s="23" t="s">
        <v>261</v>
      </c>
      <c r="D274" s="14" t="str">
        <f t="array" ref="D274">XLOOKUP(C274, Channel_Listings!C:C, Channel_Listings!D:D)
</f>
        <v>BEANIE-SHORTFUR-NAVYBLUE</v>
      </c>
      <c r="E274" s="15">
        <v>299.0</v>
      </c>
      <c r="F274" s="16">
        <f t="array" ref="F274">IFERROR(
  VALUE( INDEX(Product_Master!$I:$I,
               MATCH( INDEX(Pack_Master!$B:$B, MATCH($D274, Pack_Master!$A:$A, 0)),
                      Product_Master!$B:$B, 0)
  )) 
  * VALUE( INDEX(Pack_Master!$C:$C, MATCH($D274, Pack_Master!$A:$A, 0)) )
  + VALUE( INDEX(Pack_Master!$D:$D, MATCH($D274, Pack_Master!$A:$A, 0)) ),
"")
</f>
        <v>109</v>
      </c>
      <c r="G274" s="17">
        <f t="array" ref="G274">IFERROR(
 ( INDEX(Pack_Master!E:E, MATCH($D274, Pack_Master!A:A, 0))
   * INDEX(Pack_Master!F:F, MATCH($D274, Pack_Master!A:A, 0))
   * INDEX(Pack_Master!G:G, MATCH($D274, Pack_Master!A:A, 0))
 ) / INDEX(Config!C:C, MATCH($A274, Config!A:A, 0)),
"")
</f>
        <v>0.375</v>
      </c>
      <c r="H274" s="17">
        <f t="array" ref="H274">MAX( INDEX(Pack_Master!H:H, MATCH($D274, Pack_Master!A:A, 0)),
      IFERROR(G274, 0) )
</f>
        <v>0.5</v>
      </c>
      <c r="I274" s="18">
        <f>IFERROR(__xludf.DUMMYFUNCTION("IFERROR(
 INDEX(
   FILTER(Shipping_Rate_Card!B:F, Shipping_Rate_Card!A:A=$A274),
   MATCH($H274, FILTER(Shipping_Rate_Card!B:B, Shipping_Rate_Card!A:A=$A274), 1),
   IF( INDEX(Config!B:B, MATCH($A274, Config!A:A, 0))=""Local"", 2,
     IF( INDEX(Config!B"&amp;":B, MATCH($A274, Config!A:A, 0))=""Regional"", 3, 4 )
   )
 ),
"""")
"),67.0)</f>
        <v>67</v>
      </c>
      <c r="J274" s="16">
        <f>IFERROR(__xludf.DUMMYFUNCTION("IFERROR(
 ( E274 * INDEX(FILTER(Pricing_Rules!E:E, Pricing_Rules!A:A=A274, Pricing_Rules!B:B=B274, Pricing_Rules!C:C&lt;=E274, Pricing_Rules!D:D&gt;=E274), 1)
   + INDEX(FILTER(Pricing_Rules!F:F, Pricing_Rules!A:A=A274, Pricing_Rules!B:B=B274, Pricing_Rules!C:C"&amp;"&lt;=E274, Pricing_Rules!D:D&gt;=E274), 1)
 )
 * (1 + IFERROR( INDEX(Config!D:D, MATCH(A274, Config!A:A, 0)), 0 )),
"""")
"),5.8999999999999995)</f>
        <v>5.9</v>
      </c>
      <c r="K274" s="19">
        <f t="shared" si="3"/>
        <v>117.1</v>
      </c>
      <c r="L274" s="20">
        <f t="shared" si="4"/>
        <v>0.391638796</v>
      </c>
    </row>
    <row r="275" ht="15.75" customHeight="1">
      <c r="A275" s="9" t="s">
        <v>9</v>
      </c>
      <c r="B275" s="12" t="str">
        <f t="array" ref="B275">XLOOKUP(C275, Channel_Listings!C:C, Channel_Listings!B:B)
</f>
        <v>Apparel_Caps_Beanies</v>
      </c>
      <c r="C275" s="23" t="s">
        <v>316</v>
      </c>
      <c r="D275" s="14" t="str">
        <f t="array" ref="D275">XLOOKUP(C275, Channel_Listings!C:C, Channel_Listings!D:D)
</f>
        <v>BEANIE-SHORTFUR-OLIVE</v>
      </c>
      <c r="E275" s="15">
        <v>299.0</v>
      </c>
      <c r="F275" s="16">
        <f t="array" ref="F275">IFERROR(
  VALUE( INDEX(Product_Master!$I:$I,
               MATCH( INDEX(Pack_Master!$B:$B, MATCH($D275, Pack_Master!$A:$A, 0)),
                      Product_Master!$B:$B, 0)
  )) 
  * VALUE( INDEX(Pack_Master!$C:$C, MATCH($D275, Pack_Master!$A:$A, 0)) )
  + VALUE( INDEX(Pack_Master!$D:$D, MATCH($D275, Pack_Master!$A:$A, 0)) ),
"")
</f>
        <v>109</v>
      </c>
      <c r="G275" s="17">
        <f t="array" ref="G275">IFERROR(
 ( INDEX(Pack_Master!E:E, MATCH($D275, Pack_Master!A:A, 0))
   * INDEX(Pack_Master!F:F, MATCH($D275, Pack_Master!A:A, 0))
   * INDEX(Pack_Master!G:G, MATCH($D275, Pack_Master!A:A, 0))
 ) / INDEX(Config!C:C, MATCH($A275, Config!A:A, 0)),
"")
</f>
        <v>0.375</v>
      </c>
      <c r="H275" s="17">
        <f t="array" ref="H275">MAX( INDEX(Pack_Master!H:H, MATCH($D275, Pack_Master!A:A, 0)),
      IFERROR(G275, 0) )
</f>
        <v>0.5</v>
      </c>
      <c r="I275" s="18">
        <f>IFERROR(__xludf.DUMMYFUNCTION("IFERROR(
 INDEX(
   FILTER(Shipping_Rate_Card!B:F, Shipping_Rate_Card!A:A=$A275),
   MATCH($H275, FILTER(Shipping_Rate_Card!B:B, Shipping_Rate_Card!A:A=$A275), 1),
   IF( INDEX(Config!B:B, MATCH($A275, Config!A:A, 0))=""Local"", 2,
     IF( INDEX(Config!B"&amp;":B, MATCH($A275, Config!A:A, 0))=""Regional"", 3, 4 )
   )
 ),
"""")
"),67.0)</f>
        <v>67</v>
      </c>
      <c r="J275" s="16">
        <f>IFERROR(__xludf.DUMMYFUNCTION("IFERROR(
 ( E275 * INDEX(FILTER(Pricing_Rules!E:E, Pricing_Rules!A:A=A275, Pricing_Rules!B:B=B275, Pricing_Rules!C:C&lt;=E275, Pricing_Rules!D:D&gt;=E275), 1)
   + INDEX(FILTER(Pricing_Rules!F:F, Pricing_Rules!A:A=A275, Pricing_Rules!B:B=B275, Pricing_Rules!C:C"&amp;"&lt;=E275, Pricing_Rules!D:D&gt;=E275), 1)
 )
 * (1 + IFERROR( INDEX(Config!D:D, MATCH(A275, Config!A:A, 0)), 0 )),
"""")
"),5.8999999999999995)</f>
        <v>5.9</v>
      </c>
      <c r="K275" s="19">
        <f t="shared" si="3"/>
        <v>117.1</v>
      </c>
      <c r="L275" s="20">
        <f t="shared" si="4"/>
        <v>0.391638796</v>
      </c>
    </row>
    <row r="276" ht="15.75" customHeight="1">
      <c r="A276" s="9" t="s">
        <v>9</v>
      </c>
      <c r="B276" s="12" t="str">
        <f t="array" ref="B276">XLOOKUP(C276, Channel_Listings!C:C, Channel_Listings!B:B)
</f>
        <v>Apparel_Caps_Beanies</v>
      </c>
      <c r="C276" s="23" t="s">
        <v>269</v>
      </c>
      <c r="D276" s="14" t="str">
        <f t="array" ref="D276">XLOOKUP(C276, Channel_Listings!C:C, Channel_Listings!D:D)
</f>
        <v>BEANIE-SHORTFUR-RED</v>
      </c>
      <c r="E276" s="15">
        <v>299.0</v>
      </c>
      <c r="F276" s="16">
        <f t="array" ref="F276">IFERROR(
  VALUE( INDEX(Product_Master!$I:$I,
               MATCH( INDEX(Pack_Master!$B:$B, MATCH($D276, Pack_Master!$A:$A, 0)),
                      Product_Master!$B:$B, 0)
  )) 
  * VALUE( INDEX(Pack_Master!$C:$C, MATCH($D276, Pack_Master!$A:$A, 0)) )
  + VALUE( INDEX(Pack_Master!$D:$D, MATCH($D276, Pack_Master!$A:$A, 0)) ),
"")
</f>
        <v>109</v>
      </c>
      <c r="G276" s="17">
        <f t="array" ref="G276">IFERROR(
 ( INDEX(Pack_Master!E:E, MATCH($D276, Pack_Master!A:A, 0))
   * INDEX(Pack_Master!F:F, MATCH($D276, Pack_Master!A:A, 0))
   * INDEX(Pack_Master!G:G, MATCH($D276, Pack_Master!A:A, 0))
 ) / INDEX(Config!C:C, MATCH($A276, Config!A:A, 0)),
"")
</f>
        <v>0.375</v>
      </c>
      <c r="H276" s="17">
        <f t="array" ref="H276">MAX( INDEX(Pack_Master!H:H, MATCH($D276, Pack_Master!A:A, 0)),
      IFERROR(G276, 0) )
</f>
        <v>0.5</v>
      </c>
      <c r="I276" s="18">
        <f>IFERROR(__xludf.DUMMYFUNCTION("IFERROR(
 INDEX(
   FILTER(Shipping_Rate_Card!B:F, Shipping_Rate_Card!A:A=$A276),
   MATCH($H276, FILTER(Shipping_Rate_Card!B:B, Shipping_Rate_Card!A:A=$A276), 1),
   IF( INDEX(Config!B:B, MATCH($A276, Config!A:A, 0))=""Local"", 2,
     IF( INDEX(Config!B"&amp;":B, MATCH($A276, Config!A:A, 0))=""Regional"", 3, 4 )
   )
 ),
"""")
"),67.0)</f>
        <v>67</v>
      </c>
      <c r="J276" s="16">
        <f>IFERROR(__xludf.DUMMYFUNCTION("IFERROR(
 ( E276 * INDEX(FILTER(Pricing_Rules!E:E, Pricing_Rules!A:A=A276, Pricing_Rules!B:B=B276, Pricing_Rules!C:C&lt;=E276, Pricing_Rules!D:D&gt;=E276), 1)
   + INDEX(FILTER(Pricing_Rules!F:F, Pricing_Rules!A:A=A276, Pricing_Rules!B:B=B276, Pricing_Rules!C:C"&amp;"&lt;=E276, Pricing_Rules!D:D&gt;=E276), 1)
 )
 * (1 + IFERROR( INDEX(Config!D:D, MATCH(A276, Config!A:A, 0)), 0 )),
"""")
"),5.8999999999999995)</f>
        <v>5.9</v>
      </c>
      <c r="K276" s="19">
        <f t="shared" si="3"/>
        <v>117.1</v>
      </c>
      <c r="L276" s="20">
        <f t="shared" si="4"/>
        <v>0.391638796</v>
      </c>
    </row>
    <row r="277" ht="15.75" customHeight="1">
      <c r="A277" s="9" t="s">
        <v>9</v>
      </c>
      <c r="B277" s="12" t="str">
        <f t="array" ref="B277">XLOOKUP(C277, Channel_Listings!C:C, Channel_Listings!B:B)
</f>
        <v>Apparel_Caps_Beanies</v>
      </c>
      <c r="C277" s="23" t="s">
        <v>319</v>
      </c>
      <c r="D277" s="14" t="str">
        <f t="array" ref="D277">XLOOKUP(C277, Channel_Listings!C:C, Channel_Listings!D:D)
</f>
        <v>BEANIE-SHORTFUR-WHITE</v>
      </c>
      <c r="E277" s="15">
        <v>299.0</v>
      </c>
      <c r="F277" s="16">
        <f t="array" ref="F277">IFERROR(
  VALUE( INDEX(Product_Master!$I:$I,
               MATCH( INDEX(Pack_Master!$B:$B, MATCH($D277, Pack_Master!$A:$A, 0)),
                      Product_Master!$B:$B, 0)
  )) 
  * VALUE( INDEX(Pack_Master!$C:$C, MATCH($D277, Pack_Master!$A:$A, 0)) )
  + VALUE( INDEX(Pack_Master!$D:$D, MATCH($D277, Pack_Master!$A:$A, 0)) ),
"")
</f>
        <v>109</v>
      </c>
      <c r="G277" s="17">
        <f t="array" ref="G277">IFERROR(
 ( INDEX(Pack_Master!E:E, MATCH($D277, Pack_Master!A:A, 0))
   * INDEX(Pack_Master!F:F, MATCH($D277, Pack_Master!A:A, 0))
   * INDEX(Pack_Master!G:G, MATCH($D277, Pack_Master!A:A, 0))
 ) / INDEX(Config!C:C, MATCH($A277, Config!A:A, 0)),
"")
</f>
        <v>0.375</v>
      </c>
      <c r="H277" s="17">
        <f t="array" ref="H277">MAX( INDEX(Pack_Master!H:H, MATCH($D277, Pack_Master!A:A, 0)),
      IFERROR(G277, 0) )
</f>
        <v>0.5</v>
      </c>
      <c r="I277" s="18">
        <f>IFERROR(__xludf.DUMMYFUNCTION("IFERROR(
 INDEX(
   FILTER(Shipping_Rate_Card!B:F, Shipping_Rate_Card!A:A=$A277),
   MATCH($H277, FILTER(Shipping_Rate_Card!B:B, Shipping_Rate_Card!A:A=$A277), 1),
   IF( INDEX(Config!B:B, MATCH($A277, Config!A:A, 0))=""Local"", 2,
     IF( INDEX(Config!B"&amp;":B, MATCH($A277, Config!A:A, 0))=""Regional"", 3, 4 )
   )
 ),
"""")
"),67.0)</f>
        <v>67</v>
      </c>
      <c r="J277" s="16">
        <f>IFERROR(__xludf.DUMMYFUNCTION("IFERROR(
 ( E277 * INDEX(FILTER(Pricing_Rules!E:E, Pricing_Rules!A:A=A277, Pricing_Rules!B:B=B277, Pricing_Rules!C:C&lt;=E277, Pricing_Rules!D:D&gt;=E277), 1)
   + INDEX(FILTER(Pricing_Rules!F:F, Pricing_Rules!A:A=A277, Pricing_Rules!B:B=B277, Pricing_Rules!C:C"&amp;"&lt;=E277, Pricing_Rules!D:D&gt;=E277), 1)
 )
 * (1 + IFERROR( INDEX(Config!D:D, MATCH(A277, Config!A:A, 0)), 0 )),
"""")
"),5.8999999999999995)</f>
        <v>5.9</v>
      </c>
      <c r="K277" s="19">
        <f t="shared" si="3"/>
        <v>117.1</v>
      </c>
      <c r="L277" s="20">
        <f t="shared" si="4"/>
        <v>0.391638796</v>
      </c>
    </row>
    <row r="278" ht="15.75" customHeight="1">
      <c r="A278" s="9" t="s">
        <v>9</v>
      </c>
      <c r="B278" s="12" t="str">
        <f t="array" ref="B278">XLOOKUP(C278, Channel_Listings!C:C, Channel_Listings!B:B)
</f>
        <v>Apparel_Caps_Beanies</v>
      </c>
      <c r="C278" s="23" t="s">
        <v>321</v>
      </c>
      <c r="D278" s="14" t="str">
        <f t="array" ref="D278">XLOOKUP(C278, Channel_Listings!C:C, Channel_Listings!D:D)
</f>
        <v>BEANIE-SHORTFUR-YELLOW</v>
      </c>
      <c r="E278" s="15">
        <v>299.0</v>
      </c>
      <c r="F278" s="16">
        <f t="array" ref="F278">IFERROR(
  VALUE( INDEX(Product_Master!$I:$I,
               MATCH( INDEX(Pack_Master!$B:$B, MATCH($D278, Pack_Master!$A:$A, 0)),
                      Product_Master!$B:$B, 0)
  )) 
  * VALUE( INDEX(Pack_Master!$C:$C, MATCH($D278, Pack_Master!$A:$A, 0)) )
  + VALUE( INDEX(Pack_Master!$D:$D, MATCH($D278, Pack_Master!$A:$A, 0)) ),
"")
</f>
        <v>109</v>
      </c>
      <c r="G278" s="17">
        <f t="array" ref="G278">IFERROR(
 ( INDEX(Pack_Master!E:E, MATCH($D278, Pack_Master!A:A, 0))
   * INDEX(Pack_Master!F:F, MATCH($D278, Pack_Master!A:A, 0))
   * INDEX(Pack_Master!G:G, MATCH($D278, Pack_Master!A:A, 0))
 ) / INDEX(Config!C:C, MATCH($A278, Config!A:A, 0)),
"")
</f>
        <v>0.375</v>
      </c>
      <c r="H278" s="17">
        <f t="array" ref="H278">MAX( INDEX(Pack_Master!H:H, MATCH($D278, Pack_Master!A:A, 0)),
      IFERROR(G278, 0) )
</f>
        <v>0.5</v>
      </c>
      <c r="I278" s="18">
        <f>IFERROR(__xludf.DUMMYFUNCTION("IFERROR(
 INDEX(
   FILTER(Shipping_Rate_Card!B:F, Shipping_Rate_Card!A:A=$A278),
   MATCH($H278, FILTER(Shipping_Rate_Card!B:B, Shipping_Rate_Card!A:A=$A278), 1),
   IF( INDEX(Config!B:B, MATCH($A278, Config!A:A, 0))=""Local"", 2,
     IF( INDEX(Config!B"&amp;":B, MATCH($A278, Config!A:A, 0))=""Regional"", 3, 4 )
   )
 ),
"""")
"),67.0)</f>
        <v>67</v>
      </c>
      <c r="J278" s="16">
        <f>IFERROR(__xludf.DUMMYFUNCTION("IFERROR(
 ( E278 * INDEX(FILTER(Pricing_Rules!E:E, Pricing_Rules!A:A=A278, Pricing_Rules!B:B=B278, Pricing_Rules!C:C&lt;=E278, Pricing_Rules!D:D&gt;=E278), 1)
   + INDEX(FILTER(Pricing_Rules!F:F, Pricing_Rules!A:A=A278, Pricing_Rules!B:B=B278, Pricing_Rules!C:C"&amp;"&lt;=E278, Pricing_Rules!D:D&gt;=E278), 1)
 )
 * (1 + IFERROR( INDEX(Config!D:D, MATCH(A278, Config!A:A, 0)), 0 )),
"""")
"),5.8999999999999995)</f>
        <v>5.9</v>
      </c>
      <c r="K278" s="19">
        <f t="shared" si="3"/>
        <v>117.1</v>
      </c>
      <c r="L278" s="20">
        <f t="shared" si="4"/>
        <v>0.391638796</v>
      </c>
    </row>
    <row r="279" ht="15.75" customHeight="1">
      <c r="A279" s="9" t="s">
        <v>9</v>
      </c>
      <c r="B279" s="12" t="str">
        <f t="array" ref="B279">XLOOKUP(C279, Channel_Listings!C:C, Channel_Listings!B:B)
</f>
        <v>Apparel_Caps_Beanies</v>
      </c>
      <c r="C279" s="23" t="s">
        <v>323</v>
      </c>
      <c r="D279" s="14" t="str">
        <f t="array" ref="D279">XLOOKUP(C279, Channel_Listings!C:C, Channel_Listings!D:D)
</f>
        <v>BEANIE-LONGFUR-BEIGE</v>
      </c>
      <c r="E279" s="15">
        <v>299.0</v>
      </c>
      <c r="F279" s="16">
        <f t="array" ref="F279">IFERROR(
  VALUE( INDEX(Product_Master!$I:$I,
               MATCH( INDEX(Pack_Master!$B:$B, MATCH($D279, Pack_Master!$A:$A, 0)),
                      Product_Master!$B:$B, 0)
  )) 
  * VALUE( INDEX(Pack_Master!$C:$C, MATCH($D279, Pack_Master!$A:$A, 0)) )
  + VALUE( INDEX(Pack_Master!$D:$D, MATCH($D279, Pack_Master!$A:$A, 0)) ),
"")
</f>
        <v>109</v>
      </c>
      <c r="G279" s="17">
        <f t="array" ref="G279">IFERROR(
 ( INDEX(Pack_Master!E:E, MATCH($D279, Pack_Master!A:A, 0))
   * INDEX(Pack_Master!F:F, MATCH($D279, Pack_Master!A:A, 0))
   * INDEX(Pack_Master!G:G, MATCH($D279, Pack_Master!A:A, 0))
 ) / INDEX(Config!C:C, MATCH($A279, Config!A:A, 0)),
"")
</f>
        <v>0.375</v>
      </c>
      <c r="H279" s="17">
        <f t="array" ref="H279">MAX( INDEX(Pack_Master!H:H, MATCH($D279, Pack_Master!A:A, 0)),
      IFERROR(G279, 0) )
</f>
        <v>0.5</v>
      </c>
      <c r="I279" s="18">
        <f>IFERROR(__xludf.DUMMYFUNCTION("IFERROR(
 INDEX(
   FILTER(Shipping_Rate_Card!B:F, Shipping_Rate_Card!A:A=$A279),
   MATCH($H279, FILTER(Shipping_Rate_Card!B:B, Shipping_Rate_Card!A:A=$A279), 1),
   IF( INDEX(Config!B:B, MATCH($A279, Config!A:A, 0))=""Local"", 2,
     IF( INDEX(Config!B"&amp;":B, MATCH($A279, Config!A:A, 0))=""Regional"", 3, 4 )
   )
 ),
"""")
"),67.0)</f>
        <v>67</v>
      </c>
      <c r="J279" s="16">
        <f>IFERROR(__xludf.DUMMYFUNCTION("IFERROR(
 ( E279 * INDEX(FILTER(Pricing_Rules!E:E, Pricing_Rules!A:A=A279, Pricing_Rules!B:B=B279, Pricing_Rules!C:C&lt;=E279, Pricing_Rules!D:D&gt;=E279), 1)
   + INDEX(FILTER(Pricing_Rules!F:F, Pricing_Rules!A:A=A279, Pricing_Rules!B:B=B279, Pricing_Rules!C:C"&amp;"&lt;=E279, Pricing_Rules!D:D&gt;=E279), 1)
 )
 * (1 + IFERROR( INDEX(Config!D:D, MATCH(A279, Config!A:A, 0)), 0 )),
"""")
"),5.8999999999999995)</f>
        <v>5.9</v>
      </c>
      <c r="K279" s="19">
        <f t="shared" si="3"/>
        <v>117.1</v>
      </c>
      <c r="L279" s="20">
        <f t="shared" si="4"/>
        <v>0.391638796</v>
      </c>
    </row>
    <row r="280" ht="15.75" customHeight="1">
      <c r="A280" s="9" t="s">
        <v>9</v>
      </c>
      <c r="B280" s="12" t="str">
        <f t="array" ref="B280">XLOOKUP(C280, Channel_Listings!C:C, Channel_Listings!B:B)
</f>
        <v>Apparel_Caps_Beanies</v>
      </c>
      <c r="C280" s="23" t="s">
        <v>325</v>
      </c>
      <c r="D280" s="14" t="str">
        <f t="array" ref="D280">XLOOKUP(C280, Channel_Listings!C:C, Channel_Listings!D:D)
</f>
        <v>BEANIE-LONGFUR-BROWN</v>
      </c>
      <c r="E280" s="15">
        <v>299.0</v>
      </c>
      <c r="F280" s="16">
        <f t="array" ref="F280">IFERROR(
  VALUE( INDEX(Product_Master!$I:$I,
               MATCH( INDEX(Pack_Master!$B:$B, MATCH($D280, Pack_Master!$A:$A, 0)),
                      Product_Master!$B:$B, 0)
  )) 
  * VALUE( INDEX(Pack_Master!$C:$C, MATCH($D280, Pack_Master!$A:$A, 0)) )
  + VALUE( INDEX(Pack_Master!$D:$D, MATCH($D280, Pack_Master!$A:$A, 0)) ),
"")
</f>
        <v>109</v>
      </c>
      <c r="G280" s="17">
        <f t="array" ref="G280">IFERROR(
 ( INDEX(Pack_Master!E:E, MATCH($D280, Pack_Master!A:A, 0))
   * INDEX(Pack_Master!F:F, MATCH($D280, Pack_Master!A:A, 0))
   * INDEX(Pack_Master!G:G, MATCH($D280, Pack_Master!A:A, 0))
 ) / INDEX(Config!C:C, MATCH($A280, Config!A:A, 0)),
"")
</f>
        <v>0.375</v>
      </c>
      <c r="H280" s="17">
        <f t="array" ref="H280">MAX( INDEX(Pack_Master!H:H, MATCH($D280, Pack_Master!A:A, 0)),
      IFERROR(G280, 0) )
</f>
        <v>0.5</v>
      </c>
      <c r="I280" s="18">
        <f>IFERROR(__xludf.DUMMYFUNCTION("IFERROR(
 INDEX(
   FILTER(Shipping_Rate_Card!B:F, Shipping_Rate_Card!A:A=$A280),
   MATCH($H280, FILTER(Shipping_Rate_Card!B:B, Shipping_Rate_Card!A:A=$A280), 1),
   IF( INDEX(Config!B:B, MATCH($A280, Config!A:A, 0))=""Local"", 2,
     IF( INDEX(Config!B"&amp;":B, MATCH($A280, Config!A:A, 0))=""Regional"", 3, 4 )
   )
 ),
"""")
"),67.0)</f>
        <v>67</v>
      </c>
      <c r="J280" s="16">
        <f>IFERROR(__xludf.DUMMYFUNCTION("IFERROR(
 ( E280 * INDEX(FILTER(Pricing_Rules!E:E, Pricing_Rules!A:A=A280, Pricing_Rules!B:B=B280, Pricing_Rules!C:C&lt;=E280, Pricing_Rules!D:D&gt;=E280), 1)
   + INDEX(FILTER(Pricing_Rules!F:F, Pricing_Rules!A:A=A280, Pricing_Rules!B:B=B280, Pricing_Rules!C:C"&amp;"&lt;=E280, Pricing_Rules!D:D&gt;=E280), 1)
 )
 * (1 + IFERROR( INDEX(Config!D:D, MATCH(A280, Config!A:A, 0)), 0 )),
"""")
"),5.8999999999999995)</f>
        <v>5.9</v>
      </c>
      <c r="K280" s="19">
        <f t="shared" si="3"/>
        <v>117.1</v>
      </c>
      <c r="L280" s="20">
        <f t="shared" si="4"/>
        <v>0.391638796</v>
      </c>
    </row>
    <row r="281" ht="15.75" customHeight="1">
      <c r="A281" s="9" t="s">
        <v>9</v>
      </c>
      <c r="B281" s="12" t="str">
        <f t="array" ref="B281">XLOOKUP(C281, Channel_Listings!C:C, Channel_Listings!B:B)
</f>
        <v>Apparel_Caps_Beanies</v>
      </c>
      <c r="C281" s="23" t="s">
        <v>327</v>
      </c>
      <c r="D281" s="14" t="str">
        <f t="array" ref="D281">XLOOKUP(C281, Channel_Listings!C:C, Channel_Listings!D:D)
</f>
        <v>BEANIE-LONGFUR-GREEN</v>
      </c>
      <c r="E281" s="15">
        <v>299.0</v>
      </c>
      <c r="F281" s="16">
        <f t="array" ref="F281">IFERROR(
  VALUE( INDEX(Product_Master!$I:$I,
               MATCH( INDEX(Pack_Master!$B:$B, MATCH($D281, Pack_Master!$A:$A, 0)),
                      Product_Master!$B:$B, 0)
  )) 
  * VALUE( INDEX(Pack_Master!$C:$C, MATCH($D281, Pack_Master!$A:$A, 0)) )
  + VALUE( INDEX(Pack_Master!$D:$D, MATCH($D281, Pack_Master!$A:$A, 0)) ),
"")
</f>
        <v>109</v>
      </c>
      <c r="G281" s="17">
        <f t="array" ref="G281">IFERROR(
 ( INDEX(Pack_Master!E:E, MATCH($D281, Pack_Master!A:A, 0))
   * INDEX(Pack_Master!F:F, MATCH($D281, Pack_Master!A:A, 0))
   * INDEX(Pack_Master!G:G, MATCH($D281, Pack_Master!A:A, 0))
 ) / INDEX(Config!C:C, MATCH($A281, Config!A:A, 0)),
"")
</f>
        <v>0.375</v>
      </c>
      <c r="H281" s="17">
        <f t="array" ref="H281">MAX( INDEX(Pack_Master!H:H, MATCH($D281, Pack_Master!A:A, 0)),
      IFERROR(G281, 0) )
</f>
        <v>0.5</v>
      </c>
      <c r="I281" s="18">
        <f>IFERROR(__xludf.DUMMYFUNCTION("IFERROR(
 INDEX(
   FILTER(Shipping_Rate_Card!B:F, Shipping_Rate_Card!A:A=$A281),
   MATCH($H281, FILTER(Shipping_Rate_Card!B:B, Shipping_Rate_Card!A:A=$A281), 1),
   IF( INDEX(Config!B:B, MATCH($A281, Config!A:A, 0))=""Local"", 2,
     IF( INDEX(Config!B"&amp;":B, MATCH($A281, Config!A:A, 0))=""Regional"", 3, 4 )
   )
 ),
"""")
"),67.0)</f>
        <v>67</v>
      </c>
      <c r="J281" s="16">
        <f>IFERROR(__xludf.DUMMYFUNCTION("IFERROR(
 ( E281 * INDEX(FILTER(Pricing_Rules!E:E, Pricing_Rules!A:A=A281, Pricing_Rules!B:B=B281, Pricing_Rules!C:C&lt;=E281, Pricing_Rules!D:D&gt;=E281), 1)
   + INDEX(FILTER(Pricing_Rules!F:F, Pricing_Rules!A:A=A281, Pricing_Rules!B:B=B281, Pricing_Rules!C:C"&amp;"&lt;=E281, Pricing_Rules!D:D&gt;=E281), 1)
 )
 * (1 + IFERROR( INDEX(Config!D:D, MATCH(A281, Config!A:A, 0)), 0 )),
"""")
"),5.8999999999999995)</f>
        <v>5.9</v>
      </c>
      <c r="K281" s="19">
        <f t="shared" si="3"/>
        <v>117.1</v>
      </c>
      <c r="L281" s="20">
        <f t="shared" si="4"/>
        <v>0.391638796</v>
      </c>
    </row>
    <row r="282" ht="15.75" customHeight="1">
      <c r="A282" s="9" t="s">
        <v>9</v>
      </c>
      <c r="B282" s="12" t="str">
        <f t="array" ref="B282">XLOOKUP(C282, Channel_Listings!C:C, Channel_Listings!B:B)
</f>
        <v>Apparel_Caps_Beanies</v>
      </c>
      <c r="C282" s="23" t="s">
        <v>329</v>
      </c>
      <c r="D282" s="14" t="str">
        <f t="array" ref="D282">XLOOKUP(C282, Channel_Listings!C:C, Channel_Listings!D:D)
</f>
        <v>BEANIE-LONGFUR-MAROON</v>
      </c>
      <c r="E282" s="15">
        <v>299.0</v>
      </c>
      <c r="F282" s="16">
        <f t="array" ref="F282">IFERROR(
  VALUE( INDEX(Product_Master!$I:$I,
               MATCH( INDEX(Pack_Master!$B:$B, MATCH($D282, Pack_Master!$A:$A, 0)),
                      Product_Master!$B:$B, 0)
  )) 
  * VALUE( INDEX(Pack_Master!$C:$C, MATCH($D282, Pack_Master!$A:$A, 0)) )
  + VALUE( INDEX(Pack_Master!$D:$D, MATCH($D282, Pack_Master!$A:$A, 0)) ),
"")
</f>
        <v>109</v>
      </c>
      <c r="G282" s="17">
        <f t="array" ref="G282">IFERROR(
 ( INDEX(Pack_Master!E:E, MATCH($D282, Pack_Master!A:A, 0))
   * INDEX(Pack_Master!F:F, MATCH($D282, Pack_Master!A:A, 0))
   * INDEX(Pack_Master!G:G, MATCH($D282, Pack_Master!A:A, 0))
 ) / INDEX(Config!C:C, MATCH($A282, Config!A:A, 0)),
"")
</f>
        <v>0.375</v>
      </c>
      <c r="H282" s="17">
        <f t="array" ref="H282">MAX( INDEX(Pack_Master!H:H, MATCH($D282, Pack_Master!A:A, 0)),
      IFERROR(G282, 0) )
</f>
        <v>0.5</v>
      </c>
      <c r="I282" s="18">
        <f>IFERROR(__xludf.DUMMYFUNCTION("IFERROR(
 INDEX(
   FILTER(Shipping_Rate_Card!B:F, Shipping_Rate_Card!A:A=$A282),
   MATCH($H282, FILTER(Shipping_Rate_Card!B:B, Shipping_Rate_Card!A:A=$A282), 1),
   IF( INDEX(Config!B:B, MATCH($A282, Config!A:A, 0))=""Local"", 2,
     IF( INDEX(Config!B"&amp;":B, MATCH($A282, Config!A:A, 0))=""Regional"", 3, 4 )
   )
 ),
"""")
"),67.0)</f>
        <v>67</v>
      </c>
      <c r="J282" s="16">
        <f>IFERROR(__xludf.DUMMYFUNCTION("IFERROR(
 ( E282 * INDEX(FILTER(Pricing_Rules!E:E, Pricing_Rules!A:A=A282, Pricing_Rules!B:B=B282, Pricing_Rules!C:C&lt;=E282, Pricing_Rules!D:D&gt;=E282), 1)
   + INDEX(FILTER(Pricing_Rules!F:F, Pricing_Rules!A:A=A282, Pricing_Rules!B:B=B282, Pricing_Rules!C:C"&amp;"&lt;=E282, Pricing_Rules!D:D&gt;=E282), 1)
 )
 * (1 + IFERROR( INDEX(Config!D:D, MATCH(A282, Config!A:A, 0)), 0 )),
"""")
"),5.8999999999999995)</f>
        <v>5.9</v>
      </c>
      <c r="K282" s="19">
        <f t="shared" si="3"/>
        <v>117.1</v>
      </c>
      <c r="L282" s="20">
        <f t="shared" si="4"/>
        <v>0.391638796</v>
      </c>
    </row>
    <row r="283" ht="15.75" customHeight="1">
      <c r="A283" s="9" t="s">
        <v>9</v>
      </c>
      <c r="B283" s="12" t="str">
        <f t="array" ref="B283">XLOOKUP(C283, Channel_Listings!C:C, Channel_Listings!B:B)
</f>
        <v>Apparel_Caps_Beanies</v>
      </c>
      <c r="C283" s="22" t="s">
        <v>331</v>
      </c>
      <c r="D283" s="14" t="str">
        <f t="array" ref="D283">XLOOKUP(C283, Channel_Listings!C:C, Channel_Listings!D:D)
</f>
        <v>BEANIE-LONGFUR-NAVYBLUE</v>
      </c>
      <c r="E283" s="15">
        <v>299.0</v>
      </c>
      <c r="F283" s="16">
        <f t="array" ref="F283">IFERROR(
  VALUE( INDEX(Product_Master!$I:$I,
               MATCH( INDEX(Pack_Master!$B:$B, MATCH($D283, Pack_Master!$A:$A, 0)),
                      Product_Master!$B:$B, 0)
  )) 
  * VALUE( INDEX(Pack_Master!$C:$C, MATCH($D283, Pack_Master!$A:$A, 0)) )
  + VALUE( INDEX(Pack_Master!$D:$D, MATCH($D283, Pack_Master!$A:$A, 0)) ),
"")
</f>
        <v>109</v>
      </c>
      <c r="G283" s="17">
        <f t="array" ref="G283">IFERROR(
 ( INDEX(Pack_Master!E:E, MATCH($D283, Pack_Master!A:A, 0))
   * INDEX(Pack_Master!F:F, MATCH($D283, Pack_Master!A:A, 0))
   * INDEX(Pack_Master!G:G, MATCH($D283, Pack_Master!A:A, 0))
 ) / INDEX(Config!C:C, MATCH($A283, Config!A:A, 0)),
"")
</f>
        <v>0.375</v>
      </c>
      <c r="H283" s="17">
        <f t="array" ref="H283">MAX( INDEX(Pack_Master!H:H, MATCH($D283, Pack_Master!A:A, 0)),
      IFERROR(G283, 0) )
</f>
        <v>0.5</v>
      </c>
      <c r="I283" s="18">
        <f>IFERROR(__xludf.DUMMYFUNCTION("IFERROR(
 INDEX(
   FILTER(Shipping_Rate_Card!B:F, Shipping_Rate_Card!A:A=$A283),
   MATCH($H283, FILTER(Shipping_Rate_Card!B:B, Shipping_Rate_Card!A:A=$A283), 1),
   IF( INDEX(Config!B:B, MATCH($A283, Config!A:A, 0))=""Local"", 2,
     IF( INDEX(Config!B"&amp;":B, MATCH($A283, Config!A:A, 0))=""Regional"", 3, 4 )
   )
 ),
"""")
"),67.0)</f>
        <v>67</v>
      </c>
      <c r="J283" s="16">
        <f>IFERROR(__xludf.DUMMYFUNCTION("IFERROR(
 ( E283 * INDEX(FILTER(Pricing_Rules!E:E, Pricing_Rules!A:A=A283, Pricing_Rules!B:B=B283, Pricing_Rules!C:C&lt;=E283, Pricing_Rules!D:D&gt;=E283), 1)
   + INDEX(FILTER(Pricing_Rules!F:F, Pricing_Rules!A:A=A283, Pricing_Rules!B:B=B283, Pricing_Rules!C:C"&amp;"&lt;=E283, Pricing_Rules!D:D&gt;=E283), 1)
 )
 * (1 + IFERROR( INDEX(Config!D:D, MATCH(A283, Config!A:A, 0)), 0 )),
"""")
"),5.8999999999999995)</f>
        <v>5.9</v>
      </c>
      <c r="K283" s="19">
        <f t="shared" si="3"/>
        <v>117.1</v>
      </c>
      <c r="L283" s="20">
        <f t="shared" si="4"/>
        <v>0.391638796</v>
      </c>
    </row>
    <row r="284" ht="15.75" customHeight="1">
      <c r="A284" s="9" t="s">
        <v>9</v>
      </c>
      <c r="B284" s="12" t="str">
        <f t="array" ref="B284">XLOOKUP(C284, Channel_Listings!C:C, Channel_Listings!B:B)
</f>
        <v>Apparel_Caps_Beanies</v>
      </c>
      <c r="C284" s="22" t="s">
        <v>332</v>
      </c>
      <c r="D284" s="14" t="str">
        <f t="array" ref="D284">XLOOKUP(C284, Channel_Listings!C:C, Channel_Listings!D:D)
</f>
        <v>BEANIE-WOOL-CREAM</v>
      </c>
      <c r="E284" s="15">
        <v>499.0</v>
      </c>
      <c r="F284" s="16">
        <f t="array" ref="F284">IFERROR(
  VALUE( INDEX(Product_Master!$I:$I,
               MATCH( INDEX(Pack_Master!$B:$B, MATCH($D284, Pack_Master!$A:$A, 0)),
                      Product_Master!$B:$B, 0)
  )) 
  * VALUE( INDEX(Pack_Master!$C:$C, MATCH($D284, Pack_Master!$A:$A, 0)) )
  + VALUE( INDEX(Pack_Master!$D:$D, MATCH($D284, Pack_Master!$A:$A, 0)) ),
"")
</f>
        <v>0</v>
      </c>
      <c r="G284" s="17">
        <f t="array" ref="G284">IFERROR(
 ( INDEX(Pack_Master!E:E, MATCH($D284, Pack_Master!A:A, 0))
   * INDEX(Pack_Master!F:F, MATCH($D284, Pack_Master!A:A, 0))
   * INDEX(Pack_Master!G:G, MATCH($D284, Pack_Master!A:A, 0))
 ) / INDEX(Config!C:C, MATCH($A284, Config!A:A, 0)),
"")
</f>
        <v>0</v>
      </c>
      <c r="H284" s="17">
        <f t="array" ref="H284">MAX( INDEX(Pack_Master!H:H, MATCH($D284, Pack_Master!A:A, 0)),
      IFERROR(G284, 0) )
</f>
        <v>0</v>
      </c>
      <c r="I284" s="18" t="str">
        <f>IFERROR(__xludf.DUMMYFUNCTION("IFERROR(
 INDEX(
   FILTER(Shipping_Rate_Card!B:F, Shipping_Rate_Card!A:A=$A284),
   MATCH($H284, FILTER(Shipping_Rate_Card!B:B, Shipping_Rate_Card!A:A=$A284), 1),
   IF( INDEX(Config!B:B, MATCH($A284, Config!A:A, 0))=""Local"", 2,
     IF( INDEX(Config!B"&amp;":B, MATCH($A284, Config!A:A, 0))=""Regional"", 3, 4 )
   )
 ),
"""")
"),"")</f>
        <v/>
      </c>
      <c r="J284" s="16">
        <f>IFERROR(__xludf.DUMMYFUNCTION("IFERROR(
 ( E284 * INDEX(FILTER(Pricing_Rules!E:E, Pricing_Rules!A:A=A284, Pricing_Rules!B:B=B284, Pricing_Rules!C:C&lt;=E284, Pricing_Rules!D:D&gt;=E284), 1)
   + INDEX(FILTER(Pricing_Rules!F:F, Pricing_Rules!A:A=A284, Pricing_Rules!B:B=B284, Pricing_Rules!C:C"&amp;"&lt;=E284, Pricing_Rules!D:D&gt;=E284), 1)
 )
 * (1 + IFERROR( INDEX(Config!D:D, MATCH(A284, Config!A:A, 0)), 0 )),
"""")
"),31.824599999999997)</f>
        <v>31.8246</v>
      </c>
      <c r="K284" s="19">
        <f t="shared" si="3"/>
        <v>467.1754</v>
      </c>
      <c r="L284" s="20">
        <f t="shared" si="4"/>
        <v>0.9362232465</v>
      </c>
    </row>
    <row r="285" ht="15.75" customHeight="1">
      <c r="A285" s="9" t="s">
        <v>9</v>
      </c>
      <c r="B285" s="12" t="str">
        <f t="array" ref="B285">XLOOKUP(C285, Channel_Listings!C:C, Channel_Listings!B:B)
</f>
        <v>Apparel_Caps_Beanies</v>
      </c>
      <c r="C285" s="22" t="s">
        <v>333</v>
      </c>
      <c r="D285" s="14" t="str">
        <f t="array" ref="D285">XLOOKUP(C285, Channel_Listings!C:C, Channel_Listings!D:D)
</f>
        <v>BEANIE-WOOL-OFFWHITE</v>
      </c>
      <c r="E285" s="15"/>
      <c r="F285" s="16">
        <f t="array" ref="F285">IFERROR(
  VALUE( INDEX(Product_Master!$I:$I,
               MATCH( INDEX(Pack_Master!$B:$B, MATCH($D285, Pack_Master!$A:$A, 0)),
                      Product_Master!$B:$B, 0)
  )) 
  * VALUE( INDEX(Pack_Master!$C:$C, MATCH($D285, Pack_Master!$A:$A, 0)) )
  + VALUE( INDEX(Pack_Master!$D:$D, MATCH($D285, Pack_Master!$A:$A, 0)) ),
"")
</f>
        <v>109</v>
      </c>
      <c r="G285" s="17">
        <f t="array" ref="G285">IFERROR(
 ( INDEX(Pack_Master!E:E, MATCH($D285, Pack_Master!A:A, 0))
   * INDEX(Pack_Master!F:F, MATCH($D285, Pack_Master!A:A, 0))
   * INDEX(Pack_Master!G:G, MATCH($D285, Pack_Master!A:A, 0))
 ) / INDEX(Config!C:C, MATCH($A285, Config!A:A, 0)),
"")
</f>
        <v>0.375</v>
      </c>
      <c r="H285" s="17">
        <f t="array" ref="H285">MAX( INDEX(Pack_Master!H:H, MATCH($D285, Pack_Master!A:A, 0)),
      IFERROR(G285, 0) )
</f>
        <v>0.5</v>
      </c>
      <c r="I285" s="18">
        <f>IFERROR(__xludf.DUMMYFUNCTION("IFERROR(
 INDEX(
   FILTER(Shipping_Rate_Card!B:F, Shipping_Rate_Card!A:A=$A285),
   MATCH($H285, FILTER(Shipping_Rate_Card!B:B, Shipping_Rate_Card!A:A=$A285), 1),
   IF( INDEX(Config!B:B, MATCH($A285, Config!A:A, 0))=""Local"", 2,
     IF( INDEX(Config!B"&amp;":B, MATCH($A285, Config!A:A, 0))=""Regional"", 3, 4 )
   )
 ),
"""")
"),67.0)</f>
        <v>67</v>
      </c>
      <c r="J285" s="16">
        <f>IFERROR(__xludf.DUMMYFUNCTION("IFERROR(
 ( E285 * INDEX(FILTER(Pricing_Rules!E:E, Pricing_Rules!A:A=A285, Pricing_Rules!B:B=B285, Pricing_Rules!C:C&lt;=E285, Pricing_Rules!D:D&gt;=E285), 1)
   + INDEX(FILTER(Pricing_Rules!F:F, Pricing_Rules!A:A=A285, Pricing_Rules!B:B=B285, Pricing_Rules!C:C"&amp;"&lt;=E285, Pricing_Rules!D:D&gt;=E285), 1)
 )
 * (1 + IFERROR( INDEX(Config!D:D, MATCH(A285, Config!A:A, 0)), 0 )),
"""")
"),5.8999999999999995)</f>
        <v>5.9</v>
      </c>
      <c r="K285" s="19">
        <f t="shared" si="3"/>
        <v>-181.9</v>
      </c>
      <c r="L285" s="20" t="str">
        <f t="shared" si="4"/>
        <v/>
      </c>
    </row>
    <row r="286" ht="15.75" customHeight="1">
      <c r="A286" s="9" t="s">
        <v>9</v>
      </c>
      <c r="B286" s="12" t="str">
        <f t="array" ref="B286">XLOOKUP(C286, Channel_Listings!C:C, Channel_Listings!B:B)
</f>
        <v>Apparel_Caps_Beanies</v>
      </c>
      <c r="C286" s="23" t="s">
        <v>334</v>
      </c>
      <c r="D286" s="14" t="str">
        <f t="array" ref="D286">XLOOKUP(C286, Channel_Listings!C:C, Channel_Listings!D:D)
</f>
        <v>CAP-BASEBALL-NY-PO2-BLACKBLACK</v>
      </c>
      <c r="E286" s="15"/>
      <c r="F286" s="16">
        <f t="array" ref="F286">IFERROR(
  VALUE( INDEX(Product_Master!$I:$I,
               MATCH( INDEX(Pack_Master!$B:$B, MATCH($D286, Pack_Master!$A:$A, 0)),
                      Product_Master!$B:$B, 0)
  )) 
  * VALUE( INDEX(Pack_Master!$C:$C, MATCH($D286, Pack_Master!$A:$A, 0)) )
  + VALUE( INDEX(Pack_Master!$D:$D, MATCH($D286, Pack_Master!$A:$A, 0)) ),
"")
</f>
        <v>109</v>
      </c>
      <c r="G286" s="17">
        <f t="array" ref="G286">IFERROR(
 ( INDEX(Pack_Master!E:E, MATCH($D286, Pack_Master!A:A, 0))
   * INDEX(Pack_Master!F:F, MATCH($D286, Pack_Master!A:A, 0))
   * INDEX(Pack_Master!G:G, MATCH($D286, Pack_Master!A:A, 0))
 ) / INDEX(Config!C:C, MATCH($A286, Config!A:A, 0)),
"")
</f>
        <v>0.375</v>
      </c>
      <c r="H286" s="17">
        <f t="array" ref="H286">MAX( INDEX(Pack_Master!H:H, MATCH($D286, Pack_Master!A:A, 0)),
      IFERROR(G286, 0) )
</f>
        <v>0.5</v>
      </c>
      <c r="I286" s="18">
        <f>IFERROR(__xludf.DUMMYFUNCTION("IFERROR(
 INDEX(
   FILTER(Shipping_Rate_Card!B:F, Shipping_Rate_Card!A:A=$A286),
   MATCH($H286, FILTER(Shipping_Rate_Card!B:B, Shipping_Rate_Card!A:A=$A286), 1),
   IF( INDEX(Config!B:B, MATCH($A286, Config!A:A, 0))=""Local"", 2,
     IF( INDEX(Config!B"&amp;":B, MATCH($A286, Config!A:A, 0))=""Regional"", 3, 4 )
   )
 ),
"""")
"),67.0)</f>
        <v>67</v>
      </c>
      <c r="J286" s="16">
        <f>IFERROR(__xludf.DUMMYFUNCTION("IFERROR(
 ( E286 * INDEX(FILTER(Pricing_Rules!E:E, Pricing_Rules!A:A=A286, Pricing_Rules!B:B=B286, Pricing_Rules!C:C&lt;=E286, Pricing_Rules!D:D&gt;=E286), 1)
   + INDEX(FILTER(Pricing_Rules!F:F, Pricing_Rules!A:A=A286, Pricing_Rules!B:B=B286, Pricing_Rules!C:C"&amp;"&lt;=E286, Pricing_Rules!D:D&gt;=E286), 1)
 )
 * (1 + IFERROR( INDEX(Config!D:D, MATCH(A286, Config!A:A, 0)), 0 )),
"""")
"),5.8999999999999995)</f>
        <v>5.9</v>
      </c>
      <c r="K286" s="19">
        <f t="shared" si="3"/>
        <v>-181.9</v>
      </c>
      <c r="L286" s="20" t="str">
        <f t="shared" si="4"/>
        <v/>
      </c>
    </row>
    <row r="287" ht="15.75" customHeight="1">
      <c r="A287" s="9" t="s">
        <v>9</v>
      </c>
      <c r="B287" s="12" t="str">
        <f t="array" ref="B287">XLOOKUP(C287, Channel_Listings!C:C, Channel_Listings!B:B)
</f>
        <v>Apparel_Caps_Beanies</v>
      </c>
      <c r="C287" s="23" t="s">
        <v>337</v>
      </c>
      <c r="D287" s="14" t="str">
        <f t="array" ref="D287">XLOOKUP(C287, Channel_Listings!C:C, Channel_Listings!D:D)
</f>
        <v>CAP-BASEBALL-NY-PO2-BLACKOLIVE</v>
      </c>
      <c r="E287" s="15"/>
      <c r="F287" s="16">
        <f t="array" ref="F287">IFERROR(
  VALUE( INDEX(Product_Master!$I:$I,
               MATCH( INDEX(Pack_Master!$B:$B, MATCH($D287, Pack_Master!$A:$A, 0)),
                      Product_Master!$B:$B, 0)
  )) 
  * VALUE( INDEX(Pack_Master!$C:$C, MATCH($D287, Pack_Master!$A:$A, 0)) )
  + VALUE( INDEX(Pack_Master!$D:$D, MATCH($D287, Pack_Master!$A:$A, 0)) ),
"")
</f>
        <v>109</v>
      </c>
      <c r="G287" s="17">
        <f t="array" ref="G287">IFERROR(
 ( INDEX(Pack_Master!E:E, MATCH($D287, Pack_Master!A:A, 0))
   * INDEX(Pack_Master!F:F, MATCH($D287, Pack_Master!A:A, 0))
   * INDEX(Pack_Master!G:G, MATCH($D287, Pack_Master!A:A, 0))
 ) / INDEX(Config!C:C, MATCH($A287, Config!A:A, 0)),
"")
</f>
        <v>0.375</v>
      </c>
      <c r="H287" s="17">
        <f t="array" ref="H287">MAX( INDEX(Pack_Master!H:H, MATCH($D287, Pack_Master!A:A, 0)),
      IFERROR(G287, 0) )
</f>
        <v>0.5</v>
      </c>
      <c r="I287" s="18">
        <f>IFERROR(__xludf.DUMMYFUNCTION("IFERROR(
 INDEX(
   FILTER(Shipping_Rate_Card!B:F, Shipping_Rate_Card!A:A=$A287),
   MATCH($H287, FILTER(Shipping_Rate_Card!B:B, Shipping_Rate_Card!A:A=$A287), 1),
   IF( INDEX(Config!B:B, MATCH($A287, Config!A:A, 0))=""Local"", 2,
     IF( INDEX(Config!B"&amp;":B, MATCH($A287, Config!A:A, 0))=""Regional"", 3, 4 )
   )
 ),
"""")
"),67.0)</f>
        <v>67</v>
      </c>
      <c r="J287" s="16">
        <f>IFERROR(__xludf.DUMMYFUNCTION("IFERROR(
 ( E287 * INDEX(FILTER(Pricing_Rules!E:E, Pricing_Rules!A:A=A287, Pricing_Rules!B:B=B287, Pricing_Rules!C:C&lt;=E287, Pricing_Rules!D:D&gt;=E287), 1)
   + INDEX(FILTER(Pricing_Rules!F:F, Pricing_Rules!A:A=A287, Pricing_Rules!B:B=B287, Pricing_Rules!C:C"&amp;"&lt;=E287, Pricing_Rules!D:D&gt;=E287), 1)
 )
 * (1 + IFERROR( INDEX(Config!D:D, MATCH(A287, Config!A:A, 0)), 0 )),
"""")
"),5.8999999999999995)</f>
        <v>5.9</v>
      </c>
      <c r="K287" s="19">
        <f t="shared" si="3"/>
        <v>-181.9</v>
      </c>
      <c r="L287" s="20" t="str">
        <f t="shared" si="4"/>
        <v/>
      </c>
    </row>
    <row r="288" ht="15.75" customHeight="1">
      <c r="A288" s="9" t="s">
        <v>9</v>
      </c>
      <c r="B288" s="12" t="str">
        <f t="array" ref="B288">XLOOKUP(C288, Channel_Listings!C:C, Channel_Listings!B:B)
</f>
        <v>Apparel_Tshirts</v>
      </c>
      <c r="C288" s="22" t="s">
        <v>339</v>
      </c>
      <c r="D288" s="14" t="str">
        <f t="array" ref="D288">XLOOKUP(C288, Channel_Listings!C:C, Channel_Listings!D:D)
</f>
        <v>TSHIRT-BLACK-L</v>
      </c>
      <c r="E288" s="15"/>
      <c r="F288" s="16">
        <f t="array" ref="F288">IFERROR(
  VALUE( INDEX(Product_Master!$I:$I,
               MATCH( INDEX(Pack_Master!$B:$B, MATCH($D288, Pack_Master!$A:$A, 0)),
                      Product_Master!$B:$B, 0)
  )) 
  * VALUE( INDEX(Pack_Master!$C:$C, MATCH($D288, Pack_Master!$A:$A, 0)) )
  + VALUE( INDEX(Pack_Master!$D:$D, MATCH($D288, Pack_Master!$A:$A, 0)) ),
"")
</f>
        <v>2</v>
      </c>
      <c r="G288" s="17">
        <f t="array" ref="G288">IFERROR(
 ( INDEX(Pack_Master!E:E, MATCH($D288, Pack_Master!A:A, 0))
   * INDEX(Pack_Master!F:F, MATCH($D288, Pack_Master!A:A, 0))
   * INDEX(Pack_Master!G:G, MATCH($D288, Pack_Master!A:A, 0))
 ) / INDEX(Config!C:C, MATCH($A288, Config!A:A, 0)),
"")
</f>
        <v>0.375</v>
      </c>
      <c r="H288" s="17">
        <f t="array" ref="H288">MAX( INDEX(Pack_Master!H:H, MATCH($D288, Pack_Master!A:A, 0)),
      IFERROR(G288, 0) )
</f>
        <v>0.5</v>
      </c>
      <c r="I288" s="18">
        <f>IFERROR(__xludf.DUMMYFUNCTION("IFERROR(
 INDEX(
   FILTER(Shipping_Rate_Card!B:F, Shipping_Rate_Card!A:A=$A288),
   MATCH($H288, FILTER(Shipping_Rate_Card!B:B, Shipping_Rate_Card!A:A=$A288), 1),
   IF( INDEX(Config!B:B, MATCH($A288, Config!A:A, 0))=""Local"", 2,
     IF( INDEX(Config!B"&amp;":B, MATCH($A288, Config!A:A, 0))=""Regional"", 3, 4 )
   )
 ),
"""")
"),67.0)</f>
        <v>67</v>
      </c>
      <c r="J288" s="16">
        <f>IFERROR(__xludf.DUMMYFUNCTION("IFERROR(
 ( E288 * INDEX(FILTER(Pricing_Rules!E:E, Pricing_Rules!A:A=A288, Pricing_Rules!B:B=B288, Pricing_Rules!C:C&lt;=E288, Pricing_Rules!D:D&gt;=E288), 1)
   + INDEX(FILTER(Pricing_Rules!F:F, Pricing_Rules!A:A=A288, Pricing_Rules!B:B=B288, Pricing_Rules!C:C"&amp;"&lt;=E288, Pricing_Rules!D:D&gt;=E288), 1)
 )
 * (1 + IFERROR( INDEX(Config!D:D, MATCH(A288, Config!A:A, 0)), 0 )),
"""")
"),5.8999999999999995)</f>
        <v>5.9</v>
      </c>
      <c r="K288" s="19">
        <f t="shared" si="3"/>
        <v>-74.9</v>
      </c>
      <c r="L288" s="20" t="str">
        <f t="shared" si="4"/>
        <v/>
      </c>
    </row>
    <row r="289" ht="15.75" customHeight="1">
      <c r="A289" s="9" t="s">
        <v>9</v>
      </c>
      <c r="B289" s="12" t="str">
        <f t="array" ref="B289">XLOOKUP(C289, Channel_Listings!C:C, Channel_Listings!B:B)
</f>
        <v>Apparel_Tshirts</v>
      </c>
      <c r="C289" s="22" t="s">
        <v>340</v>
      </c>
      <c r="D289" s="14" t="str">
        <f t="array" ref="D289">XLOOKUP(C289, Channel_Listings!C:C, Channel_Listings!D:D)
</f>
        <v>TSHIRT-BLACK-L</v>
      </c>
      <c r="E289" s="15"/>
      <c r="F289" s="16">
        <f t="array" ref="F289">IFERROR(
  VALUE( INDEX(Product_Master!$I:$I,
               MATCH( INDEX(Pack_Master!$B:$B, MATCH($D289, Pack_Master!$A:$A, 0)),
                      Product_Master!$B:$B, 0)
  )) 
  * VALUE( INDEX(Pack_Master!$C:$C, MATCH($D289, Pack_Master!$A:$A, 0)) )
  + VALUE( INDEX(Pack_Master!$D:$D, MATCH($D289, Pack_Master!$A:$A, 0)) ),
"")
</f>
        <v>2</v>
      </c>
      <c r="G289" s="17">
        <f t="array" ref="G289">IFERROR(
 ( INDEX(Pack_Master!E:E, MATCH($D289, Pack_Master!A:A, 0))
   * INDEX(Pack_Master!F:F, MATCH($D289, Pack_Master!A:A, 0))
   * INDEX(Pack_Master!G:G, MATCH($D289, Pack_Master!A:A, 0))
 ) / INDEX(Config!C:C, MATCH($A289, Config!A:A, 0)),
"")
</f>
        <v>0.375</v>
      </c>
      <c r="H289" s="17">
        <f t="array" ref="H289">MAX( INDEX(Pack_Master!H:H, MATCH($D289, Pack_Master!A:A, 0)),
      IFERROR(G289, 0) )
</f>
        <v>0.5</v>
      </c>
      <c r="I289" s="18">
        <f>IFERROR(__xludf.DUMMYFUNCTION("IFERROR(
 INDEX(
   FILTER(Shipping_Rate_Card!B:F, Shipping_Rate_Card!A:A=$A289),
   MATCH($H289, FILTER(Shipping_Rate_Card!B:B, Shipping_Rate_Card!A:A=$A289), 1),
   IF( INDEX(Config!B:B, MATCH($A289, Config!A:A, 0))=""Local"", 2,
     IF( INDEX(Config!B"&amp;":B, MATCH($A289, Config!A:A, 0))=""Regional"", 3, 4 )
   )
 ),
"""")
"),67.0)</f>
        <v>67</v>
      </c>
      <c r="J289" s="16">
        <f>IFERROR(__xludf.DUMMYFUNCTION("IFERROR(
 ( E289 * INDEX(FILTER(Pricing_Rules!E:E, Pricing_Rules!A:A=A289, Pricing_Rules!B:B=B289, Pricing_Rules!C:C&lt;=E289, Pricing_Rules!D:D&gt;=E289), 1)
   + INDEX(FILTER(Pricing_Rules!F:F, Pricing_Rules!A:A=A289, Pricing_Rules!B:B=B289, Pricing_Rules!C:C"&amp;"&lt;=E289, Pricing_Rules!D:D&gt;=E289), 1)
 )
 * (1 + IFERROR( INDEX(Config!D:D, MATCH(A289, Config!A:A, 0)), 0 )),
"""")
"),5.8999999999999995)</f>
        <v>5.9</v>
      </c>
      <c r="K289" s="19">
        <f t="shared" si="3"/>
        <v>-74.9</v>
      </c>
      <c r="L289" s="20" t="str">
        <f t="shared" si="4"/>
        <v/>
      </c>
    </row>
    <row r="290" ht="15.75" customHeight="1">
      <c r="A290" s="9" t="s">
        <v>9</v>
      </c>
      <c r="B290" s="12" t="str">
        <f t="array" ref="B290">XLOOKUP(C290, Channel_Listings!C:C, Channel_Listings!B:B)
</f>
        <v>Apparel_Tshirts</v>
      </c>
      <c r="C290" s="22" t="s">
        <v>341</v>
      </c>
      <c r="D290" s="14" t="str">
        <f t="array" ref="D290">XLOOKUP(C290, Channel_Listings!C:C, Channel_Listings!D:D)
</f>
        <v>TSHIRT-BLACK-XL</v>
      </c>
      <c r="E290" s="15"/>
      <c r="F290" s="16">
        <f t="array" ref="F290">IFERROR(
  VALUE( INDEX(Product_Master!$I:$I,
               MATCH( INDEX(Pack_Master!$B:$B, MATCH($D290, Pack_Master!$A:$A, 0)),
                      Product_Master!$B:$B, 0)
  )) 
  * VALUE( INDEX(Pack_Master!$C:$C, MATCH($D290, Pack_Master!$A:$A, 0)) )
  + VALUE( INDEX(Pack_Master!$D:$D, MATCH($D290, Pack_Master!$A:$A, 0)) ),
"")
</f>
        <v>2</v>
      </c>
      <c r="G290" s="17">
        <f t="array" ref="G290">IFERROR(
 ( INDEX(Pack_Master!E:E, MATCH($D290, Pack_Master!A:A, 0))
   * INDEX(Pack_Master!F:F, MATCH($D290, Pack_Master!A:A, 0))
   * INDEX(Pack_Master!G:G, MATCH($D290, Pack_Master!A:A, 0))
 ) / INDEX(Config!C:C, MATCH($A290, Config!A:A, 0)),
"")
</f>
        <v>0.375</v>
      </c>
      <c r="H290" s="17">
        <f t="array" ref="H290">MAX( INDEX(Pack_Master!H:H, MATCH($D290, Pack_Master!A:A, 0)),
      IFERROR(G290, 0) )
</f>
        <v>0.5</v>
      </c>
      <c r="I290" s="18">
        <f>IFERROR(__xludf.DUMMYFUNCTION("IFERROR(
 INDEX(
   FILTER(Shipping_Rate_Card!B:F, Shipping_Rate_Card!A:A=$A290),
   MATCH($H290, FILTER(Shipping_Rate_Card!B:B, Shipping_Rate_Card!A:A=$A290), 1),
   IF( INDEX(Config!B:B, MATCH($A290, Config!A:A, 0))=""Local"", 2,
     IF( INDEX(Config!B"&amp;":B, MATCH($A290, Config!A:A, 0))=""Regional"", 3, 4 )
   )
 ),
"""")
"),67.0)</f>
        <v>67</v>
      </c>
      <c r="J290" s="16">
        <f>IFERROR(__xludf.DUMMYFUNCTION("IFERROR(
 ( E290 * INDEX(FILTER(Pricing_Rules!E:E, Pricing_Rules!A:A=A290, Pricing_Rules!B:B=B290, Pricing_Rules!C:C&lt;=E290, Pricing_Rules!D:D&gt;=E290), 1)
   + INDEX(FILTER(Pricing_Rules!F:F, Pricing_Rules!A:A=A290, Pricing_Rules!B:B=B290, Pricing_Rules!C:C"&amp;"&lt;=E290, Pricing_Rules!D:D&gt;=E290), 1)
 )
 * (1 + IFERROR( INDEX(Config!D:D, MATCH(A290, Config!A:A, 0)), 0 )),
"""")
"),5.8999999999999995)</f>
        <v>5.9</v>
      </c>
      <c r="K290" s="19">
        <f t="shared" si="3"/>
        <v>-74.9</v>
      </c>
      <c r="L290" s="20" t="str">
        <f t="shared" si="4"/>
        <v/>
      </c>
    </row>
    <row r="291" ht="15.75" customHeight="1">
      <c r="A291" s="9" t="s">
        <v>9</v>
      </c>
      <c r="B291" s="12" t="str">
        <f t="array" ref="B291">XLOOKUP(C291, Channel_Listings!C:C, Channel_Listings!B:B)
</f>
        <v>Apparel_Tshirts</v>
      </c>
      <c r="C291" s="22" t="s">
        <v>342</v>
      </c>
      <c r="D291" s="14" t="str">
        <f t="array" ref="D291">XLOOKUP(C291, Channel_Listings!C:C, Channel_Listings!D:D)
</f>
        <v>TSHIRT-BLACK-XXL</v>
      </c>
      <c r="E291" s="15"/>
      <c r="F291" s="16">
        <f t="array" ref="F291">IFERROR(
  VALUE( INDEX(Product_Master!$I:$I,
               MATCH( INDEX(Pack_Master!$B:$B, MATCH($D291, Pack_Master!$A:$A, 0)),
                      Product_Master!$B:$B, 0)
  )) 
  * VALUE( INDEX(Pack_Master!$C:$C, MATCH($D291, Pack_Master!$A:$A, 0)) )
  + VALUE( INDEX(Pack_Master!$D:$D, MATCH($D291, Pack_Master!$A:$A, 0)) ),
"")
</f>
        <v>2</v>
      </c>
      <c r="G291" s="17">
        <f t="array" ref="G291">IFERROR(
 ( INDEX(Pack_Master!E:E, MATCH($D291, Pack_Master!A:A, 0))
   * INDEX(Pack_Master!F:F, MATCH($D291, Pack_Master!A:A, 0))
   * INDEX(Pack_Master!G:G, MATCH($D291, Pack_Master!A:A, 0))
 ) / INDEX(Config!C:C, MATCH($A291, Config!A:A, 0)),
"")
</f>
        <v>0.375</v>
      </c>
      <c r="H291" s="17">
        <f t="array" ref="H291">MAX( INDEX(Pack_Master!H:H, MATCH($D291, Pack_Master!A:A, 0)),
      IFERROR(G291, 0) )
</f>
        <v>0.5</v>
      </c>
      <c r="I291" s="18">
        <f>IFERROR(__xludf.DUMMYFUNCTION("IFERROR(
 INDEX(
   FILTER(Shipping_Rate_Card!B:F, Shipping_Rate_Card!A:A=$A291),
   MATCH($H291, FILTER(Shipping_Rate_Card!B:B, Shipping_Rate_Card!A:A=$A291), 1),
   IF( INDEX(Config!B:B, MATCH($A291, Config!A:A, 0))=""Local"", 2,
     IF( INDEX(Config!B"&amp;":B, MATCH($A291, Config!A:A, 0))=""Regional"", 3, 4 )
   )
 ),
"""")
"),67.0)</f>
        <v>67</v>
      </c>
      <c r="J291" s="16">
        <f>IFERROR(__xludf.DUMMYFUNCTION("IFERROR(
 ( E291 * INDEX(FILTER(Pricing_Rules!E:E, Pricing_Rules!A:A=A291, Pricing_Rules!B:B=B291, Pricing_Rules!C:C&lt;=E291, Pricing_Rules!D:D&gt;=E291), 1)
   + INDEX(FILTER(Pricing_Rules!F:F, Pricing_Rules!A:A=A291, Pricing_Rules!B:B=B291, Pricing_Rules!C:C"&amp;"&lt;=E291, Pricing_Rules!D:D&gt;=E291), 1)
 )
 * (1 + IFERROR( INDEX(Config!D:D, MATCH(A291, Config!A:A, 0)), 0 )),
"""")
"),5.8999999999999995)</f>
        <v>5.9</v>
      </c>
      <c r="K291" s="19">
        <f t="shared" si="3"/>
        <v>-74.9</v>
      </c>
      <c r="L291" s="20" t="str">
        <f t="shared" si="4"/>
        <v/>
      </c>
    </row>
    <row r="292" ht="15.75" customHeight="1">
      <c r="A292" s="9" t="s">
        <v>9</v>
      </c>
      <c r="B292" s="12" t="str">
        <f t="array" ref="B292">XLOOKUP(C292, Channel_Listings!C:C, Channel_Listings!B:B)
</f>
        <v>Apparel_Tshirts</v>
      </c>
      <c r="C292" s="22" t="s">
        <v>343</v>
      </c>
      <c r="D292" s="14" t="str">
        <f t="array" ref="D292">XLOOKUP(C292, Channel_Listings!C:C, Channel_Listings!D:D)
</f>
        <v>TSHIRT-BLACK-L</v>
      </c>
      <c r="E292" s="15"/>
      <c r="F292" s="16">
        <f t="array" ref="F292">IFERROR(
  VALUE( INDEX(Product_Master!$I:$I,
               MATCH( INDEX(Pack_Master!$B:$B, MATCH($D292, Pack_Master!$A:$A, 0)),
                      Product_Master!$B:$B, 0)
  )) 
  * VALUE( INDEX(Pack_Master!$C:$C, MATCH($D292, Pack_Master!$A:$A, 0)) )
  + VALUE( INDEX(Pack_Master!$D:$D, MATCH($D292, Pack_Master!$A:$A, 0)) ),
"")
</f>
        <v>2</v>
      </c>
      <c r="G292" s="17">
        <f t="array" ref="G292">IFERROR(
 ( INDEX(Pack_Master!E:E, MATCH($D292, Pack_Master!A:A, 0))
   * INDEX(Pack_Master!F:F, MATCH($D292, Pack_Master!A:A, 0))
   * INDEX(Pack_Master!G:G, MATCH($D292, Pack_Master!A:A, 0))
 ) / INDEX(Config!C:C, MATCH($A292, Config!A:A, 0)),
"")
</f>
        <v>0.375</v>
      </c>
      <c r="H292" s="17">
        <f t="array" ref="H292">MAX( INDEX(Pack_Master!H:H, MATCH($D292, Pack_Master!A:A, 0)),
      IFERROR(G292, 0) )
</f>
        <v>0.5</v>
      </c>
      <c r="I292" s="18">
        <f>IFERROR(__xludf.DUMMYFUNCTION("IFERROR(
 INDEX(
   FILTER(Shipping_Rate_Card!B:F, Shipping_Rate_Card!A:A=$A292),
   MATCH($H292, FILTER(Shipping_Rate_Card!B:B, Shipping_Rate_Card!A:A=$A292), 1),
   IF( INDEX(Config!B:B, MATCH($A292, Config!A:A, 0))=""Local"", 2,
     IF( INDEX(Config!B"&amp;":B, MATCH($A292, Config!A:A, 0))=""Regional"", 3, 4 )
   )
 ),
"""")
"),67.0)</f>
        <v>67</v>
      </c>
      <c r="J292" s="16">
        <f>IFERROR(__xludf.DUMMYFUNCTION("IFERROR(
 ( E292 * INDEX(FILTER(Pricing_Rules!E:E, Pricing_Rules!A:A=A292, Pricing_Rules!B:B=B292, Pricing_Rules!C:C&lt;=E292, Pricing_Rules!D:D&gt;=E292), 1)
   + INDEX(FILTER(Pricing_Rules!F:F, Pricing_Rules!A:A=A292, Pricing_Rules!B:B=B292, Pricing_Rules!C:C"&amp;"&lt;=E292, Pricing_Rules!D:D&gt;=E292), 1)
 )
 * (1 + IFERROR( INDEX(Config!D:D, MATCH(A292, Config!A:A, 0)), 0 )),
"""")
"),5.8999999999999995)</f>
        <v>5.9</v>
      </c>
      <c r="K292" s="19">
        <f t="shared" si="3"/>
        <v>-74.9</v>
      </c>
      <c r="L292" s="20" t="str">
        <f t="shared" si="4"/>
        <v/>
      </c>
    </row>
    <row r="293" ht="15.75" customHeight="1">
      <c r="A293" s="9" t="s">
        <v>9</v>
      </c>
      <c r="B293" s="12" t="str">
        <f t="array" ref="B293">XLOOKUP(C293, Channel_Listings!C:C, Channel_Listings!B:B)
</f>
        <v>Apparel_Tshirts</v>
      </c>
      <c r="C293" s="22" t="s">
        <v>344</v>
      </c>
      <c r="D293" s="14" t="str">
        <f t="array" ref="D293">XLOOKUP(C293, Channel_Listings!C:C, Channel_Listings!D:D)
</f>
        <v>TSHIRT-BLACK-M</v>
      </c>
      <c r="E293" s="15"/>
      <c r="F293" s="16">
        <f t="array" ref="F293">IFERROR(
  VALUE( INDEX(Product_Master!$I:$I,
               MATCH( INDEX(Pack_Master!$B:$B, MATCH($D293, Pack_Master!$A:$A, 0)),
                      Product_Master!$B:$B, 0)
  )) 
  * VALUE( INDEX(Pack_Master!$C:$C, MATCH($D293, Pack_Master!$A:$A, 0)) )
  + VALUE( INDEX(Pack_Master!$D:$D, MATCH($D293, Pack_Master!$A:$A, 0)) ),
"")
</f>
        <v>2</v>
      </c>
      <c r="G293" s="17">
        <f t="array" ref="G293">IFERROR(
 ( INDEX(Pack_Master!E:E, MATCH($D293, Pack_Master!A:A, 0))
   * INDEX(Pack_Master!F:F, MATCH($D293, Pack_Master!A:A, 0))
   * INDEX(Pack_Master!G:G, MATCH($D293, Pack_Master!A:A, 0))
 ) / INDEX(Config!C:C, MATCH($A293, Config!A:A, 0)),
"")
</f>
        <v>0.375</v>
      </c>
      <c r="H293" s="17">
        <f t="array" ref="H293">MAX( INDEX(Pack_Master!H:H, MATCH($D293, Pack_Master!A:A, 0)),
      IFERROR(G293, 0) )
</f>
        <v>0.5</v>
      </c>
      <c r="I293" s="18">
        <f>IFERROR(__xludf.DUMMYFUNCTION("IFERROR(
 INDEX(
   FILTER(Shipping_Rate_Card!B:F, Shipping_Rate_Card!A:A=$A293),
   MATCH($H293, FILTER(Shipping_Rate_Card!B:B, Shipping_Rate_Card!A:A=$A293), 1),
   IF( INDEX(Config!B:B, MATCH($A293, Config!A:A, 0))=""Local"", 2,
     IF( INDEX(Config!B"&amp;":B, MATCH($A293, Config!A:A, 0))=""Regional"", 3, 4 )
   )
 ),
"""")
"),67.0)</f>
        <v>67</v>
      </c>
      <c r="J293" s="16">
        <f>IFERROR(__xludf.DUMMYFUNCTION("IFERROR(
 ( E293 * INDEX(FILTER(Pricing_Rules!E:E, Pricing_Rules!A:A=A293, Pricing_Rules!B:B=B293, Pricing_Rules!C:C&lt;=E293, Pricing_Rules!D:D&gt;=E293), 1)
   + INDEX(FILTER(Pricing_Rules!F:F, Pricing_Rules!A:A=A293, Pricing_Rules!B:B=B293, Pricing_Rules!C:C"&amp;"&lt;=E293, Pricing_Rules!D:D&gt;=E293), 1)
 )
 * (1 + IFERROR( INDEX(Config!D:D, MATCH(A293, Config!A:A, 0)), 0 )),
"""")
"),5.8999999999999995)</f>
        <v>5.9</v>
      </c>
      <c r="K293" s="19">
        <f t="shared" si="3"/>
        <v>-74.9</v>
      </c>
      <c r="L293" s="20" t="str">
        <f t="shared" si="4"/>
        <v/>
      </c>
    </row>
    <row r="294" ht="15.75" customHeight="1">
      <c r="A294" s="9" t="s">
        <v>9</v>
      </c>
      <c r="B294" s="12" t="str">
        <f t="array" ref="B294">XLOOKUP(C294, Channel_Listings!C:C, Channel_Listings!B:B)
</f>
        <v>Apparel_Tshirts</v>
      </c>
      <c r="C294" s="22" t="s">
        <v>345</v>
      </c>
      <c r="D294" s="14" t="str">
        <f t="array" ref="D294">XLOOKUP(C294, Channel_Listings!C:C, Channel_Listings!D:D)
</f>
        <v>TSHIRT-BLACK-XL</v>
      </c>
      <c r="E294" s="15"/>
      <c r="F294" s="16">
        <f t="array" ref="F294">IFERROR(
  VALUE( INDEX(Product_Master!$I:$I,
               MATCH( INDEX(Pack_Master!$B:$B, MATCH($D294, Pack_Master!$A:$A, 0)),
                      Product_Master!$B:$B, 0)
  )) 
  * VALUE( INDEX(Pack_Master!$C:$C, MATCH($D294, Pack_Master!$A:$A, 0)) )
  + VALUE( INDEX(Pack_Master!$D:$D, MATCH($D294, Pack_Master!$A:$A, 0)) ),
"")
</f>
        <v>2</v>
      </c>
      <c r="G294" s="17">
        <f t="array" ref="G294">IFERROR(
 ( INDEX(Pack_Master!E:E, MATCH($D294, Pack_Master!A:A, 0))
   * INDEX(Pack_Master!F:F, MATCH($D294, Pack_Master!A:A, 0))
   * INDEX(Pack_Master!G:G, MATCH($D294, Pack_Master!A:A, 0))
 ) / INDEX(Config!C:C, MATCH($A294, Config!A:A, 0)),
"")
</f>
        <v>0.375</v>
      </c>
      <c r="H294" s="17">
        <f t="array" ref="H294">MAX( INDEX(Pack_Master!H:H, MATCH($D294, Pack_Master!A:A, 0)),
      IFERROR(G294, 0) )
</f>
        <v>0.5</v>
      </c>
      <c r="I294" s="18">
        <f>IFERROR(__xludf.DUMMYFUNCTION("IFERROR(
 INDEX(
   FILTER(Shipping_Rate_Card!B:F, Shipping_Rate_Card!A:A=$A294),
   MATCH($H294, FILTER(Shipping_Rate_Card!B:B, Shipping_Rate_Card!A:A=$A294), 1),
   IF( INDEX(Config!B:B, MATCH($A294, Config!A:A, 0))=""Local"", 2,
     IF( INDEX(Config!B"&amp;":B, MATCH($A294, Config!A:A, 0))=""Regional"", 3, 4 )
   )
 ),
"""")
"),67.0)</f>
        <v>67</v>
      </c>
      <c r="J294" s="16">
        <f>IFERROR(__xludf.DUMMYFUNCTION("IFERROR(
 ( E294 * INDEX(FILTER(Pricing_Rules!E:E, Pricing_Rules!A:A=A294, Pricing_Rules!B:B=B294, Pricing_Rules!C:C&lt;=E294, Pricing_Rules!D:D&gt;=E294), 1)
   + INDEX(FILTER(Pricing_Rules!F:F, Pricing_Rules!A:A=A294, Pricing_Rules!B:B=B294, Pricing_Rules!C:C"&amp;"&lt;=E294, Pricing_Rules!D:D&gt;=E294), 1)
 )
 * (1 + IFERROR( INDEX(Config!D:D, MATCH(A294, Config!A:A, 0)), 0 )),
"""")
"),5.8999999999999995)</f>
        <v>5.9</v>
      </c>
      <c r="K294" s="19">
        <f t="shared" si="3"/>
        <v>-74.9</v>
      </c>
      <c r="L294" s="20" t="str">
        <f t="shared" si="4"/>
        <v/>
      </c>
    </row>
    <row r="295" ht="15.75" customHeight="1">
      <c r="A295" s="9" t="s">
        <v>9</v>
      </c>
      <c r="B295" s="12" t="str">
        <f t="array" ref="B295">XLOOKUP(C295, Channel_Listings!C:C, Channel_Listings!B:B)
</f>
        <v>Apparel_Tshirts</v>
      </c>
      <c r="C295" s="22" t="s">
        <v>346</v>
      </c>
      <c r="D295" s="14" t="str">
        <f t="array" ref="D295">XLOOKUP(C295, Channel_Listings!C:C, Channel_Listings!D:D)
</f>
        <v>TSHIRT-BLACK-XXL</v>
      </c>
      <c r="E295" s="15"/>
      <c r="F295" s="16">
        <f t="array" ref="F295">IFERROR(
  VALUE( INDEX(Product_Master!$I:$I,
               MATCH( INDEX(Pack_Master!$B:$B, MATCH($D295, Pack_Master!$A:$A, 0)),
                      Product_Master!$B:$B, 0)
  )) 
  * VALUE( INDEX(Pack_Master!$C:$C, MATCH($D295, Pack_Master!$A:$A, 0)) )
  + VALUE( INDEX(Pack_Master!$D:$D, MATCH($D295, Pack_Master!$A:$A, 0)) ),
"")
</f>
        <v>2</v>
      </c>
      <c r="G295" s="17">
        <f t="array" ref="G295">IFERROR(
 ( INDEX(Pack_Master!E:E, MATCH($D295, Pack_Master!A:A, 0))
   * INDEX(Pack_Master!F:F, MATCH($D295, Pack_Master!A:A, 0))
   * INDEX(Pack_Master!G:G, MATCH($D295, Pack_Master!A:A, 0))
 ) / INDEX(Config!C:C, MATCH($A295, Config!A:A, 0)),
"")
</f>
        <v>0.375</v>
      </c>
      <c r="H295" s="17">
        <f t="array" ref="H295">MAX( INDEX(Pack_Master!H:H, MATCH($D295, Pack_Master!A:A, 0)),
      IFERROR(G295, 0) )
</f>
        <v>0.5</v>
      </c>
      <c r="I295" s="18">
        <f>IFERROR(__xludf.DUMMYFUNCTION("IFERROR(
 INDEX(
   FILTER(Shipping_Rate_Card!B:F, Shipping_Rate_Card!A:A=$A295),
   MATCH($H295, FILTER(Shipping_Rate_Card!B:B, Shipping_Rate_Card!A:A=$A295), 1),
   IF( INDEX(Config!B:B, MATCH($A295, Config!A:A, 0))=""Local"", 2,
     IF( INDEX(Config!B"&amp;":B, MATCH($A295, Config!A:A, 0))=""Regional"", 3, 4 )
   )
 ),
"""")
"),67.0)</f>
        <v>67</v>
      </c>
      <c r="J295" s="16">
        <f>IFERROR(__xludf.DUMMYFUNCTION("IFERROR(
 ( E295 * INDEX(FILTER(Pricing_Rules!E:E, Pricing_Rules!A:A=A295, Pricing_Rules!B:B=B295, Pricing_Rules!C:C&lt;=E295, Pricing_Rules!D:D&gt;=E295), 1)
   + INDEX(FILTER(Pricing_Rules!F:F, Pricing_Rules!A:A=A295, Pricing_Rules!B:B=B295, Pricing_Rules!C:C"&amp;"&lt;=E295, Pricing_Rules!D:D&gt;=E295), 1)
 )
 * (1 + IFERROR( INDEX(Config!D:D, MATCH(A295, Config!A:A, 0)), 0 )),
"""")
"),5.8999999999999995)</f>
        <v>5.9</v>
      </c>
      <c r="K295" s="19">
        <f t="shared" si="3"/>
        <v>-74.9</v>
      </c>
      <c r="L295" s="20" t="str">
        <f t="shared" si="4"/>
        <v/>
      </c>
    </row>
    <row r="296" ht="15.75" customHeight="1">
      <c r="A296" s="9" t="s">
        <v>9</v>
      </c>
      <c r="B296" s="12" t="str">
        <f t="array" ref="B296">XLOOKUP(C296, Channel_Listings!C:C, Channel_Listings!B:B)
</f>
        <v>Kitchen_Containers</v>
      </c>
      <c r="C296" s="23" t="s">
        <v>347</v>
      </c>
      <c r="D296" s="14" t="str">
        <f t="array" ref="D296">XLOOKUP(C296, Channel_Listings!C:C, Channel_Listings!D:D)
</f>
        <v>BOX-PLAIN-9X6X4-PK4</v>
      </c>
      <c r="E296" s="15"/>
      <c r="F296" s="16">
        <f t="array" ref="F296">IFERROR(
  VALUE( INDEX(Product_Master!$I:$I,
               MATCH( INDEX(Pack_Master!$B:$B, MATCH($D296, Pack_Master!$A:$A, 0)),
                      Product_Master!$B:$B, 0)
  )) 
  * VALUE( INDEX(Pack_Master!$C:$C, MATCH($D296, Pack_Master!$A:$A, 0)) )
  + VALUE( INDEX(Pack_Master!$D:$D, MATCH($D296, Pack_Master!$A:$A, 0)) ),
"")
</f>
        <v>0</v>
      </c>
      <c r="G296" s="17">
        <f t="array" ref="G296">IFERROR(
 ( INDEX(Pack_Master!E:E, MATCH($D296, Pack_Master!A:A, 0))
   * INDEX(Pack_Master!F:F, MATCH($D296, Pack_Master!A:A, 0))
   * INDEX(Pack_Master!G:G, MATCH($D296, Pack_Master!A:A, 0))
 ) / INDEX(Config!C:C, MATCH($A296, Config!A:A, 0)),
"")
</f>
        <v>0</v>
      </c>
      <c r="H296" s="17">
        <f t="array" ref="H296">MAX( INDEX(Pack_Master!H:H, MATCH($D296, Pack_Master!A:A, 0)),
      IFERROR(G296, 0) )
</f>
        <v>0</v>
      </c>
      <c r="I296" s="18" t="str">
        <f>IFERROR(__xludf.DUMMYFUNCTION("IFERROR(
 INDEX(
   FILTER(Shipping_Rate_Card!B:F, Shipping_Rate_Card!A:A=$A296),
   MATCH($H296, FILTER(Shipping_Rate_Card!B:B, Shipping_Rate_Card!A:A=$A296), 1),
   IF( INDEX(Config!B:B, MATCH($A296, Config!A:A, 0))=""Local"", 2,
     IF( INDEX(Config!B"&amp;":B, MATCH($A296, Config!A:A, 0))=""Regional"", 3, 4 )
   )
 ),
"""")
"),"")</f>
        <v/>
      </c>
      <c r="J296" s="16">
        <f>IFERROR(__xludf.DUMMYFUNCTION("IFERROR(
 ( E296 * INDEX(FILTER(Pricing_Rules!E:E, Pricing_Rules!A:A=A296, Pricing_Rules!B:B=B296, Pricing_Rules!C:C&lt;=E296, Pricing_Rules!D:D&gt;=E296), 1)
   + INDEX(FILTER(Pricing_Rules!F:F, Pricing_Rules!A:A=A296, Pricing_Rules!B:B=B296, Pricing_Rules!C:C"&amp;"&lt;=E296, Pricing_Rules!D:D&gt;=E296), 1)
 )
 * (1 + IFERROR( INDEX(Config!D:D, MATCH(A296, Config!A:A, 0)), 0 )),
"""")
"),5.8999999999999995)</f>
        <v>5.9</v>
      </c>
      <c r="K296" s="19">
        <f t="shared" si="3"/>
        <v>-5.9</v>
      </c>
      <c r="L296" s="20" t="str">
        <f t="shared" si="4"/>
        <v/>
      </c>
    </row>
    <row r="297" ht="15.75" customHeight="1">
      <c r="A297" s="9" t="s">
        <v>9</v>
      </c>
      <c r="B297" s="12" t="str">
        <f t="array" ref="B297">XLOOKUP(C297, Channel_Listings!C:C, Channel_Listings!B:B)
</f>
        <v>Apparel_ArmSleeves</v>
      </c>
      <c r="C297" s="22" t="s">
        <v>349</v>
      </c>
      <c r="D297" s="14" t="str">
        <f t="array" ref="D297">XLOOKUP(C297, Channel_Listings!C:C, Channel_Listings!D:D)
</f>
        <v>ARMSLEEVES-FULL-BEIGE</v>
      </c>
      <c r="E297" s="15"/>
      <c r="F297" s="16">
        <f t="array" ref="F297">IFERROR(
  VALUE( INDEX(Product_Master!$I:$I,
               MATCH( INDEX(Pack_Master!$B:$B, MATCH($D297, Pack_Master!$A:$A, 0)),
                      Product_Master!$B:$B, 0)
  )) 
  * VALUE( INDEX(Pack_Master!$C:$C, MATCH($D297, Pack_Master!$A:$A, 0)) )
  + VALUE( INDEX(Pack_Master!$D:$D, MATCH($D297, Pack_Master!$A:$A, 0)) ),
"")
</f>
        <v>0</v>
      </c>
      <c r="G297" s="17">
        <f t="array" ref="G297">IFERROR(
 ( INDEX(Pack_Master!E:E, MATCH($D297, Pack_Master!A:A, 0))
   * INDEX(Pack_Master!F:F, MATCH($D297, Pack_Master!A:A, 0))
   * INDEX(Pack_Master!G:G, MATCH($D297, Pack_Master!A:A, 0))
 ) / INDEX(Config!C:C, MATCH($A297, Config!A:A, 0)),
"")
</f>
        <v>0</v>
      </c>
      <c r="H297" s="17">
        <f t="array" ref="H297">MAX( INDEX(Pack_Master!H:H, MATCH($D297, Pack_Master!A:A, 0)),
      IFERROR(G297, 0) )
</f>
        <v>0</v>
      </c>
      <c r="I297" s="18" t="str">
        <f>IFERROR(__xludf.DUMMYFUNCTION("IFERROR(
 INDEX(
   FILTER(Shipping_Rate_Card!B:F, Shipping_Rate_Card!A:A=$A297),
   MATCH($H297, FILTER(Shipping_Rate_Card!B:B, Shipping_Rate_Card!A:A=$A297), 1),
   IF( INDEX(Config!B:B, MATCH($A297, Config!A:A, 0))=""Local"", 2,
     IF( INDEX(Config!B"&amp;":B, MATCH($A297, Config!A:A, 0))=""Regional"", 3, 4 )
   )
 ),
"""")
"),"")</f>
        <v/>
      </c>
      <c r="J297" s="16">
        <f>IFERROR(__xludf.DUMMYFUNCTION("IFERROR(
 ( E297 * INDEX(FILTER(Pricing_Rules!E:E, Pricing_Rules!A:A=A297, Pricing_Rules!B:B=B297, Pricing_Rules!C:C&lt;=E297, Pricing_Rules!D:D&gt;=E297), 1)
   + INDEX(FILTER(Pricing_Rules!F:F, Pricing_Rules!A:A=A297, Pricing_Rules!B:B=B297, Pricing_Rules!C:C"&amp;"&lt;=E297, Pricing_Rules!D:D&gt;=E297), 1)
 )
 * (1 + IFERROR( INDEX(Config!D:D, MATCH(A297, Config!A:A, 0)), 0 )),
"""")
"),5.8999999999999995)</f>
        <v>5.9</v>
      </c>
      <c r="K297" s="19">
        <f t="shared" si="3"/>
        <v>-5.9</v>
      </c>
      <c r="L297" s="20" t="str">
        <f t="shared" si="4"/>
        <v/>
      </c>
    </row>
    <row r="298" ht="15.75" customHeight="1">
      <c r="A298" s="9" t="s">
        <v>9</v>
      </c>
      <c r="B298" s="12" t="str">
        <f t="array" ref="B298">XLOOKUP(C298, Channel_Listings!C:C, Channel_Listings!B:B)
</f>
        <v>Apparel_Caps_Beanies</v>
      </c>
      <c r="C298" s="22" t="s">
        <v>351</v>
      </c>
      <c r="D298" s="14" t="str">
        <f t="array" ref="D298">XLOOKUP(C298, Channel_Listings!C:C, Channel_Listings!D:D)
</f>
        <v>CAP-BASEBALL-LO-GREYWHITE</v>
      </c>
      <c r="E298" s="15"/>
      <c r="F298" s="16">
        <f t="array" ref="F298">IFERROR(
  VALUE( INDEX(Product_Master!$I:$I,
               MATCH( INDEX(Pack_Master!$B:$B, MATCH($D298, Pack_Master!$A:$A, 0)),
                      Product_Master!$B:$B, 0)
  )) 
  * VALUE( INDEX(Pack_Master!$C:$C, MATCH($D298, Pack_Master!$A:$A, 0)) )
  + VALUE( INDEX(Pack_Master!$D:$D, MATCH($D298, Pack_Master!$A:$A, 0)) ),
"")
</f>
        <v>0</v>
      </c>
      <c r="G298" s="17">
        <f t="array" ref="G298">IFERROR(
 ( INDEX(Pack_Master!E:E, MATCH($D298, Pack_Master!A:A, 0))
   * INDEX(Pack_Master!F:F, MATCH($D298, Pack_Master!A:A, 0))
   * INDEX(Pack_Master!G:G, MATCH($D298, Pack_Master!A:A, 0))
 ) / INDEX(Config!C:C, MATCH($A298, Config!A:A, 0)),
"")
</f>
        <v>0</v>
      </c>
      <c r="H298" s="17">
        <f t="array" ref="H298">MAX( INDEX(Pack_Master!H:H, MATCH($D298, Pack_Master!A:A, 0)),
      IFERROR(G298, 0) )
</f>
        <v>0</v>
      </c>
      <c r="I298" s="18" t="str">
        <f>IFERROR(__xludf.DUMMYFUNCTION("IFERROR(
 INDEX(
   FILTER(Shipping_Rate_Card!B:F, Shipping_Rate_Card!A:A=$A298),
   MATCH($H298, FILTER(Shipping_Rate_Card!B:B, Shipping_Rate_Card!A:A=$A298), 1),
   IF( INDEX(Config!B:B, MATCH($A298, Config!A:A, 0))=""Local"", 2,
     IF( INDEX(Config!B"&amp;":B, MATCH($A298, Config!A:A, 0))=""Regional"", 3, 4 )
   )
 ),
"""")
"),"")</f>
        <v/>
      </c>
      <c r="J298" s="16">
        <f>IFERROR(__xludf.DUMMYFUNCTION("IFERROR(
 ( E298 * INDEX(FILTER(Pricing_Rules!E:E, Pricing_Rules!A:A=A298, Pricing_Rules!B:B=B298, Pricing_Rules!C:C&lt;=E298, Pricing_Rules!D:D&gt;=E298), 1)
   + INDEX(FILTER(Pricing_Rules!F:F, Pricing_Rules!A:A=A298, Pricing_Rules!B:B=B298, Pricing_Rules!C:C"&amp;"&lt;=E298, Pricing_Rules!D:D&gt;=E298), 1)
 )
 * (1 + IFERROR( INDEX(Config!D:D, MATCH(A298, Config!A:A, 0)), 0 )),
"""")
"),5.8999999999999995)</f>
        <v>5.9</v>
      </c>
      <c r="K298" s="19">
        <f t="shared" si="3"/>
        <v>-5.9</v>
      </c>
      <c r="L298" s="20" t="str">
        <f t="shared" si="4"/>
        <v/>
      </c>
    </row>
    <row r="299" ht="15.75" customHeight="1">
      <c r="A299" s="9" t="s">
        <v>9</v>
      </c>
      <c r="B299" s="12" t="str">
        <f t="array" ref="B299">XLOOKUP(C299, Channel_Listings!C:C, Channel_Listings!B:B)
</f>
        <v>Apparel_Caps_Beanies</v>
      </c>
      <c r="C299" s="22" t="s">
        <v>352</v>
      </c>
      <c r="D299" s="14" t="str">
        <f t="array" ref="D299">XLOOKUP(C299, Channel_Listings!C:C, Channel_Listings!D:D)
</f>
        <v>CAP-BASEBALL-NET-HALF-BLACK</v>
      </c>
      <c r="E299" s="15">
        <v>299.0</v>
      </c>
      <c r="F299" s="16">
        <f t="array" ref="F299">IFERROR(
  VALUE( INDEX(Product_Master!$I:$I,
               MATCH( INDEX(Pack_Master!$B:$B, MATCH($D299, Pack_Master!$A:$A, 0)),
                      Product_Master!$B:$B, 0)
  )) 
  * VALUE( INDEX(Pack_Master!$C:$C, MATCH($D299, Pack_Master!$A:$A, 0)) )
  + VALUE( INDEX(Pack_Master!$D:$D, MATCH($D299, Pack_Master!$A:$A, 0)) ),
"")
</f>
        <v>70</v>
      </c>
      <c r="G299" s="17">
        <f t="array" ref="G299">IFERROR(
 ( INDEX(Pack_Master!E:E, MATCH($D299, Pack_Master!A:A, 0))
   * INDEX(Pack_Master!F:F, MATCH($D299, Pack_Master!A:A, 0))
   * INDEX(Pack_Master!G:G, MATCH($D299, Pack_Master!A:A, 0))
 ) / INDEX(Config!C:C, MATCH($A299, Config!A:A, 0)),
"")
</f>
        <v>0.375</v>
      </c>
      <c r="H299" s="17">
        <f t="array" ref="H299">MAX( INDEX(Pack_Master!H:H, MATCH($D299, Pack_Master!A:A, 0)),
      IFERROR(G299, 0) )
</f>
        <v>0.5</v>
      </c>
      <c r="I299" s="18">
        <f>IFERROR(__xludf.DUMMYFUNCTION("IFERROR(
 INDEX(
   FILTER(Shipping_Rate_Card!B:F, Shipping_Rate_Card!A:A=$A299),
   MATCH($H299, FILTER(Shipping_Rate_Card!B:B, Shipping_Rate_Card!A:A=$A299), 1),
   IF( INDEX(Config!B:B, MATCH($A299, Config!A:A, 0))=""Local"", 2,
     IF( INDEX(Config!B"&amp;":B, MATCH($A299, Config!A:A, 0))=""Regional"", 3, 4 )
   )
 ),
"""")
"),67.0)</f>
        <v>67</v>
      </c>
      <c r="J299" s="16">
        <f>IFERROR(__xludf.DUMMYFUNCTION("IFERROR(
 ( E299 * INDEX(FILTER(Pricing_Rules!E:E, Pricing_Rules!A:A=A299, Pricing_Rules!B:B=B299, Pricing_Rules!C:C&lt;=E299, Pricing_Rules!D:D&gt;=E299), 1)
   + INDEX(FILTER(Pricing_Rules!F:F, Pricing_Rules!A:A=A299, Pricing_Rules!B:B=B299, Pricing_Rules!C:C"&amp;"&lt;=E299, Pricing_Rules!D:D&gt;=E299), 1)
 )
 * (1 + IFERROR( INDEX(Config!D:D, MATCH(A299, Config!A:A, 0)), 0 )),
"""")
"),5.8999999999999995)</f>
        <v>5.9</v>
      </c>
      <c r="K299" s="19">
        <f t="shared" si="3"/>
        <v>156.1</v>
      </c>
      <c r="L299" s="20">
        <f t="shared" si="4"/>
        <v>0.5220735786</v>
      </c>
    </row>
    <row r="300" ht="15.75" customHeight="1">
      <c r="A300" s="9" t="s">
        <v>9</v>
      </c>
      <c r="B300" s="12" t="str">
        <f t="array" ref="B300">XLOOKUP(C300, Channel_Listings!C:C, Channel_Listings!B:B)
</f>
        <v>Apparel_Caps_Beanies</v>
      </c>
      <c r="C300" s="23" t="s">
        <v>353</v>
      </c>
      <c r="D300" s="14" t="str">
        <f t="array" ref="D300">XLOOKUP(C300, Channel_Listings!C:C, Channel_Listings!D:D)
</f>
        <v>CAP-BASEBALL-NET-HALF-BLACK</v>
      </c>
      <c r="E300" s="15">
        <v>299.0</v>
      </c>
      <c r="F300" s="16">
        <f t="array" ref="F300">IFERROR(
  VALUE( INDEX(Product_Master!$I:$I,
               MATCH( INDEX(Pack_Master!$B:$B, MATCH($D300, Pack_Master!$A:$A, 0)),
                      Product_Master!$B:$B, 0)
  )) 
  * VALUE( INDEX(Pack_Master!$C:$C, MATCH($D300, Pack_Master!$A:$A, 0)) )
  + VALUE( INDEX(Pack_Master!$D:$D, MATCH($D300, Pack_Master!$A:$A, 0)) ),
"")
</f>
        <v>70</v>
      </c>
      <c r="G300" s="17">
        <f t="array" ref="G300">IFERROR(
 ( INDEX(Pack_Master!E:E, MATCH($D300, Pack_Master!A:A, 0))
   * INDEX(Pack_Master!F:F, MATCH($D300, Pack_Master!A:A, 0))
   * INDEX(Pack_Master!G:G, MATCH($D300, Pack_Master!A:A, 0))
 ) / INDEX(Config!C:C, MATCH($A300, Config!A:A, 0)),
"")
</f>
        <v>0.375</v>
      </c>
      <c r="H300" s="17">
        <f t="array" ref="H300">MAX( INDEX(Pack_Master!H:H, MATCH($D300, Pack_Master!A:A, 0)),
      IFERROR(G300, 0) )
</f>
        <v>0.5</v>
      </c>
      <c r="I300" s="18">
        <f>IFERROR(__xludf.DUMMYFUNCTION("IFERROR(
 INDEX(
   FILTER(Shipping_Rate_Card!B:F, Shipping_Rate_Card!A:A=$A300),
   MATCH($H300, FILTER(Shipping_Rate_Card!B:B, Shipping_Rate_Card!A:A=$A300), 1),
   IF( INDEX(Config!B:B, MATCH($A300, Config!A:A, 0))=""Local"", 2,
     IF( INDEX(Config!B"&amp;":B, MATCH($A300, Config!A:A, 0))=""Regional"", 3, 4 )
   )
 ),
"""")
"),67.0)</f>
        <v>67</v>
      </c>
      <c r="J300" s="16">
        <f>IFERROR(__xludf.DUMMYFUNCTION("IFERROR(
 ( E300 * INDEX(FILTER(Pricing_Rules!E:E, Pricing_Rules!A:A=A300, Pricing_Rules!B:B=B300, Pricing_Rules!C:C&lt;=E300, Pricing_Rules!D:D&gt;=E300), 1)
   + INDEX(FILTER(Pricing_Rules!F:F, Pricing_Rules!A:A=A300, Pricing_Rules!B:B=B300, Pricing_Rules!C:C"&amp;"&lt;=E300, Pricing_Rules!D:D&gt;=E300), 1)
 )
 * (1 + IFERROR( INDEX(Config!D:D, MATCH(A300, Config!A:A, 0)), 0 )),
"""")
"),5.8999999999999995)</f>
        <v>5.9</v>
      </c>
      <c r="K300" s="19">
        <f t="shared" si="3"/>
        <v>156.1</v>
      </c>
      <c r="L300" s="20">
        <f t="shared" si="4"/>
        <v>0.5220735786</v>
      </c>
    </row>
    <row r="301" ht="15.75" customHeight="1">
      <c r="A301" s="9" t="s">
        <v>9</v>
      </c>
      <c r="B301" s="12" t="str">
        <f t="array" ref="B301">XLOOKUP(C301, Channel_Listings!C:C, Channel_Listings!B:B)
</f>
        <v>Apparel_Caps_Beanies</v>
      </c>
      <c r="C301" s="22" t="s">
        <v>354</v>
      </c>
      <c r="D301" s="14" t="str">
        <f t="array" ref="D301">XLOOKUP(C301, Channel_Listings!C:C, Channel_Listings!D:D)
</f>
        <v>CAP-BASEBALL-NET-HALF-PINK</v>
      </c>
      <c r="E301" s="15">
        <v>299.0</v>
      </c>
      <c r="F301" s="16">
        <f t="array" ref="F301">IFERROR(
  VALUE( INDEX(Product_Master!$I:$I,
               MATCH( INDEX(Pack_Master!$B:$B, MATCH($D301, Pack_Master!$A:$A, 0)),
                      Product_Master!$B:$B, 0)
  )) 
  * VALUE( INDEX(Pack_Master!$C:$C, MATCH($D301, Pack_Master!$A:$A, 0)) )
  + VALUE( INDEX(Pack_Master!$D:$D, MATCH($D301, Pack_Master!$A:$A, 0)) ),
"")
</f>
        <v>70</v>
      </c>
      <c r="G301" s="17">
        <f t="array" ref="G301">IFERROR(
 ( INDEX(Pack_Master!E:E, MATCH($D301, Pack_Master!A:A, 0))
   * INDEX(Pack_Master!F:F, MATCH($D301, Pack_Master!A:A, 0))
   * INDEX(Pack_Master!G:G, MATCH($D301, Pack_Master!A:A, 0))
 ) / INDEX(Config!C:C, MATCH($A301, Config!A:A, 0)),
"")
</f>
        <v>0.375</v>
      </c>
      <c r="H301" s="17">
        <f t="array" ref="H301">MAX( INDEX(Pack_Master!H:H, MATCH($D301, Pack_Master!A:A, 0)),
      IFERROR(G301, 0) )
</f>
        <v>0.5</v>
      </c>
      <c r="I301" s="18">
        <f>IFERROR(__xludf.DUMMYFUNCTION("IFERROR(
 INDEX(
   FILTER(Shipping_Rate_Card!B:F, Shipping_Rate_Card!A:A=$A301),
   MATCH($H301, FILTER(Shipping_Rate_Card!B:B, Shipping_Rate_Card!A:A=$A301), 1),
   IF( INDEX(Config!B:B, MATCH($A301, Config!A:A, 0))=""Local"", 2,
     IF( INDEX(Config!B"&amp;":B, MATCH($A301, Config!A:A, 0))=""Regional"", 3, 4 )
   )
 ),
"""")
"),67.0)</f>
        <v>67</v>
      </c>
      <c r="J301" s="16">
        <f>IFERROR(__xludf.DUMMYFUNCTION("IFERROR(
 ( E301 * INDEX(FILTER(Pricing_Rules!E:E, Pricing_Rules!A:A=A301, Pricing_Rules!B:B=B301, Pricing_Rules!C:C&lt;=E301, Pricing_Rules!D:D&gt;=E301), 1)
   + INDEX(FILTER(Pricing_Rules!F:F, Pricing_Rules!A:A=A301, Pricing_Rules!B:B=B301, Pricing_Rules!C:C"&amp;"&lt;=E301, Pricing_Rules!D:D&gt;=E301), 1)
 )
 * (1 + IFERROR( INDEX(Config!D:D, MATCH(A301, Config!A:A, 0)), 0 )),
"""")
"),5.8999999999999995)</f>
        <v>5.9</v>
      </c>
      <c r="K301" s="19">
        <f t="shared" si="3"/>
        <v>156.1</v>
      </c>
      <c r="L301" s="20">
        <f t="shared" si="4"/>
        <v>0.5220735786</v>
      </c>
    </row>
    <row r="302" ht="15.75" customHeight="1">
      <c r="A302" s="9" t="s">
        <v>9</v>
      </c>
      <c r="B302" s="12" t="str">
        <f t="array" ref="B302">XLOOKUP(C302, Channel_Listings!C:C, Channel_Listings!B:B)
</f>
        <v>Apparel_Caps_Beanies</v>
      </c>
      <c r="C302" s="23" t="s">
        <v>355</v>
      </c>
      <c r="D302" s="14" t="str">
        <f t="array" ref="D302">XLOOKUP(C302, Channel_Listings!C:C, Channel_Listings!D:D)
</f>
        <v>CAP-BASEBALL-NET-HALF-PINK</v>
      </c>
      <c r="E302" s="15">
        <v>299.0</v>
      </c>
      <c r="F302" s="16">
        <f t="array" ref="F302">IFERROR(
  VALUE( INDEX(Product_Master!$I:$I,
               MATCH( INDEX(Pack_Master!$B:$B, MATCH($D302, Pack_Master!$A:$A, 0)),
                      Product_Master!$B:$B, 0)
  )) 
  * VALUE( INDEX(Pack_Master!$C:$C, MATCH($D302, Pack_Master!$A:$A, 0)) )
  + VALUE( INDEX(Pack_Master!$D:$D, MATCH($D302, Pack_Master!$A:$A, 0)) ),
"")
</f>
        <v>70</v>
      </c>
      <c r="G302" s="17">
        <f t="array" ref="G302">IFERROR(
 ( INDEX(Pack_Master!E:E, MATCH($D302, Pack_Master!A:A, 0))
   * INDEX(Pack_Master!F:F, MATCH($D302, Pack_Master!A:A, 0))
   * INDEX(Pack_Master!G:G, MATCH($D302, Pack_Master!A:A, 0))
 ) / INDEX(Config!C:C, MATCH($A302, Config!A:A, 0)),
"")
</f>
        <v>0.375</v>
      </c>
      <c r="H302" s="17">
        <f t="array" ref="H302">MAX( INDEX(Pack_Master!H:H, MATCH($D302, Pack_Master!A:A, 0)),
      IFERROR(G302, 0) )
</f>
        <v>0.5</v>
      </c>
      <c r="I302" s="18">
        <f>IFERROR(__xludf.DUMMYFUNCTION("IFERROR(
 INDEX(
   FILTER(Shipping_Rate_Card!B:F, Shipping_Rate_Card!A:A=$A302),
   MATCH($H302, FILTER(Shipping_Rate_Card!B:B, Shipping_Rate_Card!A:A=$A302), 1),
   IF( INDEX(Config!B:B, MATCH($A302, Config!A:A, 0))=""Local"", 2,
     IF( INDEX(Config!B"&amp;":B, MATCH($A302, Config!A:A, 0))=""Regional"", 3, 4 )
   )
 ),
"""")
"),67.0)</f>
        <v>67</v>
      </c>
      <c r="J302" s="16">
        <f>IFERROR(__xludf.DUMMYFUNCTION("IFERROR(
 ( E302 * INDEX(FILTER(Pricing_Rules!E:E, Pricing_Rules!A:A=A302, Pricing_Rules!B:B=B302, Pricing_Rules!C:C&lt;=E302, Pricing_Rules!D:D&gt;=E302), 1)
   + INDEX(FILTER(Pricing_Rules!F:F, Pricing_Rules!A:A=A302, Pricing_Rules!B:B=B302, Pricing_Rules!C:C"&amp;"&lt;=E302, Pricing_Rules!D:D&gt;=E302), 1)
 )
 * (1 + IFERROR( INDEX(Config!D:D, MATCH(A302, Config!A:A, 0)), 0 )),
"""")
"),5.8999999999999995)</f>
        <v>5.9</v>
      </c>
      <c r="K302" s="19">
        <f t="shared" si="3"/>
        <v>156.1</v>
      </c>
      <c r="L302" s="20">
        <f t="shared" si="4"/>
        <v>0.5220735786</v>
      </c>
    </row>
    <row r="303" ht="15.75" customHeight="1">
      <c r="A303" s="9" t="s">
        <v>9</v>
      </c>
      <c r="B303" s="12" t="str">
        <f t="array" ref="B303">XLOOKUP(C303, Channel_Listings!C:C, Channel_Listings!B:B)
</f>
        <v>Apparel_Caps_Beanies</v>
      </c>
      <c r="C303" s="23" t="s">
        <v>356</v>
      </c>
      <c r="D303" s="14" t="str">
        <f t="array" ref="D303">XLOOKUP(C303, Channel_Listings!C:C, Channel_Listings!D:D)
</f>
        <v>CAP-BASEBALL-NET-HALF-WHITE</v>
      </c>
      <c r="E303" s="15">
        <v>299.0</v>
      </c>
      <c r="F303" s="16">
        <f t="array" ref="F303">IFERROR(
  VALUE( INDEX(Product_Master!$I:$I,
               MATCH( INDEX(Pack_Master!$B:$B, MATCH($D303, Pack_Master!$A:$A, 0)),
                      Product_Master!$B:$B, 0)
  )) 
  * VALUE( INDEX(Pack_Master!$C:$C, MATCH($D303, Pack_Master!$A:$A, 0)) )
  + VALUE( INDEX(Pack_Master!$D:$D, MATCH($D303, Pack_Master!$A:$A, 0)) ),
"")
</f>
        <v>70</v>
      </c>
      <c r="G303" s="17">
        <f t="array" ref="G303">IFERROR(
 ( INDEX(Pack_Master!E:E, MATCH($D303, Pack_Master!A:A, 0))
   * INDEX(Pack_Master!F:F, MATCH($D303, Pack_Master!A:A, 0))
   * INDEX(Pack_Master!G:G, MATCH($D303, Pack_Master!A:A, 0))
 ) / INDEX(Config!C:C, MATCH($A303, Config!A:A, 0)),
"")
</f>
        <v>0.375</v>
      </c>
      <c r="H303" s="17">
        <f t="array" ref="H303">MAX( INDEX(Pack_Master!H:H, MATCH($D303, Pack_Master!A:A, 0)),
      IFERROR(G303, 0) )
</f>
        <v>0.5</v>
      </c>
      <c r="I303" s="18">
        <f>IFERROR(__xludf.DUMMYFUNCTION("IFERROR(
 INDEX(
   FILTER(Shipping_Rate_Card!B:F, Shipping_Rate_Card!A:A=$A303),
   MATCH($H303, FILTER(Shipping_Rate_Card!B:B, Shipping_Rate_Card!A:A=$A303), 1),
   IF( INDEX(Config!B:B, MATCH($A303, Config!A:A, 0))=""Local"", 2,
     IF( INDEX(Config!B"&amp;":B, MATCH($A303, Config!A:A, 0))=""Regional"", 3, 4 )
   )
 ),
"""")
"),67.0)</f>
        <v>67</v>
      </c>
      <c r="J303" s="16">
        <f>IFERROR(__xludf.DUMMYFUNCTION("IFERROR(
 ( E303 * INDEX(FILTER(Pricing_Rules!E:E, Pricing_Rules!A:A=A303, Pricing_Rules!B:B=B303, Pricing_Rules!C:C&lt;=E303, Pricing_Rules!D:D&gt;=E303), 1)
   + INDEX(FILTER(Pricing_Rules!F:F, Pricing_Rules!A:A=A303, Pricing_Rules!B:B=B303, Pricing_Rules!C:C"&amp;"&lt;=E303, Pricing_Rules!D:D&gt;=E303), 1)
 )
 * (1 + IFERROR( INDEX(Config!D:D, MATCH(A303, Config!A:A, 0)), 0 )),
"""")
"),5.8999999999999995)</f>
        <v>5.9</v>
      </c>
      <c r="K303" s="19">
        <f t="shared" si="3"/>
        <v>156.1</v>
      </c>
      <c r="L303" s="20">
        <f t="shared" si="4"/>
        <v>0.5220735786</v>
      </c>
    </row>
    <row r="304" ht="15.75" customHeight="1">
      <c r="A304" s="9" t="s">
        <v>9</v>
      </c>
      <c r="B304" s="12" t="str">
        <f t="array" ref="B304">XLOOKUP(C304, Channel_Listings!C:C, Channel_Listings!B:B)
</f>
        <v>Apparel_Caps_Beanies</v>
      </c>
      <c r="C304" s="22" t="s">
        <v>357</v>
      </c>
      <c r="D304" s="14" t="str">
        <f t="array" ref="D304">XLOOKUP(C304, Channel_Listings!C:C, Channel_Listings!D:D)
</f>
        <v>CAP-BASEBALL-NET-HALF-OLIVE</v>
      </c>
      <c r="E304" s="15">
        <v>299.0</v>
      </c>
      <c r="F304" s="16">
        <f t="array" ref="F304">IFERROR(
  VALUE( INDEX(Product_Master!$I:$I,
               MATCH( INDEX(Pack_Master!$B:$B, MATCH($D304, Pack_Master!$A:$A, 0)),
                      Product_Master!$B:$B, 0)
  )) 
  * VALUE( INDEX(Pack_Master!$C:$C, MATCH($D304, Pack_Master!$A:$A, 0)) )
  + VALUE( INDEX(Pack_Master!$D:$D, MATCH($D304, Pack_Master!$A:$A, 0)) ),
"")
</f>
        <v>2</v>
      </c>
      <c r="G304" s="17">
        <f t="array" ref="G304">IFERROR(
 ( INDEX(Pack_Master!E:E, MATCH($D304, Pack_Master!A:A, 0))
   * INDEX(Pack_Master!F:F, MATCH($D304, Pack_Master!A:A, 0))
   * INDEX(Pack_Master!G:G, MATCH($D304, Pack_Master!A:A, 0))
 ) / INDEX(Config!C:C, MATCH($A304, Config!A:A, 0)),
"")
</f>
        <v>0.375</v>
      </c>
      <c r="H304" s="17">
        <f t="array" ref="H304">MAX( INDEX(Pack_Master!H:H, MATCH($D304, Pack_Master!A:A, 0)),
      IFERROR(G304, 0) )
</f>
        <v>0.5</v>
      </c>
      <c r="I304" s="18">
        <f>IFERROR(__xludf.DUMMYFUNCTION("IFERROR(
 INDEX(
   FILTER(Shipping_Rate_Card!B:F, Shipping_Rate_Card!A:A=$A304),
   MATCH($H304, FILTER(Shipping_Rate_Card!B:B, Shipping_Rate_Card!A:A=$A304), 1),
   IF( INDEX(Config!B:B, MATCH($A304, Config!A:A, 0))=""Local"", 2,
     IF( INDEX(Config!B"&amp;":B, MATCH($A304, Config!A:A, 0))=""Regional"", 3, 4 )
   )
 ),
"""")
"),67.0)</f>
        <v>67</v>
      </c>
      <c r="J304" s="16">
        <f>IFERROR(__xludf.DUMMYFUNCTION("IFERROR(
 ( E304 * INDEX(FILTER(Pricing_Rules!E:E, Pricing_Rules!A:A=A304, Pricing_Rules!B:B=B304, Pricing_Rules!C:C&lt;=E304, Pricing_Rules!D:D&gt;=E304), 1)
   + INDEX(FILTER(Pricing_Rules!F:F, Pricing_Rules!A:A=A304, Pricing_Rules!B:B=B304, Pricing_Rules!C:C"&amp;"&lt;=E304, Pricing_Rules!D:D&gt;=E304), 1)
 )
 * (1 + IFERROR( INDEX(Config!D:D, MATCH(A304, Config!A:A, 0)), 0 )),
"""")
"),5.8999999999999995)</f>
        <v>5.9</v>
      </c>
      <c r="K304" s="19">
        <f t="shared" si="3"/>
        <v>224.1</v>
      </c>
      <c r="L304" s="20">
        <f t="shared" si="4"/>
        <v>0.7494983278</v>
      </c>
    </row>
    <row r="305" ht="15.75" customHeight="1">
      <c r="A305" s="9" t="s">
        <v>9</v>
      </c>
      <c r="B305" s="12" t="str">
        <f t="array" ref="B305">XLOOKUP(C305, Channel_Listings!C:C, Channel_Listings!B:B)
</f>
        <v>Apparel_Caps_Beanies</v>
      </c>
      <c r="C305" s="23" t="s">
        <v>359</v>
      </c>
      <c r="D305" s="14" t="str">
        <f t="array" ref="D305">XLOOKUP(C305, Channel_Listings!C:C, Channel_Listings!D:D)
</f>
        <v>CAP-BASEBALL-NY-BLACKBLACK</v>
      </c>
      <c r="E305" s="15"/>
      <c r="F305" s="16">
        <f t="array" ref="F305">IFERROR(
  VALUE( INDEX(Product_Master!$I:$I,
               MATCH( INDEX(Pack_Master!$B:$B, MATCH($D305, Pack_Master!$A:$A, 0)),
                      Product_Master!$B:$B, 0)
  )) 
  * VALUE( INDEX(Pack_Master!$C:$C, MATCH($D305, Pack_Master!$A:$A, 0)) )
  + VALUE( INDEX(Pack_Master!$D:$D, MATCH($D305, Pack_Master!$A:$A, 0)) ),
"")
</f>
        <v>2</v>
      </c>
      <c r="G305" s="17">
        <f t="array" ref="G305">IFERROR(
 ( INDEX(Pack_Master!E:E, MATCH($D305, Pack_Master!A:A, 0))
   * INDEX(Pack_Master!F:F, MATCH($D305, Pack_Master!A:A, 0))
   * INDEX(Pack_Master!G:G, MATCH($D305, Pack_Master!A:A, 0))
 ) / INDEX(Config!C:C, MATCH($A305, Config!A:A, 0)),
"")
</f>
        <v>0.375</v>
      </c>
      <c r="H305" s="17">
        <f t="array" ref="H305">MAX( INDEX(Pack_Master!H:H, MATCH($D305, Pack_Master!A:A, 0)),
      IFERROR(G305, 0) )
</f>
        <v>0.5</v>
      </c>
      <c r="I305" s="18">
        <f>IFERROR(__xludf.DUMMYFUNCTION("IFERROR(
 INDEX(
   FILTER(Shipping_Rate_Card!B:F, Shipping_Rate_Card!A:A=$A305),
   MATCH($H305, FILTER(Shipping_Rate_Card!B:B, Shipping_Rate_Card!A:A=$A305), 1),
   IF( INDEX(Config!B:B, MATCH($A305, Config!A:A, 0))=""Local"", 2,
     IF( INDEX(Config!B"&amp;":B, MATCH($A305, Config!A:A, 0))=""Regional"", 3, 4 )
   )
 ),
"""")
"),67.0)</f>
        <v>67</v>
      </c>
      <c r="J305" s="16">
        <f>IFERROR(__xludf.DUMMYFUNCTION("IFERROR(
 ( E305 * INDEX(FILTER(Pricing_Rules!E:E, Pricing_Rules!A:A=A305, Pricing_Rules!B:B=B305, Pricing_Rules!C:C&lt;=E305, Pricing_Rules!D:D&gt;=E305), 1)
   + INDEX(FILTER(Pricing_Rules!F:F, Pricing_Rules!A:A=A305, Pricing_Rules!B:B=B305, Pricing_Rules!C:C"&amp;"&lt;=E305, Pricing_Rules!D:D&gt;=E305), 1)
 )
 * (1 + IFERROR( INDEX(Config!D:D, MATCH(A305, Config!A:A, 0)), 0 )),
"""")
"),5.8999999999999995)</f>
        <v>5.9</v>
      </c>
      <c r="K305" s="19">
        <f t="shared" si="3"/>
        <v>-74.9</v>
      </c>
      <c r="L305" s="20" t="str">
        <f t="shared" si="4"/>
        <v/>
      </c>
    </row>
    <row r="306" ht="15.75" customHeight="1">
      <c r="A306" s="9" t="s">
        <v>9</v>
      </c>
      <c r="B306" s="12" t="str">
        <f t="array" ref="B306">XLOOKUP(C306, Channel_Listings!C:C, Channel_Listings!B:B)
</f>
        <v>Apparel_Caps_Beanies</v>
      </c>
      <c r="C306" s="23" t="s">
        <v>361</v>
      </c>
      <c r="D306" s="14" t="str">
        <f t="array" ref="D306">XLOOKUP(C306, Channel_Listings!C:C, Channel_Listings!D:D)
</f>
        <v>CAP-BASEBALL-NY-BLACKWHITE</v>
      </c>
      <c r="E306" s="15"/>
      <c r="F306" s="16">
        <f t="array" ref="F306">IFERROR(
  VALUE( INDEX(Product_Master!$I:$I,
               MATCH( INDEX(Pack_Master!$B:$B, MATCH($D306, Pack_Master!$A:$A, 0)),
                      Product_Master!$B:$B, 0)
  )) 
  * VALUE( INDEX(Pack_Master!$C:$C, MATCH($D306, Pack_Master!$A:$A, 0)) )
  + VALUE( INDEX(Pack_Master!$D:$D, MATCH($D306, Pack_Master!$A:$A, 0)) ),
"")
</f>
        <v>2</v>
      </c>
      <c r="G306" s="17">
        <f t="array" ref="G306">IFERROR(
 ( INDEX(Pack_Master!E:E, MATCH($D306, Pack_Master!A:A, 0))
   * INDEX(Pack_Master!F:F, MATCH($D306, Pack_Master!A:A, 0))
   * INDEX(Pack_Master!G:G, MATCH($D306, Pack_Master!A:A, 0))
 ) / INDEX(Config!C:C, MATCH($A306, Config!A:A, 0)),
"")
</f>
        <v>0.375</v>
      </c>
      <c r="H306" s="17">
        <f t="array" ref="H306">MAX( INDEX(Pack_Master!H:H, MATCH($D306, Pack_Master!A:A, 0)),
      IFERROR(G306, 0) )
</f>
        <v>0.5</v>
      </c>
      <c r="I306" s="18">
        <f>IFERROR(__xludf.DUMMYFUNCTION("IFERROR(
 INDEX(
   FILTER(Shipping_Rate_Card!B:F, Shipping_Rate_Card!A:A=$A306),
   MATCH($H306, FILTER(Shipping_Rate_Card!B:B, Shipping_Rate_Card!A:A=$A306), 1),
   IF( INDEX(Config!B:B, MATCH($A306, Config!A:A, 0))=""Local"", 2,
     IF( INDEX(Config!B"&amp;":B, MATCH($A306, Config!A:A, 0))=""Regional"", 3, 4 )
   )
 ),
"""")
"),67.0)</f>
        <v>67</v>
      </c>
      <c r="J306" s="16">
        <f>IFERROR(__xludf.DUMMYFUNCTION("IFERROR(
 ( E306 * INDEX(FILTER(Pricing_Rules!E:E, Pricing_Rules!A:A=A306, Pricing_Rules!B:B=B306, Pricing_Rules!C:C&lt;=E306, Pricing_Rules!D:D&gt;=E306), 1)
   + INDEX(FILTER(Pricing_Rules!F:F, Pricing_Rules!A:A=A306, Pricing_Rules!B:B=B306, Pricing_Rules!C:C"&amp;"&lt;=E306, Pricing_Rules!D:D&gt;=E306), 1)
 )
 * (1 + IFERROR( INDEX(Config!D:D, MATCH(A306, Config!A:A, 0)), 0 )),
"""")
"),5.8999999999999995)</f>
        <v>5.9</v>
      </c>
      <c r="K306" s="19">
        <f t="shared" si="3"/>
        <v>-74.9</v>
      </c>
      <c r="L306" s="20" t="str">
        <f t="shared" si="4"/>
        <v/>
      </c>
    </row>
    <row r="307" ht="15.75" customHeight="1">
      <c r="A307" s="9" t="s">
        <v>9</v>
      </c>
      <c r="B307" s="12" t="str">
        <f t="array" ref="B307">XLOOKUP(C307, Channel_Listings!C:C, Channel_Listings!B:B)
</f>
        <v>Apparel_Caps_Beanies</v>
      </c>
      <c r="C307" s="23" t="s">
        <v>363</v>
      </c>
      <c r="D307" s="14" t="str">
        <f t="array" ref="D307">XLOOKUP(C307, Channel_Listings!C:C, Channel_Listings!D:D)
</f>
        <v>CAP-BASEBALL-NY-CHARCOALWHITE</v>
      </c>
      <c r="E307" s="15"/>
      <c r="F307" s="16">
        <f t="array" ref="F307">IFERROR(
  VALUE( INDEX(Product_Master!$I:$I,
               MATCH( INDEX(Pack_Master!$B:$B, MATCH($D307, Pack_Master!$A:$A, 0)),
                      Product_Master!$B:$B, 0)
  )) 
  * VALUE( INDEX(Pack_Master!$C:$C, MATCH($D307, Pack_Master!$A:$A, 0)) )
  + VALUE( INDEX(Pack_Master!$D:$D, MATCH($D307, Pack_Master!$A:$A, 0)) ),
"")
</f>
        <v>106</v>
      </c>
      <c r="G307" s="17">
        <f t="array" ref="G307">IFERROR(
 ( INDEX(Pack_Master!E:E, MATCH($D307, Pack_Master!A:A, 0))
   * INDEX(Pack_Master!F:F, MATCH($D307, Pack_Master!A:A, 0))
   * INDEX(Pack_Master!G:G, MATCH($D307, Pack_Master!A:A, 0))
 ) / INDEX(Config!C:C, MATCH($A307, Config!A:A, 0)),
"")
</f>
        <v>0.375</v>
      </c>
      <c r="H307" s="17">
        <f t="array" ref="H307">MAX( INDEX(Pack_Master!H:H, MATCH($D307, Pack_Master!A:A, 0)),
      IFERROR(G307, 0) )
</f>
        <v>0.5</v>
      </c>
      <c r="I307" s="18">
        <f>IFERROR(__xludf.DUMMYFUNCTION("IFERROR(
 INDEX(
   FILTER(Shipping_Rate_Card!B:F, Shipping_Rate_Card!A:A=$A307),
   MATCH($H307, FILTER(Shipping_Rate_Card!B:B, Shipping_Rate_Card!A:A=$A307), 1),
   IF( INDEX(Config!B:B, MATCH($A307, Config!A:A, 0))=""Local"", 2,
     IF( INDEX(Config!B"&amp;":B, MATCH($A307, Config!A:A, 0))=""Regional"", 3, 4 )
   )
 ),
"""")
"),67.0)</f>
        <v>67</v>
      </c>
      <c r="J307" s="16">
        <f>IFERROR(__xludf.DUMMYFUNCTION("IFERROR(
 ( E307 * INDEX(FILTER(Pricing_Rules!E:E, Pricing_Rules!A:A=A307, Pricing_Rules!B:B=B307, Pricing_Rules!C:C&lt;=E307, Pricing_Rules!D:D&gt;=E307), 1)
   + INDEX(FILTER(Pricing_Rules!F:F, Pricing_Rules!A:A=A307, Pricing_Rules!B:B=B307, Pricing_Rules!C:C"&amp;"&lt;=E307, Pricing_Rules!D:D&gt;=E307), 1)
 )
 * (1 + IFERROR( INDEX(Config!D:D, MATCH(A307, Config!A:A, 0)), 0 )),
"""")
"),5.8999999999999995)</f>
        <v>5.9</v>
      </c>
      <c r="K307" s="19">
        <f t="shared" si="3"/>
        <v>-178.9</v>
      </c>
      <c r="L307" s="20" t="str">
        <f t="shared" si="4"/>
        <v/>
      </c>
    </row>
    <row r="308" ht="15.75" customHeight="1">
      <c r="A308" s="9" t="s">
        <v>9</v>
      </c>
      <c r="B308" s="12" t="str">
        <f t="array" ref="B308">XLOOKUP(C308, Channel_Listings!C:C, Channel_Listings!B:B)
</f>
        <v>Apparel_Caps_Beanies</v>
      </c>
      <c r="C308" s="23" t="s">
        <v>365</v>
      </c>
      <c r="D308" s="14" t="str">
        <f t="array" ref="D308">XLOOKUP(C308, Channel_Listings!C:C, Channel_Listings!D:D)
</f>
        <v>CAP-BASEBALL-NY-GREYWHITE</v>
      </c>
      <c r="E308" s="15"/>
      <c r="F308" s="16">
        <f t="array" ref="F308">IFERROR(
  VALUE( INDEX(Product_Master!$I:$I,
               MATCH( INDEX(Pack_Master!$B:$B, MATCH($D308, Pack_Master!$A:$A, 0)),
                      Product_Master!$B:$B, 0)
  )) 
  * VALUE( INDEX(Pack_Master!$C:$C, MATCH($D308, Pack_Master!$A:$A, 0)) )
  + VALUE( INDEX(Pack_Master!$D:$D, MATCH($D308, Pack_Master!$A:$A, 0)) ),
"")
</f>
        <v>2</v>
      </c>
      <c r="G308" s="17">
        <f t="array" ref="G308">IFERROR(
 ( INDEX(Pack_Master!E:E, MATCH($D308, Pack_Master!A:A, 0))
   * INDEX(Pack_Master!F:F, MATCH($D308, Pack_Master!A:A, 0))
   * INDEX(Pack_Master!G:G, MATCH($D308, Pack_Master!A:A, 0))
 ) / INDEX(Config!C:C, MATCH($A308, Config!A:A, 0)),
"")
</f>
        <v>0.375</v>
      </c>
      <c r="H308" s="17">
        <f t="array" ref="H308">MAX( INDEX(Pack_Master!H:H, MATCH($D308, Pack_Master!A:A, 0)),
      IFERROR(G308, 0) )
</f>
        <v>0.5</v>
      </c>
      <c r="I308" s="18">
        <f>IFERROR(__xludf.DUMMYFUNCTION("IFERROR(
 INDEX(
   FILTER(Shipping_Rate_Card!B:F, Shipping_Rate_Card!A:A=$A308),
   MATCH($H308, FILTER(Shipping_Rate_Card!B:B, Shipping_Rate_Card!A:A=$A308), 1),
   IF( INDEX(Config!B:B, MATCH($A308, Config!A:A, 0))=""Local"", 2,
     IF( INDEX(Config!B"&amp;":B, MATCH($A308, Config!A:A, 0))=""Regional"", 3, 4 )
   )
 ),
"""")
"),67.0)</f>
        <v>67</v>
      </c>
      <c r="J308" s="16">
        <f>IFERROR(__xludf.DUMMYFUNCTION("IFERROR(
 ( E308 * INDEX(FILTER(Pricing_Rules!E:E, Pricing_Rules!A:A=A308, Pricing_Rules!B:B=B308, Pricing_Rules!C:C&lt;=E308, Pricing_Rules!D:D&gt;=E308), 1)
   + INDEX(FILTER(Pricing_Rules!F:F, Pricing_Rules!A:A=A308, Pricing_Rules!B:B=B308, Pricing_Rules!C:C"&amp;"&lt;=E308, Pricing_Rules!D:D&gt;=E308), 1)
 )
 * (1 + IFERROR( INDEX(Config!D:D, MATCH(A308, Config!A:A, 0)), 0 )),
"""")
"),5.8999999999999995)</f>
        <v>5.9</v>
      </c>
      <c r="K308" s="19">
        <f t="shared" si="3"/>
        <v>-74.9</v>
      </c>
      <c r="L308" s="20" t="str">
        <f t="shared" si="4"/>
        <v/>
      </c>
    </row>
    <row r="309" ht="15.75" customHeight="1">
      <c r="A309" s="9" t="s">
        <v>9</v>
      </c>
      <c r="B309" s="12" t="str">
        <f t="array" ref="B309">XLOOKUP(C309, Channel_Listings!C:C, Channel_Listings!B:B)
</f>
        <v>Apparel_Caps_Beanies</v>
      </c>
      <c r="C309" s="23" t="s">
        <v>367</v>
      </c>
      <c r="D309" s="14" t="str">
        <f t="array" ref="D309">XLOOKUP(C309, Channel_Listings!C:C, Channel_Listings!D:D)
</f>
        <v>CAP-BASEBALL-NY-NAVYWHITE</v>
      </c>
      <c r="E309" s="15"/>
      <c r="F309" s="16">
        <f t="array" ref="F309">IFERROR(
  VALUE( INDEX(Product_Master!$I:$I,
               MATCH( INDEX(Pack_Master!$B:$B, MATCH($D309, Pack_Master!$A:$A, 0)),
                      Product_Master!$B:$B, 0)
  )) 
  * VALUE( INDEX(Pack_Master!$C:$C, MATCH($D309, Pack_Master!$A:$A, 0)) )
  + VALUE( INDEX(Pack_Master!$D:$D, MATCH($D309, Pack_Master!$A:$A, 0)) ),
"")
</f>
        <v>2</v>
      </c>
      <c r="G309" s="17">
        <f t="array" ref="G309">IFERROR(
 ( INDEX(Pack_Master!E:E, MATCH($D309, Pack_Master!A:A, 0))
   * INDEX(Pack_Master!F:F, MATCH($D309, Pack_Master!A:A, 0))
   * INDEX(Pack_Master!G:G, MATCH($D309, Pack_Master!A:A, 0))
 ) / INDEX(Config!C:C, MATCH($A309, Config!A:A, 0)),
"")
</f>
        <v>0.375</v>
      </c>
      <c r="H309" s="17">
        <f t="array" ref="H309">MAX( INDEX(Pack_Master!H:H, MATCH($D309, Pack_Master!A:A, 0)),
      IFERROR(G309, 0) )
</f>
        <v>0.5</v>
      </c>
      <c r="I309" s="18">
        <f>IFERROR(__xludf.DUMMYFUNCTION("IFERROR(
 INDEX(
   FILTER(Shipping_Rate_Card!B:F, Shipping_Rate_Card!A:A=$A309),
   MATCH($H309, FILTER(Shipping_Rate_Card!B:B, Shipping_Rate_Card!A:A=$A309), 1),
   IF( INDEX(Config!B:B, MATCH($A309, Config!A:A, 0))=""Local"", 2,
     IF( INDEX(Config!B"&amp;":B, MATCH($A309, Config!A:A, 0))=""Regional"", 3, 4 )
   )
 ),
"""")
"),67.0)</f>
        <v>67</v>
      </c>
      <c r="J309" s="16">
        <f>IFERROR(__xludf.DUMMYFUNCTION("IFERROR(
 ( E309 * INDEX(FILTER(Pricing_Rules!E:E, Pricing_Rules!A:A=A309, Pricing_Rules!B:B=B309, Pricing_Rules!C:C&lt;=E309, Pricing_Rules!D:D&gt;=E309), 1)
   + INDEX(FILTER(Pricing_Rules!F:F, Pricing_Rules!A:A=A309, Pricing_Rules!B:B=B309, Pricing_Rules!C:C"&amp;"&lt;=E309, Pricing_Rules!D:D&gt;=E309), 1)
 )
 * (1 + IFERROR( INDEX(Config!D:D, MATCH(A309, Config!A:A, 0)), 0 )),
"""")
"),5.8999999999999995)</f>
        <v>5.9</v>
      </c>
      <c r="K309" s="19">
        <f t="shared" si="3"/>
        <v>-74.9</v>
      </c>
      <c r="L309" s="20" t="str">
        <f t="shared" si="4"/>
        <v/>
      </c>
    </row>
    <row r="310" ht="15.75" customHeight="1">
      <c r="A310" s="9" t="s">
        <v>9</v>
      </c>
      <c r="B310" s="12" t="str">
        <f t="array" ref="B310">XLOOKUP(C310, Channel_Listings!C:C, Channel_Listings!B:B)
</f>
        <v>Apparel_Caps_Beanies</v>
      </c>
      <c r="C310" s="23" t="s">
        <v>368</v>
      </c>
      <c r="D310" s="14" t="str">
        <f t="array" ref="D310">XLOOKUP(C310, Channel_Listings!C:C, Channel_Listings!D:D)
</f>
        <v>CAP-BASEBALL-NY-PO2-GREYBLACK</v>
      </c>
      <c r="E310" s="15"/>
      <c r="F310" s="16">
        <f t="array" ref="F310">IFERROR(
  VALUE( INDEX(Product_Master!$I:$I,
               MATCH( INDEX(Pack_Master!$B:$B, MATCH($D310, Pack_Master!$A:$A, 0)),
                      Product_Master!$B:$B, 0)
  )) 
  * VALUE( INDEX(Pack_Master!$C:$C, MATCH($D310, Pack_Master!$A:$A, 0)) )
  + VALUE( INDEX(Pack_Master!$D:$D, MATCH($D310, Pack_Master!$A:$A, 0)) ),
"")
</f>
        <v>2</v>
      </c>
      <c r="G310" s="17">
        <f t="array" ref="G310">IFERROR(
 ( INDEX(Pack_Master!E:E, MATCH($D310, Pack_Master!A:A, 0))
   * INDEX(Pack_Master!F:F, MATCH($D310, Pack_Master!A:A, 0))
   * INDEX(Pack_Master!G:G, MATCH($D310, Pack_Master!A:A, 0))
 ) / INDEX(Config!C:C, MATCH($A310, Config!A:A, 0)),
"")
</f>
        <v>0.375</v>
      </c>
      <c r="H310" s="17">
        <f t="array" ref="H310">MAX( INDEX(Pack_Master!H:H, MATCH($D310, Pack_Master!A:A, 0)),
      IFERROR(G310, 0) )
</f>
        <v>0.5</v>
      </c>
      <c r="I310" s="18">
        <f>IFERROR(__xludf.DUMMYFUNCTION("IFERROR(
 INDEX(
   FILTER(Shipping_Rate_Card!B:F, Shipping_Rate_Card!A:A=$A310),
   MATCH($H310, FILTER(Shipping_Rate_Card!B:B, Shipping_Rate_Card!A:A=$A310), 1),
   IF( INDEX(Config!B:B, MATCH($A310, Config!A:A, 0))=""Local"", 2,
     IF( INDEX(Config!B"&amp;":B, MATCH($A310, Config!A:A, 0))=""Regional"", 3, 4 )
   )
 ),
"""")
"),67.0)</f>
        <v>67</v>
      </c>
      <c r="J310" s="16">
        <f>IFERROR(__xludf.DUMMYFUNCTION("IFERROR(
 ( E310 * INDEX(FILTER(Pricing_Rules!E:E, Pricing_Rules!A:A=A310, Pricing_Rules!B:B=B310, Pricing_Rules!C:C&lt;=E310, Pricing_Rules!D:D&gt;=E310), 1)
   + INDEX(FILTER(Pricing_Rules!F:F, Pricing_Rules!A:A=A310, Pricing_Rules!B:B=B310, Pricing_Rules!C:C"&amp;"&lt;=E310, Pricing_Rules!D:D&gt;=E310), 1)
 )
 * (1 + IFERROR( INDEX(Config!D:D, MATCH(A310, Config!A:A, 0)), 0 )),
"""")
"),5.8999999999999995)</f>
        <v>5.9</v>
      </c>
      <c r="K310" s="19">
        <f t="shared" si="3"/>
        <v>-74.9</v>
      </c>
      <c r="L310" s="20" t="str">
        <f t="shared" si="4"/>
        <v/>
      </c>
    </row>
    <row r="311" ht="15.75" customHeight="1">
      <c r="A311" s="9" t="s">
        <v>9</v>
      </c>
      <c r="B311" s="12" t="str">
        <f t="array" ref="B311">XLOOKUP(C311, Channel_Listings!C:C, Channel_Listings!B:B)
</f>
        <v>Apparel_Caps_Beanies</v>
      </c>
      <c r="C311" s="23" t="s">
        <v>369</v>
      </c>
      <c r="D311" s="14" t="str">
        <f t="array" ref="D311">XLOOKUP(C311, Channel_Listings!C:C, Channel_Listings!D:D)
</f>
        <v>CAP-BASEBALL-NY-PO2-WHITEBLACK</v>
      </c>
      <c r="E311" s="15"/>
      <c r="F311" s="16">
        <f t="array" ref="F311">IFERROR(
  VALUE( INDEX(Product_Master!$I:$I,
               MATCH( INDEX(Pack_Master!$B:$B, MATCH($D311, Pack_Master!$A:$A, 0)),
                      Product_Master!$B:$B, 0)
  )) 
  * VALUE( INDEX(Pack_Master!$C:$C, MATCH($D311, Pack_Master!$A:$A, 0)) )
  + VALUE( INDEX(Pack_Master!$D:$D, MATCH($D311, Pack_Master!$A:$A, 0)) ),
"")
</f>
        <v>2</v>
      </c>
      <c r="G311" s="17">
        <f t="array" ref="G311">IFERROR(
 ( INDEX(Pack_Master!E:E, MATCH($D311, Pack_Master!A:A, 0))
   * INDEX(Pack_Master!F:F, MATCH($D311, Pack_Master!A:A, 0))
   * INDEX(Pack_Master!G:G, MATCH($D311, Pack_Master!A:A, 0))
 ) / INDEX(Config!C:C, MATCH($A311, Config!A:A, 0)),
"")
</f>
        <v>0.375</v>
      </c>
      <c r="H311" s="17">
        <f t="array" ref="H311">MAX( INDEX(Pack_Master!H:H, MATCH($D311, Pack_Master!A:A, 0)),
      IFERROR(G311, 0) )
</f>
        <v>0.5</v>
      </c>
      <c r="I311" s="18">
        <f>IFERROR(__xludf.DUMMYFUNCTION("IFERROR(
 INDEX(
   FILTER(Shipping_Rate_Card!B:F, Shipping_Rate_Card!A:A=$A311),
   MATCH($H311, FILTER(Shipping_Rate_Card!B:B, Shipping_Rate_Card!A:A=$A311), 1),
   IF( INDEX(Config!B:B, MATCH($A311, Config!A:A, 0))=""Local"", 2,
     IF( INDEX(Config!B"&amp;":B, MATCH($A311, Config!A:A, 0))=""Regional"", 3, 4 )
   )
 ),
"""")
"),67.0)</f>
        <v>67</v>
      </c>
      <c r="J311" s="16">
        <f>IFERROR(__xludf.DUMMYFUNCTION("IFERROR(
 ( E311 * INDEX(FILTER(Pricing_Rules!E:E, Pricing_Rules!A:A=A311, Pricing_Rules!B:B=B311, Pricing_Rules!C:C&lt;=E311, Pricing_Rules!D:D&gt;=E311), 1)
   + INDEX(FILTER(Pricing_Rules!F:F, Pricing_Rules!A:A=A311, Pricing_Rules!B:B=B311, Pricing_Rules!C:C"&amp;"&lt;=E311, Pricing_Rules!D:D&gt;=E311), 1)
 )
 * (1 + IFERROR( INDEX(Config!D:D, MATCH(A311, Config!A:A, 0)), 0 )),
"""")
"),5.8999999999999995)</f>
        <v>5.9</v>
      </c>
      <c r="K311" s="19">
        <f t="shared" si="3"/>
        <v>-74.9</v>
      </c>
      <c r="L311" s="20" t="str">
        <f t="shared" si="4"/>
        <v/>
      </c>
    </row>
    <row r="312" ht="15.75" customHeight="1">
      <c r="A312" s="9" t="s">
        <v>9</v>
      </c>
      <c r="B312" s="12" t="str">
        <f t="array" ref="B312">XLOOKUP(C312, Channel_Listings!C:C, Channel_Listings!B:B)
</f>
        <v>Apparel_Caps_Beanies</v>
      </c>
      <c r="C312" s="23" t="s">
        <v>371</v>
      </c>
      <c r="D312" s="14" t="str">
        <f t="array" ref="D312">XLOOKUP(C312, Channel_Listings!C:C, Channel_Listings!D:D)
</f>
        <v>CAP-BASEBALL-NY-WHITEBLACK</v>
      </c>
      <c r="E312" s="15"/>
      <c r="F312" s="16">
        <f t="array" ref="F312">IFERROR(
  VALUE( INDEX(Product_Master!$I:$I,
               MATCH( INDEX(Pack_Master!$B:$B, MATCH($D312, Pack_Master!$A:$A, 0)),
                      Product_Master!$B:$B, 0)
  )) 
  * VALUE( INDEX(Pack_Master!$C:$C, MATCH($D312, Pack_Master!$A:$A, 0)) )
  + VALUE( INDEX(Pack_Master!$D:$D, MATCH($D312, Pack_Master!$A:$A, 0)) ),
"")
</f>
        <v>2</v>
      </c>
      <c r="G312" s="17">
        <f t="array" ref="G312">IFERROR(
 ( INDEX(Pack_Master!E:E, MATCH($D312, Pack_Master!A:A, 0))
   * INDEX(Pack_Master!F:F, MATCH($D312, Pack_Master!A:A, 0))
   * INDEX(Pack_Master!G:G, MATCH($D312, Pack_Master!A:A, 0))
 ) / INDEX(Config!C:C, MATCH($A312, Config!A:A, 0)),
"")
</f>
        <v>0.375</v>
      </c>
      <c r="H312" s="17">
        <f t="array" ref="H312">MAX( INDEX(Pack_Master!H:H, MATCH($D312, Pack_Master!A:A, 0)),
      IFERROR(G312, 0) )
</f>
        <v>0.5</v>
      </c>
      <c r="I312" s="18">
        <f>IFERROR(__xludf.DUMMYFUNCTION("IFERROR(
 INDEX(
   FILTER(Shipping_Rate_Card!B:F, Shipping_Rate_Card!A:A=$A312),
   MATCH($H312, FILTER(Shipping_Rate_Card!B:B, Shipping_Rate_Card!A:A=$A312), 1),
   IF( INDEX(Config!B:B, MATCH($A312, Config!A:A, 0))=""Local"", 2,
     IF( INDEX(Config!B"&amp;":B, MATCH($A312, Config!A:A, 0))=""Regional"", 3, 4 )
   )
 ),
"""")
"),67.0)</f>
        <v>67</v>
      </c>
      <c r="J312" s="16">
        <f>IFERROR(__xludf.DUMMYFUNCTION("IFERROR(
 ( E312 * INDEX(FILTER(Pricing_Rules!E:E, Pricing_Rules!A:A=A312, Pricing_Rules!B:B=B312, Pricing_Rules!C:C&lt;=E312, Pricing_Rules!D:D&gt;=E312), 1)
   + INDEX(FILTER(Pricing_Rules!F:F, Pricing_Rules!A:A=A312, Pricing_Rules!B:B=B312, Pricing_Rules!C:C"&amp;"&lt;=E312, Pricing_Rules!D:D&gt;=E312), 1)
 )
 * (1 + IFERROR( INDEX(Config!D:D, MATCH(A312, Config!A:A, 0)), 0 )),
"""")
"),5.8999999999999995)</f>
        <v>5.9</v>
      </c>
      <c r="K312" s="19">
        <f t="shared" si="3"/>
        <v>-74.9</v>
      </c>
      <c r="L312" s="20" t="str">
        <f t="shared" si="4"/>
        <v/>
      </c>
    </row>
    <row r="313" ht="15.75" customHeight="1">
      <c r="A313" s="9" t="s">
        <v>9</v>
      </c>
      <c r="B313" s="12" t="str">
        <f t="array" ref="B313">XLOOKUP(C313, Channel_Listings!C:C, Channel_Listings!B:B)
</f>
        <v>Apparel_Caps_Beanies</v>
      </c>
      <c r="C313" s="23" t="s">
        <v>374</v>
      </c>
      <c r="D313" s="14" t="str">
        <f t="array" ref="D313">XLOOKUP(C313, Channel_Listings!C:C, Channel_Listings!D:D)
</f>
        <v>CAP-BASEBALL-PLAIN-AQUA</v>
      </c>
      <c r="E313" s="15"/>
      <c r="F313" s="16">
        <f t="array" ref="F313">IFERROR(
  VALUE( INDEX(Product_Master!$I:$I,
               MATCH( INDEX(Pack_Master!$B:$B, MATCH($D313, Pack_Master!$A:$A, 0)),
                      Product_Master!$B:$B, 0)
  )) 
  * VALUE( INDEX(Pack_Master!$C:$C, MATCH($D313, Pack_Master!$A:$A, 0)) )
  + VALUE( INDEX(Pack_Master!$D:$D, MATCH($D313, Pack_Master!$A:$A, 0)) ),
"")
</f>
        <v>89</v>
      </c>
      <c r="G313" s="17">
        <f t="array" ref="G313">IFERROR(
 ( INDEX(Pack_Master!E:E, MATCH($D313, Pack_Master!A:A, 0))
   * INDEX(Pack_Master!F:F, MATCH($D313, Pack_Master!A:A, 0))
   * INDEX(Pack_Master!G:G, MATCH($D313, Pack_Master!A:A, 0))
 ) / INDEX(Config!C:C, MATCH($A313, Config!A:A, 0)),
"")
</f>
        <v>0.375</v>
      </c>
      <c r="H313" s="17">
        <f t="array" ref="H313">MAX( INDEX(Pack_Master!H:H, MATCH($D313, Pack_Master!A:A, 0)),
      IFERROR(G313, 0) )
</f>
        <v>0.5</v>
      </c>
      <c r="I313" s="18">
        <f>IFERROR(__xludf.DUMMYFUNCTION("IFERROR(
 INDEX(
   FILTER(Shipping_Rate_Card!B:F, Shipping_Rate_Card!A:A=$A313),
   MATCH($H313, FILTER(Shipping_Rate_Card!B:B, Shipping_Rate_Card!A:A=$A313), 1),
   IF( INDEX(Config!B:B, MATCH($A313, Config!A:A, 0))=""Local"", 2,
     IF( INDEX(Config!B"&amp;":B, MATCH($A313, Config!A:A, 0))=""Regional"", 3, 4 )
   )
 ),
"""")
"),67.0)</f>
        <v>67</v>
      </c>
      <c r="J313" s="16">
        <f>IFERROR(__xludf.DUMMYFUNCTION("IFERROR(
 ( E313 * INDEX(FILTER(Pricing_Rules!E:E, Pricing_Rules!A:A=A313, Pricing_Rules!B:B=B313, Pricing_Rules!C:C&lt;=E313, Pricing_Rules!D:D&gt;=E313), 1)
   + INDEX(FILTER(Pricing_Rules!F:F, Pricing_Rules!A:A=A313, Pricing_Rules!B:B=B313, Pricing_Rules!C:C"&amp;"&lt;=E313, Pricing_Rules!D:D&gt;=E313), 1)
 )
 * (1 + IFERROR( INDEX(Config!D:D, MATCH(A313, Config!A:A, 0)), 0 )),
"""")
"),5.8999999999999995)</f>
        <v>5.9</v>
      </c>
      <c r="K313" s="19">
        <f t="shared" si="3"/>
        <v>-161.9</v>
      </c>
      <c r="L313" s="20" t="str">
        <f t="shared" si="4"/>
        <v/>
      </c>
    </row>
    <row r="314" ht="15.75" customHeight="1">
      <c r="A314" s="9" t="s">
        <v>9</v>
      </c>
      <c r="B314" s="12" t="str">
        <f t="array" ref="B314">XLOOKUP(C314, Channel_Listings!C:C, Channel_Listings!B:B)
</f>
        <v>Apparel_Caps_Beanies</v>
      </c>
      <c r="C314" s="23" t="s">
        <v>375</v>
      </c>
      <c r="D314" s="14" t="str">
        <f t="array" ref="D314">XLOOKUP(C314, Channel_Listings!C:C, Channel_Listings!D:D)
</f>
        <v>CAP-BASEBALL-PLAIN-CAMOUFLAGE</v>
      </c>
      <c r="E314" s="15"/>
      <c r="F314" s="16">
        <f t="array" ref="F314">IFERROR(
  VALUE( INDEX(Product_Master!$I:$I,
               MATCH( INDEX(Pack_Master!$B:$B, MATCH($D314, Pack_Master!$A:$A, 0)),
                      Product_Master!$B:$B, 0)
  )) 
  * VALUE( INDEX(Pack_Master!$C:$C, MATCH($D314, Pack_Master!$A:$A, 0)) )
  + VALUE( INDEX(Pack_Master!$D:$D, MATCH($D314, Pack_Master!$A:$A, 0)) ),
"")
</f>
        <v>89</v>
      </c>
      <c r="G314" s="17">
        <f t="array" ref="G314">IFERROR(
 ( INDEX(Pack_Master!E:E, MATCH($D314, Pack_Master!A:A, 0))
   * INDEX(Pack_Master!F:F, MATCH($D314, Pack_Master!A:A, 0))
   * INDEX(Pack_Master!G:G, MATCH($D314, Pack_Master!A:A, 0))
 ) / INDEX(Config!C:C, MATCH($A314, Config!A:A, 0)),
"")
</f>
        <v>0.375</v>
      </c>
      <c r="H314" s="17">
        <f t="array" ref="H314">MAX( INDEX(Pack_Master!H:H, MATCH($D314, Pack_Master!A:A, 0)),
      IFERROR(G314, 0) )
</f>
        <v>0.5</v>
      </c>
      <c r="I314" s="18">
        <f>IFERROR(__xludf.DUMMYFUNCTION("IFERROR(
 INDEX(
   FILTER(Shipping_Rate_Card!B:F, Shipping_Rate_Card!A:A=$A314),
   MATCH($H314, FILTER(Shipping_Rate_Card!B:B, Shipping_Rate_Card!A:A=$A314), 1),
   IF( INDEX(Config!B:B, MATCH($A314, Config!A:A, 0))=""Local"", 2,
     IF( INDEX(Config!B"&amp;":B, MATCH($A314, Config!A:A, 0))=""Regional"", 3, 4 )
   )
 ),
"""")
"),67.0)</f>
        <v>67</v>
      </c>
      <c r="J314" s="16">
        <f>IFERROR(__xludf.DUMMYFUNCTION("IFERROR(
 ( E314 * INDEX(FILTER(Pricing_Rules!E:E, Pricing_Rules!A:A=A314, Pricing_Rules!B:B=B314, Pricing_Rules!C:C&lt;=E314, Pricing_Rules!D:D&gt;=E314), 1)
   + INDEX(FILTER(Pricing_Rules!F:F, Pricing_Rules!A:A=A314, Pricing_Rules!B:B=B314, Pricing_Rules!C:C"&amp;"&lt;=E314, Pricing_Rules!D:D&gt;=E314), 1)
 )
 * (1 + IFERROR( INDEX(Config!D:D, MATCH(A314, Config!A:A, 0)), 0 )),
"""")
"),5.8999999999999995)</f>
        <v>5.9</v>
      </c>
      <c r="K314" s="19">
        <f t="shared" si="3"/>
        <v>-161.9</v>
      </c>
      <c r="L314" s="20" t="str">
        <f t="shared" si="4"/>
        <v/>
      </c>
    </row>
    <row r="315" ht="15.75" customHeight="1">
      <c r="A315" s="9" t="s">
        <v>9</v>
      </c>
      <c r="B315" s="12" t="str">
        <f t="array" ref="B315">XLOOKUP(C315, Channel_Listings!C:C, Channel_Listings!B:B)
</f>
        <v>Apparel_Caps_Beanies</v>
      </c>
      <c r="C315" s="23" t="s">
        <v>377</v>
      </c>
      <c r="D315" s="14" t="str">
        <f t="array" ref="D315">XLOOKUP(C315, Channel_Listings!C:C, Channel_Listings!D:D)
</f>
        <v>CAP-BASEBALL-PLAIN-BEIGE</v>
      </c>
      <c r="E315" s="15"/>
      <c r="F315" s="16">
        <f t="array" ref="F315">IFERROR(
  VALUE( INDEX(Product_Master!$I:$I,
               MATCH( INDEX(Pack_Master!$B:$B, MATCH($D315, Pack_Master!$A:$A, 0)),
                      Product_Master!$B:$B, 0)
  )) 
  * VALUE( INDEX(Pack_Master!$C:$C, MATCH($D315, Pack_Master!$A:$A, 0)) )
  + VALUE( INDEX(Pack_Master!$D:$D, MATCH($D315, Pack_Master!$A:$A, 0)) ),
"")
</f>
        <v>89</v>
      </c>
      <c r="G315" s="17">
        <f t="array" ref="G315">IFERROR(
 ( INDEX(Pack_Master!E:E, MATCH($D315, Pack_Master!A:A, 0))
   * INDEX(Pack_Master!F:F, MATCH($D315, Pack_Master!A:A, 0))
   * INDEX(Pack_Master!G:G, MATCH($D315, Pack_Master!A:A, 0))
 ) / INDEX(Config!C:C, MATCH($A315, Config!A:A, 0)),
"")
</f>
        <v>0.375</v>
      </c>
      <c r="H315" s="17">
        <f t="array" ref="H315">MAX( INDEX(Pack_Master!H:H, MATCH($D315, Pack_Master!A:A, 0)),
      IFERROR(G315, 0) )
</f>
        <v>0.5</v>
      </c>
      <c r="I315" s="18">
        <f>IFERROR(__xludf.DUMMYFUNCTION("IFERROR(
 INDEX(
   FILTER(Shipping_Rate_Card!B:F, Shipping_Rate_Card!A:A=$A315),
   MATCH($H315, FILTER(Shipping_Rate_Card!B:B, Shipping_Rate_Card!A:A=$A315), 1),
   IF( INDEX(Config!B:B, MATCH($A315, Config!A:A, 0))=""Local"", 2,
     IF( INDEX(Config!B"&amp;":B, MATCH($A315, Config!A:A, 0))=""Regional"", 3, 4 )
   )
 ),
"""")
"),67.0)</f>
        <v>67</v>
      </c>
      <c r="J315" s="16">
        <f>IFERROR(__xludf.DUMMYFUNCTION("IFERROR(
 ( E315 * INDEX(FILTER(Pricing_Rules!E:E, Pricing_Rules!A:A=A315, Pricing_Rules!B:B=B315, Pricing_Rules!C:C&lt;=E315, Pricing_Rules!D:D&gt;=E315), 1)
   + INDEX(FILTER(Pricing_Rules!F:F, Pricing_Rules!A:A=A315, Pricing_Rules!B:B=B315, Pricing_Rules!C:C"&amp;"&lt;=E315, Pricing_Rules!D:D&gt;=E315), 1)
 )
 * (1 + IFERROR( INDEX(Config!D:D, MATCH(A315, Config!A:A, 0)), 0 )),
"""")
"),5.8999999999999995)</f>
        <v>5.9</v>
      </c>
      <c r="K315" s="19">
        <f t="shared" si="3"/>
        <v>-161.9</v>
      </c>
      <c r="L315" s="20" t="str">
        <f t="shared" si="4"/>
        <v/>
      </c>
    </row>
    <row r="316" ht="15.75" customHeight="1">
      <c r="A316" s="9" t="s">
        <v>9</v>
      </c>
      <c r="B316" s="12" t="str">
        <f t="array" ref="B316">XLOOKUP(C316, Channel_Listings!C:C, Channel_Listings!B:B)
</f>
        <v>Apparel_Caps_Beanies</v>
      </c>
      <c r="C316" s="23" t="s">
        <v>378</v>
      </c>
      <c r="D316" s="14" t="str">
        <f t="array" ref="D316">XLOOKUP(C316, Channel_Listings!C:C, Channel_Listings!D:D)
</f>
        <v>CAP-BASEBALL-PLAIN-CHARCOAL</v>
      </c>
      <c r="E316" s="15"/>
      <c r="F316" s="16">
        <f t="array" ref="F316">IFERROR(
  VALUE( INDEX(Product_Master!$I:$I,
               MATCH( INDEX(Pack_Master!$B:$B, MATCH($D316, Pack_Master!$A:$A, 0)),
                      Product_Master!$B:$B, 0)
  )) 
  * VALUE( INDEX(Pack_Master!$C:$C, MATCH($D316, Pack_Master!$A:$A, 0)) )
  + VALUE( INDEX(Pack_Master!$D:$D, MATCH($D316, Pack_Master!$A:$A, 0)) ),
"")
</f>
        <v>89</v>
      </c>
      <c r="G316" s="17">
        <f t="array" ref="G316">IFERROR(
 ( INDEX(Pack_Master!E:E, MATCH($D316, Pack_Master!A:A, 0))
   * INDEX(Pack_Master!F:F, MATCH($D316, Pack_Master!A:A, 0))
   * INDEX(Pack_Master!G:G, MATCH($D316, Pack_Master!A:A, 0))
 ) / INDEX(Config!C:C, MATCH($A316, Config!A:A, 0)),
"")
</f>
        <v>0.375</v>
      </c>
      <c r="H316" s="17">
        <f t="array" ref="H316">MAX( INDEX(Pack_Master!H:H, MATCH($D316, Pack_Master!A:A, 0)),
      IFERROR(G316, 0) )
</f>
        <v>0.5</v>
      </c>
      <c r="I316" s="18">
        <f>IFERROR(__xludf.DUMMYFUNCTION("IFERROR(
 INDEX(
   FILTER(Shipping_Rate_Card!B:F, Shipping_Rate_Card!A:A=$A316),
   MATCH($H316, FILTER(Shipping_Rate_Card!B:B, Shipping_Rate_Card!A:A=$A316), 1),
   IF( INDEX(Config!B:B, MATCH($A316, Config!A:A, 0))=""Local"", 2,
     IF( INDEX(Config!B"&amp;":B, MATCH($A316, Config!A:A, 0))=""Regional"", 3, 4 )
   )
 ),
"""")
"),67.0)</f>
        <v>67</v>
      </c>
      <c r="J316" s="16">
        <f>IFERROR(__xludf.DUMMYFUNCTION("IFERROR(
 ( E316 * INDEX(FILTER(Pricing_Rules!E:E, Pricing_Rules!A:A=A316, Pricing_Rules!B:B=B316, Pricing_Rules!C:C&lt;=E316, Pricing_Rules!D:D&gt;=E316), 1)
   + INDEX(FILTER(Pricing_Rules!F:F, Pricing_Rules!A:A=A316, Pricing_Rules!B:B=B316, Pricing_Rules!C:C"&amp;"&lt;=E316, Pricing_Rules!D:D&gt;=E316), 1)
 )
 * (1 + IFERROR( INDEX(Config!D:D, MATCH(A316, Config!A:A, 0)), 0 )),
"""")
"),5.8999999999999995)</f>
        <v>5.9</v>
      </c>
      <c r="K316" s="19">
        <f t="shared" si="3"/>
        <v>-161.9</v>
      </c>
      <c r="L316" s="20" t="str">
        <f t="shared" si="4"/>
        <v/>
      </c>
    </row>
    <row r="317" ht="15.75" customHeight="1">
      <c r="A317" s="9" t="s">
        <v>9</v>
      </c>
      <c r="B317" s="12" t="str">
        <f t="array" ref="B317">XLOOKUP(C317, Channel_Listings!C:C, Channel_Listings!B:B)
</f>
        <v>Apparel_Caps_Beanies</v>
      </c>
      <c r="C317" s="22" t="s">
        <v>379</v>
      </c>
      <c r="D317" s="14" t="str">
        <f t="array" ref="D317">XLOOKUP(C317, Channel_Listings!C:C, Channel_Listings!D:D)
</f>
        <v>CAP-BASEBALL-PLAIN-GREY</v>
      </c>
      <c r="E317" s="15"/>
      <c r="F317" s="16">
        <f t="array" ref="F317">IFERROR(
  VALUE( INDEX(Product_Master!$I:$I,
               MATCH( INDEX(Pack_Master!$B:$B, MATCH($D317, Pack_Master!$A:$A, 0)),
                      Product_Master!$B:$B, 0)
  )) 
  * VALUE( INDEX(Pack_Master!$C:$C, MATCH($D317, Pack_Master!$A:$A, 0)) )
  + VALUE( INDEX(Pack_Master!$D:$D, MATCH($D317, Pack_Master!$A:$A, 0)) ),
"")
</f>
        <v>89</v>
      </c>
      <c r="G317" s="17">
        <f t="array" ref="G317">IFERROR(
 ( INDEX(Pack_Master!E:E, MATCH($D317, Pack_Master!A:A, 0))
   * INDEX(Pack_Master!F:F, MATCH($D317, Pack_Master!A:A, 0))
   * INDEX(Pack_Master!G:G, MATCH($D317, Pack_Master!A:A, 0))
 ) / INDEX(Config!C:C, MATCH($A317, Config!A:A, 0)),
"")
</f>
        <v>0.375</v>
      </c>
      <c r="H317" s="17">
        <f t="array" ref="H317">MAX( INDEX(Pack_Master!H:H, MATCH($D317, Pack_Master!A:A, 0)),
      IFERROR(G317, 0) )
</f>
        <v>0.5</v>
      </c>
      <c r="I317" s="18">
        <f>IFERROR(__xludf.DUMMYFUNCTION("IFERROR(
 INDEX(
   FILTER(Shipping_Rate_Card!B:F, Shipping_Rate_Card!A:A=$A317),
   MATCH($H317, FILTER(Shipping_Rate_Card!B:B, Shipping_Rate_Card!A:A=$A317), 1),
   IF( INDEX(Config!B:B, MATCH($A317, Config!A:A, 0))=""Local"", 2,
     IF( INDEX(Config!B"&amp;":B, MATCH($A317, Config!A:A, 0))=""Regional"", 3, 4 )
   )
 ),
"""")
"),67.0)</f>
        <v>67</v>
      </c>
      <c r="J317" s="16">
        <f>IFERROR(__xludf.DUMMYFUNCTION("IFERROR(
 ( E317 * INDEX(FILTER(Pricing_Rules!E:E, Pricing_Rules!A:A=A317, Pricing_Rules!B:B=B317, Pricing_Rules!C:C&lt;=E317, Pricing_Rules!D:D&gt;=E317), 1)
   + INDEX(FILTER(Pricing_Rules!F:F, Pricing_Rules!A:A=A317, Pricing_Rules!B:B=B317, Pricing_Rules!C:C"&amp;"&lt;=E317, Pricing_Rules!D:D&gt;=E317), 1)
 )
 * (1 + IFERROR( INDEX(Config!D:D, MATCH(A317, Config!A:A, 0)), 0 )),
"""")
"),5.8999999999999995)</f>
        <v>5.9</v>
      </c>
      <c r="K317" s="19">
        <f t="shared" si="3"/>
        <v>-161.9</v>
      </c>
      <c r="L317" s="20" t="str">
        <f t="shared" si="4"/>
        <v/>
      </c>
    </row>
    <row r="318" ht="15.75" customHeight="1">
      <c r="A318" s="9" t="s">
        <v>9</v>
      </c>
      <c r="B318" s="12" t="str">
        <f t="array" ref="B318">XLOOKUP(C318, Channel_Listings!C:C, Channel_Listings!B:B)
</f>
        <v>Apparel_Caps_Beanies</v>
      </c>
      <c r="C318" s="23" t="s">
        <v>380</v>
      </c>
      <c r="D318" s="14" t="str">
        <f t="array" ref="D318">XLOOKUP(C318, Channel_Listings!C:C, Channel_Listings!D:D)
</f>
        <v>CAP-BASEBALL-PLAIN-MAROON</v>
      </c>
      <c r="E318" s="15"/>
      <c r="F318" s="16">
        <f t="array" ref="F318">IFERROR(
  VALUE( INDEX(Product_Master!$I:$I,
               MATCH( INDEX(Pack_Master!$B:$B, MATCH($D318, Pack_Master!$A:$A, 0)),
                      Product_Master!$B:$B, 0)
  )) 
  * VALUE( INDEX(Pack_Master!$C:$C, MATCH($D318, Pack_Master!$A:$A, 0)) )
  + VALUE( INDEX(Pack_Master!$D:$D, MATCH($D318, Pack_Master!$A:$A, 0)) ),
"")
</f>
        <v>89</v>
      </c>
      <c r="G318" s="17">
        <f t="array" ref="G318">IFERROR(
 ( INDEX(Pack_Master!E:E, MATCH($D318, Pack_Master!A:A, 0))
   * INDEX(Pack_Master!F:F, MATCH($D318, Pack_Master!A:A, 0))
   * INDEX(Pack_Master!G:G, MATCH($D318, Pack_Master!A:A, 0))
 ) / INDEX(Config!C:C, MATCH($A318, Config!A:A, 0)),
"")
</f>
        <v>0.375</v>
      </c>
      <c r="H318" s="17">
        <f t="array" ref="H318">MAX( INDEX(Pack_Master!H:H, MATCH($D318, Pack_Master!A:A, 0)),
      IFERROR(G318, 0) )
</f>
        <v>0.5</v>
      </c>
      <c r="I318" s="18">
        <f>IFERROR(__xludf.DUMMYFUNCTION("IFERROR(
 INDEX(
   FILTER(Shipping_Rate_Card!B:F, Shipping_Rate_Card!A:A=$A318),
   MATCH($H318, FILTER(Shipping_Rate_Card!B:B, Shipping_Rate_Card!A:A=$A318), 1),
   IF( INDEX(Config!B:B, MATCH($A318, Config!A:A, 0))=""Local"", 2,
     IF( INDEX(Config!B"&amp;":B, MATCH($A318, Config!A:A, 0))=""Regional"", 3, 4 )
   )
 ),
"""")
"),67.0)</f>
        <v>67</v>
      </c>
      <c r="J318" s="16">
        <f>IFERROR(__xludf.DUMMYFUNCTION("IFERROR(
 ( E318 * INDEX(FILTER(Pricing_Rules!E:E, Pricing_Rules!A:A=A318, Pricing_Rules!B:B=B318, Pricing_Rules!C:C&lt;=E318, Pricing_Rules!D:D&gt;=E318), 1)
   + INDEX(FILTER(Pricing_Rules!F:F, Pricing_Rules!A:A=A318, Pricing_Rules!B:B=B318, Pricing_Rules!C:C"&amp;"&lt;=E318, Pricing_Rules!D:D&gt;=E318), 1)
 )
 * (1 + IFERROR( INDEX(Config!D:D, MATCH(A318, Config!A:A, 0)), 0 )),
"""")
"),5.8999999999999995)</f>
        <v>5.9</v>
      </c>
      <c r="K318" s="19">
        <f t="shared" si="3"/>
        <v>-161.9</v>
      </c>
      <c r="L318" s="20" t="str">
        <f t="shared" si="4"/>
        <v/>
      </c>
    </row>
    <row r="319" ht="15.75" customHeight="1">
      <c r="A319" s="9" t="s">
        <v>9</v>
      </c>
      <c r="B319" s="12" t="str">
        <f t="array" ref="B319">XLOOKUP(C319, Channel_Listings!C:C, Channel_Listings!B:B)
</f>
        <v>Apparel_Caps_Beanies</v>
      </c>
      <c r="C319" s="23" t="s">
        <v>381</v>
      </c>
      <c r="D319" s="14" t="str">
        <f t="array" ref="D319">XLOOKUP(C319, Channel_Listings!C:C, Channel_Listings!D:D)
</f>
        <v>CAP-BASEBALL-PLAIN-MUSTARD</v>
      </c>
      <c r="E319" s="15"/>
      <c r="F319" s="16">
        <f t="array" ref="F319">IFERROR(
  VALUE( INDEX(Product_Master!$I:$I,
               MATCH( INDEX(Pack_Master!$B:$B, MATCH($D319, Pack_Master!$A:$A, 0)),
                      Product_Master!$B:$B, 0)
  )) 
  * VALUE( INDEX(Pack_Master!$C:$C, MATCH($D319, Pack_Master!$A:$A, 0)) )
  + VALUE( INDEX(Pack_Master!$D:$D, MATCH($D319, Pack_Master!$A:$A, 0)) ),
"")
</f>
        <v>89</v>
      </c>
      <c r="G319" s="17">
        <f t="array" ref="G319">IFERROR(
 ( INDEX(Pack_Master!E:E, MATCH($D319, Pack_Master!A:A, 0))
   * INDEX(Pack_Master!F:F, MATCH($D319, Pack_Master!A:A, 0))
   * INDEX(Pack_Master!G:G, MATCH($D319, Pack_Master!A:A, 0))
 ) / INDEX(Config!C:C, MATCH($A319, Config!A:A, 0)),
"")
</f>
        <v>0.375</v>
      </c>
      <c r="H319" s="17">
        <f t="array" ref="H319">MAX( INDEX(Pack_Master!H:H, MATCH($D319, Pack_Master!A:A, 0)),
      IFERROR(G319, 0) )
</f>
        <v>0.5</v>
      </c>
      <c r="I319" s="18">
        <f>IFERROR(__xludf.DUMMYFUNCTION("IFERROR(
 INDEX(
   FILTER(Shipping_Rate_Card!B:F, Shipping_Rate_Card!A:A=$A319),
   MATCH($H319, FILTER(Shipping_Rate_Card!B:B, Shipping_Rate_Card!A:A=$A319), 1),
   IF( INDEX(Config!B:B, MATCH($A319, Config!A:A, 0))=""Local"", 2,
     IF( INDEX(Config!B"&amp;":B, MATCH($A319, Config!A:A, 0))=""Regional"", 3, 4 )
   )
 ),
"""")
"),67.0)</f>
        <v>67</v>
      </c>
      <c r="J319" s="16">
        <f>IFERROR(__xludf.DUMMYFUNCTION("IFERROR(
 ( E319 * INDEX(FILTER(Pricing_Rules!E:E, Pricing_Rules!A:A=A319, Pricing_Rules!B:B=B319, Pricing_Rules!C:C&lt;=E319, Pricing_Rules!D:D&gt;=E319), 1)
   + INDEX(FILTER(Pricing_Rules!F:F, Pricing_Rules!A:A=A319, Pricing_Rules!B:B=B319, Pricing_Rules!C:C"&amp;"&lt;=E319, Pricing_Rules!D:D&gt;=E319), 1)
 )
 * (1 + IFERROR( INDEX(Config!D:D, MATCH(A319, Config!A:A, 0)), 0 )),
"""")
"),5.8999999999999995)</f>
        <v>5.9</v>
      </c>
      <c r="K319" s="19">
        <f t="shared" si="3"/>
        <v>-161.9</v>
      </c>
      <c r="L319" s="20" t="str">
        <f t="shared" si="4"/>
        <v/>
      </c>
    </row>
    <row r="320" ht="15.75" customHeight="1">
      <c r="A320" s="9" t="s">
        <v>9</v>
      </c>
      <c r="B320" s="12" t="str">
        <f t="array" ref="B320">XLOOKUP(C320, Channel_Listings!C:C, Channel_Listings!B:B)
</f>
        <v>Apparel_Caps_Beanies</v>
      </c>
      <c r="C320" s="22" t="s">
        <v>382</v>
      </c>
      <c r="D320" s="14" t="str">
        <f t="array" ref="D320">XLOOKUP(C320, Channel_Listings!C:C, Channel_Listings!D:D)
</f>
        <v>CAP-BASEBALL-PLAIN-NAVYBLUE</v>
      </c>
      <c r="E320" s="15"/>
      <c r="F320" s="16">
        <f t="array" ref="F320">IFERROR(
  VALUE( INDEX(Product_Master!$I:$I,
               MATCH( INDEX(Pack_Master!$B:$B, MATCH($D320, Pack_Master!$A:$A, 0)),
                      Product_Master!$B:$B, 0)
  )) 
  * VALUE( INDEX(Pack_Master!$C:$C, MATCH($D320, Pack_Master!$A:$A, 0)) )
  + VALUE( INDEX(Pack_Master!$D:$D, MATCH($D320, Pack_Master!$A:$A, 0)) ),
"")
</f>
        <v>89</v>
      </c>
      <c r="G320" s="17">
        <f t="array" ref="G320">IFERROR(
 ( INDEX(Pack_Master!E:E, MATCH($D320, Pack_Master!A:A, 0))
   * INDEX(Pack_Master!F:F, MATCH($D320, Pack_Master!A:A, 0))
   * INDEX(Pack_Master!G:G, MATCH($D320, Pack_Master!A:A, 0))
 ) / INDEX(Config!C:C, MATCH($A320, Config!A:A, 0)),
"")
</f>
        <v>0.375</v>
      </c>
      <c r="H320" s="17">
        <f t="array" ref="H320">MAX( INDEX(Pack_Master!H:H, MATCH($D320, Pack_Master!A:A, 0)),
      IFERROR(G320, 0) )
</f>
        <v>0.5</v>
      </c>
      <c r="I320" s="18">
        <f>IFERROR(__xludf.DUMMYFUNCTION("IFERROR(
 INDEX(
   FILTER(Shipping_Rate_Card!B:F, Shipping_Rate_Card!A:A=$A320),
   MATCH($H320, FILTER(Shipping_Rate_Card!B:B, Shipping_Rate_Card!A:A=$A320), 1),
   IF( INDEX(Config!B:B, MATCH($A320, Config!A:A, 0))=""Local"", 2,
     IF( INDEX(Config!B"&amp;":B, MATCH($A320, Config!A:A, 0))=""Regional"", 3, 4 )
   )
 ),
"""")
"),67.0)</f>
        <v>67</v>
      </c>
      <c r="J320" s="16">
        <f>IFERROR(__xludf.DUMMYFUNCTION("IFERROR(
 ( E320 * INDEX(FILTER(Pricing_Rules!E:E, Pricing_Rules!A:A=A320, Pricing_Rules!B:B=B320, Pricing_Rules!C:C&lt;=E320, Pricing_Rules!D:D&gt;=E320), 1)
   + INDEX(FILTER(Pricing_Rules!F:F, Pricing_Rules!A:A=A320, Pricing_Rules!B:B=B320, Pricing_Rules!C:C"&amp;"&lt;=E320, Pricing_Rules!D:D&gt;=E320), 1)
 )
 * (1 + IFERROR( INDEX(Config!D:D, MATCH(A320, Config!A:A, 0)), 0 )),
"""")
"),5.8999999999999995)</f>
        <v>5.9</v>
      </c>
      <c r="K320" s="19">
        <f t="shared" si="3"/>
        <v>-161.9</v>
      </c>
      <c r="L320" s="20" t="str">
        <f t="shared" si="4"/>
        <v/>
      </c>
    </row>
    <row r="321" ht="15.75" customHeight="1">
      <c r="A321" s="9" t="s">
        <v>9</v>
      </c>
      <c r="B321" s="12" t="str">
        <f t="array" ref="B321">XLOOKUP(C321, Channel_Listings!C:C, Channel_Listings!B:B)
</f>
        <v>Apparel_Caps_Beanies</v>
      </c>
      <c r="C321" s="23" t="s">
        <v>383</v>
      </c>
      <c r="D321" s="14" t="str">
        <f t="array" ref="D321">XLOOKUP(C321, Channel_Listings!C:C, Channel_Listings!D:D)
</f>
        <v>CAP-BASEBALL-PLAIN-OLIVEGREEN</v>
      </c>
      <c r="E321" s="15"/>
      <c r="F321" s="16">
        <f t="array" ref="F321">IFERROR(
  VALUE( INDEX(Product_Master!$I:$I,
               MATCH( INDEX(Pack_Master!$B:$B, MATCH($D321, Pack_Master!$A:$A, 0)),
                      Product_Master!$B:$B, 0)
  )) 
  * VALUE( INDEX(Pack_Master!$C:$C, MATCH($D321, Pack_Master!$A:$A, 0)) )
  + VALUE( INDEX(Pack_Master!$D:$D, MATCH($D321, Pack_Master!$A:$A, 0)) ),
"")
</f>
        <v>89</v>
      </c>
      <c r="G321" s="17">
        <f t="array" ref="G321">IFERROR(
 ( INDEX(Pack_Master!E:E, MATCH($D321, Pack_Master!A:A, 0))
   * INDEX(Pack_Master!F:F, MATCH($D321, Pack_Master!A:A, 0))
   * INDEX(Pack_Master!G:G, MATCH($D321, Pack_Master!A:A, 0))
 ) / INDEX(Config!C:C, MATCH($A321, Config!A:A, 0)),
"")
</f>
        <v>0.375</v>
      </c>
      <c r="H321" s="17">
        <f t="array" ref="H321">MAX( INDEX(Pack_Master!H:H, MATCH($D321, Pack_Master!A:A, 0)),
      IFERROR(G321, 0) )
</f>
        <v>0.5</v>
      </c>
      <c r="I321" s="18">
        <f>IFERROR(__xludf.DUMMYFUNCTION("IFERROR(
 INDEX(
   FILTER(Shipping_Rate_Card!B:F, Shipping_Rate_Card!A:A=$A321),
   MATCH($H321, FILTER(Shipping_Rate_Card!B:B, Shipping_Rate_Card!A:A=$A321), 1),
   IF( INDEX(Config!B:B, MATCH($A321, Config!A:A, 0))=""Local"", 2,
     IF( INDEX(Config!B"&amp;":B, MATCH($A321, Config!A:A, 0))=""Regional"", 3, 4 )
   )
 ),
"""")
"),67.0)</f>
        <v>67</v>
      </c>
      <c r="J321" s="16">
        <f>IFERROR(__xludf.DUMMYFUNCTION("IFERROR(
 ( E321 * INDEX(FILTER(Pricing_Rules!E:E, Pricing_Rules!A:A=A321, Pricing_Rules!B:B=B321, Pricing_Rules!C:C&lt;=E321, Pricing_Rules!D:D&gt;=E321), 1)
   + INDEX(FILTER(Pricing_Rules!F:F, Pricing_Rules!A:A=A321, Pricing_Rules!B:B=B321, Pricing_Rules!C:C"&amp;"&lt;=E321, Pricing_Rules!D:D&gt;=E321), 1)
 )
 * (1 + IFERROR( INDEX(Config!D:D, MATCH(A321, Config!A:A, 0)), 0 )),
"""")
"),5.8999999999999995)</f>
        <v>5.9</v>
      </c>
      <c r="K321" s="19">
        <f t="shared" si="3"/>
        <v>-161.9</v>
      </c>
      <c r="L321" s="20" t="str">
        <f t="shared" si="4"/>
        <v/>
      </c>
    </row>
    <row r="322" ht="15.75" customHeight="1">
      <c r="A322" s="9" t="s">
        <v>9</v>
      </c>
      <c r="B322" s="12" t="str">
        <f t="array" ref="B322">XLOOKUP(C322, Channel_Listings!C:C, Channel_Listings!B:B)
</f>
        <v>Apparel_Caps_Beanies</v>
      </c>
      <c r="C322" s="22" t="s">
        <v>384</v>
      </c>
      <c r="D322" s="14" t="str">
        <f t="array" ref="D322">XLOOKUP(C322, Channel_Listings!C:C, Channel_Listings!D:D)
</f>
        <v>CAP-BASEBALL-PLAIN-ORANGE</v>
      </c>
      <c r="E322" s="15"/>
      <c r="F322" s="16">
        <f t="array" ref="F322">IFERROR(
  VALUE( INDEX(Product_Master!$I:$I,
               MATCH( INDEX(Pack_Master!$B:$B, MATCH($D322, Pack_Master!$A:$A, 0)),
                      Product_Master!$B:$B, 0)
  )) 
  * VALUE( INDEX(Pack_Master!$C:$C, MATCH($D322, Pack_Master!$A:$A, 0)) )
  + VALUE( INDEX(Pack_Master!$D:$D, MATCH($D322, Pack_Master!$A:$A, 0)) ),
"")
</f>
        <v>89</v>
      </c>
      <c r="G322" s="17">
        <f t="array" ref="G322">IFERROR(
 ( INDEX(Pack_Master!E:E, MATCH($D322, Pack_Master!A:A, 0))
   * INDEX(Pack_Master!F:F, MATCH($D322, Pack_Master!A:A, 0))
   * INDEX(Pack_Master!G:G, MATCH($D322, Pack_Master!A:A, 0))
 ) / INDEX(Config!C:C, MATCH($A322, Config!A:A, 0)),
"")
</f>
        <v>0.375</v>
      </c>
      <c r="H322" s="17">
        <f t="array" ref="H322">MAX( INDEX(Pack_Master!H:H, MATCH($D322, Pack_Master!A:A, 0)),
      IFERROR(G322, 0) )
</f>
        <v>0.5</v>
      </c>
      <c r="I322" s="18">
        <f>IFERROR(__xludf.DUMMYFUNCTION("IFERROR(
 INDEX(
   FILTER(Shipping_Rate_Card!B:F, Shipping_Rate_Card!A:A=$A322),
   MATCH($H322, FILTER(Shipping_Rate_Card!B:B, Shipping_Rate_Card!A:A=$A322), 1),
   IF( INDEX(Config!B:B, MATCH($A322, Config!A:A, 0))=""Local"", 2,
     IF( INDEX(Config!B"&amp;":B, MATCH($A322, Config!A:A, 0))=""Regional"", 3, 4 )
   )
 ),
"""")
"),67.0)</f>
        <v>67</v>
      </c>
      <c r="J322" s="16">
        <f>IFERROR(__xludf.DUMMYFUNCTION("IFERROR(
 ( E322 * INDEX(FILTER(Pricing_Rules!E:E, Pricing_Rules!A:A=A322, Pricing_Rules!B:B=B322, Pricing_Rules!C:C&lt;=E322, Pricing_Rules!D:D&gt;=E322), 1)
   + INDEX(FILTER(Pricing_Rules!F:F, Pricing_Rules!A:A=A322, Pricing_Rules!B:B=B322, Pricing_Rules!C:C"&amp;"&lt;=E322, Pricing_Rules!D:D&gt;=E322), 1)
 )
 * (1 + IFERROR( INDEX(Config!D:D, MATCH(A322, Config!A:A, 0)), 0 )),
"""")
"),5.8999999999999995)</f>
        <v>5.9</v>
      </c>
      <c r="K322" s="19">
        <f t="shared" si="3"/>
        <v>-161.9</v>
      </c>
      <c r="L322" s="20" t="str">
        <f t="shared" si="4"/>
        <v/>
      </c>
    </row>
    <row r="323" ht="15.75" customHeight="1">
      <c r="A323" s="9" t="s">
        <v>9</v>
      </c>
      <c r="B323" s="12" t="str">
        <f t="array" ref="B323">XLOOKUP(C323, Channel_Listings!C:C, Channel_Listings!B:B)
</f>
        <v>Apparel_Caps_Beanies</v>
      </c>
      <c r="C323" s="23" t="s">
        <v>385</v>
      </c>
      <c r="D323" s="14" t="str">
        <f t="array" ref="D323">XLOOKUP(C323, Channel_Listings!C:C, Channel_Listings!D:D)
</f>
        <v>CAP-BASEBALL-PLAIN-SKYBLUE</v>
      </c>
      <c r="E323" s="15"/>
      <c r="F323" s="16">
        <f t="array" ref="F323">IFERROR(
  VALUE( INDEX(Product_Master!$I:$I,
               MATCH( INDEX(Pack_Master!$B:$B, MATCH($D323, Pack_Master!$A:$A, 0)),
                      Product_Master!$B:$B, 0)
  )) 
  * VALUE( INDEX(Pack_Master!$C:$C, MATCH($D323, Pack_Master!$A:$A, 0)) )
  + VALUE( INDEX(Pack_Master!$D:$D, MATCH($D323, Pack_Master!$A:$A, 0)) ),
"")
</f>
        <v>89</v>
      </c>
      <c r="G323" s="17">
        <f t="array" ref="G323">IFERROR(
 ( INDEX(Pack_Master!E:E, MATCH($D323, Pack_Master!A:A, 0))
   * INDEX(Pack_Master!F:F, MATCH($D323, Pack_Master!A:A, 0))
   * INDEX(Pack_Master!G:G, MATCH($D323, Pack_Master!A:A, 0))
 ) / INDEX(Config!C:C, MATCH($A323, Config!A:A, 0)),
"")
</f>
        <v>0.375</v>
      </c>
      <c r="H323" s="17">
        <f t="array" ref="H323">MAX( INDEX(Pack_Master!H:H, MATCH($D323, Pack_Master!A:A, 0)),
      IFERROR(G323, 0) )
</f>
        <v>0.5</v>
      </c>
      <c r="I323" s="18">
        <f>IFERROR(__xludf.DUMMYFUNCTION("IFERROR(
 INDEX(
   FILTER(Shipping_Rate_Card!B:F, Shipping_Rate_Card!A:A=$A323),
   MATCH($H323, FILTER(Shipping_Rate_Card!B:B, Shipping_Rate_Card!A:A=$A323), 1),
   IF( INDEX(Config!B:B, MATCH($A323, Config!A:A, 0))=""Local"", 2,
     IF( INDEX(Config!B"&amp;":B, MATCH($A323, Config!A:A, 0))=""Regional"", 3, 4 )
   )
 ),
"""")
"),67.0)</f>
        <v>67</v>
      </c>
      <c r="J323" s="16">
        <f>IFERROR(__xludf.DUMMYFUNCTION("IFERROR(
 ( E323 * INDEX(FILTER(Pricing_Rules!E:E, Pricing_Rules!A:A=A323, Pricing_Rules!B:B=B323, Pricing_Rules!C:C&lt;=E323, Pricing_Rules!D:D&gt;=E323), 1)
   + INDEX(FILTER(Pricing_Rules!F:F, Pricing_Rules!A:A=A323, Pricing_Rules!B:B=B323, Pricing_Rules!C:C"&amp;"&lt;=E323, Pricing_Rules!D:D&gt;=E323), 1)
 )
 * (1 + IFERROR( INDEX(Config!D:D, MATCH(A323, Config!A:A, 0)), 0 )),
"""")
"),5.8999999999999995)</f>
        <v>5.9</v>
      </c>
      <c r="K323" s="19">
        <f t="shared" si="3"/>
        <v>-161.9</v>
      </c>
      <c r="L323" s="20" t="str">
        <f t="shared" si="4"/>
        <v/>
      </c>
    </row>
    <row r="324" ht="15.75" customHeight="1">
      <c r="A324" s="9" t="s">
        <v>9</v>
      </c>
      <c r="B324" s="12" t="str">
        <f t="array" ref="B324">XLOOKUP(C324, Channel_Listings!C:C, Channel_Listings!B:B)
</f>
        <v>Apparel_Caps_Beanies</v>
      </c>
      <c r="C324" s="23" t="s">
        <v>386</v>
      </c>
      <c r="D324" s="14" t="str">
        <f t="array" ref="D324">XLOOKUP(C324, Channel_Listings!C:C, Channel_Listings!D:D)
</f>
        <v>CAP-DRYFIT-BLACK</v>
      </c>
      <c r="E324" s="15"/>
      <c r="F324" s="16">
        <f t="array" ref="F324">IFERROR(
  VALUE( INDEX(Product_Master!$I:$I,
               MATCH( INDEX(Pack_Master!$B:$B, MATCH($D324, Pack_Master!$A:$A, 0)),
                      Product_Master!$B:$B, 0)
  )) 
  * VALUE( INDEX(Pack_Master!$C:$C, MATCH($D324, Pack_Master!$A:$A, 0)) )
  + VALUE( INDEX(Pack_Master!$D:$D, MATCH($D324, Pack_Master!$A:$A, 0)) ),
"")
</f>
        <v>2</v>
      </c>
      <c r="G324" s="17">
        <f t="array" ref="G324">IFERROR(
 ( INDEX(Pack_Master!E:E, MATCH($D324, Pack_Master!A:A, 0))
   * INDEX(Pack_Master!F:F, MATCH($D324, Pack_Master!A:A, 0))
   * INDEX(Pack_Master!G:G, MATCH($D324, Pack_Master!A:A, 0))
 ) / INDEX(Config!C:C, MATCH($A324, Config!A:A, 0)),
"")
</f>
        <v>0.375</v>
      </c>
      <c r="H324" s="17">
        <f t="array" ref="H324">MAX( INDEX(Pack_Master!H:H, MATCH($D324, Pack_Master!A:A, 0)),
      IFERROR(G324, 0) )
</f>
        <v>0.5</v>
      </c>
      <c r="I324" s="18">
        <f>IFERROR(__xludf.DUMMYFUNCTION("IFERROR(
 INDEX(
   FILTER(Shipping_Rate_Card!B:F, Shipping_Rate_Card!A:A=$A324),
   MATCH($H324, FILTER(Shipping_Rate_Card!B:B, Shipping_Rate_Card!A:A=$A324), 1),
   IF( INDEX(Config!B:B, MATCH($A324, Config!A:A, 0))=""Local"", 2,
     IF( INDEX(Config!B"&amp;":B, MATCH($A324, Config!A:A, 0))=""Regional"", 3, 4 )
   )
 ),
"""")
"),67.0)</f>
        <v>67</v>
      </c>
      <c r="J324" s="16">
        <f>IFERROR(__xludf.DUMMYFUNCTION("IFERROR(
 ( E324 * INDEX(FILTER(Pricing_Rules!E:E, Pricing_Rules!A:A=A324, Pricing_Rules!B:B=B324, Pricing_Rules!C:C&lt;=E324, Pricing_Rules!D:D&gt;=E324), 1)
   + INDEX(FILTER(Pricing_Rules!F:F, Pricing_Rules!A:A=A324, Pricing_Rules!B:B=B324, Pricing_Rules!C:C"&amp;"&lt;=E324, Pricing_Rules!D:D&gt;=E324), 1)
 )
 * (1 + IFERROR( INDEX(Config!D:D, MATCH(A324, Config!A:A, 0)), 0 )),
"""")
"),5.8999999999999995)</f>
        <v>5.9</v>
      </c>
      <c r="K324" s="19">
        <f t="shared" si="3"/>
        <v>-74.9</v>
      </c>
      <c r="L324" s="20" t="str">
        <f t="shared" si="4"/>
        <v/>
      </c>
    </row>
    <row r="325" ht="15.75" customHeight="1">
      <c r="A325" s="9" t="s">
        <v>9</v>
      </c>
      <c r="B325" s="12" t="str">
        <f t="array" ref="B325">XLOOKUP(C325, Channel_Listings!C:C, Channel_Listings!B:B)
</f>
        <v>Apparel_Caps_Beanies</v>
      </c>
      <c r="C325" s="23" t="s">
        <v>388</v>
      </c>
      <c r="D325" s="14" t="str">
        <f t="array" ref="D325">XLOOKUP(C325, Channel_Listings!C:C, Channel_Listings!D:D)
</f>
        <v>CAP-DRYFIT-NAVYBLUE</v>
      </c>
      <c r="E325" s="15"/>
      <c r="F325" s="16">
        <f t="array" ref="F325">IFERROR(
  VALUE( INDEX(Product_Master!$I:$I,
               MATCH( INDEX(Pack_Master!$B:$B, MATCH($D325, Pack_Master!$A:$A, 0)),
                      Product_Master!$B:$B, 0)
  )) 
  * VALUE( INDEX(Pack_Master!$C:$C, MATCH($D325, Pack_Master!$A:$A, 0)) )
  + VALUE( INDEX(Pack_Master!$D:$D, MATCH($D325, Pack_Master!$A:$A, 0)) ),
"")
</f>
        <v>2</v>
      </c>
      <c r="G325" s="17">
        <f t="array" ref="G325">IFERROR(
 ( INDEX(Pack_Master!E:E, MATCH($D325, Pack_Master!A:A, 0))
   * INDEX(Pack_Master!F:F, MATCH($D325, Pack_Master!A:A, 0))
   * INDEX(Pack_Master!G:G, MATCH($D325, Pack_Master!A:A, 0))
 ) / INDEX(Config!C:C, MATCH($A325, Config!A:A, 0)),
"")
</f>
        <v>0.375</v>
      </c>
      <c r="H325" s="17">
        <f t="array" ref="H325">MAX( INDEX(Pack_Master!H:H, MATCH($D325, Pack_Master!A:A, 0)),
      IFERROR(G325, 0) )
</f>
        <v>0.5</v>
      </c>
      <c r="I325" s="18">
        <f>IFERROR(__xludf.DUMMYFUNCTION("IFERROR(
 INDEX(
   FILTER(Shipping_Rate_Card!B:F, Shipping_Rate_Card!A:A=$A325),
   MATCH($H325, FILTER(Shipping_Rate_Card!B:B, Shipping_Rate_Card!A:A=$A325), 1),
   IF( INDEX(Config!B:B, MATCH($A325, Config!A:A, 0))=""Local"", 2,
     IF( INDEX(Config!B"&amp;":B, MATCH($A325, Config!A:A, 0))=""Regional"", 3, 4 )
   )
 ),
"""")
"),67.0)</f>
        <v>67</v>
      </c>
      <c r="J325" s="16">
        <f>IFERROR(__xludf.DUMMYFUNCTION("IFERROR(
 ( E325 * INDEX(FILTER(Pricing_Rules!E:E, Pricing_Rules!A:A=A325, Pricing_Rules!B:B=B325, Pricing_Rules!C:C&lt;=E325, Pricing_Rules!D:D&gt;=E325), 1)
   + INDEX(FILTER(Pricing_Rules!F:F, Pricing_Rules!A:A=A325, Pricing_Rules!B:B=B325, Pricing_Rules!C:C"&amp;"&lt;=E325, Pricing_Rules!D:D&gt;=E325), 1)
 )
 * (1 + IFERROR( INDEX(Config!D:D, MATCH(A325, Config!A:A, 0)), 0 )),
"""")
"),5.8999999999999995)</f>
        <v>5.9</v>
      </c>
      <c r="K325" s="19">
        <f t="shared" si="3"/>
        <v>-74.9</v>
      </c>
      <c r="L325" s="20" t="str">
        <f t="shared" si="4"/>
        <v/>
      </c>
    </row>
    <row r="326" ht="15.75" customHeight="1">
      <c r="A326" s="9" t="s">
        <v>9</v>
      </c>
      <c r="B326" s="12" t="str">
        <f t="array" ref="B326">XLOOKUP(C326, Channel_Listings!C:C, Channel_Listings!B:B)
</f>
        <v>Apparel_Caps_Beanies</v>
      </c>
      <c r="C326" s="22" t="s">
        <v>390</v>
      </c>
      <c r="D326" s="14" t="str">
        <f t="array" ref="D326">XLOOKUP(C326, Channel_Listings!C:C, Channel_Listings!D:D)
</f>
        <v>CAP-BASEBALL-FULLNET-WHITE</v>
      </c>
      <c r="E326" s="15"/>
      <c r="F326" s="16">
        <f t="array" ref="F326">IFERROR(
  VALUE( INDEX(Product_Master!$I:$I,
               MATCH( INDEX(Pack_Master!$B:$B, MATCH($D326, Pack_Master!$A:$A, 0)),
                      Product_Master!$B:$B, 0)
  )) 
  * VALUE( INDEX(Pack_Master!$C:$C, MATCH($D326, Pack_Master!$A:$A, 0)) )
  + VALUE( INDEX(Pack_Master!$D:$D, MATCH($D326, Pack_Master!$A:$A, 0)) ),
"")
</f>
        <v>2</v>
      </c>
      <c r="G326" s="17">
        <f t="array" ref="G326">IFERROR(
 ( INDEX(Pack_Master!E:E, MATCH($D326, Pack_Master!A:A, 0))
   * INDEX(Pack_Master!F:F, MATCH($D326, Pack_Master!A:A, 0))
   * INDEX(Pack_Master!G:G, MATCH($D326, Pack_Master!A:A, 0))
 ) / INDEX(Config!C:C, MATCH($A326, Config!A:A, 0)),
"")
</f>
        <v>0.375</v>
      </c>
      <c r="H326" s="17">
        <f t="array" ref="H326">MAX( INDEX(Pack_Master!H:H, MATCH($D326, Pack_Master!A:A, 0)),
      IFERROR(G326, 0) )
</f>
        <v>0.5</v>
      </c>
      <c r="I326" s="18">
        <f>IFERROR(__xludf.DUMMYFUNCTION("IFERROR(
 INDEX(
   FILTER(Shipping_Rate_Card!B:F, Shipping_Rate_Card!A:A=$A326),
   MATCH($H326, FILTER(Shipping_Rate_Card!B:B, Shipping_Rate_Card!A:A=$A326), 1),
   IF( INDEX(Config!B:B, MATCH($A326, Config!A:A, 0))=""Local"", 2,
     IF( INDEX(Config!B"&amp;":B, MATCH($A326, Config!A:A, 0))=""Regional"", 3, 4 )
   )
 ),
"""")
"),67.0)</f>
        <v>67</v>
      </c>
      <c r="J326" s="16">
        <f>IFERROR(__xludf.DUMMYFUNCTION("IFERROR(
 ( E326 * INDEX(FILTER(Pricing_Rules!E:E, Pricing_Rules!A:A=A326, Pricing_Rules!B:B=B326, Pricing_Rules!C:C&lt;=E326, Pricing_Rules!D:D&gt;=E326), 1)
   + INDEX(FILTER(Pricing_Rules!F:F, Pricing_Rules!A:A=A326, Pricing_Rules!B:B=B326, Pricing_Rules!C:C"&amp;"&lt;=E326, Pricing_Rules!D:D&gt;=E326), 1)
 )
 * (1 + IFERROR( INDEX(Config!D:D, MATCH(A326, Config!A:A, 0)), 0 )),
"""")
"),5.8999999999999995)</f>
        <v>5.9</v>
      </c>
      <c r="K326" s="19">
        <f t="shared" si="3"/>
        <v>-74.9</v>
      </c>
      <c r="L326" s="20" t="str">
        <f t="shared" si="4"/>
        <v/>
      </c>
    </row>
    <row r="327" ht="15.75" customHeight="1">
      <c r="A327" s="9" t="s">
        <v>9</v>
      </c>
      <c r="B327" s="12" t="str">
        <f t="array" ref="B327">XLOOKUP(C327, Channel_Listings!C:C, Channel_Listings!B:B)
</f>
        <v>Apparel_Caps_Beanies</v>
      </c>
      <c r="C327" s="23" t="s">
        <v>392</v>
      </c>
      <c r="D327" s="14" t="str">
        <f t="array" ref="D327">XLOOKUP(C327, Channel_Listings!C:C, Channel_Listings!D:D)
</f>
        <v>CAP-PARA-BLACK</v>
      </c>
      <c r="E327" s="15"/>
      <c r="F327" s="16">
        <f t="array" ref="F327">IFERROR(
  VALUE( INDEX(Product_Master!$I:$I,
               MATCH( INDEX(Pack_Master!$B:$B, MATCH($D327, Pack_Master!$A:$A, 0)),
                      Product_Master!$B:$B, 0)
  )) 
  * VALUE( INDEX(Pack_Master!$C:$C, MATCH($D327, Pack_Master!$A:$A, 0)) )
  + VALUE( INDEX(Pack_Master!$D:$D, MATCH($D327, Pack_Master!$A:$A, 0)) ),
"")
</f>
        <v>2</v>
      </c>
      <c r="G327" s="17">
        <f t="array" ref="G327">IFERROR(
 ( INDEX(Pack_Master!E:E, MATCH($D327, Pack_Master!A:A, 0))
   * INDEX(Pack_Master!F:F, MATCH($D327, Pack_Master!A:A, 0))
   * INDEX(Pack_Master!G:G, MATCH($D327, Pack_Master!A:A, 0))
 ) / INDEX(Config!C:C, MATCH($A327, Config!A:A, 0)),
"")
</f>
        <v>0.375</v>
      </c>
      <c r="H327" s="17">
        <f t="array" ref="H327">MAX( INDEX(Pack_Master!H:H, MATCH($D327, Pack_Master!A:A, 0)),
      IFERROR(G327, 0) )
</f>
        <v>0.5</v>
      </c>
      <c r="I327" s="18">
        <f>IFERROR(__xludf.DUMMYFUNCTION("IFERROR(
 INDEX(
   FILTER(Shipping_Rate_Card!B:F, Shipping_Rate_Card!A:A=$A327),
   MATCH($H327, FILTER(Shipping_Rate_Card!B:B, Shipping_Rate_Card!A:A=$A327), 1),
   IF( INDEX(Config!B:B, MATCH($A327, Config!A:A, 0))=""Local"", 2,
     IF( INDEX(Config!B"&amp;":B, MATCH($A327, Config!A:A, 0))=""Regional"", 3, 4 )
   )
 ),
"""")
"),67.0)</f>
        <v>67</v>
      </c>
      <c r="J327" s="16">
        <f>IFERROR(__xludf.DUMMYFUNCTION("IFERROR(
 ( E327 * INDEX(FILTER(Pricing_Rules!E:E, Pricing_Rules!A:A=A327, Pricing_Rules!B:B=B327, Pricing_Rules!C:C&lt;=E327, Pricing_Rules!D:D&gt;=E327), 1)
   + INDEX(FILTER(Pricing_Rules!F:F, Pricing_Rules!A:A=A327, Pricing_Rules!B:B=B327, Pricing_Rules!C:C"&amp;"&lt;=E327, Pricing_Rules!D:D&gt;=E327), 1)
 )
 * (1 + IFERROR( INDEX(Config!D:D, MATCH(A327, Config!A:A, 0)), 0 )),
"""")
"),5.8999999999999995)</f>
        <v>5.9</v>
      </c>
      <c r="K327" s="19">
        <f t="shared" si="3"/>
        <v>-74.9</v>
      </c>
      <c r="L327" s="20" t="str">
        <f t="shared" si="4"/>
        <v/>
      </c>
    </row>
    <row r="328" ht="15.75" customHeight="1">
      <c r="A328" s="9" t="s">
        <v>9</v>
      </c>
      <c r="B328" s="12" t="str">
        <f t="array" ref="B328">XLOOKUP(C328, Channel_Listings!C:C, Channel_Listings!B:B)
</f>
        <v>Apparel_Caps_Beanies</v>
      </c>
      <c r="C328" s="23" t="s">
        <v>395</v>
      </c>
      <c r="D328" s="14" t="str">
        <f t="array" ref="D328">XLOOKUP(C328, Channel_Listings!C:C, Channel_Listings!D:D)
</f>
        <v>CAP-PARA-CHARCOAL</v>
      </c>
      <c r="E328" s="15"/>
      <c r="F328" s="16">
        <f t="array" ref="F328">IFERROR(
  VALUE( INDEX(Product_Master!$I:$I,
               MATCH( INDEX(Pack_Master!$B:$B, MATCH($D328, Pack_Master!$A:$A, 0)),
                      Product_Master!$B:$B, 0)
  )) 
  * VALUE( INDEX(Pack_Master!$C:$C, MATCH($D328, Pack_Master!$A:$A, 0)) )
  + VALUE( INDEX(Pack_Master!$D:$D, MATCH($D328, Pack_Master!$A:$A, 0)) ),
"")
</f>
        <v>2</v>
      </c>
      <c r="G328" s="17">
        <f t="array" ref="G328">IFERROR(
 ( INDEX(Pack_Master!E:E, MATCH($D328, Pack_Master!A:A, 0))
   * INDEX(Pack_Master!F:F, MATCH($D328, Pack_Master!A:A, 0))
   * INDEX(Pack_Master!G:G, MATCH($D328, Pack_Master!A:A, 0))
 ) / INDEX(Config!C:C, MATCH($A328, Config!A:A, 0)),
"")
</f>
        <v>0.375</v>
      </c>
      <c r="H328" s="17">
        <f t="array" ref="H328">MAX( INDEX(Pack_Master!H:H, MATCH($D328, Pack_Master!A:A, 0)),
      IFERROR(G328, 0) )
</f>
        <v>0.5</v>
      </c>
      <c r="I328" s="18">
        <f>IFERROR(__xludf.DUMMYFUNCTION("IFERROR(
 INDEX(
   FILTER(Shipping_Rate_Card!B:F, Shipping_Rate_Card!A:A=$A328),
   MATCH($H328, FILTER(Shipping_Rate_Card!B:B, Shipping_Rate_Card!A:A=$A328), 1),
   IF( INDEX(Config!B:B, MATCH($A328, Config!A:A, 0))=""Local"", 2,
     IF( INDEX(Config!B"&amp;":B, MATCH($A328, Config!A:A, 0))=""Regional"", 3, 4 )
   )
 ),
"""")
"),67.0)</f>
        <v>67</v>
      </c>
      <c r="J328" s="16">
        <f>IFERROR(__xludf.DUMMYFUNCTION("IFERROR(
 ( E328 * INDEX(FILTER(Pricing_Rules!E:E, Pricing_Rules!A:A=A328, Pricing_Rules!B:B=B328, Pricing_Rules!C:C&lt;=E328, Pricing_Rules!D:D&gt;=E328), 1)
   + INDEX(FILTER(Pricing_Rules!F:F, Pricing_Rules!A:A=A328, Pricing_Rules!B:B=B328, Pricing_Rules!C:C"&amp;"&lt;=E328, Pricing_Rules!D:D&gt;=E328), 1)
 )
 * (1 + IFERROR( INDEX(Config!D:D, MATCH(A328, Config!A:A, 0)), 0 )),
"""")
"),5.8999999999999995)</f>
        <v>5.9</v>
      </c>
      <c r="K328" s="19">
        <f t="shared" si="3"/>
        <v>-74.9</v>
      </c>
      <c r="L328" s="20" t="str">
        <f t="shared" si="4"/>
        <v/>
      </c>
    </row>
    <row r="329" ht="15.75" customHeight="1">
      <c r="A329" s="9" t="s">
        <v>9</v>
      </c>
      <c r="B329" s="12" t="str">
        <f t="array" ref="B329">XLOOKUP(C329, Channel_Listings!C:C, Channel_Listings!B:B)
</f>
        <v>Apparel_Caps_Beanies</v>
      </c>
      <c r="C329" s="23" t="s">
        <v>399</v>
      </c>
      <c r="D329" s="14" t="str">
        <f t="array" ref="D329">XLOOKUP(C329, Channel_Listings!C:C, Channel_Listings!D:D)
</f>
        <v>CAP-PARA-NAVYBLUE</v>
      </c>
      <c r="E329" s="15"/>
      <c r="F329" s="16">
        <f t="array" ref="F329">IFERROR(
  VALUE( INDEX(Product_Master!$I:$I,
               MATCH( INDEX(Pack_Master!$B:$B, MATCH($D329, Pack_Master!$A:$A, 0)),
                      Product_Master!$B:$B, 0)
  )) 
  * VALUE( INDEX(Pack_Master!$C:$C, MATCH($D329, Pack_Master!$A:$A, 0)) )
  + VALUE( INDEX(Pack_Master!$D:$D, MATCH($D329, Pack_Master!$A:$A, 0)) ),
"")
</f>
        <v>2</v>
      </c>
      <c r="G329" s="17">
        <f t="array" ref="G329">IFERROR(
 ( INDEX(Pack_Master!E:E, MATCH($D329, Pack_Master!A:A, 0))
   * INDEX(Pack_Master!F:F, MATCH($D329, Pack_Master!A:A, 0))
   * INDEX(Pack_Master!G:G, MATCH($D329, Pack_Master!A:A, 0))
 ) / INDEX(Config!C:C, MATCH($A329, Config!A:A, 0)),
"")
</f>
        <v>0.375</v>
      </c>
      <c r="H329" s="17">
        <f t="array" ref="H329">MAX( INDEX(Pack_Master!H:H, MATCH($D329, Pack_Master!A:A, 0)),
      IFERROR(G329, 0) )
</f>
        <v>0.5</v>
      </c>
      <c r="I329" s="18">
        <f>IFERROR(__xludf.DUMMYFUNCTION("IFERROR(
 INDEX(
   FILTER(Shipping_Rate_Card!B:F, Shipping_Rate_Card!A:A=$A329),
   MATCH($H329, FILTER(Shipping_Rate_Card!B:B, Shipping_Rate_Card!A:A=$A329), 1),
   IF( INDEX(Config!B:B, MATCH($A329, Config!A:A, 0))=""Local"", 2,
     IF( INDEX(Config!B"&amp;":B, MATCH($A329, Config!A:A, 0))=""Regional"", 3, 4 )
   )
 ),
"""")
"),67.0)</f>
        <v>67</v>
      </c>
      <c r="J329" s="16">
        <f>IFERROR(__xludf.DUMMYFUNCTION("IFERROR(
 ( E329 * INDEX(FILTER(Pricing_Rules!E:E, Pricing_Rules!A:A=A329, Pricing_Rules!B:B=B329, Pricing_Rules!C:C&lt;=E329, Pricing_Rules!D:D&gt;=E329), 1)
   + INDEX(FILTER(Pricing_Rules!F:F, Pricing_Rules!A:A=A329, Pricing_Rules!B:B=B329, Pricing_Rules!C:C"&amp;"&lt;=E329, Pricing_Rules!D:D&gt;=E329), 1)
 )
 * (1 + IFERROR( INDEX(Config!D:D, MATCH(A329, Config!A:A, 0)), 0 )),
"""")
"),5.8999999999999995)</f>
        <v>5.9</v>
      </c>
      <c r="K329" s="19">
        <f t="shared" si="3"/>
        <v>-74.9</v>
      </c>
      <c r="L329" s="20" t="str">
        <f t="shared" si="4"/>
        <v/>
      </c>
    </row>
    <row r="330" ht="15.75" customHeight="1">
      <c r="A330" s="9" t="s">
        <v>9</v>
      </c>
      <c r="B330" s="12" t="str">
        <f t="array" ref="B330">XLOOKUP(C330, Channel_Listings!C:C, Channel_Listings!B:B)
</f>
        <v>Apparel_Caps_Beanies</v>
      </c>
      <c r="C330" s="23" t="s">
        <v>402</v>
      </c>
      <c r="D330" s="14" t="str">
        <f t="array" ref="D330">XLOOKUP(C330, Channel_Listings!C:C, Channel_Listings!D:D)
</f>
        <v>CAP-PARA-WHITE</v>
      </c>
      <c r="E330" s="15"/>
      <c r="F330" s="16">
        <f t="array" ref="F330">IFERROR(
  VALUE( INDEX(Product_Master!$I:$I,
               MATCH( INDEX(Pack_Master!$B:$B, MATCH($D330, Pack_Master!$A:$A, 0)),
                      Product_Master!$B:$B, 0)
  )) 
  * VALUE( INDEX(Pack_Master!$C:$C, MATCH($D330, Pack_Master!$A:$A, 0)) )
  + VALUE( INDEX(Pack_Master!$D:$D, MATCH($D330, Pack_Master!$A:$A, 0)) ),
"")
</f>
        <v>2</v>
      </c>
      <c r="G330" s="17">
        <f t="array" ref="G330">IFERROR(
 ( INDEX(Pack_Master!E:E, MATCH($D330, Pack_Master!A:A, 0))
   * INDEX(Pack_Master!F:F, MATCH($D330, Pack_Master!A:A, 0))
   * INDEX(Pack_Master!G:G, MATCH($D330, Pack_Master!A:A, 0))
 ) / INDEX(Config!C:C, MATCH($A330, Config!A:A, 0)),
"")
</f>
        <v>0.375</v>
      </c>
      <c r="H330" s="17">
        <f t="array" ref="H330">MAX( INDEX(Pack_Master!H:H, MATCH($D330, Pack_Master!A:A, 0)),
      IFERROR(G330, 0) )
</f>
        <v>0.5</v>
      </c>
      <c r="I330" s="18">
        <f>IFERROR(__xludf.DUMMYFUNCTION("IFERROR(
 INDEX(
   FILTER(Shipping_Rate_Card!B:F, Shipping_Rate_Card!A:A=$A330),
   MATCH($H330, FILTER(Shipping_Rate_Card!B:B, Shipping_Rate_Card!A:A=$A330), 1),
   IF( INDEX(Config!B:B, MATCH($A330, Config!A:A, 0))=""Local"", 2,
     IF( INDEX(Config!B"&amp;":B, MATCH($A330, Config!A:A, 0))=""Regional"", 3, 4 )
   )
 ),
"""")
"),67.0)</f>
        <v>67</v>
      </c>
      <c r="J330" s="16">
        <f>IFERROR(__xludf.DUMMYFUNCTION("IFERROR(
 ( E330 * INDEX(FILTER(Pricing_Rules!E:E, Pricing_Rules!A:A=A330, Pricing_Rules!B:B=B330, Pricing_Rules!C:C&lt;=E330, Pricing_Rules!D:D&gt;=E330), 1)
   + INDEX(FILTER(Pricing_Rules!F:F, Pricing_Rules!A:A=A330, Pricing_Rules!B:B=B330, Pricing_Rules!C:C"&amp;"&lt;=E330, Pricing_Rules!D:D&gt;=E330), 1)
 )
 * (1 + IFERROR( INDEX(Config!D:D, MATCH(A330, Config!A:A, 0)), 0 )),
"""")
"),5.8999999999999995)</f>
        <v>5.9</v>
      </c>
      <c r="K330" s="19">
        <f t="shared" si="3"/>
        <v>-74.9</v>
      </c>
      <c r="L330" s="20" t="str">
        <f t="shared" si="4"/>
        <v/>
      </c>
    </row>
    <row r="331" ht="15.75" customHeight="1">
      <c r="A331" s="9" t="s">
        <v>9</v>
      </c>
      <c r="B331" s="12" t="str">
        <f t="array" ref="B331">XLOOKUP(C331, Channel_Listings!C:C, Channel_Listings!B:B)
</f>
        <v>Apparel_Tshirts</v>
      </c>
      <c r="C331" s="22" t="s">
        <v>405</v>
      </c>
      <c r="D331" s="14" t="str">
        <f t="array" ref="D331">XLOOKUP(C331, Channel_Listings!C:C, Channel_Listings!D:D)
</f>
        <v>TSHIRT-BLACK-L</v>
      </c>
      <c r="E331" s="15"/>
      <c r="F331" s="16">
        <f t="array" ref="F331">IFERROR(
  VALUE( INDEX(Product_Master!$I:$I,
               MATCH( INDEX(Pack_Master!$B:$B, MATCH($D331, Pack_Master!$A:$A, 0)),
                      Product_Master!$B:$B, 0)
  )) 
  * VALUE( INDEX(Pack_Master!$C:$C, MATCH($D331, Pack_Master!$A:$A, 0)) )
  + VALUE( INDEX(Pack_Master!$D:$D, MATCH($D331, Pack_Master!$A:$A, 0)) ),
"")
</f>
        <v>2</v>
      </c>
      <c r="G331" s="17">
        <f t="array" ref="G331">IFERROR(
 ( INDEX(Pack_Master!E:E, MATCH($D331, Pack_Master!A:A, 0))
   * INDEX(Pack_Master!F:F, MATCH($D331, Pack_Master!A:A, 0))
   * INDEX(Pack_Master!G:G, MATCH($D331, Pack_Master!A:A, 0))
 ) / INDEX(Config!C:C, MATCH($A331, Config!A:A, 0)),
"")
</f>
        <v>0.375</v>
      </c>
      <c r="H331" s="17">
        <f t="array" ref="H331">MAX( INDEX(Pack_Master!H:H, MATCH($D331, Pack_Master!A:A, 0)),
      IFERROR(G331, 0) )
</f>
        <v>0.5</v>
      </c>
      <c r="I331" s="18">
        <f>IFERROR(__xludf.DUMMYFUNCTION("IFERROR(
 INDEX(
   FILTER(Shipping_Rate_Card!B:F, Shipping_Rate_Card!A:A=$A331),
   MATCH($H331, FILTER(Shipping_Rate_Card!B:B, Shipping_Rate_Card!A:A=$A331), 1),
   IF( INDEX(Config!B:B, MATCH($A331, Config!A:A, 0))=""Local"", 2,
     IF( INDEX(Config!B"&amp;":B, MATCH($A331, Config!A:A, 0))=""Regional"", 3, 4 )
   )
 ),
"""")
"),67.0)</f>
        <v>67</v>
      </c>
      <c r="J331" s="16">
        <f>IFERROR(__xludf.DUMMYFUNCTION("IFERROR(
 ( E331 * INDEX(FILTER(Pricing_Rules!E:E, Pricing_Rules!A:A=A331, Pricing_Rules!B:B=B331, Pricing_Rules!C:C&lt;=E331, Pricing_Rules!D:D&gt;=E331), 1)
   + INDEX(FILTER(Pricing_Rules!F:F, Pricing_Rules!A:A=A331, Pricing_Rules!B:B=B331, Pricing_Rules!C:C"&amp;"&lt;=E331, Pricing_Rules!D:D&gt;=E331), 1)
 )
 * (1 + IFERROR( INDEX(Config!D:D, MATCH(A331, Config!A:A, 0)), 0 )),
"""")
"),5.8999999999999995)</f>
        <v>5.9</v>
      </c>
      <c r="K331" s="19">
        <f t="shared" si="3"/>
        <v>-74.9</v>
      </c>
      <c r="L331" s="20" t="str">
        <f t="shared" si="4"/>
        <v/>
      </c>
    </row>
    <row r="332" ht="15.75" customHeight="1">
      <c r="A332" s="9" t="s">
        <v>9</v>
      </c>
      <c r="B332" s="12" t="str">
        <f t="array" ref="B332">XLOOKUP(C332, Channel_Listings!C:C, Channel_Listings!B:B)
</f>
        <v>Apparel_Tshirts</v>
      </c>
      <c r="C332" s="22" t="s">
        <v>406</v>
      </c>
      <c r="D332" s="14" t="str">
        <f t="array" ref="D332">XLOOKUP(C332, Channel_Listings!C:C, Channel_Listings!D:D)
</f>
        <v>TSHIRT-BLACK-M</v>
      </c>
      <c r="E332" s="15"/>
      <c r="F332" s="16">
        <f t="array" ref="F332">IFERROR(
  VALUE( INDEX(Product_Master!$I:$I,
               MATCH( INDEX(Pack_Master!$B:$B, MATCH($D332, Pack_Master!$A:$A, 0)),
                      Product_Master!$B:$B, 0)
  )) 
  * VALUE( INDEX(Pack_Master!$C:$C, MATCH($D332, Pack_Master!$A:$A, 0)) )
  + VALUE( INDEX(Pack_Master!$D:$D, MATCH($D332, Pack_Master!$A:$A, 0)) ),
"")
</f>
        <v>2</v>
      </c>
      <c r="G332" s="17">
        <f t="array" ref="G332">IFERROR(
 ( INDEX(Pack_Master!E:E, MATCH($D332, Pack_Master!A:A, 0))
   * INDEX(Pack_Master!F:F, MATCH($D332, Pack_Master!A:A, 0))
   * INDEX(Pack_Master!G:G, MATCH($D332, Pack_Master!A:A, 0))
 ) / INDEX(Config!C:C, MATCH($A332, Config!A:A, 0)),
"")
</f>
        <v>0.375</v>
      </c>
      <c r="H332" s="17">
        <f t="array" ref="H332">MAX( INDEX(Pack_Master!H:H, MATCH($D332, Pack_Master!A:A, 0)),
      IFERROR(G332, 0) )
</f>
        <v>0.5</v>
      </c>
      <c r="I332" s="18">
        <f>IFERROR(__xludf.DUMMYFUNCTION("IFERROR(
 INDEX(
   FILTER(Shipping_Rate_Card!B:F, Shipping_Rate_Card!A:A=$A332),
   MATCH($H332, FILTER(Shipping_Rate_Card!B:B, Shipping_Rate_Card!A:A=$A332), 1),
   IF( INDEX(Config!B:B, MATCH($A332, Config!A:A, 0))=""Local"", 2,
     IF( INDEX(Config!B"&amp;":B, MATCH($A332, Config!A:A, 0))=""Regional"", 3, 4 )
   )
 ),
"""")
"),67.0)</f>
        <v>67</v>
      </c>
      <c r="J332" s="16">
        <f>IFERROR(__xludf.DUMMYFUNCTION("IFERROR(
 ( E332 * INDEX(FILTER(Pricing_Rules!E:E, Pricing_Rules!A:A=A332, Pricing_Rules!B:B=B332, Pricing_Rules!C:C&lt;=E332, Pricing_Rules!D:D&gt;=E332), 1)
   + INDEX(FILTER(Pricing_Rules!F:F, Pricing_Rules!A:A=A332, Pricing_Rules!B:B=B332, Pricing_Rules!C:C"&amp;"&lt;=E332, Pricing_Rules!D:D&gt;=E332), 1)
 )
 * (1 + IFERROR( INDEX(Config!D:D, MATCH(A332, Config!A:A, 0)), 0 )),
"""")
"),5.8999999999999995)</f>
        <v>5.9</v>
      </c>
      <c r="K332" s="19">
        <f t="shared" si="3"/>
        <v>-74.9</v>
      </c>
      <c r="L332" s="20" t="str">
        <f t="shared" si="4"/>
        <v/>
      </c>
    </row>
    <row r="333" ht="15.75" customHeight="1">
      <c r="A333" s="9" t="s">
        <v>9</v>
      </c>
      <c r="B333" s="12" t="str">
        <f t="array" ref="B333">XLOOKUP(C333, Channel_Listings!C:C, Channel_Listings!B:B)
</f>
        <v>Apparel_Tshirts</v>
      </c>
      <c r="C333" s="22" t="s">
        <v>407</v>
      </c>
      <c r="D333" s="14" t="str">
        <f t="array" ref="D333">XLOOKUP(C333, Channel_Listings!C:C, Channel_Listings!D:D)
</f>
        <v>TSHIRT-BLACK-XL</v>
      </c>
      <c r="E333" s="15"/>
      <c r="F333" s="16">
        <f t="array" ref="F333">IFERROR(
  VALUE( INDEX(Product_Master!$I:$I,
               MATCH( INDEX(Pack_Master!$B:$B, MATCH($D333, Pack_Master!$A:$A, 0)),
                      Product_Master!$B:$B, 0)
  )) 
  * VALUE( INDEX(Pack_Master!$C:$C, MATCH($D333, Pack_Master!$A:$A, 0)) )
  + VALUE( INDEX(Pack_Master!$D:$D, MATCH($D333, Pack_Master!$A:$A, 0)) ),
"")
</f>
        <v>2</v>
      </c>
      <c r="G333" s="17">
        <f t="array" ref="G333">IFERROR(
 ( INDEX(Pack_Master!E:E, MATCH($D333, Pack_Master!A:A, 0))
   * INDEX(Pack_Master!F:F, MATCH($D333, Pack_Master!A:A, 0))
   * INDEX(Pack_Master!G:G, MATCH($D333, Pack_Master!A:A, 0))
 ) / INDEX(Config!C:C, MATCH($A333, Config!A:A, 0)),
"")
</f>
        <v>0.375</v>
      </c>
      <c r="H333" s="17">
        <f t="array" ref="H333">MAX( INDEX(Pack_Master!H:H, MATCH($D333, Pack_Master!A:A, 0)),
      IFERROR(G333, 0) )
</f>
        <v>0.5</v>
      </c>
      <c r="I333" s="18">
        <f>IFERROR(__xludf.DUMMYFUNCTION("IFERROR(
 INDEX(
   FILTER(Shipping_Rate_Card!B:F, Shipping_Rate_Card!A:A=$A333),
   MATCH($H333, FILTER(Shipping_Rate_Card!B:B, Shipping_Rate_Card!A:A=$A333), 1),
   IF( INDEX(Config!B:B, MATCH($A333, Config!A:A, 0))=""Local"", 2,
     IF( INDEX(Config!B"&amp;":B, MATCH($A333, Config!A:A, 0))=""Regional"", 3, 4 )
   )
 ),
"""")
"),67.0)</f>
        <v>67</v>
      </c>
      <c r="J333" s="16">
        <f>IFERROR(__xludf.DUMMYFUNCTION("IFERROR(
 ( E333 * INDEX(FILTER(Pricing_Rules!E:E, Pricing_Rules!A:A=A333, Pricing_Rules!B:B=B333, Pricing_Rules!C:C&lt;=E333, Pricing_Rules!D:D&gt;=E333), 1)
   + INDEX(FILTER(Pricing_Rules!F:F, Pricing_Rules!A:A=A333, Pricing_Rules!B:B=B333, Pricing_Rules!C:C"&amp;"&lt;=E333, Pricing_Rules!D:D&gt;=E333), 1)
 )
 * (1 + IFERROR( INDEX(Config!D:D, MATCH(A333, Config!A:A, 0)), 0 )),
"""")
"),5.8999999999999995)</f>
        <v>5.9</v>
      </c>
      <c r="K333" s="19">
        <f t="shared" si="3"/>
        <v>-74.9</v>
      </c>
      <c r="L333" s="20" t="str">
        <f t="shared" si="4"/>
        <v/>
      </c>
    </row>
    <row r="334" ht="15.75" customHeight="1">
      <c r="A334" s="9" t="s">
        <v>9</v>
      </c>
      <c r="B334" s="12" t="str">
        <f t="array" ref="B334">XLOOKUP(C334, Channel_Listings!C:C, Channel_Listings!B:B)
</f>
        <v>Apparel_Tshirts</v>
      </c>
      <c r="C334" s="22" t="s">
        <v>408</v>
      </c>
      <c r="D334" s="14" t="str">
        <f t="array" ref="D334">XLOOKUP(C334, Channel_Listings!C:C, Channel_Listings!D:D)
</f>
        <v>TSHIRT-BLACK-XXL</v>
      </c>
      <c r="E334" s="15"/>
      <c r="F334" s="16">
        <f t="array" ref="F334">IFERROR(
  VALUE( INDEX(Product_Master!$I:$I,
               MATCH( INDEX(Pack_Master!$B:$B, MATCH($D334, Pack_Master!$A:$A, 0)),
                      Product_Master!$B:$B, 0)
  )) 
  * VALUE( INDEX(Pack_Master!$C:$C, MATCH($D334, Pack_Master!$A:$A, 0)) )
  + VALUE( INDEX(Pack_Master!$D:$D, MATCH($D334, Pack_Master!$A:$A, 0)) ),
"")
</f>
        <v>2</v>
      </c>
      <c r="G334" s="17">
        <f t="array" ref="G334">IFERROR(
 ( INDEX(Pack_Master!E:E, MATCH($D334, Pack_Master!A:A, 0))
   * INDEX(Pack_Master!F:F, MATCH($D334, Pack_Master!A:A, 0))
   * INDEX(Pack_Master!G:G, MATCH($D334, Pack_Master!A:A, 0))
 ) / INDEX(Config!C:C, MATCH($A334, Config!A:A, 0)),
"")
</f>
        <v>0.375</v>
      </c>
      <c r="H334" s="17">
        <f t="array" ref="H334">MAX( INDEX(Pack_Master!H:H, MATCH($D334, Pack_Master!A:A, 0)),
      IFERROR(G334, 0) )
</f>
        <v>0.5</v>
      </c>
      <c r="I334" s="18">
        <f>IFERROR(__xludf.DUMMYFUNCTION("IFERROR(
 INDEX(
   FILTER(Shipping_Rate_Card!B:F, Shipping_Rate_Card!A:A=$A334),
   MATCH($H334, FILTER(Shipping_Rate_Card!B:B, Shipping_Rate_Card!A:A=$A334), 1),
   IF( INDEX(Config!B:B, MATCH($A334, Config!A:A, 0))=""Local"", 2,
     IF( INDEX(Config!B"&amp;":B, MATCH($A334, Config!A:A, 0))=""Regional"", 3, 4 )
   )
 ),
"""")
"),67.0)</f>
        <v>67</v>
      </c>
      <c r="J334" s="16">
        <f>IFERROR(__xludf.DUMMYFUNCTION("IFERROR(
 ( E334 * INDEX(FILTER(Pricing_Rules!E:E, Pricing_Rules!A:A=A334, Pricing_Rules!B:B=B334, Pricing_Rules!C:C&lt;=E334, Pricing_Rules!D:D&gt;=E334), 1)
   + INDEX(FILTER(Pricing_Rules!F:F, Pricing_Rules!A:A=A334, Pricing_Rules!B:B=B334, Pricing_Rules!C:C"&amp;"&lt;=E334, Pricing_Rules!D:D&gt;=E334), 1)
 )
 * (1 + IFERROR( INDEX(Config!D:D, MATCH(A334, Config!A:A, 0)), 0 )),
"""")
"),5.8999999999999995)</f>
        <v>5.9</v>
      </c>
      <c r="K334" s="19">
        <f t="shared" si="3"/>
        <v>-74.9</v>
      </c>
      <c r="L334" s="20" t="str">
        <f t="shared" si="4"/>
        <v/>
      </c>
    </row>
    <row r="335" ht="15.75" customHeight="1">
      <c r="A335" s="9" t="s">
        <v>9</v>
      </c>
      <c r="B335" s="12" t="str">
        <f t="array" ref="B335">XLOOKUP(C335, Channel_Listings!C:C, Channel_Listings!B:B)
</f>
        <v>Kitchen_Containers</v>
      </c>
      <c r="C335" s="23" t="s">
        <v>409</v>
      </c>
      <c r="D335" s="14" t="str">
        <f t="array" ref="D335">XLOOKUP(C335, Channel_Listings!C:C, Channel_Listings!D:D)
</f>
        <v>CONTAINER-BREADBOX217-PK2</v>
      </c>
      <c r="E335" s="15"/>
      <c r="F335" s="16">
        <f t="array" ref="F335">IFERROR(
  VALUE( INDEX(Product_Master!$I:$I,
               MATCH( INDEX(Pack_Master!$B:$B, MATCH($D335, Pack_Master!$A:$A, 0)),
                      Product_Master!$B:$B, 0)
  )) 
  * VALUE( INDEX(Pack_Master!$C:$C, MATCH($D335, Pack_Master!$A:$A, 0)) )
  + VALUE( INDEX(Pack_Master!$D:$D, MATCH($D335, Pack_Master!$A:$A, 0)) ),
"")
</f>
        <v>0</v>
      </c>
      <c r="G335" s="17">
        <f t="array" ref="G335">IFERROR(
 ( INDEX(Pack_Master!E:E, MATCH($D335, Pack_Master!A:A, 0))
   * INDEX(Pack_Master!F:F, MATCH($D335, Pack_Master!A:A, 0))
   * INDEX(Pack_Master!G:G, MATCH($D335, Pack_Master!A:A, 0))
 ) / INDEX(Config!C:C, MATCH($A335, Config!A:A, 0)),
"")
</f>
        <v>0</v>
      </c>
      <c r="H335" s="17">
        <f t="array" ref="H335">MAX( INDEX(Pack_Master!H:H, MATCH($D335, Pack_Master!A:A, 0)),
      IFERROR(G335, 0) )
</f>
        <v>0</v>
      </c>
      <c r="I335" s="18" t="str">
        <f>IFERROR(__xludf.DUMMYFUNCTION("IFERROR(
 INDEX(
   FILTER(Shipping_Rate_Card!B:F, Shipping_Rate_Card!A:A=$A335),
   MATCH($H335, FILTER(Shipping_Rate_Card!B:B, Shipping_Rate_Card!A:A=$A335), 1),
   IF( INDEX(Config!B:B, MATCH($A335, Config!A:A, 0))=""Local"", 2,
     IF( INDEX(Config!B"&amp;":B, MATCH($A335, Config!A:A, 0))=""Regional"", 3, 4 )
   )
 ),
"""")
"),"")</f>
        <v/>
      </c>
      <c r="J335" s="16">
        <f>IFERROR(__xludf.DUMMYFUNCTION("IFERROR(
 ( E335 * INDEX(FILTER(Pricing_Rules!E:E, Pricing_Rules!A:A=A335, Pricing_Rules!B:B=B335, Pricing_Rules!C:C&lt;=E335, Pricing_Rules!D:D&gt;=E335), 1)
   + INDEX(FILTER(Pricing_Rules!F:F, Pricing_Rules!A:A=A335, Pricing_Rules!B:B=B335, Pricing_Rules!C:C"&amp;"&lt;=E335, Pricing_Rules!D:D&gt;=E335), 1)
 )
 * (1 + IFERROR( INDEX(Config!D:D, MATCH(A335, Config!A:A, 0)), 0 )),
"""")
"),5.8999999999999995)</f>
        <v>5.9</v>
      </c>
      <c r="K335" s="19">
        <f t="shared" si="3"/>
        <v>-5.9</v>
      </c>
      <c r="L335" s="20" t="str">
        <f t="shared" si="4"/>
        <v/>
      </c>
    </row>
    <row r="336" ht="15.75" customHeight="1">
      <c r="A336" s="9" t="s">
        <v>9</v>
      </c>
      <c r="B336" s="12" t="str">
        <f t="array" ref="B336">XLOOKUP(C336, Channel_Listings!C:C, Channel_Listings!B:B)
</f>
        <v>Kitchen_Containers</v>
      </c>
      <c r="C336" s="23" t="s">
        <v>412</v>
      </c>
      <c r="D336" s="14" t="str">
        <f t="array" ref="D336">XLOOKUP(C336, Channel_Listings!C:C, Channel_Listings!D:D)
</f>
        <v>CONTAINER-BREADBOX217-PK6</v>
      </c>
      <c r="E336" s="15"/>
      <c r="F336" s="16">
        <f t="array" ref="F336">IFERROR(
  VALUE( INDEX(Product_Master!$I:$I,
               MATCH( INDEX(Pack_Master!$B:$B, MATCH($D336, Pack_Master!$A:$A, 0)),
                      Product_Master!$B:$B, 0)
  )) 
  * VALUE( INDEX(Pack_Master!$C:$C, MATCH($D336, Pack_Master!$A:$A, 0)) )
  + VALUE( INDEX(Pack_Master!$D:$D, MATCH($D336, Pack_Master!$A:$A, 0)) ),
"")
</f>
        <v>0</v>
      </c>
      <c r="G336" s="17">
        <f t="array" ref="G336">IFERROR(
 ( INDEX(Pack_Master!E:E, MATCH($D336, Pack_Master!A:A, 0))
   * INDEX(Pack_Master!F:F, MATCH($D336, Pack_Master!A:A, 0))
   * INDEX(Pack_Master!G:G, MATCH($D336, Pack_Master!A:A, 0))
 ) / INDEX(Config!C:C, MATCH($A336, Config!A:A, 0)),
"")
</f>
        <v>0</v>
      </c>
      <c r="H336" s="17">
        <f t="array" ref="H336">MAX( INDEX(Pack_Master!H:H, MATCH($D336, Pack_Master!A:A, 0)),
      IFERROR(G336, 0) )
</f>
        <v>0</v>
      </c>
      <c r="I336" s="18" t="str">
        <f>IFERROR(__xludf.DUMMYFUNCTION("IFERROR(
 INDEX(
   FILTER(Shipping_Rate_Card!B:F, Shipping_Rate_Card!A:A=$A336),
   MATCH($H336, FILTER(Shipping_Rate_Card!B:B, Shipping_Rate_Card!A:A=$A336), 1),
   IF( INDEX(Config!B:B, MATCH($A336, Config!A:A, 0))=""Local"", 2,
     IF( INDEX(Config!B"&amp;":B, MATCH($A336, Config!A:A, 0))=""Regional"", 3, 4 )
   )
 ),
"""")
"),"")</f>
        <v/>
      </c>
      <c r="J336" s="16">
        <f>IFERROR(__xludf.DUMMYFUNCTION("IFERROR(
 ( E336 * INDEX(FILTER(Pricing_Rules!E:E, Pricing_Rules!A:A=A336, Pricing_Rules!B:B=B336, Pricing_Rules!C:C&lt;=E336, Pricing_Rules!D:D&gt;=E336), 1)
   + INDEX(FILTER(Pricing_Rules!F:F, Pricing_Rules!A:A=A336, Pricing_Rules!B:B=B336, Pricing_Rules!C:C"&amp;"&lt;=E336, Pricing_Rules!D:D&gt;=E336), 1)
 )
 * (1 + IFERROR( INDEX(Config!D:D, MATCH(A336, Config!A:A, 0)), 0 )),
"""")
"),5.8999999999999995)</f>
        <v>5.9</v>
      </c>
      <c r="K336" s="19">
        <f t="shared" si="3"/>
        <v>-5.9</v>
      </c>
      <c r="L336" s="20" t="str">
        <f t="shared" si="4"/>
        <v/>
      </c>
    </row>
    <row r="337" ht="15.75" customHeight="1">
      <c r="A337" s="9" t="s">
        <v>9</v>
      </c>
      <c r="B337" s="12" t="str">
        <f t="array" ref="B337">XLOOKUP(C337, Channel_Listings!C:C, Channel_Listings!B:B)
</f>
        <v>Kitchen_Containers</v>
      </c>
      <c r="C337" s="24" t="s">
        <v>415</v>
      </c>
      <c r="D337" s="14" t="str">
        <f t="array" ref="D337">XLOOKUP(C337, Channel_Listings!C:C, Channel_Listings!D:D)
</f>
        <v>CONTAINER-DELUXE333-PK12</v>
      </c>
      <c r="E337" s="15">
        <v>729.0</v>
      </c>
      <c r="F337" s="16">
        <f t="array" ref="F337">IFERROR(
  VALUE( INDEX(Product_Master!$I:$I,
               MATCH( INDEX(Pack_Master!$B:$B, MATCH($D337, Pack_Master!$A:$A, 0)),
                      Product_Master!$B:$B, 0)
  )) 
  * VALUE( INDEX(Pack_Master!$C:$C, MATCH($D337, Pack_Master!$A:$A, 0)) )
  + VALUE( INDEX(Pack_Master!$D:$D, MATCH($D337, Pack_Master!$A:$A, 0)) ),
"")
</f>
        <v>361</v>
      </c>
      <c r="G337" s="17">
        <f t="array" ref="G337">IFERROR(
 ( INDEX(Pack_Master!E:E, MATCH($D337, Pack_Master!A:A, 0))
   * INDEX(Pack_Master!F:F, MATCH($D337, Pack_Master!A:A, 0))
   * INDEX(Pack_Master!G:G, MATCH($D337, Pack_Master!A:A, 0))
 ) / INDEX(Config!C:C, MATCH($A337, Config!A:A, 0)),
"")
</f>
        <v>1.6</v>
      </c>
      <c r="H337" s="17">
        <f t="array" ref="H337">MAX( INDEX(Pack_Master!H:H, MATCH($D337, Pack_Master!A:A, 0)),
      IFERROR(G337, 0) )
</f>
        <v>1.6</v>
      </c>
      <c r="I337" s="18">
        <f>IFERROR(__xludf.DUMMYFUNCTION("IFERROR(
 INDEX(
   FILTER(Shipping_Rate_Card!B:F, Shipping_Rate_Card!A:A=$A337),
   MATCH($H337, FILTER(Shipping_Rate_Card!B:B, Shipping_Rate_Card!A:A=$A337), 1),
   IF( INDEX(Config!B:B, MATCH($A337, Config!A:A, 0))=""Local"", 2,
     IF( INDEX(Config!B"&amp;":B, MATCH($A337, Config!A:A, 0))=""Regional"", 3, 4 )
   )
 ),
"""")
"),121.0)</f>
        <v>121</v>
      </c>
      <c r="J337" s="16">
        <f>IFERROR(__xludf.DUMMYFUNCTION("IFERROR(
 ( E337 * INDEX(FILTER(Pricing_Rules!E:E, Pricing_Rules!A:A=A337, Pricing_Rules!B:B=B337, Pricing_Rules!C:C&lt;=E337, Pricing_Rules!D:D&gt;=E337), 1)
   + INDEX(FILTER(Pricing_Rules!F:F, Pricing_Rules!A:A=A337, Pricing_Rules!B:B=B337, Pricing_Rules!C:C"&amp;"&lt;=E337, Pricing_Rules!D:D&gt;=E337), 1)
 )
 * (1 + IFERROR( INDEX(Config!D:D, MATCH(A337, Config!A:A, 0)), 0 )),
"""")
"),138.6264)</f>
        <v>138.6264</v>
      </c>
      <c r="K337" s="19">
        <f t="shared" si="3"/>
        <v>108.3736</v>
      </c>
      <c r="L337" s="20">
        <f t="shared" si="4"/>
        <v>0.148660631</v>
      </c>
    </row>
    <row r="338" ht="15.75" customHeight="1">
      <c r="A338" s="9" t="s">
        <v>9</v>
      </c>
      <c r="B338" s="12" t="str">
        <f t="array" ref="B338">XLOOKUP(C338, Channel_Listings!C:C, Channel_Listings!B:B)
</f>
        <v>Kitchen_Containers</v>
      </c>
      <c r="C338" s="24" t="s">
        <v>417</v>
      </c>
      <c r="D338" s="14" t="str">
        <f t="array" ref="D338">XLOOKUP(C338, Channel_Listings!C:C, Channel_Listings!D:D)
</f>
        <v>CONTAINER-DELUXE333-PK2</v>
      </c>
      <c r="E338" s="15">
        <v>289.0</v>
      </c>
      <c r="F338" s="16">
        <f t="array" ref="F338">IFERROR(
  VALUE( INDEX(Product_Master!$I:$I,
               MATCH( INDEX(Pack_Master!$B:$B, MATCH($D338, Pack_Master!$A:$A, 0)),
                      Product_Master!$B:$B, 0)
  )) 
  * VALUE( INDEX(Pack_Master!$C:$C, MATCH($D338, Pack_Master!$A:$A, 0)) )
  + VALUE( INDEX(Pack_Master!$D:$D, MATCH($D338, Pack_Master!$A:$A, 0)) ),
"")
</f>
        <v>81</v>
      </c>
      <c r="G338" s="17">
        <f t="array" ref="G338">IFERROR(
 ( INDEX(Pack_Master!E:E, MATCH($D338, Pack_Master!A:A, 0))
   * INDEX(Pack_Master!F:F, MATCH($D338, Pack_Master!A:A, 0))
   * INDEX(Pack_Master!G:G, MATCH($D338, Pack_Master!A:A, 0))
 ) / INDEX(Config!C:C, MATCH($A338, Config!A:A, 0)),
"")
</f>
        <v>1.6</v>
      </c>
      <c r="H338" s="17">
        <f t="array" ref="H338">MAX( INDEX(Pack_Master!H:H, MATCH($D338, Pack_Master!A:A, 0)),
      IFERROR(G338, 0) )
</f>
        <v>1.6</v>
      </c>
      <c r="I338" s="18">
        <f>IFERROR(__xludf.DUMMYFUNCTION("IFERROR(
 INDEX(
   FILTER(Shipping_Rate_Card!B:F, Shipping_Rate_Card!A:A=$A338),
   MATCH($H338, FILTER(Shipping_Rate_Card!B:B, Shipping_Rate_Card!A:A=$A338), 1),
   IF( INDEX(Config!B:B, MATCH($A338, Config!A:A, 0))=""Local"", 2,
     IF( INDEX(Config!B"&amp;":B, MATCH($A338, Config!A:A, 0))=""Regional"", 3, 4 )
   )
 ),
"""")
"),121.0)</f>
        <v>121</v>
      </c>
      <c r="J338" s="16">
        <f>IFERROR(__xludf.DUMMYFUNCTION("IFERROR(
 ( E338 * INDEX(FILTER(Pricing_Rules!E:E, Pricing_Rules!A:A=A338, Pricing_Rules!B:B=B338, Pricing_Rules!C:C&lt;=E338, Pricing_Rules!D:D&gt;=E338), 1)
   + INDEX(FILTER(Pricing_Rules!F:F, Pricing_Rules!A:A=A338, Pricing_Rules!B:B=B338, Pricing_Rules!C:C"&amp;"&lt;=E338, Pricing_Rules!D:D&gt;=E338), 1)
 )
 * (1 + IFERROR( INDEX(Config!D:D, MATCH(A338, Config!A:A, 0)), 0 )),
"""")
"),5.8999999999999995)</f>
        <v>5.9</v>
      </c>
      <c r="K338" s="19">
        <f t="shared" si="3"/>
        <v>81.1</v>
      </c>
      <c r="L338" s="20">
        <f t="shared" si="4"/>
        <v>0.2806228374</v>
      </c>
    </row>
    <row r="339" ht="15.75" customHeight="1">
      <c r="A339" s="9" t="s">
        <v>9</v>
      </c>
      <c r="B339" s="12" t="str">
        <f t="array" ref="B339">XLOOKUP(C339, Channel_Listings!C:C, Channel_Listings!B:B)
</f>
        <v>Kitchen_Containers</v>
      </c>
      <c r="C339" s="24" t="s">
        <v>419</v>
      </c>
      <c r="D339" s="14" t="str">
        <f t="array" ref="D339">XLOOKUP(C339, Channel_Listings!C:C, Channel_Listings!D:D)
</f>
        <v>CONTAINER-DELUXE333-PK6</v>
      </c>
      <c r="E339" s="15">
        <v>419.0</v>
      </c>
      <c r="F339" s="16">
        <f t="array" ref="F339">IFERROR(
  VALUE( INDEX(Product_Master!$I:$I,
               MATCH( INDEX(Pack_Master!$B:$B, MATCH($D339, Pack_Master!$A:$A, 0)),
                      Product_Master!$B:$B, 0)
  )) 
  * VALUE( INDEX(Pack_Master!$C:$C, MATCH($D339, Pack_Master!$A:$A, 0)) )
  + VALUE( INDEX(Pack_Master!$D:$D, MATCH($D339, Pack_Master!$A:$A, 0)) ),
"")
</f>
        <v>193</v>
      </c>
      <c r="G339" s="17">
        <f t="array" ref="G339">IFERROR(
 ( INDEX(Pack_Master!E:E, MATCH($D339, Pack_Master!A:A, 0))
   * INDEX(Pack_Master!F:F, MATCH($D339, Pack_Master!A:A, 0))
   * INDEX(Pack_Master!G:G, MATCH($D339, Pack_Master!A:A, 0))
 ) / INDEX(Config!C:C, MATCH($A339, Config!A:A, 0)),
"")
</f>
        <v>1.6</v>
      </c>
      <c r="H339" s="17">
        <f t="array" ref="H339">MAX( INDEX(Pack_Master!H:H, MATCH($D339, Pack_Master!A:A, 0)),
      IFERROR(G339, 0) )
</f>
        <v>1.6</v>
      </c>
      <c r="I339" s="18">
        <f>IFERROR(__xludf.DUMMYFUNCTION("IFERROR(
 INDEX(
   FILTER(Shipping_Rate_Card!B:F, Shipping_Rate_Card!A:A=$A339),
   MATCH($H339, FILTER(Shipping_Rate_Card!B:B, Shipping_Rate_Card!A:A=$A339), 1),
   IF( INDEX(Config!B:B, MATCH($A339, Config!A:A, 0))=""Local"", 2,
     IF( INDEX(Config!B"&amp;":B, MATCH($A339, Config!A:A, 0))=""Regional"", 3, 4 )
   )
 ),
"""")
"),121.0)</f>
        <v>121</v>
      </c>
      <c r="J339" s="16">
        <f>IFERROR(__xludf.DUMMYFUNCTION("IFERROR(
 ( E339 * INDEX(FILTER(Pricing_Rules!E:E, Pricing_Rules!A:A=A339, Pricing_Rules!B:B=B339, Pricing_Rules!C:C&lt;=E339, Pricing_Rules!D:D&gt;=E339), 1)
   + INDEX(FILTER(Pricing_Rules!F:F, Pricing_Rules!A:A=A339, Pricing_Rules!B:B=B339, Pricing_Rules!C:C"&amp;"&lt;=E339, Pricing_Rules!D:D&gt;=E339), 1)
 )
 * (1 + IFERROR( INDEX(Config!D:D, MATCH(A339, Config!A:A, 0)), 0 )),
"""")
"),43.825199999999995)</f>
        <v>43.8252</v>
      </c>
      <c r="K339" s="19">
        <f t="shared" si="3"/>
        <v>61.1748</v>
      </c>
      <c r="L339" s="20">
        <f t="shared" si="4"/>
        <v>0.1460019093</v>
      </c>
    </row>
    <row r="340" ht="15.75" customHeight="1">
      <c r="A340" s="9" t="s">
        <v>9</v>
      </c>
      <c r="B340" s="12" t="str">
        <f t="array" ref="B340">XLOOKUP(C340, Channel_Listings!C:C, Channel_Listings!B:B)
</f>
        <v>Kitchen_Containers</v>
      </c>
      <c r="C340" s="24" t="s">
        <v>421</v>
      </c>
      <c r="D340" s="14" t="str">
        <f t="array" ref="D340">XLOOKUP(C340, Channel_Listings!C:C, Channel_Listings!D:D)
</f>
        <v>CONTAINER-DELUXE444-PK12</v>
      </c>
      <c r="E340" s="15">
        <v>1149.0</v>
      </c>
      <c r="F340" s="16">
        <f t="array" ref="F340">IFERROR(
  VALUE( INDEX(Product_Master!$I:$I,
               MATCH( INDEX(Pack_Master!$B:$B, MATCH($D340, Pack_Master!$A:$A, 0)),
                      Product_Master!$B:$B, 0)
  )) 
  * VALUE( INDEX(Pack_Master!$C:$C, MATCH($D340, Pack_Master!$A:$A, 0)) )
  + VALUE( INDEX(Pack_Master!$D:$D, MATCH($D340, Pack_Master!$A:$A, 0)) ),
"")
</f>
        <v>409</v>
      </c>
      <c r="G340" s="17">
        <f t="array" ref="G340">IFERROR(
 ( INDEX(Pack_Master!E:E, MATCH($D340, Pack_Master!A:A, 0))
   * INDEX(Pack_Master!F:F, MATCH($D340, Pack_Master!A:A, 0))
   * INDEX(Pack_Master!G:G, MATCH($D340, Pack_Master!A:A, 0))
 ) / INDEX(Config!C:C, MATCH($A340, Config!A:A, 0)),
"")
</f>
        <v>1.6</v>
      </c>
      <c r="H340" s="17">
        <f t="array" ref="H340">MAX( INDEX(Pack_Master!H:H, MATCH($D340, Pack_Master!A:A, 0)),
      IFERROR(G340, 0) )
</f>
        <v>1.6</v>
      </c>
      <c r="I340" s="18">
        <f>IFERROR(__xludf.DUMMYFUNCTION("IFERROR(
 INDEX(
   FILTER(Shipping_Rate_Card!B:F, Shipping_Rate_Card!A:A=$A340),
   MATCH($H340, FILTER(Shipping_Rate_Card!B:B, Shipping_Rate_Card!A:A=$A340), 1),
   IF( INDEX(Config!B:B, MATCH($A340, Config!A:A, 0))=""Local"", 2,
     IF( INDEX(Config!B"&amp;":B, MATCH($A340, Config!A:A, 0))=""Regional"", 3, 4 )
   )
 ),
"""")
"),121.0)</f>
        <v>121</v>
      </c>
      <c r="J340" s="16">
        <f>IFERROR(__xludf.DUMMYFUNCTION("IFERROR(
 ( E340 * INDEX(FILTER(Pricing_Rules!E:E, Pricing_Rules!A:A=A340, Pricing_Rules!B:B=B340, Pricing_Rules!C:C&lt;=E340, Pricing_Rules!D:D&gt;=E340), 1)
   + INDEX(FILTER(Pricing_Rules!F:F, Pricing_Rules!A:A=A340, Pricing_Rules!B:B=B340, Pricing_Rules!C:C"&amp;"&lt;=E340, Pricing_Rules!D:D&gt;=E340), 1)
 )
 * (1 + IFERROR( INDEX(Config!D:D, MATCH(A340, Config!A:A, 0)), 0 )),
"""")
"),198.0984)</f>
        <v>198.0984</v>
      </c>
      <c r="K340" s="19">
        <f t="shared" si="3"/>
        <v>420.9016</v>
      </c>
      <c r="L340" s="20">
        <f t="shared" si="4"/>
        <v>0.3663199304</v>
      </c>
    </row>
    <row r="341" ht="15.75" customHeight="1">
      <c r="A341" s="9" t="s">
        <v>9</v>
      </c>
      <c r="B341" s="12" t="str">
        <f t="array" ref="B341">XLOOKUP(C341, Channel_Listings!C:C, Channel_Listings!B:B)
</f>
        <v>Kitchen_Containers</v>
      </c>
      <c r="C341" s="24" t="s">
        <v>423</v>
      </c>
      <c r="D341" s="14" t="str">
        <f t="array" ref="D341">XLOOKUP(C341, Channel_Listings!C:C, Channel_Listings!D:D)
</f>
        <v>CONTAINER-DELUXE444-PK2</v>
      </c>
      <c r="E341" s="15">
        <v>329.0</v>
      </c>
      <c r="F341" s="16">
        <f t="array" ref="F341">IFERROR(
  VALUE( INDEX(Product_Master!$I:$I,
               MATCH( INDEX(Pack_Master!$B:$B, MATCH($D341, Pack_Master!$A:$A, 0)),
                      Product_Master!$B:$B, 0)
  )) 
  * VALUE( INDEX(Pack_Master!$C:$C, MATCH($D341, Pack_Master!$A:$A, 0)) )
  + VALUE( INDEX(Pack_Master!$D:$D, MATCH($D341, Pack_Master!$A:$A, 0)) ),
"")
</f>
        <v>89</v>
      </c>
      <c r="G341" s="17">
        <f t="array" ref="G341">IFERROR(
 ( INDEX(Pack_Master!E:E, MATCH($D341, Pack_Master!A:A, 0))
   * INDEX(Pack_Master!F:F, MATCH($D341, Pack_Master!A:A, 0))
   * INDEX(Pack_Master!G:G, MATCH($D341, Pack_Master!A:A, 0))
 ) / INDEX(Config!C:C, MATCH($A341, Config!A:A, 0)),
"")
</f>
        <v>1.6</v>
      </c>
      <c r="H341" s="17">
        <f t="array" ref="H341">MAX( INDEX(Pack_Master!H:H, MATCH($D341, Pack_Master!A:A, 0)),
      IFERROR(G341, 0) )
</f>
        <v>1.6</v>
      </c>
      <c r="I341" s="18">
        <f>IFERROR(__xludf.DUMMYFUNCTION("IFERROR(
 INDEX(
   FILTER(Shipping_Rate_Card!B:F, Shipping_Rate_Card!A:A=$A341),
   MATCH($H341, FILTER(Shipping_Rate_Card!B:B, Shipping_Rate_Card!A:A=$A341), 1),
   IF( INDEX(Config!B:B, MATCH($A341, Config!A:A, 0))=""Local"", 2,
     IF( INDEX(Config!B"&amp;":B, MATCH($A341, Config!A:A, 0))=""Regional"", 3, 4 )
   )
 ),
"""")
"),121.0)</f>
        <v>121</v>
      </c>
      <c r="J341" s="16">
        <f>IFERROR(__xludf.DUMMYFUNCTION("IFERROR(
 ( E341 * INDEX(FILTER(Pricing_Rules!E:E, Pricing_Rules!A:A=A341, Pricing_Rules!B:B=B341, Pricing_Rules!C:C&lt;=E341, Pricing_Rules!D:D&gt;=E341), 1)
   + INDEX(FILTER(Pricing_Rules!F:F, Pricing_Rules!A:A=A341, Pricing_Rules!B:B=B341, Pricing_Rules!C:C"&amp;"&lt;=E341, Pricing_Rules!D:D&gt;=E341), 1)
 )
 * (1 + IFERROR( INDEX(Config!D:D, MATCH(A341, Config!A:A, 0)), 0 )),
"""")
"),37.453199999999995)</f>
        <v>37.4532</v>
      </c>
      <c r="K341" s="19">
        <f t="shared" si="3"/>
        <v>81.5468</v>
      </c>
      <c r="L341" s="20">
        <f t="shared" si="4"/>
        <v>0.247862614</v>
      </c>
    </row>
    <row r="342" ht="15.75" customHeight="1">
      <c r="A342" s="9" t="s">
        <v>9</v>
      </c>
      <c r="B342" s="12" t="str">
        <f t="array" ref="B342">XLOOKUP(C342, Channel_Listings!C:C, Channel_Listings!B:B)
</f>
        <v>Kitchen_Containers</v>
      </c>
      <c r="C342" s="24" t="s">
        <v>425</v>
      </c>
      <c r="D342" s="14" t="str">
        <f t="array" ref="D342">XLOOKUP(C342, Channel_Listings!C:C, Channel_Listings!D:D)
</f>
        <v>CONTAINER-DELUXE444-PK6</v>
      </c>
      <c r="E342" s="15">
        <v>629.0</v>
      </c>
      <c r="F342" s="16">
        <f t="array" ref="F342">IFERROR(
  VALUE( INDEX(Product_Master!$I:$I,
               MATCH( INDEX(Pack_Master!$B:$B, MATCH($D342, Pack_Master!$A:$A, 0)),
                      Product_Master!$B:$B, 0)
  )) 
  * VALUE( INDEX(Pack_Master!$C:$C, MATCH($D342, Pack_Master!$A:$A, 0)) )
  + VALUE( INDEX(Pack_Master!$D:$D, MATCH($D342, Pack_Master!$A:$A, 0)) ),
"")
</f>
        <v>217</v>
      </c>
      <c r="G342" s="17">
        <f t="array" ref="G342">IFERROR(
 ( INDEX(Pack_Master!E:E, MATCH($D342, Pack_Master!A:A, 0))
   * INDEX(Pack_Master!F:F, MATCH($D342, Pack_Master!A:A, 0))
   * INDEX(Pack_Master!G:G, MATCH($D342, Pack_Master!A:A, 0))
 ) / INDEX(Config!C:C, MATCH($A342, Config!A:A, 0)),
"")
</f>
        <v>1.6</v>
      </c>
      <c r="H342" s="17">
        <f t="array" ref="H342">MAX( INDEX(Pack_Master!H:H, MATCH($D342, Pack_Master!A:A, 0)),
      IFERROR(G342, 0) )
</f>
        <v>1.6</v>
      </c>
      <c r="I342" s="18">
        <f>IFERROR(__xludf.DUMMYFUNCTION("IFERROR(
 INDEX(
   FILTER(Shipping_Rate_Card!B:F, Shipping_Rate_Card!A:A=$A342),
   MATCH($H342, FILTER(Shipping_Rate_Card!B:B, Shipping_Rate_Card!A:A=$A342), 1),
   IF( INDEX(Config!B:B, MATCH($A342, Config!A:A, 0))=""Local"", 2,
     IF( INDEX(Config!B"&amp;":B, MATCH($A342, Config!A:A, 0))=""Regional"", 3, 4 )
   )
 ),
"""")
"),121.0)</f>
        <v>121</v>
      </c>
      <c r="J342" s="16">
        <f>IFERROR(__xludf.DUMMYFUNCTION("IFERROR(
 ( E342 * INDEX(FILTER(Pricing_Rules!E:E, Pricing_Rules!A:A=A342, Pricing_Rules!B:B=B342, Pricing_Rules!C:C&lt;=E342, Pricing_Rules!D:D&gt;=E342), 1)
   + INDEX(FILTER(Pricing_Rules!F:F, Pricing_Rules!A:A=A342, Pricing_Rules!B:B=B342, Pricing_Rules!C:C"&amp;"&lt;=E342, Pricing_Rules!D:D&gt;=E342), 1)
 )
 * (1 + IFERROR( INDEX(Config!D:D, MATCH(A342, Config!A:A, 0)), 0 )),
"""")
"),124.4664)</f>
        <v>124.4664</v>
      </c>
      <c r="K342" s="19">
        <f t="shared" si="3"/>
        <v>166.5336</v>
      </c>
      <c r="L342" s="20">
        <f t="shared" si="4"/>
        <v>0.2647593005</v>
      </c>
    </row>
    <row r="343" ht="15.75" customHeight="1">
      <c r="A343" s="9" t="s">
        <v>9</v>
      </c>
      <c r="B343" s="12" t="str">
        <f t="array" ref="B343">XLOOKUP(C343, Channel_Listings!C:C, Channel_Listings!B:B)
</f>
        <v>Kitchen_Containers</v>
      </c>
      <c r="C343" s="24" t="s">
        <v>427</v>
      </c>
      <c r="D343" s="14" t="str">
        <f t="array" ref="D343">XLOOKUP(C343, Channel_Listings!C:C, Channel_Listings!D:D)
</f>
        <v>CONTAINER-DELUXE555-PK12</v>
      </c>
      <c r="E343" s="15">
        <v>1259.0</v>
      </c>
      <c r="F343" s="16">
        <f t="array" ref="F343">IFERROR(
  VALUE( INDEX(Product_Master!$I:$I,
               MATCH( INDEX(Pack_Master!$B:$B, MATCH($D343, Pack_Master!$A:$A, 0)),
                      Product_Master!$B:$B, 0)
  )) 
  * VALUE( INDEX(Pack_Master!$C:$C, MATCH($D343, Pack_Master!$A:$A, 0)) )
  + VALUE( INDEX(Pack_Master!$D:$D, MATCH($D343, Pack_Master!$A:$A, 0)) ),
"")
</f>
        <v>529</v>
      </c>
      <c r="G343" s="17">
        <f t="array" ref="G343">IFERROR(
 ( INDEX(Pack_Master!E:E, MATCH($D343, Pack_Master!A:A, 0))
   * INDEX(Pack_Master!F:F, MATCH($D343, Pack_Master!A:A, 0))
   * INDEX(Pack_Master!G:G, MATCH($D343, Pack_Master!A:A, 0))
 ) / INDEX(Config!C:C, MATCH($A343, Config!A:A, 0)),
"")
</f>
        <v>1.6</v>
      </c>
      <c r="H343" s="17">
        <f t="array" ref="H343">MAX( INDEX(Pack_Master!H:H, MATCH($D343, Pack_Master!A:A, 0)),
      IFERROR(G343, 0) )
</f>
        <v>1.6</v>
      </c>
      <c r="I343" s="18">
        <f>IFERROR(__xludf.DUMMYFUNCTION("IFERROR(
 INDEX(
   FILTER(Shipping_Rate_Card!B:F, Shipping_Rate_Card!A:A=$A343),
   MATCH($H343, FILTER(Shipping_Rate_Card!B:B, Shipping_Rate_Card!A:A=$A343), 1),
   IF( INDEX(Config!B:B, MATCH($A343, Config!A:A, 0))=""Local"", 2,
     IF( INDEX(Config!B"&amp;":B, MATCH($A343, Config!A:A, 0))=""Regional"", 3, 4 )
   )
 ),
"""")
"),121.0)</f>
        <v>121</v>
      </c>
      <c r="J343" s="16">
        <f>IFERROR(__xludf.DUMMYFUNCTION("IFERROR(
 ( E343 * INDEX(FILTER(Pricing_Rules!E:E, Pricing_Rules!A:A=A343, Pricing_Rules!B:B=B343, Pricing_Rules!C:C&lt;=E343, Pricing_Rules!D:D&gt;=E343), 1)
   + INDEX(FILTER(Pricing_Rules!F:F, Pricing_Rules!A:A=A343, Pricing_Rules!B:B=B343, Pricing_Rules!C:C"&amp;"&lt;=E343, Pricing_Rules!D:D&gt;=E343), 1)
 )
 * (1 + IFERROR( INDEX(Config!D:D, MATCH(A343, Config!A:A, 0)), 0 )),
"""")
"),213.67439999999996)</f>
        <v>213.6744</v>
      </c>
      <c r="K343" s="19">
        <f t="shared" si="3"/>
        <v>395.3256</v>
      </c>
      <c r="L343" s="20">
        <f t="shared" si="4"/>
        <v>0.3139996823</v>
      </c>
    </row>
    <row r="344" ht="15.75" customHeight="1">
      <c r="A344" s="9" t="s">
        <v>9</v>
      </c>
      <c r="B344" s="12" t="str">
        <f t="array" ref="B344">XLOOKUP(C344, Channel_Listings!C:C, Channel_Listings!B:B)
</f>
        <v>Kitchen_Containers</v>
      </c>
      <c r="C344" s="24" t="s">
        <v>429</v>
      </c>
      <c r="D344" s="14" t="str">
        <f t="array" ref="D344">XLOOKUP(C344, Channel_Listings!C:C, Channel_Listings!D:D)
</f>
        <v>CONTAINER-DELUXE555-PK2</v>
      </c>
      <c r="E344" s="15">
        <v>349.0</v>
      </c>
      <c r="F344" s="16">
        <f t="array" ref="F344">IFERROR(
  VALUE( INDEX(Product_Master!$I:$I,
               MATCH( INDEX(Pack_Master!$B:$B, MATCH($D344, Pack_Master!$A:$A, 0)),
                      Product_Master!$B:$B, 0)
  )) 
  * VALUE( INDEX(Pack_Master!$C:$C, MATCH($D344, Pack_Master!$A:$A, 0)) )
  + VALUE( INDEX(Pack_Master!$D:$D, MATCH($D344, Pack_Master!$A:$A, 0)) ),
"")
</f>
        <v>109</v>
      </c>
      <c r="G344" s="17">
        <f t="array" ref="G344">IFERROR(
 ( INDEX(Pack_Master!E:E, MATCH($D344, Pack_Master!A:A, 0))
   * INDEX(Pack_Master!F:F, MATCH($D344, Pack_Master!A:A, 0))
   * INDEX(Pack_Master!G:G, MATCH($D344, Pack_Master!A:A, 0))
 ) / INDEX(Config!C:C, MATCH($A344, Config!A:A, 0)),
"")
</f>
        <v>1.6</v>
      </c>
      <c r="H344" s="17">
        <f t="array" ref="H344">MAX( INDEX(Pack_Master!H:H, MATCH($D344, Pack_Master!A:A, 0)),
      IFERROR(G344, 0) )
</f>
        <v>1.6</v>
      </c>
      <c r="I344" s="18">
        <f>IFERROR(__xludf.DUMMYFUNCTION("IFERROR(
 INDEX(
   FILTER(Shipping_Rate_Card!B:F, Shipping_Rate_Card!A:A=$A344),
   MATCH($H344, FILTER(Shipping_Rate_Card!B:B, Shipping_Rate_Card!A:A=$A344), 1),
   IF( INDEX(Config!B:B, MATCH($A344, Config!A:A, 0))=""Local"", 2,
     IF( INDEX(Config!B"&amp;":B, MATCH($A344, Config!A:A, 0))=""Regional"", 3, 4 )
   )
 ),
"""")
"),121.0)</f>
        <v>121</v>
      </c>
      <c r="J344" s="16">
        <f>IFERROR(__xludf.DUMMYFUNCTION("IFERROR(
 ( E344 * INDEX(FILTER(Pricing_Rules!E:E, Pricing_Rules!A:A=A344, Pricing_Rules!B:B=B344, Pricing_Rules!C:C&lt;=E344, Pricing_Rules!D:D&gt;=E344), 1)
   + INDEX(FILTER(Pricing_Rules!F:F, Pricing_Rules!A:A=A344, Pricing_Rules!B:B=B344, Pricing_Rules!C:C"&amp;"&lt;=E344, Pricing_Rules!D:D&gt;=E344), 1)
 )
 * (1 + IFERROR( INDEX(Config!D:D, MATCH(A344, Config!A:A, 0)), 0 )),
"""")
"),38.86919999999999)</f>
        <v>38.8692</v>
      </c>
      <c r="K344" s="19">
        <f t="shared" si="3"/>
        <v>80.1308</v>
      </c>
      <c r="L344" s="20">
        <f t="shared" si="4"/>
        <v>0.2296011461</v>
      </c>
    </row>
    <row r="345" ht="15.75" customHeight="1">
      <c r="A345" s="9" t="s">
        <v>9</v>
      </c>
      <c r="B345" s="12" t="str">
        <f t="array" ref="B345">XLOOKUP(C345, Channel_Listings!C:C, Channel_Listings!B:B)
</f>
        <v>Kitchen_Containers</v>
      </c>
      <c r="C345" s="24" t="s">
        <v>431</v>
      </c>
      <c r="D345" s="14" t="str">
        <f t="array" ref="D345">XLOOKUP(C345, Channel_Listings!C:C, Channel_Listings!D:D)
</f>
        <v>CONTAINER-DELUXE555-PK6</v>
      </c>
      <c r="E345" s="15">
        <v>679.0</v>
      </c>
      <c r="F345" s="16">
        <f t="array" ref="F345">IFERROR(
  VALUE( INDEX(Product_Master!$I:$I,
               MATCH( INDEX(Pack_Master!$B:$B, MATCH($D345, Pack_Master!$A:$A, 0)),
                      Product_Master!$B:$B, 0)
  )) 
  * VALUE( INDEX(Pack_Master!$C:$C, MATCH($D345, Pack_Master!$A:$A, 0)) )
  + VALUE( INDEX(Pack_Master!$D:$D, MATCH($D345, Pack_Master!$A:$A, 0)) ),
"")
</f>
        <v>277</v>
      </c>
      <c r="G345" s="17">
        <f t="array" ref="G345">IFERROR(
 ( INDEX(Pack_Master!E:E, MATCH($D345, Pack_Master!A:A, 0))
   * INDEX(Pack_Master!F:F, MATCH($D345, Pack_Master!A:A, 0))
   * INDEX(Pack_Master!G:G, MATCH($D345, Pack_Master!A:A, 0))
 ) / INDEX(Config!C:C, MATCH($A345, Config!A:A, 0)),
"")
</f>
        <v>1.6</v>
      </c>
      <c r="H345" s="17">
        <f t="array" ref="H345">MAX( INDEX(Pack_Master!H:H, MATCH($D345, Pack_Master!A:A, 0)),
      IFERROR(G345, 0) )
</f>
        <v>1.6</v>
      </c>
      <c r="I345" s="18">
        <f>IFERROR(__xludf.DUMMYFUNCTION("IFERROR(
 INDEX(
   FILTER(Shipping_Rate_Card!B:F, Shipping_Rate_Card!A:A=$A345),
   MATCH($H345, FILTER(Shipping_Rate_Card!B:B, Shipping_Rate_Card!A:A=$A345), 1),
   IF( INDEX(Config!B:B, MATCH($A345, Config!A:A, 0))=""Local"", 2,
     IF( INDEX(Config!B"&amp;":B, MATCH($A345, Config!A:A, 0))=""Regional"", 3, 4 )
   )
 ),
"""")
"),121.0)</f>
        <v>121</v>
      </c>
      <c r="J345" s="16">
        <f>IFERROR(__xludf.DUMMYFUNCTION("IFERROR(
 ( E345 * INDEX(FILTER(Pricing_Rules!E:E, Pricing_Rules!A:A=A345, Pricing_Rules!B:B=B345, Pricing_Rules!C:C&lt;=E345, Pricing_Rules!D:D&gt;=E345), 1)
   + INDEX(FILTER(Pricing_Rules!F:F, Pricing_Rules!A:A=A345, Pricing_Rules!B:B=B345, Pricing_Rules!C:C"&amp;"&lt;=E345, Pricing_Rules!D:D&gt;=E345), 1)
 )
 * (1 + IFERROR( INDEX(Config!D:D, MATCH(A345, Config!A:A, 0)), 0 )),
"""")
"),131.5464)</f>
        <v>131.5464</v>
      </c>
      <c r="K345" s="19">
        <f t="shared" si="3"/>
        <v>149.4536</v>
      </c>
      <c r="L345" s="20">
        <f t="shared" si="4"/>
        <v>0.2201083947</v>
      </c>
    </row>
    <row r="346" ht="15.75" customHeight="1">
      <c r="A346" s="9" t="s">
        <v>9</v>
      </c>
      <c r="B346" s="12" t="str">
        <f t="array" ref="B346">XLOOKUP(C346, Channel_Listings!C:C, Channel_Listings!B:B)
</f>
        <v>Kitchen_Containers</v>
      </c>
      <c r="C346" s="24" t="s">
        <v>433</v>
      </c>
      <c r="D346" s="14" t="str">
        <f t="array" ref="D346">XLOOKUP(C346, Channel_Listings!C:C, Channel_Listings!D:D)
</f>
        <v>CONTAINER-DELUXE666-PK12</v>
      </c>
      <c r="E346" s="15">
        <v>1449.0</v>
      </c>
      <c r="F346" s="16">
        <f t="array" ref="F346">IFERROR(
  VALUE( INDEX(Product_Master!$I:$I,
               MATCH( INDEX(Pack_Master!$B:$B, MATCH($D346, Pack_Master!$A:$A, 0)),
                      Product_Master!$B:$B, 0)
  )) 
  * VALUE( INDEX(Pack_Master!$C:$C, MATCH($D346, Pack_Master!$A:$A, 0)) )
  + VALUE( INDEX(Pack_Master!$D:$D, MATCH($D346, Pack_Master!$A:$A, 0)) ),
"")
</f>
        <v>697</v>
      </c>
      <c r="G346" s="17">
        <f t="array" ref="G346">IFERROR(
 ( INDEX(Pack_Master!E:E, MATCH($D346, Pack_Master!A:A, 0))
   * INDEX(Pack_Master!F:F, MATCH($D346, Pack_Master!A:A, 0))
   * INDEX(Pack_Master!G:G, MATCH($D346, Pack_Master!A:A, 0))
 ) / INDEX(Config!C:C, MATCH($A346, Config!A:A, 0)),
"")
</f>
        <v>1.6</v>
      </c>
      <c r="H346" s="17">
        <f t="array" ref="H346">MAX( INDEX(Pack_Master!H:H, MATCH($D346, Pack_Master!A:A, 0)),
      IFERROR(G346, 0) )
</f>
        <v>1.6</v>
      </c>
      <c r="I346" s="18">
        <f>IFERROR(__xludf.DUMMYFUNCTION("IFERROR(
 INDEX(
   FILTER(Shipping_Rate_Card!B:F, Shipping_Rate_Card!A:A=$A346),
   MATCH($H346, FILTER(Shipping_Rate_Card!B:B, Shipping_Rate_Card!A:A=$A346), 1),
   IF( INDEX(Config!B:B, MATCH($A346, Config!A:A, 0))=""Local"", 2,
     IF( INDEX(Config!B"&amp;":B, MATCH($A346, Config!A:A, 0))=""Regional"", 3, 4 )
   )
 ),
"""")
"),121.0)</f>
        <v>121</v>
      </c>
      <c r="J346" s="16">
        <f>IFERROR(__xludf.DUMMYFUNCTION("IFERROR(
 ( E346 * INDEX(FILTER(Pricing_Rules!E:E, Pricing_Rules!A:A=A346, Pricing_Rules!B:B=B346, Pricing_Rules!C:C&lt;=E346, Pricing_Rules!D:D&gt;=E346), 1)
   + INDEX(FILTER(Pricing_Rules!F:F, Pricing_Rules!A:A=A346, Pricing_Rules!B:B=B346, Pricing_Rules!C:C"&amp;"&lt;=E346, Pricing_Rules!D:D&gt;=E346), 1)
 )
 * (1 + IFERROR( INDEX(Config!D:D, MATCH(A346, Config!A:A, 0)), 0 )),
"""")
"),240.5784)</f>
        <v>240.5784</v>
      </c>
      <c r="K346" s="19">
        <f t="shared" si="3"/>
        <v>390.4216</v>
      </c>
      <c r="L346" s="20">
        <f t="shared" si="4"/>
        <v>0.269442098</v>
      </c>
    </row>
    <row r="347" ht="15.75" customHeight="1">
      <c r="A347" s="9" t="s">
        <v>9</v>
      </c>
      <c r="B347" s="12" t="str">
        <f t="array" ref="B347">XLOOKUP(C347, Channel_Listings!C:C, Channel_Listings!B:B)
</f>
        <v>Kitchen_Containers</v>
      </c>
      <c r="C347" s="24" t="s">
        <v>435</v>
      </c>
      <c r="D347" s="14" t="str">
        <f t="array" ref="D347">XLOOKUP(C347, Channel_Listings!C:C, Channel_Listings!D:D)
</f>
        <v>CONTAINER-DELUXE666-PK2</v>
      </c>
      <c r="E347" s="15">
        <v>359.0</v>
      </c>
      <c r="F347" s="16">
        <f t="array" ref="F347">IFERROR(
  VALUE( INDEX(Product_Master!$I:$I,
               MATCH( INDEX(Pack_Master!$B:$B, MATCH($D347, Pack_Master!$A:$A, 0)),
                      Product_Master!$B:$B, 0)
  )) 
  * VALUE( INDEX(Pack_Master!$C:$C, MATCH($D347, Pack_Master!$A:$A, 0)) )
  + VALUE( INDEX(Pack_Master!$D:$D, MATCH($D347, Pack_Master!$A:$A, 0)) ),
"")
</f>
        <v>137</v>
      </c>
      <c r="G347" s="17">
        <f t="array" ref="G347">IFERROR(
 ( INDEX(Pack_Master!E:E, MATCH($D347, Pack_Master!A:A, 0))
   * INDEX(Pack_Master!F:F, MATCH($D347, Pack_Master!A:A, 0))
   * INDEX(Pack_Master!G:G, MATCH($D347, Pack_Master!A:A, 0))
 ) / INDEX(Config!C:C, MATCH($A347, Config!A:A, 0)),
"")
</f>
        <v>1.6</v>
      </c>
      <c r="H347" s="17">
        <f t="array" ref="H347">MAX( INDEX(Pack_Master!H:H, MATCH($D347, Pack_Master!A:A, 0)),
      IFERROR(G347, 0) )
</f>
        <v>1.6</v>
      </c>
      <c r="I347" s="18">
        <f>IFERROR(__xludf.DUMMYFUNCTION("IFERROR(
 INDEX(
   FILTER(Shipping_Rate_Card!B:F, Shipping_Rate_Card!A:A=$A347),
   MATCH($H347, FILTER(Shipping_Rate_Card!B:B, Shipping_Rate_Card!A:A=$A347), 1),
   IF( INDEX(Config!B:B, MATCH($A347, Config!A:A, 0))=""Local"", 2,
     IF( INDEX(Config!B"&amp;":B, MATCH($A347, Config!A:A, 0))=""Regional"", 3, 4 )
   )
 ),
"""")
"),121.0)</f>
        <v>121</v>
      </c>
      <c r="J347" s="16">
        <f>IFERROR(__xludf.DUMMYFUNCTION("IFERROR(
 ( E347 * INDEX(FILTER(Pricing_Rules!E:E, Pricing_Rules!A:A=A347, Pricing_Rules!B:B=B347, Pricing_Rules!C:C&lt;=E347, Pricing_Rules!D:D&gt;=E347), 1)
   + INDEX(FILTER(Pricing_Rules!F:F, Pricing_Rules!A:A=A347, Pricing_Rules!B:B=B347, Pricing_Rules!C:C"&amp;"&lt;=E347, Pricing_Rules!D:D&gt;=E347), 1)
 )
 * (1 + IFERROR( INDEX(Config!D:D, MATCH(A347, Config!A:A, 0)), 0 )),
"""")
"),39.5772)</f>
        <v>39.5772</v>
      </c>
      <c r="K347" s="19">
        <f t="shared" si="3"/>
        <v>61.4228</v>
      </c>
      <c r="L347" s="20">
        <f t="shared" si="4"/>
        <v>0.1710941504</v>
      </c>
    </row>
    <row r="348" ht="15.75" customHeight="1">
      <c r="A348" s="9" t="s">
        <v>9</v>
      </c>
      <c r="B348" s="12" t="str">
        <f t="array" ref="B348">XLOOKUP(C348, Channel_Listings!C:C, Channel_Listings!B:B)
</f>
        <v>Kitchen_Containers</v>
      </c>
      <c r="C348" s="24" t="s">
        <v>437</v>
      </c>
      <c r="D348" s="14" t="str">
        <f t="array" ref="D348">XLOOKUP(C348, Channel_Listings!C:C, Channel_Listings!D:D)
</f>
        <v>CONTAINER-DELUXE666-PK6</v>
      </c>
      <c r="E348" s="15">
        <v>779.0</v>
      </c>
      <c r="F348" s="16">
        <f t="array" ref="F348">IFERROR(
  VALUE( INDEX(Product_Master!$I:$I,
               MATCH( INDEX(Pack_Master!$B:$B, MATCH($D348, Pack_Master!$A:$A, 0)),
                      Product_Master!$B:$B, 0)
  )) 
  * VALUE( INDEX(Pack_Master!$C:$C, MATCH($D348, Pack_Master!$A:$A, 0)) )
  + VALUE( INDEX(Pack_Master!$D:$D, MATCH($D348, Pack_Master!$A:$A, 0)) ),
"")
</f>
        <v>361</v>
      </c>
      <c r="G348" s="17">
        <f t="array" ref="G348">IFERROR(
 ( INDEX(Pack_Master!E:E, MATCH($D348, Pack_Master!A:A, 0))
   * INDEX(Pack_Master!F:F, MATCH($D348, Pack_Master!A:A, 0))
   * INDEX(Pack_Master!G:G, MATCH($D348, Pack_Master!A:A, 0))
 ) / INDEX(Config!C:C, MATCH($A348, Config!A:A, 0)),
"")
</f>
        <v>1.6</v>
      </c>
      <c r="H348" s="17">
        <f t="array" ref="H348">MAX( INDEX(Pack_Master!H:H, MATCH($D348, Pack_Master!A:A, 0)),
      IFERROR(G348, 0) )
</f>
        <v>1.6</v>
      </c>
      <c r="I348" s="18">
        <f>IFERROR(__xludf.DUMMYFUNCTION("IFERROR(
 INDEX(
   FILTER(Shipping_Rate_Card!B:F, Shipping_Rate_Card!A:A=$A348),
   MATCH($H348, FILTER(Shipping_Rate_Card!B:B, Shipping_Rate_Card!A:A=$A348), 1),
   IF( INDEX(Config!B:B, MATCH($A348, Config!A:A, 0))=""Local"", 2,
     IF( INDEX(Config!B"&amp;":B, MATCH($A348, Config!A:A, 0))=""Regional"", 3, 4 )
   )
 ),
"""")
"),121.0)</f>
        <v>121</v>
      </c>
      <c r="J348" s="16">
        <f>IFERROR(__xludf.DUMMYFUNCTION("IFERROR(
 ( E348 * INDEX(FILTER(Pricing_Rules!E:E, Pricing_Rules!A:A=A348, Pricing_Rules!B:B=B348, Pricing_Rules!C:C&lt;=E348, Pricing_Rules!D:D&gt;=E348), 1)
   + INDEX(FILTER(Pricing_Rules!F:F, Pricing_Rules!A:A=A348, Pricing_Rules!B:B=B348, Pricing_Rules!C:C"&amp;"&lt;=E348, Pricing_Rules!D:D&gt;=E348), 1)
 )
 * (1 + IFERROR( INDEX(Config!D:D, MATCH(A348, Config!A:A, 0)), 0 )),
"""")
"),145.70639999999997)</f>
        <v>145.7064</v>
      </c>
      <c r="K348" s="19">
        <f t="shared" si="3"/>
        <v>151.2936</v>
      </c>
      <c r="L348" s="20">
        <f t="shared" si="4"/>
        <v>0.1942151476</v>
      </c>
    </row>
    <row r="349" ht="15.75" customHeight="1">
      <c r="A349" s="9" t="s">
        <v>9</v>
      </c>
      <c r="B349" s="12" t="str">
        <f t="array" ref="B349">XLOOKUP(C349, Channel_Listings!C:C, Channel_Listings!B:B)
</f>
        <v>Kitchen_Containers</v>
      </c>
      <c r="C349" s="24" t="s">
        <v>439</v>
      </c>
      <c r="D349" s="14" t="str">
        <f t="array" ref="D349">XLOOKUP(C349, Channel_Listings!C:C, Channel_Listings!D:D)
</f>
        <v>CONTAINER-DELUXE777-PK12</v>
      </c>
      <c r="E349" s="15">
        <v>2209.0</v>
      </c>
      <c r="F349" s="16">
        <f t="array" ref="F349">IFERROR(
  VALUE( INDEX(Product_Master!$I:$I,
               MATCH( INDEX(Pack_Master!$B:$B, MATCH($D349, Pack_Master!$A:$A, 0)),
                      Product_Master!$B:$B, 0)
  )) 
  * VALUE( INDEX(Pack_Master!$C:$C, MATCH($D349, Pack_Master!$A:$A, 0)) )
  + VALUE( INDEX(Pack_Master!$D:$D, MATCH($D349, Pack_Master!$A:$A, 0)) ),
"")
</f>
        <v>949</v>
      </c>
      <c r="G349" s="17">
        <f t="array" ref="G349">IFERROR(
 ( INDEX(Pack_Master!E:E, MATCH($D349, Pack_Master!A:A, 0))
   * INDEX(Pack_Master!F:F, MATCH($D349, Pack_Master!A:A, 0))
   * INDEX(Pack_Master!G:G, MATCH($D349, Pack_Master!A:A, 0))
 ) / INDEX(Config!C:C, MATCH($A349, Config!A:A, 0)),
"")
</f>
        <v>1.6</v>
      </c>
      <c r="H349" s="17">
        <f t="array" ref="H349">MAX( INDEX(Pack_Master!H:H, MATCH($D349, Pack_Master!A:A, 0)),
      IFERROR(G349, 0) )
</f>
        <v>1.6</v>
      </c>
      <c r="I349" s="18">
        <f>IFERROR(__xludf.DUMMYFUNCTION("IFERROR(
 INDEX(
   FILTER(Shipping_Rate_Card!B:F, Shipping_Rate_Card!A:A=$A349),
   MATCH($H349, FILTER(Shipping_Rate_Card!B:B, Shipping_Rate_Card!A:A=$A349), 1),
   IF( INDEX(Config!B:B, MATCH($A349, Config!A:A, 0))=""Local"", 2,
     IF( INDEX(Config!B"&amp;":B, MATCH($A349, Config!A:A, 0))=""Regional"", 3, 4 )
   )
 ),
"""")
"),121.0)</f>
        <v>121</v>
      </c>
      <c r="J349" s="16">
        <f>IFERROR(__xludf.DUMMYFUNCTION("IFERROR(
 ( E349 * INDEX(FILTER(Pricing_Rules!E:E, Pricing_Rules!A:A=A349, Pricing_Rules!B:B=B349, Pricing_Rules!C:C&lt;=E349, Pricing_Rules!D:D&gt;=E349), 1)
   + INDEX(FILTER(Pricing_Rules!F:F, Pricing_Rules!A:A=A349, Pricing_Rules!B:B=B349, Pricing_Rules!C:C"&amp;"&lt;=E349, Pricing_Rules!D:D&gt;=E349), 1)
 )
 * (1 + IFERROR( INDEX(Config!D:D, MATCH(A349, Config!A:A, 0)), 0 )),
"""")
"),348.1944)</f>
        <v>348.1944</v>
      </c>
      <c r="K349" s="19">
        <f t="shared" si="3"/>
        <v>790.8056</v>
      </c>
      <c r="L349" s="20">
        <f t="shared" si="4"/>
        <v>0.3579925758</v>
      </c>
    </row>
    <row r="350" ht="15.75" customHeight="1">
      <c r="A350" s="9" t="s">
        <v>9</v>
      </c>
      <c r="B350" s="12" t="str">
        <f t="array" ref="B350">XLOOKUP(C350, Channel_Listings!C:C, Channel_Listings!B:B)
</f>
        <v>Kitchen_Containers</v>
      </c>
      <c r="C350" s="24" t="s">
        <v>441</v>
      </c>
      <c r="D350" s="14" t="str">
        <f t="array" ref="D350">XLOOKUP(C350, Channel_Listings!C:C, Channel_Listings!D:D)
</f>
        <v>CONTAINER-DELUXE777-PK2</v>
      </c>
      <c r="E350" s="15">
        <v>479.0</v>
      </c>
      <c r="F350" s="16">
        <f t="array" ref="F350">IFERROR(
  VALUE( INDEX(Product_Master!$I:$I,
               MATCH( INDEX(Pack_Master!$B:$B, MATCH($D350, Pack_Master!$A:$A, 0)),
                      Product_Master!$B:$B, 0)
  )) 
  * VALUE( INDEX(Pack_Master!$C:$C, MATCH($D350, Pack_Master!$A:$A, 0)) )
  + VALUE( INDEX(Pack_Master!$D:$D, MATCH($D350, Pack_Master!$A:$A, 0)) ),
"")
</f>
        <v>179</v>
      </c>
      <c r="G350" s="17">
        <f t="array" ref="G350">IFERROR(
 ( INDEX(Pack_Master!E:E, MATCH($D350, Pack_Master!A:A, 0))
   * INDEX(Pack_Master!F:F, MATCH($D350, Pack_Master!A:A, 0))
   * INDEX(Pack_Master!G:G, MATCH($D350, Pack_Master!A:A, 0))
 ) / INDEX(Config!C:C, MATCH($A350, Config!A:A, 0)),
"")
</f>
        <v>1.6</v>
      </c>
      <c r="H350" s="17">
        <f t="array" ref="H350">MAX( INDEX(Pack_Master!H:H, MATCH($D350, Pack_Master!A:A, 0)),
      IFERROR(G350, 0) )
</f>
        <v>1.6</v>
      </c>
      <c r="I350" s="18">
        <f>IFERROR(__xludf.DUMMYFUNCTION("IFERROR(
 INDEX(
   FILTER(Shipping_Rate_Card!B:F, Shipping_Rate_Card!A:A=$A350),
   MATCH($H350, FILTER(Shipping_Rate_Card!B:B, Shipping_Rate_Card!A:A=$A350), 1),
   IF( INDEX(Config!B:B, MATCH($A350, Config!A:A, 0))=""Local"", 2,
     IF( INDEX(Config!B"&amp;":B, MATCH($A350, Config!A:A, 0))=""Regional"", 3, 4 )
   )
 ),
"""")
"),121.0)</f>
        <v>121</v>
      </c>
      <c r="J350" s="16">
        <f>IFERROR(__xludf.DUMMYFUNCTION("IFERROR(
 ( E350 * INDEX(FILTER(Pricing_Rules!E:E, Pricing_Rules!A:A=A350, Pricing_Rules!B:B=B350, Pricing_Rules!C:C&lt;=E350, Pricing_Rules!D:D&gt;=E350), 1)
   + INDEX(FILTER(Pricing_Rules!F:F, Pricing_Rules!A:A=A350, Pricing_Rules!B:B=B350, Pricing_Rules!C:C"&amp;"&lt;=E350, Pricing_Rules!D:D&gt;=E350), 1)
 )
 * (1 + IFERROR( INDEX(Config!D:D, MATCH(A350, Config!A:A, 0)), 0 )),
"""")
"),48.07319999999999)</f>
        <v>48.0732</v>
      </c>
      <c r="K350" s="19">
        <f t="shared" si="3"/>
        <v>130.9268</v>
      </c>
      <c r="L350" s="20">
        <f t="shared" si="4"/>
        <v>0.2733336117</v>
      </c>
    </row>
    <row r="351" ht="15.75" customHeight="1">
      <c r="A351" s="9" t="s">
        <v>9</v>
      </c>
      <c r="B351" s="12" t="str">
        <f t="array" ref="B351">XLOOKUP(C351, Channel_Listings!C:C, Channel_Listings!B:B)
</f>
        <v>Kitchen_Containers</v>
      </c>
      <c r="C351" s="24" t="s">
        <v>443</v>
      </c>
      <c r="D351" s="14" t="str">
        <f t="array" ref="D351">XLOOKUP(C351, Channel_Listings!C:C, Channel_Listings!D:D)
</f>
        <v>CONTAINER-DELUXE777-PK6</v>
      </c>
      <c r="E351" s="15">
        <v>1199.0</v>
      </c>
      <c r="F351" s="16">
        <f t="array" ref="F351">IFERROR(
  VALUE( INDEX(Product_Master!$I:$I,
               MATCH( INDEX(Pack_Master!$B:$B, MATCH($D351, Pack_Master!$A:$A, 0)),
                      Product_Master!$B:$B, 0)
  )) 
  * VALUE( INDEX(Pack_Master!$C:$C, MATCH($D351, Pack_Master!$A:$A, 0)) )
  + VALUE( INDEX(Pack_Master!$D:$D, MATCH($D351, Pack_Master!$A:$A, 0)) ),
"")
</f>
        <v>487</v>
      </c>
      <c r="G351" s="17">
        <f t="array" ref="G351">IFERROR(
 ( INDEX(Pack_Master!E:E, MATCH($D351, Pack_Master!A:A, 0))
   * INDEX(Pack_Master!F:F, MATCH($D351, Pack_Master!A:A, 0))
   * INDEX(Pack_Master!G:G, MATCH($D351, Pack_Master!A:A, 0))
 ) / INDEX(Config!C:C, MATCH($A351, Config!A:A, 0)),
"")
</f>
        <v>1.6</v>
      </c>
      <c r="H351" s="17">
        <f t="array" ref="H351">MAX( INDEX(Pack_Master!H:H, MATCH($D351, Pack_Master!A:A, 0)),
      IFERROR(G351, 0) )
</f>
        <v>1.6</v>
      </c>
      <c r="I351" s="18">
        <f>IFERROR(__xludf.DUMMYFUNCTION("IFERROR(
 INDEX(
   FILTER(Shipping_Rate_Card!B:F, Shipping_Rate_Card!A:A=$A351),
   MATCH($H351, FILTER(Shipping_Rate_Card!B:B, Shipping_Rate_Card!A:A=$A351), 1),
   IF( INDEX(Config!B:B, MATCH($A351, Config!A:A, 0))=""Local"", 2,
     IF( INDEX(Config!B"&amp;":B, MATCH($A351, Config!A:A, 0))=""Regional"", 3, 4 )
   )
 ),
"""")
"),121.0)</f>
        <v>121</v>
      </c>
      <c r="J351" s="16">
        <f>IFERROR(__xludf.DUMMYFUNCTION("IFERROR(
 ( E351 * INDEX(FILTER(Pricing_Rules!E:E, Pricing_Rules!A:A=A351, Pricing_Rules!B:B=B351, Pricing_Rules!C:C&lt;=E351, Pricing_Rules!D:D&gt;=E351), 1)
   + INDEX(FILTER(Pricing_Rules!F:F, Pricing_Rules!A:A=A351, Pricing_Rules!B:B=B351, Pricing_Rules!C:C"&amp;"&lt;=E351, Pricing_Rules!D:D&gt;=E351), 1)
 )
 * (1 + IFERROR( INDEX(Config!D:D, MATCH(A351, Config!A:A, 0)), 0 )),
"""")
"),205.17839999999998)</f>
        <v>205.1784</v>
      </c>
      <c r="K351" s="19">
        <f t="shared" si="3"/>
        <v>385.8216</v>
      </c>
      <c r="L351" s="20">
        <f t="shared" si="4"/>
        <v>0.3217861551</v>
      </c>
    </row>
    <row r="352" ht="15.75" customHeight="1">
      <c r="A352" s="9" t="s">
        <v>9</v>
      </c>
      <c r="B352" s="12" t="str">
        <f t="array" ref="B352">XLOOKUP(C352, Channel_Listings!C:C, Channel_Listings!B:B)
</f>
        <v>Kitchen_Containers</v>
      </c>
      <c r="C352" s="24" t="s">
        <v>445</v>
      </c>
      <c r="D352" s="14" t="str">
        <f t="array" ref="D352">XLOOKUP(C352, Channel_Listings!C:C, Channel_Listings!D:D)
</f>
        <v>CONTAINER-DELUXE888-PK12</v>
      </c>
      <c r="E352" s="15">
        <v>3749.0</v>
      </c>
      <c r="F352" s="16">
        <f t="array" ref="F352">IFERROR(
  VALUE( INDEX(Product_Master!$I:$I,
               MATCH( INDEX(Pack_Master!$B:$B, MATCH($D352, Pack_Master!$A:$A, 0)),
                      Product_Master!$B:$B, 0)
  )) 
  * VALUE( INDEX(Pack_Master!$C:$C, MATCH($D352, Pack_Master!$A:$A, 0)) )
  + VALUE( INDEX(Pack_Master!$D:$D, MATCH($D352, Pack_Master!$A:$A, 0)) ),
"")
</f>
        <v>1393</v>
      </c>
      <c r="G352" s="17">
        <f t="array" ref="G352">IFERROR(
 ( INDEX(Pack_Master!E:E, MATCH($D352, Pack_Master!A:A, 0))
   * INDEX(Pack_Master!F:F, MATCH($D352, Pack_Master!A:A, 0))
   * INDEX(Pack_Master!G:G, MATCH($D352, Pack_Master!A:A, 0))
 ) / INDEX(Config!C:C, MATCH($A352, Config!A:A, 0)),
"")
</f>
        <v>1.6</v>
      </c>
      <c r="H352" s="17">
        <f t="array" ref="H352">MAX( INDEX(Pack_Master!H:H, MATCH($D352, Pack_Master!A:A, 0)),
      IFERROR(G352, 0) )
</f>
        <v>1.6</v>
      </c>
      <c r="I352" s="18">
        <f>IFERROR(__xludf.DUMMYFUNCTION("IFERROR(
 INDEX(
   FILTER(Shipping_Rate_Card!B:F, Shipping_Rate_Card!A:A=$A352),
   MATCH($H352, FILTER(Shipping_Rate_Card!B:B, Shipping_Rate_Card!A:A=$A352), 1),
   IF( INDEX(Config!B:B, MATCH($A352, Config!A:A, 0))=""Local"", 2,
     IF( INDEX(Config!B"&amp;":B, MATCH($A352, Config!A:A, 0))=""Regional"", 3, 4 )
   )
 ),
"""")
"),121.0)</f>
        <v>121</v>
      </c>
      <c r="J352" s="16">
        <f>IFERROR(__xludf.DUMMYFUNCTION("IFERROR(
 ( E352 * INDEX(FILTER(Pricing_Rules!E:E, Pricing_Rules!A:A=A352, Pricing_Rules!B:B=B352, Pricing_Rules!C:C&lt;=E352, Pricing_Rules!D:D&gt;=E352), 1)
   + INDEX(FILTER(Pricing_Rules!F:F, Pricing_Rules!A:A=A352, Pricing_Rules!B:B=B352, Pricing_Rules!C:C"&amp;"&lt;=E352, Pricing_Rules!D:D&gt;=E352), 1)
 )
 * (1 + IFERROR( INDEX(Config!D:D, MATCH(A352, Config!A:A, 0)), 0 )),
"""")
"),566.2583999999999)</f>
        <v>566.2584</v>
      </c>
      <c r="K352" s="19">
        <f t="shared" si="3"/>
        <v>1668.7416</v>
      </c>
      <c r="L352" s="20">
        <f t="shared" si="4"/>
        <v>0.4451164577</v>
      </c>
    </row>
    <row r="353" ht="15.75" customHeight="1">
      <c r="A353" s="9" t="s">
        <v>9</v>
      </c>
      <c r="B353" s="12" t="str">
        <f t="array" ref="B353">XLOOKUP(C353, Channel_Listings!C:C, Channel_Listings!B:B)
</f>
        <v>Kitchen_Containers</v>
      </c>
      <c r="C353" s="24" t="s">
        <v>447</v>
      </c>
      <c r="D353" s="14" t="str">
        <f t="array" ref="D353">XLOOKUP(C353, Channel_Listings!C:C, Channel_Listings!D:D)
</f>
        <v>CONTAINER-DELUXE888-PK2</v>
      </c>
      <c r="E353" s="15">
        <v>749.0</v>
      </c>
      <c r="F353" s="16">
        <f t="array" ref="F353">IFERROR(
  VALUE( INDEX(Product_Master!$I:$I,
               MATCH( INDEX(Pack_Master!$B:$B, MATCH($D353, Pack_Master!$A:$A, 0)),
                      Product_Master!$B:$B, 0)
  )) 
  * VALUE( INDEX(Pack_Master!$C:$C, MATCH($D353, Pack_Master!$A:$A, 0)) )
  + VALUE( INDEX(Pack_Master!$D:$D, MATCH($D353, Pack_Master!$A:$A, 0)) ),
"")
</f>
        <v>253</v>
      </c>
      <c r="G353" s="17">
        <f t="array" ref="G353">IFERROR(
 ( INDEX(Pack_Master!E:E, MATCH($D353, Pack_Master!A:A, 0))
   * INDEX(Pack_Master!F:F, MATCH($D353, Pack_Master!A:A, 0))
   * INDEX(Pack_Master!G:G, MATCH($D353, Pack_Master!A:A, 0))
 ) / INDEX(Config!C:C, MATCH($A353, Config!A:A, 0)),
"")
</f>
        <v>1.6</v>
      </c>
      <c r="H353" s="17">
        <f t="array" ref="H353">MAX( INDEX(Pack_Master!H:H, MATCH($D353, Pack_Master!A:A, 0)),
      IFERROR(G353, 0) )
</f>
        <v>1.6</v>
      </c>
      <c r="I353" s="18">
        <f>IFERROR(__xludf.DUMMYFUNCTION("IFERROR(
 INDEX(
   FILTER(Shipping_Rate_Card!B:F, Shipping_Rate_Card!A:A=$A353),
   MATCH($H353, FILTER(Shipping_Rate_Card!B:B, Shipping_Rate_Card!A:A=$A353), 1),
   IF( INDEX(Config!B:B, MATCH($A353, Config!A:A, 0))=""Local"", 2,
     IF( INDEX(Config!B"&amp;":B, MATCH($A353, Config!A:A, 0))=""Regional"", 3, 4 )
   )
 ),
"""")
"),121.0)</f>
        <v>121</v>
      </c>
      <c r="J353" s="16">
        <f>IFERROR(__xludf.DUMMYFUNCTION("IFERROR(
 ( E353 * INDEX(FILTER(Pricing_Rules!E:E, Pricing_Rules!A:A=A353, Pricing_Rules!B:B=B353, Pricing_Rules!C:C&lt;=E353, Pricing_Rules!D:D&gt;=E353), 1)
   + INDEX(FILTER(Pricing_Rules!F:F, Pricing_Rules!A:A=A353, Pricing_Rules!B:B=B353, Pricing_Rules!C:C"&amp;"&lt;=E353, Pricing_Rules!D:D&gt;=E353), 1)
 )
 * (1 + IFERROR( INDEX(Config!D:D, MATCH(A353, Config!A:A, 0)), 0 )),
"""")
"),141.45839999999998)</f>
        <v>141.4584</v>
      </c>
      <c r="K353" s="19">
        <f t="shared" si="3"/>
        <v>233.5416</v>
      </c>
      <c r="L353" s="20">
        <f t="shared" si="4"/>
        <v>0.3118045394</v>
      </c>
    </row>
    <row r="354" ht="15.75" customHeight="1">
      <c r="A354" s="9" t="s">
        <v>9</v>
      </c>
      <c r="B354" s="12" t="str">
        <f t="array" ref="B354">XLOOKUP(C354, Channel_Listings!C:C, Channel_Listings!B:B)
</f>
        <v>Kitchen_Containers</v>
      </c>
      <c r="C354" s="24" t="s">
        <v>449</v>
      </c>
      <c r="D354" s="14" t="str">
        <f t="array" ref="D354">XLOOKUP(C354, Channel_Listings!C:C, Channel_Listings!D:D)
</f>
        <v>CONTAINER-DELUXE888-PK6</v>
      </c>
      <c r="E354" s="15">
        <v>1959.0</v>
      </c>
      <c r="F354" s="16">
        <f t="array" ref="F354">IFERROR(
  VALUE( INDEX(Product_Master!$I:$I,
               MATCH( INDEX(Pack_Master!$B:$B, MATCH($D354, Pack_Master!$A:$A, 0)),
                      Product_Master!$B:$B, 0)
  )) 
  * VALUE( INDEX(Pack_Master!$C:$C, MATCH($D354, Pack_Master!$A:$A, 0)) )
  + VALUE( INDEX(Pack_Master!$D:$D, MATCH($D354, Pack_Master!$A:$A, 0)) ),
"")
</f>
        <v>709</v>
      </c>
      <c r="G354" s="17">
        <f t="array" ref="G354">IFERROR(
 ( INDEX(Pack_Master!E:E, MATCH($D354, Pack_Master!A:A, 0))
   * INDEX(Pack_Master!F:F, MATCH($D354, Pack_Master!A:A, 0))
   * INDEX(Pack_Master!G:G, MATCH($D354, Pack_Master!A:A, 0))
 ) / INDEX(Config!C:C, MATCH($A354, Config!A:A, 0)),
"")
</f>
        <v>1.6</v>
      </c>
      <c r="H354" s="17">
        <f t="array" ref="H354">MAX( INDEX(Pack_Master!H:H, MATCH($D354, Pack_Master!A:A, 0)),
      IFERROR(G354, 0) )
</f>
        <v>1.6</v>
      </c>
      <c r="I354" s="18">
        <f>IFERROR(__xludf.DUMMYFUNCTION("IFERROR(
 INDEX(
   FILTER(Shipping_Rate_Card!B:F, Shipping_Rate_Card!A:A=$A354),
   MATCH($H354, FILTER(Shipping_Rate_Card!B:B, Shipping_Rate_Card!A:A=$A354), 1),
   IF( INDEX(Config!B:B, MATCH($A354, Config!A:A, 0))=""Local"", 2,
     IF( INDEX(Config!B"&amp;":B, MATCH($A354, Config!A:A, 0))=""Regional"", 3, 4 )
   )
 ),
"""")
"),121.0)</f>
        <v>121</v>
      </c>
      <c r="J354" s="16">
        <f>IFERROR(__xludf.DUMMYFUNCTION("IFERROR(
 ( E354 * INDEX(FILTER(Pricing_Rules!E:E, Pricing_Rules!A:A=A354, Pricing_Rules!B:B=B354, Pricing_Rules!C:C&lt;=E354, Pricing_Rules!D:D&gt;=E354), 1)
   + INDEX(FILTER(Pricing_Rules!F:F, Pricing_Rules!A:A=A354, Pricing_Rules!B:B=B354, Pricing_Rules!C:C"&amp;"&lt;=E354, Pricing_Rules!D:D&gt;=E354), 1)
 )
 * (1 + IFERROR( INDEX(Config!D:D, MATCH(A354, Config!A:A, 0)), 0 )),
"""")
"),312.79439999999994)</f>
        <v>312.7944</v>
      </c>
      <c r="K354" s="19">
        <f t="shared" si="3"/>
        <v>816.2056</v>
      </c>
      <c r="L354" s="20">
        <f t="shared" si="4"/>
        <v>0.416644002</v>
      </c>
    </row>
    <row r="355" ht="15.75" customHeight="1">
      <c r="A355" s="9" t="s">
        <v>9</v>
      </c>
      <c r="B355" s="12" t="str">
        <f t="array" ref="B355">XLOOKUP(C355, Channel_Listings!C:C, Channel_Listings!B:B)
</f>
        <v>Kitchen_Containers</v>
      </c>
      <c r="C355" s="23" t="s">
        <v>451</v>
      </c>
      <c r="D355" s="14" t="str">
        <f t="array" ref="D355">XLOOKUP(C355, Channel_Listings!C:C, Channel_Listings!D:D)
</f>
        <v>CONTAINER-SUPER222-PK2</v>
      </c>
      <c r="E355" s="15"/>
      <c r="F355" s="16">
        <f t="array" ref="F355">IFERROR(
  VALUE( INDEX(Product_Master!$I:$I,
               MATCH( INDEX(Pack_Master!$B:$B, MATCH($D355, Pack_Master!$A:$A, 0)),
                      Product_Master!$B:$B, 0)
  )) 
  * VALUE( INDEX(Pack_Master!$C:$C, MATCH($D355, Pack_Master!$A:$A, 0)) )
  + VALUE( INDEX(Pack_Master!$D:$D, MATCH($D355, Pack_Master!$A:$A, 0)) ),
"")
</f>
        <v>0</v>
      </c>
      <c r="G355" s="17">
        <f t="array" ref="G355">IFERROR(
 ( INDEX(Pack_Master!E:E, MATCH($D355, Pack_Master!A:A, 0))
   * INDEX(Pack_Master!F:F, MATCH($D355, Pack_Master!A:A, 0))
   * INDEX(Pack_Master!G:G, MATCH($D355, Pack_Master!A:A, 0))
 ) / INDEX(Config!C:C, MATCH($A355, Config!A:A, 0)),
"")
</f>
        <v>0</v>
      </c>
      <c r="H355" s="17">
        <f t="array" ref="H355">MAX( INDEX(Pack_Master!H:H, MATCH($D355, Pack_Master!A:A, 0)),
      IFERROR(G355, 0) )
</f>
        <v>0</v>
      </c>
      <c r="I355" s="18" t="str">
        <f>IFERROR(__xludf.DUMMYFUNCTION("IFERROR(
 INDEX(
   FILTER(Shipping_Rate_Card!B:F, Shipping_Rate_Card!A:A=$A355),
   MATCH($H355, FILTER(Shipping_Rate_Card!B:B, Shipping_Rate_Card!A:A=$A355), 1),
   IF( INDEX(Config!B:B, MATCH($A355, Config!A:A, 0))=""Local"", 2,
     IF( INDEX(Config!B"&amp;":B, MATCH($A355, Config!A:A, 0))=""Regional"", 3, 4 )
   )
 ),
"""")
"),"")</f>
        <v/>
      </c>
      <c r="J355" s="16">
        <f>IFERROR(__xludf.DUMMYFUNCTION("IFERROR(
 ( E355 * INDEX(FILTER(Pricing_Rules!E:E, Pricing_Rules!A:A=A355, Pricing_Rules!B:B=B355, Pricing_Rules!C:C&lt;=E355, Pricing_Rules!D:D&gt;=E355), 1)
   + INDEX(FILTER(Pricing_Rules!F:F, Pricing_Rules!A:A=A355, Pricing_Rules!B:B=B355, Pricing_Rules!C:C"&amp;"&lt;=E355, Pricing_Rules!D:D&gt;=E355), 1)
 )
 * (1 + IFERROR( INDEX(Config!D:D, MATCH(A355, Config!A:A, 0)), 0 )),
"""")
"),5.8999999999999995)</f>
        <v>5.9</v>
      </c>
      <c r="K355" s="19">
        <f t="shared" si="3"/>
        <v>-5.9</v>
      </c>
      <c r="L355" s="20" t="str">
        <f t="shared" si="4"/>
        <v/>
      </c>
    </row>
    <row r="356" ht="15.75" customHeight="1">
      <c r="A356" s="9" t="s">
        <v>9</v>
      </c>
      <c r="B356" s="12" t="str">
        <f t="array" ref="B356">XLOOKUP(C356, Channel_Listings!C:C, Channel_Listings!B:B)
</f>
        <v>Kitchen_Containers</v>
      </c>
      <c r="C356" s="23" t="s">
        <v>454</v>
      </c>
      <c r="D356" s="14" t="str">
        <f t="array" ref="D356">XLOOKUP(C356, Channel_Listings!C:C, Channel_Listings!D:D)
</f>
        <v>CONTAINER-SUPER222-PK6</v>
      </c>
      <c r="E356" s="15"/>
      <c r="F356" s="16">
        <f t="array" ref="F356">IFERROR(
  VALUE( INDEX(Product_Master!$I:$I,
               MATCH( INDEX(Pack_Master!$B:$B, MATCH($D356, Pack_Master!$A:$A, 0)),
                      Product_Master!$B:$B, 0)
  )) 
  * VALUE( INDEX(Pack_Master!$C:$C, MATCH($D356, Pack_Master!$A:$A, 0)) )
  + VALUE( INDEX(Pack_Master!$D:$D, MATCH($D356, Pack_Master!$A:$A, 0)) ),
"")
</f>
        <v>0</v>
      </c>
      <c r="G356" s="17">
        <f t="array" ref="G356">IFERROR(
 ( INDEX(Pack_Master!E:E, MATCH($D356, Pack_Master!A:A, 0))
   * INDEX(Pack_Master!F:F, MATCH($D356, Pack_Master!A:A, 0))
   * INDEX(Pack_Master!G:G, MATCH($D356, Pack_Master!A:A, 0))
 ) / INDEX(Config!C:C, MATCH($A356, Config!A:A, 0)),
"")
</f>
        <v>0</v>
      </c>
      <c r="H356" s="17">
        <f t="array" ref="H356">MAX( INDEX(Pack_Master!H:H, MATCH($D356, Pack_Master!A:A, 0)),
      IFERROR(G356, 0) )
</f>
        <v>0</v>
      </c>
      <c r="I356" s="18" t="str">
        <f>IFERROR(__xludf.DUMMYFUNCTION("IFERROR(
 INDEX(
   FILTER(Shipping_Rate_Card!B:F, Shipping_Rate_Card!A:A=$A356),
   MATCH($H356, FILTER(Shipping_Rate_Card!B:B, Shipping_Rate_Card!A:A=$A356), 1),
   IF( INDEX(Config!B:B, MATCH($A356, Config!A:A, 0))=""Local"", 2,
     IF( INDEX(Config!B"&amp;":B, MATCH($A356, Config!A:A, 0))=""Regional"", 3, 4 )
   )
 ),
"""")
"),"")</f>
        <v/>
      </c>
      <c r="J356" s="16">
        <f>IFERROR(__xludf.DUMMYFUNCTION("IFERROR(
 ( E356 * INDEX(FILTER(Pricing_Rules!E:E, Pricing_Rules!A:A=A356, Pricing_Rules!B:B=B356, Pricing_Rules!C:C&lt;=E356, Pricing_Rules!D:D&gt;=E356), 1)
   + INDEX(FILTER(Pricing_Rules!F:F, Pricing_Rules!A:A=A356, Pricing_Rules!B:B=B356, Pricing_Rules!C:C"&amp;"&lt;=E356, Pricing_Rules!D:D&gt;=E356), 1)
 )
 * (1 + IFERROR( INDEX(Config!D:D, MATCH(A356, Config!A:A, 0)), 0 )),
"""")
"),5.8999999999999995)</f>
        <v>5.9</v>
      </c>
      <c r="K356" s="19">
        <f t="shared" si="3"/>
        <v>-5.9</v>
      </c>
      <c r="L356" s="20" t="str">
        <f t="shared" si="4"/>
        <v/>
      </c>
    </row>
    <row r="357" ht="15.75" customHeight="1">
      <c r="A357" s="9" t="s">
        <v>9</v>
      </c>
      <c r="B357" s="12" t="str">
        <f t="array" ref="B357">XLOOKUP(C357, Channel_Listings!C:C, Channel_Listings!B:B)
</f>
        <v>Automotive_FaceMasks</v>
      </c>
      <c r="C357" s="22" t="s">
        <v>457</v>
      </c>
      <c r="D357" s="14" t="str">
        <f t="array" ref="D357">XLOOKUP(C357, Channel_Listings!C:C, Channel_Listings!D:D)
</f>
        <v>MASK-HALF-BLACK-PK1</v>
      </c>
      <c r="E357" s="15"/>
      <c r="F357" s="16">
        <f t="array" ref="F357">IFERROR(
  VALUE( INDEX(Product_Master!$I:$I,
               MATCH( INDEX(Pack_Master!$B:$B, MATCH($D357, Pack_Master!$A:$A, 0)),
                      Product_Master!$B:$B, 0)
  )) 
  * VALUE( INDEX(Pack_Master!$C:$C, MATCH($D357, Pack_Master!$A:$A, 0)) )
  + VALUE( INDEX(Pack_Master!$D:$D, MATCH($D357, Pack_Master!$A:$A, 0)) ),
"")
</f>
        <v>0</v>
      </c>
      <c r="G357" s="17">
        <f t="array" ref="G357">IFERROR(
 ( INDEX(Pack_Master!E:E, MATCH($D357, Pack_Master!A:A, 0))
   * INDEX(Pack_Master!F:F, MATCH($D357, Pack_Master!A:A, 0))
   * INDEX(Pack_Master!G:G, MATCH($D357, Pack_Master!A:A, 0))
 ) / INDEX(Config!C:C, MATCH($A357, Config!A:A, 0)),
"")
</f>
        <v>0</v>
      </c>
      <c r="H357" s="17">
        <f t="array" ref="H357">MAX( INDEX(Pack_Master!H:H, MATCH($D357, Pack_Master!A:A, 0)),
      IFERROR(G357, 0) )
</f>
        <v>0</v>
      </c>
      <c r="I357" s="18" t="str">
        <f>IFERROR(__xludf.DUMMYFUNCTION("IFERROR(
 INDEX(
   FILTER(Shipping_Rate_Card!B:F, Shipping_Rate_Card!A:A=$A357),
   MATCH($H357, FILTER(Shipping_Rate_Card!B:B, Shipping_Rate_Card!A:A=$A357), 1),
   IF( INDEX(Config!B:B, MATCH($A357, Config!A:A, 0))=""Local"", 2,
     IF( INDEX(Config!B"&amp;":B, MATCH($A357, Config!A:A, 0))=""Regional"", 3, 4 )
   )
 ),
"""")
"),"")</f>
        <v/>
      </c>
      <c r="J357" s="16">
        <f>IFERROR(__xludf.DUMMYFUNCTION("IFERROR(
 ( E357 * INDEX(FILTER(Pricing_Rules!E:E, Pricing_Rules!A:A=A357, Pricing_Rules!B:B=B357, Pricing_Rules!C:C&lt;=E357, Pricing_Rules!D:D&gt;=E357), 1)
   + INDEX(FILTER(Pricing_Rules!F:F, Pricing_Rules!A:A=A357, Pricing_Rules!B:B=B357, Pricing_Rules!C:C"&amp;"&lt;=E357, Pricing_Rules!D:D&gt;=E357), 1)
 )
 * (1 + IFERROR( INDEX(Config!D:D, MATCH(A357, Config!A:A, 0)), 0 )),
"""")
"),5.8999999999999995)</f>
        <v>5.9</v>
      </c>
      <c r="K357" s="19">
        <f t="shared" si="3"/>
        <v>-5.9</v>
      </c>
      <c r="L357" s="20" t="str">
        <f t="shared" si="4"/>
        <v/>
      </c>
    </row>
    <row r="358" ht="15.75" customHeight="1">
      <c r="A358" s="9" t="s">
        <v>9</v>
      </c>
      <c r="B358" s="12" t="str">
        <f t="array" ref="B358">XLOOKUP(C358, Channel_Listings!C:C, Channel_Listings!B:B)
</f>
        <v>Apparel_Caps_Beanies</v>
      </c>
      <c r="C358" s="22" t="s">
        <v>459</v>
      </c>
      <c r="D358" s="14" t="str">
        <f t="array" ref="D358">XLOOKUP(C358, Channel_Listings!C:C, Channel_Listings!D:D)
</f>
        <v>CAP-BASEBALL-PLAIN-BLACK</v>
      </c>
      <c r="E358" s="15"/>
      <c r="F358" s="16">
        <f t="array" ref="F358">IFERROR(
  VALUE( INDEX(Product_Master!$I:$I,
               MATCH( INDEX(Pack_Master!$B:$B, MATCH($D358, Pack_Master!$A:$A, 0)),
                      Product_Master!$B:$B, 0)
  )) 
  * VALUE( INDEX(Pack_Master!$C:$C, MATCH($D358, Pack_Master!$A:$A, 0)) )
  + VALUE( INDEX(Pack_Master!$D:$D, MATCH($D358, Pack_Master!$A:$A, 0)) ),
"")
</f>
        <v>89</v>
      </c>
      <c r="G358" s="17">
        <f t="array" ref="G358">IFERROR(
 ( INDEX(Pack_Master!E:E, MATCH($D358, Pack_Master!A:A, 0))
   * INDEX(Pack_Master!F:F, MATCH($D358, Pack_Master!A:A, 0))
   * INDEX(Pack_Master!G:G, MATCH($D358, Pack_Master!A:A, 0))
 ) / INDEX(Config!C:C, MATCH($A358, Config!A:A, 0)),
"")
</f>
        <v>0.375</v>
      </c>
      <c r="H358" s="17">
        <f t="array" ref="H358">MAX( INDEX(Pack_Master!H:H, MATCH($D358, Pack_Master!A:A, 0)),
      IFERROR(G358, 0) )
</f>
        <v>0.5</v>
      </c>
      <c r="I358" s="18">
        <f>IFERROR(__xludf.DUMMYFUNCTION("IFERROR(
 INDEX(
   FILTER(Shipping_Rate_Card!B:F, Shipping_Rate_Card!A:A=$A358),
   MATCH($H358, FILTER(Shipping_Rate_Card!B:B, Shipping_Rate_Card!A:A=$A358), 1),
   IF( INDEX(Config!B:B, MATCH($A358, Config!A:A, 0))=""Local"", 2,
     IF( INDEX(Config!B"&amp;":B, MATCH($A358, Config!A:A, 0))=""Regional"", 3, 4 )
   )
 ),
"""")
"),67.0)</f>
        <v>67</v>
      </c>
      <c r="J358" s="16">
        <f>IFERROR(__xludf.DUMMYFUNCTION("IFERROR(
 ( E358 * INDEX(FILTER(Pricing_Rules!E:E, Pricing_Rules!A:A=A358, Pricing_Rules!B:B=B358, Pricing_Rules!C:C&lt;=E358, Pricing_Rules!D:D&gt;=E358), 1)
   + INDEX(FILTER(Pricing_Rules!F:F, Pricing_Rules!A:A=A358, Pricing_Rules!B:B=B358, Pricing_Rules!C:C"&amp;"&lt;=E358, Pricing_Rules!D:D&gt;=E358), 1)
 )
 * (1 + IFERROR( INDEX(Config!D:D, MATCH(A358, Config!A:A, 0)), 0 )),
"""")
"),5.8999999999999995)</f>
        <v>5.9</v>
      </c>
      <c r="K358" s="19">
        <f t="shared" si="3"/>
        <v>-161.9</v>
      </c>
      <c r="L358" s="20" t="str">
        <f t="shared" si="4"/>
        <v/>
      </c>
    </row>
    <row r="359" ht="15.75" customHeight="1">
      <c r="A359" s="9" t="s">
        <v>9</v>
      </c>
      <c r="B359" s="12" t="str">
        <f t="array" ref="B359">XLOOKUP(C359, Channel_Listings!C:C, Channel_Listings!B:B)
</f>
        <v>Apparel_Accessories_Winter</v>
      </c>
      <c r="C359" s="23" t="s">
        <v>461</v>
      </c>
      <c r="D359" s="14" t="str">
        <f t="array" ref="D359">XLOOKUP(C359, Channel_Listings!C:C, Channel_Listings!D:D)
</f>
        <v>EARMUFF-FULLFUR</v>
      </c>
      <c r="E359" s="15"/>
      <c r="F359" s="16">
        <f t="array" ref="F359">IFERROR(
  VALUE( INDEX(Product_Master!$I:$I,
               MATCH( INDEX(Pack_Master!$B:$B, MATCH($D359, Pack_Master!$A:$A, 0)),
                      Product_Master!$B:$B, 0)
  )) 
  * VALUE( INDEX(Pack_Master!$C:$C, MATCH($D359, Pack_Master!$A:$A, 0)) )
  + VALUE( INDEX(Pack_Master!$D:$D, MATCH($D359, Pack_Master!$A:$A, 0)) ),
"")
</f>
        <v>0</v>
      </c>
      <c r="G359" s="17">
        <f t="array" ref="G359">IFERROR(
 ( INDEX(Pack_Master!E:E, MATCH($D359, Pack_Master!A:A, 0))
   * INDEX(Pack_Master!F:F, MATCH($D359, Pack_Master!A:A, 0))
   * INDEX(Pack_Master!G:G, MATCH($D359, Pack_Master!A:A, 0))
 ) / INDEX(Config!C:C, MATCH($A359, Config!A:A, 0)),
"")
</f>
        <v>0</v>
      </c>
      <c r="H359" s="17">
        <f t="array" ref="H359">MAX( INDEX(Pack_Master!H:H, MATCH($D359, Pack_Master!A:A, 0)),
      IFERROR(G359, 0) )
</f>
        <v>0</v>
      </c>
      <c r="I359" s="18" t="str">
        <f>IFERROR(__xludf.DUMMYFUNCTION("IFERROR(
 INDEX(
   FILTER(Shipping_Rate_Card!B:F, Shipping_Rate_Card!A:A=$A359),
   MATCH($H359, FILTER(Shipping_Rate_Card!B:B, Shipping_Rate_Card!A:A=$A359), 1),
   IF( INDEX(Config!B:B, MATCH($A359, Config!A:A, 0))=""Local"", 2,
     IF( INDEX(Config!B"&amp;":B, MATCH($A359, Config!A:A, 0))=""Regional"", 3, 4 )
   )
 ),
"""")
"),"")</f>
        <v/>
      </c>
      <c r="J359" s="16">
        <f>IFERROR(__xludf.DUMMYFUNCTION("IFERROR(
 ( E359 * INDEX(FILTER(Pricing_Rules!E:E, Pricing_Rules!A:A=A359, Pricing_Rules!B:B=B359, Pricing_Rules!C:C&lt;=E359, Pricing_Rules!D:D&gt;=E359), 1)
   + INDEX(FILTER(Pricing_Rules!F:F, Pricing_Rules!A:A=A359, Pricing_Rules!B:B=B359, Pricing_Rules!C:C"&amp;"&lt;=E359, Pricing_Rules!D:D&gt;=E359), 1)
 )
 * (1 + IFERROR( INDEX(Config!D:D, MATCH(A359, Config!A:A, 0)), 0 )),
"""")
"),5.8999999999999995)</f>
        <v>5.9</v>
      </c>
      <c r="K359" s="19">
        <f t="shared" si="3"/>
        <v>-5.9</v>
      </c>
      <c r="L359" s="20" t="str">
        <f t="shared" si="4"/>
        <v/>
      </c>
    </row>
    <row r="360" ht="15.75" customHeight="1">
      <c r="A360" s="9" t="s">
        <v>9</v>
      </c>
      <c r="B360" s="12" t="str">
        <f t="array" ref="B360">XLOOKUP(C360, Channel_Listings!C:C, Channel_Listings!B:B)
</f>
        <v>Apparel_Accessories_Winter</v>
      </c>
      <c r="C360" s="23" t="s">
        <v>463</v>
      </c>
      <c r="D360" s="14" t="str">
        <f t="array" ref="D360">XLOOKUP(C360, Channel_Listings!C:C, Channel_Listings!D:D)
</f>
        <v>EARMUFF-FULLFUR</v>
      </c>
      <c r="E360" s="15"/>
      <c r="F360" s="16">
        <f t="array" ref="F360">IFERROR(
  VALUE( INDEX(Product_Master!$I:$I,
               MATCH( INDEX(Pack_Master!$B:$B, MATCH($D360, Pack_Master!$A:$A, 0)),
                      Product_Master!$B:$B, 0)
  )) 
  * VALUE( INDEX(Pack_Master!$C:$C, MATCH($D360, Pack_Master!$A:$A, 0)) )
  + VALUE( INDEX(Pack_Master!$D:$D, MATCH($D360, Pack_Master!$A:$A, 0)) ),
"")
</f>
        <v>0</v>
      </c>
      <c r="G360" s="17">
        <f t="array" ref="G360">IFERROR(
 ( INDEX(Pack_Master!E:E, MATCH($D360, Pack_Master!A:A, 0))
   * INDEX(Pack_Master!F:F, MATCH($D360, Pack_Master!A:A, 0))
   * INDEX(Pack_Master!G:G, MATCH($D360, Pack_Master!A:A, 0))
 ) / INDEX(Config!C:C, MATCH($A360, Config!A:A, 0)),
"")
</f>
        <v>0</v>
      </c>
      <c r="H360" s="17">
        <f t="array" ref="H360">MAX( INDEX(Pack_Master!H:H, MATCH($D360, Pack_Master!A:A, 0)),
      IFERROR(G360, 0) )
</f>
        <v>0</v>
      </c>
      <c r="I360" s="18" t="str">
        <f>IFERROR(__xludf.DUMMYFUNCTION("IFERROR(
 INDEX(
   FILTER(Shipping_Rate_Card!B:F, Shipping_Rate_Card!A:A=$A360),
   MATCH($H360, FILTER(Shipping_Rate_Card!B:B, Shipping_Rate_Card!A:A=$A360), 1),
   IF( INDEX(Config!B:B, MATCH($A360, Config!A:A, 0))=""Local"", 2,
     IF( INDEX(Config!B"&amp;":B, MATCH($A360, Config!A:A, 0))=""Regional"", 3, 4 )
   )
 ),
"""")
"),"")</f>
        <v/>
      </c>
      <c r="J360" s="16">
        <f>IFERROR(__xludf.DUMMYFUNCTION("IFERROR(
 ( E360 * INDEX(FILTER(Pricing_Rules!E:E, Pricing_Rules!A:A=A360, Pricing_Rules!B:B=B360, Pricing_Rules!C:C&lt;=E360, Pricing_Rules!D:D&gt;=E360), 1)
   + INDEX(FILTER(Pricing_Rules!F:F, Pricing_Rules!A:A=A360, Pricing_Rules!B:B=B360, Pricing_Rules!C:C"&amp;"&lt;=E360, Pricing_Rules!D:D&gt;=E360), 1)
 )
 * (1 + IFERROR( INDEX(Config!D:D, MATCH(A360, Config!A:A, 0)), 0 )),
"""")
"),5.8999999999999995)</f>
        <v>5.9</v>
      </c>
      <c r="K360" s="19">
        <f t="shared" si="3"/>
        <v>-5.9</v>
      </c>
      <c r="L360" s="20" t="str">
        <f t="shared" si="4"/>
        <v/>
      </c>
    </row>
    <row r="361" ht="15.75" customHeight="1">
      <c r="A361" s="9" t="s">
        <v>9</v>
      </c>
      <c r="B361" s="12" t="str">
        <f t="array" ref="B361">XLOOKUP(C361, Channel_Listings!C:C, Channel_Listings!B:B)
</f>
        <v>Apparel_ArmSleeves</v>
      </c>
      <c r="C361" s="22" t="s">
        <v>464</v>
      </c>
      <c r="D361" s="14" t="str">
        <f t="array" ref="D361">XLOOKUP(C361, Channel_Listings!C:C, Channel_Listings!D:D)
</f>
        <v>ARMSLEEVES-FULL-BLACK</v>
      </c>
      <c r="E361" s="15"/>
      <c r="F361" s="16">
        <f t="array" ref="F361">IFERROR(
  VALUE( INDEX(Product_Master!$I:$I,
               MATCH( INDEX(Pack_Master!$B:$B, MATCH($D361, Pack_Master!$A:$A, 0)),
                      Product_Master!$B:$B, 0)
  )) 
  * VALUE( INDEX(Pack_Master!$C:$C, MATCH($D361, Pack_Master!$A:$A, 0)) )
  + VALUE( INDEX(Pack_Master!$D:$D, MATCH($D361, Pack_Master!$A:$A, 0)) ),
"")
</f>
        <v>0</v>
      </c>
      <c r="G361" s="17">
        <f t="array" ref="G361">IFERROR(
 ( INDEX(Pack_Master!E:E, MATCH($D361, Pack_Master!A:A, 0))
   * INDEX(Pack_Master!F:F, MATCH($D361, Pack_Master!A:A, 0))
   * INDEX(Pack_Master!G:G, MATCH($D361, Pack_Master!A:A, 0))
 ) / INDEX(Config!C:C, MATCH($A361, Config!A:A, 0)),
"")
</f>
        <v>0</v>
      </c>
      <c r="H361" s="17">
        <f t="array" ref="H361">MAX( INDEX(Pack_Master!H:H, MATCH($D361, Pack_Master!A:A, 0)),
      IFERROR(G361, 0) )
</f>
        <v>0</v>
      </c>
      <c r="I361" s="18" t="str">
        <f>IFERROR(__xludf.DUMMYFUNCTION("IFERROR(
 INDEX(
   FILTER(Shipping_Rate_Card!B:F, Shipping_Rate_Card!A:A=$A361),
   MATCH($H361, FILTER(Shipping_Rate_Card!B:B, Shipping_Rate_Card!A:A=$A361), 1),
   IF( INDEX(Config!B:B, MATCH($A361, Config!A:A, 0))=""Local"", 2,
     IF( INDEX(Config!B"&amp;":B, MATCH($A361, Config!A:A, 0))=""Regional"", 3, 4 )
   )
 ),
"""")
"),"")</f>
        <v/>
      </c>
      <c r="J361" s="16">
        <f>IFERROR(__xludf.DUMMYFUNCTION("IFERROR(
 ( E361 * INDEX(FILTER(Pricing_Rules!E:E, Pricing_Rules!A:A=A361, Pricing_Rules!B:B=B361, Pricing_Rules!C:C&lt;=E361, Pricing_Rules!D:D&gt;=E361), 1)
   + INDEX(FILTER(Pricing_Rules!F:F, Pricing_Rules!A:A=A361, Pricing_Rules!B:B=B361, Pricing_Rules!C:C"&amp;"&lt;=E361, Pricing_Rules!D:D&gt;=E361), 1)
 )
 * (1 + IFERROR( INDEX(Config!D:D, MATCH(A361, Config!A:A, 0)), 0 )),
"""")
"),5.8999999999999995)</f>
        <v>5.9</v>
      </c>
      <c r="K361" s="19">
        <f t="shared" si="3"/>
        <v>-5.9</v>
      </c>
      <c r="L361" s="20" t="str">
        <f t="shared" si="4"/>
        <v/>
      </c>
    </row>
    <row r="362" ht="15.75" customHeight="1">
      <c r="A362" s="9" t="s">
        <v>9</v>
      </c>
      <c r="B362" s="12" t="str">
        <f t="array" ref="B362">XLOOKUP(C362, Channel_Listings!C:C, Channel_Listings!B:B)
</f>
        <v>Apparel_Accessories_Winter</v>
      </c>
      <c r="C362" s="23" t="s">
        <v>465</v>
      </c>
      <c r="D362" s="14" t="str">
        <f t="array" ref="D362">XLOOKUP(C362, Channel_Listings!C:C, Channel_Listings!D:D)
</f>
        <v>EARMUFF-FULLFUR</v>
      </c>
      <c r="E362" s="15"/>
      <c r="F362" s="16">
        <f t="array" ref="F362">IFERROR(
  VALUE( INDEX(Product_Master!$I:$I,
               MATCH( INDEX(Pack_Master!$B:$B, MATCH($D362, Pack_Master!$A:$A, 0)),
                      Product_Master!$B:$B, 0)
  )) 
  * VALUE( INDEX(Pack_Master!$C:$C, MATCH($D362, Pack_Master!$A:$A, 0)) )
  + VALUE( INDEX(Pack_Master!$D:$D, MATCH($D362, Pack_Master!$A:$A, 0)) ),
"")
</f>
        <v>0</v>
      </c>
      <c r="G362" s="17">
        <f t="array" ref="G362">IFERROR(
 ( INDEX(Pack_Master!E:E, MATCH($D362, Pack_Master!A:A, 0))
   * INDEX(Pack_Master!F:F, MATCH($D362, Pack_Master!A:A, 0))
   * INDEX(Pack_Master!G:G, MATCH($D362, Pack_Master!A:A, 0))
 ) / INDEX(Config!C:C, MATCH($A362, Config!A:A, 0)),
"")
</f>
        <v>0</v>
      </c>
      <c r="H362" s="17">
        <f t="array" ref="H362">MAX( INDEX(Pack_Master!H:H, MATCH($D362, Pack_Master!A:A, 0)),
      IFERROR(G362, 0) )
</f>
        <v>0</v>
      </c>
      <c r="I362" s="18" t="str">
        <f>IFERROR(__xludf.DUMMYFUNCTION("IFERROR(
 INDEX(
   FILTER(Shipping_Rate_Card!B:F, Shipping_Rate_Card!A:A=$A362),
   MATCH($H362, FILTER(Shipping_Rate_Card!B:B, Shipping_Rate_Card!A:A=$A362), 1),
   IF( INDEX(Config!B:B, MATCH($A362, Config!A:A, 0))=""Local"", 2,
     IF( INDEX(Config!B"&amp;":B, MATCH($A362, Config!A:A, 0))=""Regional"", 3, 4 )
   )
 ),
"""")
"),"")</f>
        <v/>
      </c>
      <c r="J362" s="16">
        <f>IFERROR(__xludf.DUMMYFUNCTION("IFERROR(
 ( E362 * INDEX(FILTER(Pricing_Rules!E:E, Pricing_Rules!A:A=A362, Pricing_Rules!B:B=B362, Pricing_Rules!C:C&lt;=E362, Pricing_Rules!D:D&gt;=E362), 1)
   + INDEX(FILTER(Pricing_Rules!F:F, Pricing_Rules!A:A=A362, Pricing_Rules!B:B=B362, Pricing_Rules!C:C"&amp;"&lt;=E362, Pricing_Rules!D:D&gt;=E362), 1)
 )
 * (1 + IFERROR( INDEX(Config!D:D, MATCH(A362, Config!A:A, 0)), 0 )),
"""")
"),5.8999999999999995)</f>
        <v>5.9</v>
      </c>
      <c r="K362" s="19">
        <f t="shared" si="3"/>
        <v>-5.9</v>
      </c>
      <c r="L362" s="20" t="str">
        <f t="shared" si="4"/>
        <v/>
      </c>
    </row>
    <row r="363" ht="15.75" customHeight="1">
      <c r="A363" s="9" t="s">
        <v>9</v>
      </c>
      <c r="B363" s="12" t="str">
        <f t="array" ref="B363">XLOOKUP(C363, Channel_Listings!C:C, Channel_Listings!B:B)
</f>
        <v/>
      </c>
      <c r="C363" s="22" t="s">
        <v>466</v>
      </c>
      <c r="D363" s="14" t="str">
        <f t="array" ref="D363">XLOOKUP(C363, Channel_Listings!C:C, Channel_Listings!D:D)
</f>
        <v/>
      </c>
      <c r="E363" s="15"/>
      <c r="F363" s="16" t="str">
        <f t="array" ref="F363">IFERROR(
  VALUE( INDEX(Product_Master!$I:$I,
               MATCH( INDEX(Pack_Master!$B:$B, MATCH($D363, Pack_Master!$A:$A, 0)),
                      Product_Master!$B:$B, 0)
  )) 
  * VALUE( INDEX(Pack_Master!$C:$C, MATCH($D363, Pack_Master!$A:$A, 0)) )
  + VALUE( INDEX(Pack_Master!$D:$D, MATCH($D363, Pack_Master!$A:$A, 0)) ),
"")
</f>
        <v/>
      </c>
      <c r="G363" s="17" t="str">
        <f t="array" ref="G363">IFERROR(
 ( INDEX(Pack_Master!E:E, MATCH($D363, Pack_Master!A:A, 0))
   * INDEX(Pack_Master!F:F, MATCH($D363, Pack_Master!A:A, 0))
   * INDEX(Pack_Master!G:G, MATCH($D363, Pack_Master!A:A, 0))
 ) / INDEX(Config!C:C, MATCH($A363, Config!A:A, 0)),
"")
</f>
        <v/>
      </c>
      <c r="H363" s="17" t="str">
        <f t="array" ref="H363">MAX( INDEX(Pack_Master!H:H, MATCH($D363, Pack_Master!A:A, 0)),
      IFERROR(G363, 0) )
</f>
        <v>#N/A</v>
      </c>
      <c r="I363" s="18" t="str">
        <f>IFERROR(__xludf.DUMMYFUNCTION("IFERROR(
 INDEX(
   FILTER(Shipping_Rate_Card!B:F, Shipping_Rate_Card!A:A=$A363),
   MATCH($H363, FILTER(Shipping_Rate_Card!B:B, Shipping_Rate_Card!A:A=$A363), 1),
   IF( INDEX(Config!B:B, MATCH($A363, Config!A:A, 0))=""Local"", 2,
     IF( INDEX(Config!B"&amp;":B, MATCH($A363, Config!A:A, 0))=""Regional"", 3, 4 )
   )
 ),
"""")
"),"")</f>
        <v/>
      </c>
      <c r="J363" s="16" t="str">
        <f>IFERROR(__xludf.DUMMYFUNCTION("IFERROR(
 ( E363 * INDEX(FILTER(Pricing_Rules!E:E, Pricing_Rules!A:A=A363, Pricing_Rules!B:B=B363, Pricing_Rules!C:C&lt;=E363, Pricing_Rules!D:D&gt;=E363), 1)
   + INDEX(FILTER(Pricing_Rules!F:F, Pricing_Rules!A:A=A363, Pricing_Rules!B:B=B363, Pricing_Rules!C:C"&amp;"&lt;=E363, Pricing_Rules!D:D&gt;=E363), 1)
 )
 * (1 + IFERROR( INDEX(Config!D:D, MATCH(A363, Config!A:A, 0)), 0 )),
"""")
"),"")</f>
        <v/>
      </c>
      <c r="K363" s="19">
        <f t="shared" si="3"/>
        <v>0</v>
      </c>
      <c r="L363" s="20" t="str">
        <f t="shared" si="4"/>
        <v/>
      </c>
    </row>
    <row r="364" ht="15.75" customHeight="1">
      <c r="A364" s="9" t="s">
        <v>9</v>
      </c>
      <c r="B364" s="12" t="str">
        <f t="array" ref="B364">XLOOKUP(C364, Channel_Listings!C:C, Channel_Listings!B:B)
</f>
        <v>Apparel_Accessories_Winter</v>
      </c>
      <c r="C364" s="22" t="s">
        <v>468</v>
      </c>
      <c r="D364" s="14" t="str">
        <f t="array" ref="D364">XLOOKUP(C364, Channel_Listings!C:C, Channel_Listings!D:D)
</f>
        <v>GLOVE-WINTER-TOUCH-BLACK</v>
      </c>
      <c r="E364" s="15"/>
      <c r="F364" s="16">
        <f t="array" ref="F364">IFERROR(
  VALUE( INDEX(Product_Master!$I:$I,
               MATCH( INDEX(Pack_Master!$B:$B, MATCH($D364, Pack_Master!$A:$A, 0)),
                      Product_Master!$B:$B, 0)
  )) 
  * VALUE( INDEX(Pack_Master!$C:$C, MATCH($D364, Pack_Master!$A:$A, 0)) )
  + VALUE( INDEX(Pack_Master!$D:$D, MATCH($D364, Pack_Master!$A:$A, 0)) ),
"")
</f>
        <v>0</v>
      </c>
      <c r="G364" s="17">
        <f t="array" ref="G364">IFERROR(
 ( INDEX(Pack_Master!E:E, MATCH($D364, Pack_Master!A:A, 0))
   * INDEX(Pack_Master!F:F, MATCH($D364, Pack_Master!A:A, 0))
   * INDEX(Pack_Master!G:G, MATCH($D364, Pack_Master!A:A, 0))
 ) / INDEX(Config!C:C, MATCH($A364, Config!A:A, 0)),
"")
</f>
        <v>0</v>
      </c>
      <c r="H364" s="17">
        <f t="array" ref="H364">MAX( INDEX(Pack_Master!H:H, MATCH($D364, Pack_Master!A:A, 0)),
      IFERROR(G364, 0) )
</f>
        <v>0</v>
      </c>
      <c r="I364" s="18" t="str">
        <f>IFERROR(__xludf.DUMMYFUNCTION("IFERROR(
 INDEX(
   FILTER(Shipping_Rate_Card!B:F, Shipping_Rate_Card!A:A=$A364),
   MATCH($H364, FILTER(Shipping_Rate_Card!B:B, Shipping_Rate_Card!A:A=$A364), 1),
   IF( INDEX(Config!B:B, MATCH($A364, Config!A:A, 0))=""Local"", 2,
     IF( INDEX(Config!B"&amp;":B, MATCH($A364, Config!A:A, 0))=""Regional"", 3, 4 )
   )
 ),
"""")
"),"")</f>
        <v/>
      </c>
      <c r="J364" s="16">
        <f>IFERROR(__xludf.DUMMYFUNCTION("IFERROR(
 ( E364 * INDEX(FILTER(Pricing_Rules!E:E, Pricing_Rules!A:A=A364, Pricing_Rules!B:B=B364, Pricing_Rules!C:C&lt;=E364, Pricing_Rules!D:D&gt;=E364), 1)
   + INDEX(FILTER(Pricing_Rules!F:F, Pricing_Rules!A:A=A364, Pricing_Rules!B:B=B364, Pricing_Rules!C:C"&amp;"&lt;=E364, Pricing_Rules!D:D&gt;=E364), 1)
 )
 * (1 + IFERROR( INDEX(Config!D:D, MATCH(A364, Config!A:A, 0)), 0 )),
"""")
"),5.8999999999999995)</f>
        <v>5.9</v>
      </c>
      <c r="K364" s="19">
        <f t="shared" si="3"/>
        <v>-5.9</v>
      </c>
      <c r="L364" s="20" t="str">
        <f t="shared" si="4"/>
        <v/>
      </c>
    </row>
    <row r="365" ht="15.75" customHeight="1">
      <c r="A365" s="9" t="s">
        <v>9</v>
      </c>
      <c r="B365" s="12" t="str">
        <f t="array" ref="B365">XLOOKUP(C365, Channel_Listings!C:C, Channel_Listings!B:B)
</f>
        <v>Apparel_Caps_Beanies</v>
      </c>
      <c r="C365" s="22" t="s">
        <v>470</v>
      </c>
      <c r="D365" s="14" t="str">
        <f t="array" ref="D365">XLOOKUP(C365, Channel_Listings!C:C, Channel_Listings!D:D)
</f>
        <v>HAT-BUCKET-MUSIC</v>
      </c>
      <c r="E365" s="15"/>
      <c r="F365" s="16">
        <f t="array" ref="F365">IFERROR(
  VALUE( INDEX(Product_Master!$I:$I,
               MATCH( INDEX(Pack_Master!$B:$B, MATCH($D365, Pack_Master!$A:$A, 0)),
                      Product_Master!$B:$B, 0)
  )) 
  * VALUE( INDEX(Pack_Master!$C:$C, MATCH($D365, Pack_Master!$A:$A, 0)) )
  + VALUE( INDEX(Pack_Master!$D:$D, MATCH($D365, Pack_Master!$A:$A, 0)) ),
"")
</f>
        <v>0</v>
      </c>
      <c r="G365" s="17">
        <f t="array" ref="G365">IFERROR(
 ( INDEX(Pack_Master!E:E, MATCH($D365, Pack_Master!A:A, 0))
   * INDEX(Pack_Master!F:F, MATCH($D365, Pack_Master!A:A, 0))
   * INDEX(Pack_Master!G:G, MATCH($D365, Pack_Master!A:A, 0))
 ) / INDEX(Config!C:C, MATCH($A365, Config!A:A, 0)),
"")
</f>
        <v>0</v>
      </c>
      <c r="H365" s="17">
        <f t="array" ref="H365">MAX( INDEX(Pack_Master!H:H, MATCH($D365, Pack_Master!A:A, 0)),
      IFERROR(G365, 0) )
</f>
        <v>0</v>
      </c>
      <c r="I365" s="18" t="str">
        <f>IFERROR(__xludf.DUMMYFUNCTION("IFERROR(
 INDEX(
   FILTER(Shipping_Rate_Card!B:F, Shipping_Rate_Card!A:A=$A365),
   MATCH($H365, FILTER(Shipping_Rate_Card!B:B, Shipping_Rate_Card!A:A=$A365), 1),
   IF( INDEX(Config!B:B, MATCH($A365, Config!A:A, 0))=""Local"", 2,
     IF( INDEX(Config!B"&amp;":B, MATCH($A365, Config!A:A, 0))=""Regional"", 3, 4 )
   )
 ),
"""")
"),"")</f>
        <v/>
      </c>
      <c r="J365" s="16">
        <f>IFERROR(__xludf.DUMMYFUNCTION("IFERROR(
 ( E365 * INDEX(FILTER(Pricing_Rules!E:E, Pricing_Rules!A:A=A365, Pricing_Rules!B:B=B365, Pricing_Rules!C:C&lt;=E365, Pricing_Rules!D:D&gt;=E365), 1)
   + INDEX(FILTER(Pricing_Rules!F:F, Pricing_Rules!A:A=A365, Pricing_Rules!B:B=B365, Pricing_Rules!C:C"&amp;"&lt;=E365, Pricing_Rules!D:D&gt;=E365), 1)
 )
 * (1 + IFERROR( INDEX(Config!D:D, MATCH(A365, Config!A:A, 0)), 0 )),
"""")
"),5.8999999999999995)</f>
        <v>5.9</v>
      </c>
      <c r="K365" s="19">
        <f t="shared" si="3"/>
        <v>-5.9</v>
      </c>
      <c r="L365" s="20" t="str">
        <f t="shared" si="4"/>
        <v/>
      </c>
    </row>
    <row r="366" ht="15.75" customHeight="1">
      <c r="A366" s="9" t="s">
        <v>9</v>
      </c>
      <c r="B366" s="12" t="str">
        <f t="array" ref="B366">XLOOKUP(C366, Channel_Listings!C:C, Channel_Listings!B:B)
</f>
        <v>Apparel_Hoodies_Sweatshirts</v>
      </c>
      <c r="C366" s="22" t="s">
        <v>472</v>
      </c>
      <c r="D366" s="14" t="str">
        <f t="array" ref="D366">XLOOKUP(C366, Channel_Listings!C:C, Channel_Listings!D:D)
</f>
        <v>HOODIE-BLACK-SOLID-L</v>
      </c>
      <c r="E366" s="15"/>
      <c r="F366" s="16">
        <f t="array" ref="F366">IFERROR(
  VALUE( INDEX(Product_Master!$I:$I,
               MATCH( INDEX(Pack_Master!$B:$B, MATCH($D366, Pack_Master!$A:$A, 0)),
                      Product_Master!$B:$B, 0)
  )) 
  * VALUE( INDEX(Pack_Master!$C:$C, MATCH($D366, Pack_Master!$A:$A, 0)) )
  + VALUE( INDEX(Pack_Master!$D:$D, MATCH($D366, Pack_Master!$A:$A, 0)) ),
"")
</f>
        <v>0</v>
      </c>
      <c r="G366" s="17">
        <f t="array" ref="G366">IFERROR(
 ( INDEX(Pack_Master!E:E, MATCH($D366, Pack_Master!A:A, 0))
   * INDEX(Pack_Master!F:F, MATCH($D366, Pack_Master!A:A, 0))
   * INDEX(Pack_Master!G:G, MATCH($D366, Pack_Master!A:A, 0))
 ) / INDEX(Config!C:C, MATCH($A366, Config!A:A, 0)),
"")
</f>
        <v>0</v>
      </c>
      <c r="H366" s="17">
        <f t="array" ref="H366">MAX( INDEX(Pack_Master!H:H, MATCH($D366, Pack_Master!A:A, 0)),
      IFERROR(G366, 0) )
</f>
        <v>0</v>
      </c>
      <c r="I366" s="18" t="str">
        <f>IFERROR(__xludf.DUMMYFUNCTION("IFERROR(
 INDEX(
   FILTER(Shipping_Rate_Card!B:F, Shipping_Rate_Card!A:A=$A366),
   MATCH($H366, FILTER(Shipping_Rate_Card!B:B, Shipping_Rate_Card!A:A=$A366), 1),
   IF( INDEX(Config!B:B, MATCH($A366, Config!A:A, 0))=""Local"", 2,
     IF( INDEX(Config!B"&amp;":B, MATCH($A366, Config!A:A, 0))=""Regional"", 3, 4 )
   )
 ),
"""")
"),"")</f>
        <v/>
      </c>
      <c r="J366" s="16">
        <f>IFERROR(__xludf.DUMMYFUNCTION("IFERROR(
 ( E366 * INDEX(FILTER(Pricing_Rules!E:E, Pricing_Rules!A:A=A366, Pricing_Rules!B:B=B366, Pricing_Rules!C:C&lt;=E366, Pricing_Rules!D:D&gt;=E366), 1)
   + INDEX(FILTER(Pricing_Rules!F:F, Pricing_Rules!A:A=A366, Pricing_Rules!B:B=B366, Pricing_Rules!C:C"&amp;"&lt;=E366, Pricing_Rules!D:D&gt;=E366), 1)
 )
 * (1 + IFERROR( INDEX(Config!D:D, MATCH(A366, Config!A:A, 0)), 0 )),
"""")
"),5.8999999999999995)</f>
        <v>5.9</v>
      </c>
      <c r="K366" s="19">
        <f t="shared" si="3"/>
        <v>-5.9</v>
      </c>
      <c r="L366" s="20" t="str">
        <f t="shared" si="4"/>
        <v/>
      </c>
    </row>
    <row r="367" ht="15.75" customHeight="1">
      <c r="A367" s="9" t="s">
        <v>9</v>
      </c>
      <c r="B367" s="12" t="str">
        <f t="array" ref="B367">XLOOKUP(C367, Channel_Listings!C:C, Channel_Listings!B:B)
</f>
        <v>Apparel_Hoodies_Sweatshirts</v>
      </c>
      <c r="C367" s="22" t="s">
        <v>474</v>
      </c>
      <c r="D367" s="14" t="str">
        <f t="array" ref="D367">XLOOKUP(C367, Channel_Listings!C:C, Channel_Listings!D:D)
</f>
        <v>HOODIE-BLACK-SOLID-XL</v>
      </c>
      <c r="E367" s="15"/>
      <c r="F367" s="16">
        <f t="array" ref="F367">IFERROR(
  VALUE( INDEX(Product_Master!$I:$I,
               MATCH( INDEX(Pack_Master!$B:$B, MATCH($D367, Pack_Master!$A:$A, 0)),
                      Product_Master!$B:$B, 0)
  )) 
  * VALUE( INDEX(Pack_Master!$C:$C, MATCH($D367, Pack_Master!$A:$A, 0)) )
  + VALUE( INDEX(Pack_Master!$D:$D, MATCH($D367, Pack_Master!$A:$A, 0)) ),
"")
</f>
        <v>0</v>
      </c>
      <c r="G367" s="17">
        <f t="array" ref="G367">IFERROR(
 ( INDEX(Pack_Master!E:E, MATCH($D367, Pack_Master!A:A, 0))
   * INDEX(Pack_Master!F:F, MATCH($D367, Pack_Master!A:A, 0))
   * INDEX(Pack_Master!G:G, MATCH($D367, Pack_Master!A:A, 0))
 ) / INDEX(Config!C:C, MATCH($A367, Config!A:A, 0)),
"")
</f>
        <v>0</v>
      </c>
      <c r="H367" s="17">
        <f t="array" ref="H367">MAX( INDEX(Pack_Master!H:H, MATCH($D367, Pack_Master!A:A, 0)),
      IFERROR(G367, 0) )
</f>
        <v>0</v>
      </c>
      <c r="I367" s="18" t="str">
        <f>IFERROR(__xludf.DUMMYFUNCTION("IFERROR(
 INDEX(
   FILTER(Shipping_Rate_Card!B:F, Shipping_Rate_Card!A:A=$A367),
   MATCH($H367, FILTER(Shipping_Rate_Card!B:B, Shipping_Rate_Card!A:A=$A367), 1),
   IF( INDEX(Config!B:B, MATCH($A367, Config!A:A, 0))=""Local"", 2,
     IF( INDEX(Config!B"&amp;":B, MATCH($A367, Config!A:A, 0))=""Regional"", 3, 4 )
   )
 ),
"""")
"),"")</f>
        <v/>
      </c>
      <c r="J367" s="16">
        <f>IFERROR(__xludf.DUMMYFUNCTION("IFERROR(
 ( E367 * INDEX(FILTER(Pricing_Rules!E:E, Pricing_Rules!A:A=A367, Pricing_Rules!B:B=B367, Pricing_Rules!C:C&lt;=E367, Pricing_Rules!D:D&gt;=E367), 1)
   + INDEX(FILTER(Pricing_Rules!F:F, Pricing_Rules!A:A=A367, Pricing_Rules!B:B=B367, Pricing_Rules!C:C"&amp;"&lt;=E367, Pricing_Rules!D:D&gt;=E367), 1)
 )
 * (1 + IFERROR( INDEX(Config!D:D, MATCH(A367, Config!A:A, 0)), 0 )),
"""")
"),5.8999999999999995)</f>
        <v>5.9</v>
      </c>
      <c r="K367" s="19">
        <f t="shared" si="3"/>
        <v>-5.9</v>
      </c>
      <c r="L367" s="20" t="str">
        <f t="shared" si="4"/>
        <v/>
      </c>
    </row>
    <row r="368" ht="15.75" customHeight="1">
      <c r="A368" s="9" t="s">
        <v>9</v>
      </c>
      <c r="B368" s="12" t="str">
        <f t="array" ref="B368">XLOOKUP(C368, Channel_Listings!C:C, Channel_Listings!B:B)
</f>
        <v>Apparel_Hoodies_Sweatshirts</v>
      </c>
      <c r="C368" s="22" t="s">
        <v>476</v>
      </c>
      <c r="D368" s="14" t="str">
        <f t="array" ref="D368">XLOOKUP(C368, Channel_Listings!C:C, Channel_Listings!D:D)
</f>
        <v>HOODIE-BLACK-SOLID-XXL</v>
      </c>
      <c r="E368" s="15"/>
      <c r="F368" s="16">
        <f t="array" ref="F368">IFERROR(
  VALUE( INDEX(Product_Master!$I:$I,
               MATCH( INDEX(Pack_Master!$B:$B, MATCH($D368, Pack_Master!$A:$A, 0)),
                      Product_Master!$B:$B, 0)
  )) 
  * VALUE( INDEX(Pack_Master!$C:$C, MATCH($D368, Pack_Master!$A:$A, 0)) )
  + VALUE( INDEX(Pack_Master!$D:$D, MATCH($D368, Pack_Master!$A:$A, 0)) ),
"")
</f>
        <v>0</v>
      </c>
      <c r="G368" s="17">
        <f t="array" ref="G368">IFERROR(
 ( INDEX(Pack_Master!E:E, MATCH($D368, Pack_Master!A:A, 0))
   * INDEX(Pack_Master!F:F, MATCH($D368, Pack_Master!A:A, 0))
   * INDEX(Pack_Master!G:G, MATCH($D368, Pack_Master!A:A, 0))
 ) / INDEX(Config!C:C, MATCH($A368, Config!A:A, 0)),
"")
</f>
        <v>0</v>
      </c>
      <c r="H368" s="17">
        <f t="array" ref="H368">MAX( INDEX(Pack_Master!H:H, MATCH($D368, Pack_Master!A:A, 0)),
      IFERROR(G368, 0) )
</f>
        <v>0</v>
      </c>
      <c r="I368" s="18" t="str">
        <f>IFERROR(__xludf.DUMMYFUNCTION("IFERROR(
 INDEX(
   FILTER(Shipping_Rate_Card!B:F, Shipping_Rate_Card!A:A=$A368),
   MATCH($H368, FILTER(Shipping_Rate_Card!B:B, Shipping_Rate_Card!A:A=$A368), 1),
   IF( INDEX(Config!B:B, MATCH($A368, Config!A:A, 0))=""Local"", 2,
     IF( INDEX(Config!B"&amp;":B, MATCH($A368, Config!A:A, 0))=""Regional"", 3, 4 )
   )
 ),
"""")
"),"")</f>
        <v/>
      </c>
      <c r="J368" s="16">
        <f>IFERROR(__xludf.DUMMYFUNCTION("IFERROR(
 ( E368 * INDEX(FILTER(Pricing_Rules!E:E, Pricing_Rules!A:A=A368, Pricing_Rules!B:B=B368, Pricing_Rules!C:C&lt;=E368, Pricing_Rules!D:D&gt;=E368), 1)
   + INDEX(FILTER(Pricing_Rules!F:F, Pricing_Rules!A:A=A368, Pricing_Rules!B:B=B368, Pricing_Rules!C:C"&amp;"&lt;=E368, Pricing_Rules!D:D&gt;=E368), 1)
 )
 * (1 + IFERROR( INDEX(Config!D:D, MATCH(A368, Config!A:A, 0)), 0 )),
"""")
"),5.8999999999999995)</f>
        <v>5.9</v>
      </c>
      <c r="K368" s="19">
        <f t="shared" si="3"/>
        <v>-5.9</v>
      </c>
      <c r="L368" s="20" t="str">
        <f t="shared" si="4"/>
        <v/>
      </c>
    </row>
    <row r="369" ht="15.75" customHeight="1">
      <c r="A369" s="9" t="s">
        <v>9</v>
      </c>
      <c r="B369" s="12" t="str">
        <f t="array" ref="B369">XLOOKUP(C369, Channel_Listings!C:C, Channel_Listings!B:B)
</f>
        <v>Apparel_Hoodies_Sweatshirts</v>
      </c>
      <c r="C369" s="22" t="s">
        <v>478</v>
      </c>
      <c r="D369" s="14" t="str">
        <f t="array" ref="D369">XLOOKUP(C369, Channel_Listings!C:C, Channel_Listings!D:D)
</f>
        <v>HOODIE-NAVYBLUE-SOLID-L</v>
      </c>
      <c r="E369" s="15"/>
      <c r="F369" s="16">
        <f t="array" ref="F369">IFERROR(
  VALUE( INDEX(Product_Master!$I:$I,
               MATCH( INDEX(Pack_Master!$B:$B, MATCH($D369, Pack_Master!$A:$A, 0)),
                      Product_Master!$B:$B, 0)
  )) 
  * VALUE( INDEX(Pack_Master!$C:$C, MATCH($D369, Pack_Master!$A:$A, 0)) )
  + VALUE( INDEX(Pack_Master!$D:$D, MATCH($D369, Pack_Master!$A:$A, 0)) ),
"")
</f>
        <v>0</v>
      </c>
      <c r="G369" s="17">
        <f t="array" ref="G369">IFERROR(
 ( INDEX(Pack_Master!E:E, MATCH($D369, Pack_Master!A:A, 0))
   * INDEX(Pack_Master!F:F, MATCH($D369, Pack_Master!A:A, 0))
   * INDEX(Pack_Master!G:G, MATCH($D369, Pack_Master!A:A, 0))
 ) / INDEX(Config!C:C, MATCH($A369, Config!A:A, 0)),
"")
</f>
        <v>0</v>
      </c>
      <c r="H369" s="17">
        <f t="array" ref="H369">MAX( INDEX(Pack_Master!H:H, MATCH($D369, Pack_Master!A:A, 0)),
      IFERROR(G369, 0) )
</f>
        <v>0</v>
      </c>
      <c r="I369" s="18" t="str">
        <f>IFERROR(__xludf.DUMMYFUNCTION("IFERROR(
 INDEX(
   FILTER(Shipping_Rate_Card!B:F, Shipping_Rate_Card!A:A=$A369),
   MATCH($H369, FILTER(Shipping_Rate_Card!B:B, Shipping_Rate_Card!A:A=$A369), 1),
   IF( INDEX(Config!B:B, MATCH($A369, Config!A:A, 0))=""Local"", 2,
     IF( INDEX(Config!B"&amp;":B, MATCH($A369, Config!A:A, 0))=""Regional"", 3, 4 )
   )
 ),
"""")
"),"")</f>
        <v/>
      </c>
      <c r="J369" s="16">
        <f>IFERROR(__xludf.DUMMYFUNCTION("IFERROR(
 ( E369 * INDEX(FILTER(Pricing_Rules!E:E, Pricing_Rules!A:A=A369, Pricing_Rules!B:B=B369, Pricing_Rules!C:C&lt;=E369, Pricing_Rules!D:D&gt;=E369), 1)
   + INDEX(FILTER(Pricing_Rules!F:F, Pricing_Rules!A:A=A369, Pricing_Rules!B:B=B369, Pricing_Rules!C:C"&amp;"&lt;=E369, Pricing_Rules!D:D&gt;=E369), 1)
 )
 * (1 + IFERROR( INDEX(Config!D:D, MATCH(A369, Config!A:A, 0)), 0 )),
"""")
"),5.8999999999999995)</f>
        <v>5.9</v>
      </c>
      <c r="K369" s="19">
        <f t="shared" si="3"/>
        <v>-5.9</v>
      </c>
      <c r="L369" s="20" t="str">
        <f t="shared" si="4"/>
        <v/>
      </c>
    </row>
    <row r="370" ht="15.75" customHeight="1">
      <c r="A370" s="9" t="s">
        <v>9</v>
      </c>
      <c r="B370" s="12" t="str">
        <f t="array" ref="B370">XLOOKUP(C370, Channel_Listings!C:C, Channel_Listings!B:B)
</f>
        <v>Apparel_Hoodies_Sweatshirts</v>
      </c>
      <c r="C370" s="22" t="s">
        <v>480</v>
      </c>
      <c r="D370" s="14" t="str">
        <f t="array" ref="D370">XLOOKUP(C370, Channel_Listings!C:C, Channel_Listings!D:D)
</f>
        <v>HOODIE-NAVYBLUE-SOLID-XL</v>
      </c>
      <c r="E370" s="15"/>
      <c r="F370" s="16">
        <f t="array" ref="F370">IFERROR(
  VALUE( INDEX(Product_Master!$I:$I,
               MATCH( INDEX(Pack_Master!$B:$B, MATCH($D370, Pack_Master!$A:$A, 0)),
                      Product_Master!$B:$B, 0)
  )) 
  * VALUE( INDEX(Pack_Master!$C:$C, MATCH($D370, Pack_Master!$A:$A, 0)) )
  + VALUE( INDEX(Pack_Master!$D:$D, MATCH($D370, Pack_Master!$A:$A, 0)) ),
"")
</f>
        <v>0</v>
      </c>
      <c r="G370" s="17">
        <f t="array" ref="G370">IFERROR(
 ( INDEX(Pack_Master!E:E, MATCH($D370, Pack_Master!A:A, 0))
   * INDEX(Pack_Master!F:F, MATCH($D370, Pack_Master!A:A, 0))
   * INDEX(Pack_Master!G:G, MATCH($D370, Pack_Master!A:A, 0))
 ) / INDEX(Config!C:C, MATCH($A370, Config!A:A, 0)),
"")
</f>
        <v>0</v>
      </c>
      <c r="H370" s="17">
        <f t="array" ref="H370">MAX( INDEX(Pack_Master!H:H, MATCH($D370, Pack_Master!A:A, 0)),
      IFERROR(G370, 0) )
</f>
        <v>0</v>
      </c>
      <c r="I370" s="18" t="str">
        <f>IFERROR(__xludf.DUMMYFUNCTION("IFERROR(
 INDEX(
   FILTER(Shipping_Rate_Card!B:F, Shipping_Rate_Card!A:A=$A370),
   MATCH($H370, FILTER(Shipping_Rate_Card!B:B, Shipping_Rate_Card!A:A=$A370), 1),
   IF( INDEX(Config!B:B, MATCH($A370, Config!A:A, 0))=""Local"", 2,
     IF( INDEX(Config!B"&amp;":B, MATCH($A370, Config!A:A, 0))=""Regional"", 3, 4 )
   )
 ),
"""")
"),"")</f>
        <v/>
      </c>
      <c r="J370" s="16">
        <f>IFERROR(__xludf.DUMMYFUNCTION("IFERROR(
 ( E370 * INDEX(FILTER(Pricing_Rules!E:E, Pricing_Rules!A:A=A370, Pricing_Rules!B:B=B370, Pricing_Rules!C:C&lt;=E370, Pricing_Rules!D:D&gt;=E370), 1)
   + INDEX(FILTER(Pricing_Rules!F:F, Pricing_Rules!A:A=A370, Pricing_Rules!B:B=B370, Pricing_Rules!C:C"&amp;"&lt;=E370, Pricing_Rules!D:D&gt;=E370), 1)
 )
 * (1 + IFERROR( INDEX(Config!D:D, MATCH(A370, Config!A:A, 0)), 0 )),
"""")
"),5.8999999999999995)</f>
        <v>5.9</v>
      </c>
      <c r="K370" s="19">
        <f t="shared" si="3"/>
        <v>-5.9</v>
      </c>
      <c r="L370" s="20" t="str">
        <f t="shared" si="4"/>
        <v/>
      </c>
    </row>
    <row r="371" ht="15.75" customHeight="1">
      <c r="A371" s="9" t="s">
        <v>9</v>
      </c>
      <c r="B371" s="12" t="str">
        <f t="array" ref="B371">XLOOKUP(C371, Channel_Listings!C:C, Channel_Listings!B:B)
</f>
        <v>Kitchen_Containers</v>
      </c>
      <c r="C371" s="23" t="s">
        <v>482</v>
      </c>
      <c r="D371" s="14" t="str">
        <f t="array" ref="D371">XLOOKUP(C371, Channel_Listings!C:C, Channel_Listings!D:D)
</f>
        <v>JAR-CRYSTO1000-PK3</v>
      </c>
      <c r="E371" s="15"/>
      <c r="F371" s="16">
        <f t="array" ref="F371">IFERROR(
  VALUE( INDEX(Product_Master!$I:$I,
               MATCH( INDEX(Pack_Master!$B:$B, MATCH($D371, Pack_Master!$A:$A, 0)),
                      Product_Master!$B:$B, 0)
  )) 
  * VALUE( INDEX(Pack_Master!$C:$C, MATCH($D371, Pack_Master!$A:$A, 0)) )
  + VALUE( INDEX(Pack_Master!$D:$D, MATCH($D371, Pack_Master!$A:$A, 0)) ),
"")
</f>
        <v>0</v>
      </c>
      <c r="G371" s="17">
        <f t="array" ref="G371">IFERROR(
 ( INDEX(Pack_Master!E:E, MATCH($D371, Pack_Master!A:A, 0))
   * INDEX(Pack_Master!F:F, MATCH($D371, Pack_Master!A:A, 0))
   * INDEX(Pack_Master!G:G, MATCH($D371, Pack_Master!A:A, 0))
 ) / INDEX(Config!C:C, MATCH($A371, Config!A:A, 0)),
"")
</f>
        <v>0</v>
      </c>
      <c r="H371" s="17">
        <f t="array" ref="H371">MAX( INDEX(Pack_Master!H:H, MATCH($D371, Pack_Master!A:A, 0)),
      IFERROR(G371, 0) )
</f>
        <v>0</v>
      </c>
      <c r="I371" s="18" t="str">
        <f>IFERROR(__xludf.DUMMYFUNCTION("IFERROR(
 INDEX(
   FILTER(Shipping_Rate_Card!B:F, Shipping_Rate_Card!A:A=$A371),
   MATCH($H371, FILTER(Shipping_Rate_Card!B:B, Shipping_Rate_Card!A:A=$A371), 1),
   IF( INDEX(Config!B:B, MATCH($A371, Config!A:A, 0))=""Local"", 2,
     IF( INDEX(Config!B"&amp;":B, MATCH($A371, Config!A:A, 0))=""Regional"", 3, 4 )
   )
 ),
"""")
"),"")</f>
        <v/>
      </c>
      <c r="J371" s="16">
        <f>IFERROR(__xludf.DUMMYFUNCTION("IFERROR(
 ( E371 * INDEX(FILTER(Pricing_Rules!E:E, Pricing_Rules!A:A=A371, Pricing_Rules!B:B=B371, Pricing_Rules!C:C&lt;=E371, Pricing_Rules!D:D&gt;=E371), 1)
   + INDEX(FILTER(Pricing_Rules!F:F, Pricing_Rules!A:A=A371, Pricing_Rules!B:B=B371, Pricing_Rules!C:C"&amp;"&lt;=E371, Pricing_Rules!D:D&gt;=E371), 1)
 )
 * (1 + IFERROR( INDEX(Config!D:D, MATCH(A371, Config!A:A, 0)), 0 )),
"""")
"),5.8999999999999995)</f>
        <v>5.9</v>
      </c>
      <c r="K371" s="19">
        <f t="shared" si="3"/>
        <v>-5.9</v>
      </c>
      <c r="L371" s="20" t="str">
        <f t="shared" si="4"/>
        <v/>
      </c>
    </row>
    <row r="372" ht="15.75" customHeight="1">
      <c r="A372" s="9" t="s">
        <v>9</v>
      </c>
      <c r="B372" s="12" t="str">
        <f t="array" ref="B372">XLOOKUP(C372, Channel_Listings!C:C, Channel_Listings!B:B)
</f>
        <v>Kitchen_Containers</v>
      </c>
      <c r="C372" s="23" t="s">
        <v>485</v>
      </c>
      <c r="D372" s="14" t="str">
        <f t="array" ref="D372">XLOOKUP(C372, Channel_Listings!C:C, Channel_Listings!D:D)
</f>
        <v>JAR-CRYSTO150-PK6</v>
      </c>
      <c r="E372" s="15"/>
      <c r="F372" s="16">
        <f t="array" ref="F372">IFERROR(
  VALUE( INDEX(Product_Master!$I:$I,
               MATCH( INDEX(Pack_Master!$B:$B, MATCH($D372, Pack_Master!$A:$A, 0)),
                      Product_Master!$B:$B, 0)
  )) 
  * VALUE( INDEX(Pack_Master!$C:$C, MATCH($D372, Pack_Master!$A:$A, 0)) )
  + VALUE( INDEX(Pack_Master!$D:$D, MATCH($D372, Pack_Master!$A:$A, 0)) ),
"")
</f>
        <v>0</v>
      </c>
      <c r="G372" s="17">
        <f t="array" ref="G372">IFERROR(
 ( INDEX(Pack_Master!E:E, MATCH($D372, Pack_Master!A:A, 0))
   * INDEX(Pack_Master!F:F, MATCH($D372, Pack_Master!A:A, 0))
   * INDEX(Pack_Master!G:G, MATCH($D372, Pack_Master!A:A, 0))
 ) / INDEX(Config!C:C, MATCH($A372, Config!A:A, 0)),
"")
</f>
        <v>0</v>
      </c>
      <c r="H372" s="17">
        <f t="array" ref="H372">MAX( INDEX(Pack_Master!H:H, MATCH($D372, Pack_Master!A:A, 0)),
      IFERROR(G372, 0) )
</f>
        <v>0</v>
      </c>
      <c r="I372" s="18" t="str">
        <f>IFERROR(__xludf.DUMMYFUNCTION("IFERROR(
 INDEX(
   FILTER(Shipping_Rate_Card!B:F, Shipping_Rate_Card!A:A=$A372),
   MATCH($H372, FILTER(Shipping_Rate_Card!B:B, Shipping_Rate_Card!A:A=$A372), 1),
   IF( INDEX(Config!B:B, MATCH($A372, Config!A:A, 0))=""Local"", 2,
     IF( INDEX(Config!B"&amp;":B, MATCH($A372, Config!A:A, 0))=""Regional"", 3, 4 )
   )
 ),
"""")
"),"")</f>
        <v/>
      </c>
      <c r="J372" s="16">
        <f>IFERROR(__xludf.DUMMYFUNCTION("IFERROR(
 ( E372 * INDEX(FILTER(Pricing_Rules!E:E, Pricing_Rules!A:A=A372, Pricing_Rules!B:B=B372, Pricing_Rules!C:C&lt;=E372, Pricing_Rules!D:D&gt;=E372), 1)
   + INDEX(FILTER(Pricing_Rules!F:F, Pricing_Rules!A:A=A372, Pricing_Rules!B:B=B372, Pricing_Rules!C:C"&amp;"&lt;=E372, Pricing_Rules!D:D&gt;=E372), 1)
 )
 * (1 + IFERROR( INDEX(Config!D:D, MATCH(A372, Config!A:A, 0)), 0 )),
"""")
"),5.8999999999999995)</f>
        <v>5.9</v>
      </c>
      <c r="K372" s="19">
        <f t="shared" si="3"/>
        <v>-5.9</v>
      </c>
      <c r="L372" s="20" t="str">
        <f t="shared" si="4"/>
        <v/>
      </c>
    </row>
    <row r="373" ht="15.75" customHeight="1">
      <c r="A373" s="9" t="s">
        <v>9</v>
      </c>
      <c r="B373" s="12" t="str">
        <f t="array" ref="B373">XLOOKUP(C373, Channel_Listings!C:C, Channel_Listings!B:B)
</f>
        <v>Kitchen_Containers</v>
      </c>
      <c r="C373" s="23" t="s">
        <v>488</v>
      </c>
      <c r="D373" s="14" t="str">
        <f t="array" ref="D373">XLOOKUP(C373, Channel_Listings!C:C, Channel_Listings!D:D)
</f>
        <v>JAR-CRYSTO2000-PK3</v>
      </c>
      <c r="E373" s="15"/>
      <c r="F373" s="16">
        <f t="array" ref="F373">IFERROR(
  VALUE( INDEX(Product_Master!$I:$I,
               MATCH( INDEX(Pack_Master!$B:$B, MATCH($D373, Pack_Master!$A:$A, 0)),
                      Product_Master!$B:$B, 0)
  )) 
  * VALUE( INDEX(Pack_Master!$C:$C, MATCH($D373, Pack_Master!$A:$A, 0)) )
  + VALUE( INDEX(Pack_Master!$D:$D, MATCH($D373, Pack_Master!$A:$A, 0)) ),
"")
</f>
        <v>0</v>
      </c>
      <c r="G373" s="17">
        <f t="array" ref="G373">IFERROR(
 ( INDEX(Pack_Master!E:E, MATCH($D373, Pack_Master!A:A, 0))
   * INDEX(Pack_Master!F:F, MATCH($D373, Pack_Master!A:A, 0))
   * INDEX(Pack_Master!G:G, MATCH($D373, Pack_Master!A:A, 0))
 ) / INDEX(Config!C:C, MATCH($A373, Config!A:A, 0)),
"")
</f>
        <v>0</v>
      </c>
      <c r="H373" s="17">
        <f t="array" ref="H373">MAX( INDEX(Pack_Master!H:H, MATCH($D373, Pack_Master!A:A, 0)),
      IFERROR(G373, 0) )
</f>
        <v>0</v>
      </c>
      <c r="I373" s="18" t="str">
        <f>IFERROR(__xludf.DUMMYFUNCTION("IFERROR(
 INDEX(
   FILTER(Shipping_Rate_Card!B:F, Shipping_Rate_Card!A:A=$A373),
   MATCH($H373, FILTER(Shipping_Rate_Card!B:B, Shipping_Rate_Card!A:A=$A373), 1),
   IF( INDEX(Config!B:B, MATCH($A373, Config!A:A, 0))=""Local"", 2,
     IF( INDEX(Config!B"&amp;":B, MATCH($A373, Config!A:A, 0))=""Regional"", 3, 4 )
   )
 ),
"""")
"),"")</f>
        <v/>
      </c>
      <c r="J373" s="16">
        <f>IFERROR(__xludf.DUMMYFUNCTION("IFERROR(
 ( E373 * INDEX(FILTER(Pricing_Rules!E:E, Pricing_Rules!A:A=A373, Pricing_Rules!B:B=B373, Pricing_Rules!C:C&lt;=E373, Pricing_Rules!D:D&gt;=E373), 1)
   + INDEX(FILTER(Pricing_Rules!F:F, Pricing_Rules!A:A=A373, Pricing_Rules!B:B=B373, Pricing_Rules!C:C"&amp;"&lt;=E373, Pricing_Rules!D:D&gt;=E373), 1)
 )
 * (1 + IFERROR( INDEX(Config!D:D, MATCH(A373, Config!A:A, 0)), 0 )),
"""")
"),5.8999999999999995)</f>
        <v>5.9</v>
      </c>
      <c r="K373" s="19">
        <f t="shared" si="3"/>
        <v>-5.9</v>
      </c>
      <c r="L373" s="20" t="str">
        <f t="shared" si="4"/>
        <v/>
      </c>
    </row>
    <row r="374" ht="15.75" customHeight="1">
      <c r="A374" s="9" t="s">
        <v>9</v>
      </c>
      <c r="B374" s="12" t="str">
        <f t="array" ref="B374">XLOOKUP(C374, Channel_Listings!C:C, Channel_Listings!B:B)
</f>
        <v>Kitchen_Containers</v>
      </c>
      <c r="C374" s="23" t="s">
        <v>491</v>
      </c>
      <c r="D374" s="14" t="str">
        <f t="array" ref="D374">XLOOKUP(C374, Channel_Listings!C:C, Channel_Listings!D:D)
</f>
        <v>JAR-CRYSTO250-PK3</v>
      </c>
      <c r="E374" s="15"/>
      <c r="F374" s="16">
        <f t="array" ref="F374">IFERROR(
  VALUE( INDEX(Product_Master!$I:$I,
               MATCH( INDEX(Pack_Master!$B:$B, MATCH($D374, Pack_Master!$A:$A, 0)),
                      Product_Master!$B:$B, 0)
  )) 
  * VALUE( INDEX(Pack_Master!$C:$C, MATCH($D374, Pack_Master!$A:$A, 0)) )
  + VALUE( INDEX(Pack_Master!$D:$D, MATCH($D374, Pack_Master!$A:$A, 0)) ),
"")
</f>
        <v>0</v>
      </c>
      <c r="G374" s="17">
        <f t="array" ref="G374">IFERROR(
 ( INDEX(Pack_Master!E:E, MATCH($D374, Pack_Master!A:A, 0))
   * INDEX(Pack_Master!F:F, MATCH($D374, Pack_Master!A:A, 0))
   * INDEX(Pack_Master!G:G, MATCH($D374, Pack_Master!A:A, 0))
 ) / INDEX(Config!C:C, MATCH($A374, Config!A:A, 0)),
"")
</f>
        <v>0</v>
      </c>
      <c r="H374" s="17">
        <f t="array" ref="H374">MAX( INDEX(Pack_Master!H:H, MATCH($D374, Pack_Master!A:A, 0)),
      IFERROR(G374, 0) )
</f>
        <v>0</v>
      </c>
      <c r="I374" s="18" t="str">
        <f>IFERROR(__xludf.DUMMYFUNCTION("IFERROR(
 INDEX(
   FILTER(Shipping_Rate_Card!B:F, Shipping_Rate_Card!A:A=$A374),
   MATCH($H374, FILTER(Shipping_Rate_Card!B:B, Shipping_Rate_Card!A:A=$A374), 1),
   IF( INDEX(Config!B:B, MATCH($A374, Config!A:A, 0))=""Local"", 2,
     IF( INDEX(Config!B"&amp;":B, MATCH($A374, Config!A:A, 0))=""Regional"", 3, 4 )
   )
 ),
"""")
"),"")</f>
        <v/>
      </c>
      <c r="J374" s="16">
        <f>IFERROR(__xludf.DUMMYFUNCTION("IFERROR(
 ( E374 * INDEX(FILTER(Pricing_Rules!E:E, Pricing_Rules!A:A=A374, Pricing_Rules!B:B=B374, Pricing_Rules!C:C&lt;=E374, Pricing_Rules!D:D&gt;=E374), 1)
   + INDEX(FILTER(Pricing_Rules!F:F, Pricing_Rules!A:A=A374, Pricing_Rules!B:B=B374, Pricing_Rules!C:C"&amp;"&lt;=E374, Pricing_Rules!D:D&gt;=E374), 1)
 )
 * (1 + IFERROR( INDEX(Config!D:D, MATCH(A374, Config!A:A, 0)), 0 )),
"""")
"),5.8999999999999995)</f>
        <v>5.9</v>
      </c>
      <c r="K374" s="19">
        <f t="shared" si="3"/>
        <v>-5.9</v>
      </c>
      <c r="L374" s="20" t="str">
        <f t="shared" si="4"/>
        <v/>
      </c>
    </row>
    <row r="375" ht="15.75" customHeight="1">
      <c r="A375" s="9" t="s">
        <v>9</v>
      </c>
      <c r="B375" s="12" t="str">
        <f t="array" ref="B375">XLOOKUP(C375, Channel_Listings!C:C, Channel_Listings!B:B)
</f>
        <v>Kitchen_Containers</v>
      </c>
      <c r="C375" s="23" t="s">
        <v>494</v>
      </c>
      <c r="D375" s="14" t="str">
        <f t="array" ref="D375">XLOOKUP(C375, Channel_Listings!C:C, Channel_Listings!D:D)
</f>
        <v>JAR-CRYSTO500-PK3</v>
      </c>
      <c r="E375" s="15"/>
      <c r="F375" s="16">
        <f t="array" ref="F375">IFERROR(
  VALUE( INDEX(Product_Master!$I:$I,
               MATCH( INDEX(Pack_Master!$B:$B, MATCH($D375, Pack_Master!$A:$A, 0)),
                      Product_Master!$B:$B, 0)
  )) 
  * VALUE( INDEX(Pack_Master!$C:$C, MATCH($D375, Pack_Master!$A:$A, 0)) )
  + VALUE( INDEX(Pack_Master!$D:$D, MATCH($D375, Pack_Master!$A:$A, 0)) ),
"")
</f>
        <v>0</v>
      </c>
      <c r="G375" s="17">
        <f t="array" ref="G375">IFERROR(
 ( INDEX(Pack_Master!E:E, MATCH($D375, Pack_Master!A:A, 0))
   * INDEX(Pack_Master!F:F, MATCH($D375, Pack_Master!A:A, 0))
   * INDEX(Pack_Master!G:G, MATCH($D375, Pack_Master!A:A, 0))
 ) / INDEX(Config!C:C, MATCH($A375, Config!A:A, 0)),
"")
</f>
        <v>0</v>
      </c>
      <c r="H375" s="17">
        <f t="array" ref="H375">MAX( INDEX(Pack_Master!H:H, MATCH($D375, Pack_Master!A:A, 0)),
      IFERROR(G375, 0) )
</f>
        <v>0</v>
      </c>
      <c r="I375" s="18" t="str">
        <f>IFERROR(__xludf.DUMMYFUNCTION("IFERROR(
 INDEX(
   FILTER(Shipping_Rate_Card!B:F, Shipping_Rate_Card!A:A=$A375),
   MATCH($H375, FILTER(Shipping_Rate_Card!B:B, Shipping_Rate_Card!A:A=$A375), 1),
   IF( INDEX(Config!B:B, MATCH($A375, Config!A:A, 0))=""Local"", 2,
     IF( INDEX(Config!B"&amp;":B, MATCH($A375, Config!A:A, 0))=""Regional"", 3, 4 )
   )
 ),
"""")
"),"")</f>
        <v/>
      </c>
      <c r="J375" s="16">
        <f>IFERROR(__xludf.DUMMYFUNCTION("IFERROR(
 ( E375 * INDEX(FILTER(Pricing_Rules!E:E, Pricing_Rules!A:A=A375, Pricing_Rules!B:B=B375, Pricing_Rules!C:C&lt;=E375, Pricing_Rules!D:D&gt;=E375), 1)
   + INDEX(FILTER(Pricing_Rules!F:F, Pricing_Rules!A:A=A375, Pricing_Rules!B:B=B375, Pricing_Rules!C:C"&amp;"&lt;=E375, Pricing_Rules!D:D&gt;=E375), 1)
 )
 * (1 + IFERROR( INDEX(Config!D:D, MATCH(A375, Config!A:A, 0)), 0 )),
"""")
"),5.8999999999999995)</f>
        <v>5.9</v>
      </c>
      <c r="K375" s="19">
        <f t="shared" si="3"/>
        <v>-5.9</v>
      </c>
      <c r="L375" s="20" t="str">
        <f t="shared" si="4"/>
        <v/>
      </c>
    </row>
    <row r="376" ht="15.75" customHeight="1">
      <c r="A376" s="9" t="s">
        <v>9</v>
      </c>
      <c r="B376" s="12" t="str">
        <f t="array" ref="B376">XLOOKUP(C376, Channel_Listings!C:C, Channel_Listings!B:B)
</f>
        <v>Kitchen_Containers</v>
      </c>
      <c r="C376" s="23" t="s">
        <v>497</v>
      </c>
      <c r="D376" s="14" t="str">
        <f t="array" ref="D376">XLOOKUP(C376, Channel_Listings!C:C, Channel_Listings!D:D)
</f>
        <v>JAR-CRYSTO800-PK3</v>
      </c>
      <c r="E376" s="15"/>
      <c r="F376" s="16">
        <f t="array" ref="F376">IFERROR(
  VALUE( INDEX(Product_Master!$I:$I,
               MATCH( INDEX(Pack_Master!$B:$B, MATCH($D376, Pack_Master!$A:$A, 0)),
                      Product_Master!$B:$B, 0)
  )) 
  * VALUE( INDEX(Pack_Master!$C:$C, MATCH($D376, Pack_Master!$A:$A, 0)) )
  + VALUE( INDEX(Pack_Master!$D:$D, MATCH($D376, Pack_Master!$A:$A, 0)) ),
"")
</f>
        <v>0</v>
      </c>
      <c r="G376" s="17">
        <f t="array" ref="G376">IFERROR(
 ( INDEX(Pack_Master!E:E, MATCH($D376, Pack_Master!A:A, 0))
   * INDEX(Pack_Master!F:F, MATCH($D376, Pack_Master!A:A, 0))
   * INDEX(Pack_Master!G:G, MATCH($D376, Pack_Master!A:A, 0))
 ) / INDEX(Config!C:C, MATCH($A376, Config!A:A, 0)),
"")
</f>
        <v>0</v>
      </c>
      <c r="H376" s="17">
        <f t="array" ref="H376">MAX( INDEX(Pack_Master!H:H, MATCH($D376, Pack_Master!A:A, 0)),
      IFERROR(G376, 0) )
</f>
        <v>0</v>
      </c>
      <c r="I376" s="18" t="str">
        <f>IFERROR(__xludf.DUMMYFUNCTION("IFERROR(
 INDEX(
   FILTER(Shipping_Rate_Card!B:F, Shipping_Rate_Card!A:A=$A376),
   MATCH($H376, FILTER(Shipping_Rate_Card!B:B, Shipping_Rate_Card!A:A=$A376), 1),
   IF( INDEX(Config!B:B, MATCH($A376, Config!A:A, 0))=""Local"", 2,
     IF( INDEX(Config!B"&amp;":B, MATCH($A376, Config!A:A, 0))=""Regional"", 3, 4 )
   )
 ),
"""")
"),"")</f>
        <v/>
      </c>
      <c r="J376" s="16">
        <f>IFERROR(__xludf.DUMMYFUNCTION("IFERROR(
 ( E376 * INDEX(FILTER(Pricing_Rules!E:E, Pricing_Rules!A:A=A376, Pricing_Rules!B:B=B376, Pricing_Rules!C:C&lt;=E376, Pricing_Rules!D:D&gt;=E376), 1)
   + INDEX(FILTER(Pricing_Rules!F:F, Pricing_Rules!A:A=A376, Pricing_Rules!B:B=B376, Pricing_Rules!C:C"&amp;"&lt;=E376, Pricing_Rules!D:D&gt;=E376), 1)
 )
 * (1 + IFERROR( INDEX(Config!D:D, MATCH(A376, Config!A:A, 0)), 0 )),
"""")
"),5.8999999999999995)</f>
        <v>5.9</v>
      </c>
      <c r="K376" s="19">
        <f t="shared" si="3"/>
        <v>-5.9</v>
      </c>
      <c r="L376" s="20" t="str">
        <f t="shared" si="4"/>
        <v/>
      </c>
    </row>
    <row r="377" ht="15.75" customHeight="1">
      <c r="A377" s="9" t="s">
        <v>9</v>
      </c>
      <c r="B377" s="12" t="str">
        <f t="array" ref="B377">XLOOKUP(C377, Channel_Listings!C:C, Channel_Listings!B:B)
</f>
        <v>Apparel_ArmSleeves</v>
      </c>
      <c r="C377" s="23" t="s">
        <v>500</v>
      </c>
      <c r="D377" s="14" t="str">
        <f t="array" ref="D377">XLOOKUP(C377, Channel_Listings!C:C, Channel_Listings!D:D)
</f>
        <v>ARMSLEEVES-FULL-BEIGE</v>
      </c>
      <c r="E377" s="15"/>
      <c r="F377" s="16">
        <f t="array" ref="F377">IFERROR(
  VALUE( INDEX(Product_Master!$I:$I,
               MATCH( INDEX(Pack_Master!$B:$B, MATCH($D377, Pack_Master!$A:$A, 0)),
                      Product_Master!$B:$B, 0)
  )) 
  * VALUE( INDEX(Pack_Master!$C:$C, MATCH($D377, Pack_Master!$A:$A, 0)) )
  + VALUE( INDEX(Pack_Master!$D:$D, MATCH($D377, Pack_Master!$A:$A, 0)) ),
"")
</f>
        <v>0</v>
      </c>
      <c r="G377" s="17">
        <f t="array" ref="G377">IFERROR(
 ( INDEX(Pack_Master!E:E, MATCH($D377, Pack_Master!A:A, 0))
   * INDEX(Pack_Master!F:F, MATCH($D377, Pack_Master!A:A, 0))
   * INDEX(Pack_Master!G:G, MATCH($D377, Pack_Master!A:A, 0))
 ) / INDEX(Config!C:C, MATCH($A377, Config!A:A, 0)),
"")
</f>
        <v>0</v>
      </c>
      <c r="H377" s="17">
        <f t="array" ref="H377">MAX( INDEX(Pack_Master!H:H, MATCH($D377, Pack_Master!A:A, 0)),
      IFERROR(G377, 0) )
</f>
        <v>0</v>
      </c>
      <c r="I377" s="18" t="str">
        <f>IFERROR(__xludf.DUMMYFUNCTION("IFERROR(
 INDEX(
   FILTER(Shipping_Rate_Card!B:F, Shipping_Rate_Card!A:A=$A377),
   MATCH($H377, FILTER(Shipping_Rate_Card!B:B, Shipping_Rate_Card!A:A=$A377), 1),
   IF( INDEX(Config!B:B, MATCH($A377, Config!A:A, 0))=""Local"", 2,
     IF( INDEX(Config!B"&amp;":B, MATCH($A377, Config!A:A, 0))=""Regional"", 3, 4 )
   )
 ),
"""")
"),"")</f>
        <v/>
      </c>
      <c r="J377" s="16">
        <f>IFERROR(__xludf.DUMMYFUNCTION("IFERROR(
 ( E377 * INDEX(FILTER(Pricing_Rules!E:E, Pricing_Rules!A:A=A377, Pricing_Rules!B:B=B377, Pricing_Rules!C:C&lt;=E377, Pricing_Rules!D:D&gt;=E377), 1)
   + INDEX(FILTER(Pricing_Rules!F:F, Pricing_Rules!A:A=A377, Pricing_Rules!B:B=B377, Pricing_Rules!C:C"&amp;"&lt;=E377, Pricing_Rules!D:D&gt;=E377), 1)
 )
 * (1 + IFERROR( INDEX(Config!D:D, MATCH(A377, Config!A:A, 0)), 0 )),
"""")
"),5.8999999999999995)</f>
        <v>5.9</v>
      </c>
      <c r="K377" s="19">
        <f t="shared" si="3"/>
        <v>-5.9</v>
      </c>
      <c r="L377" s="20" t="str">
        <f t="shared" si="4"/>
        <v/>
      </c>
    </row>
    <row r="378" ht="15.75" customHeight="1">
      <c r="A378" s="9" t="s">
        <v>9</v>
      </c>
      <c r="B378" s="12" t="str">
        <f t="array" ref="B378">XLOOKUP(C378, Channel_Listings!C:C, Channel_Listings!B:B)
</f>
        <v>Apparel_ArmSleeves</v>
      </c>
      <c r="C378" s="23" t="s">
        <v>502</v>
      </c>
      <c r="D378" s="14" t="str">
        <f t="array" ref="D378">XLOOKUP(C378, Channel_Listings!C:C, Channel_Listings!D:D)
</f>
        <v>ARMSLEEVES-FULL-BLACK</v>
      </c>
      <c r="E378" s="15"/>
      <c r="F378" s="16">
        <f t="array" ref="F378">IFERROR(
  VALUE( INDEX(Product_Master!$I:$I,
               MATCH( INDEX(Pack_Master!$B:$B, MATCH($D378, Pack_Master!$A:$A, 0)),
                      Product_Master!$B:$B, 0)
  )) 
  * VALUE( INDEX(Pack_Master!$C:$C, MATCH($D378, Pack_Master!$A:$A, 0)) )
  + VALUE( INDEX(Pack_Master!$D:$D, MATCH($D378, Pack_Master!$A:$A, 0)) ),
"")
</f>
        <v>0</v>
      </c>
      <c r="G378" s="17">
        <f t="array" ref="G378">IFERROR(
 ( INDEX(Pack_Master!E:E, MATCH($D378, Pack_Master!A:A, 0))
   * INDEX(Pack_Master!F:F, MATCH($D378, Pack_Master!A:A, 0))
   * INDEX(Pack_Master!G:G, MATCH($D378, Pack_Master!A:A, 0))
 ) / INDEX(Config!C:C, MATCH($A378, Config!A:A, 0)),
"")
</f>
        <v>0</v>
      </c>
      <c r="H378" s="17">
        <f t="array" ref="H378">MAX( INDEX(Pack_Master!H:H, MATCH($D378, Pack_Master!A:A, 0)),
      IFERROR(G378, 0) )
</f>
        <v>0</v>
      </c>
      <c r="I378" s="18" t="str">
        <f>IFERROR(__xludf.DUMMYFUNCTION("IFERROR(
 INDEX(
   FILTER(Shipping_Rate_Card!B:F, Shipping_Rate_Card!A:A=$A378),
   MATCH($H378, FILTER(Shipping_Rate_Card!B:B, Shipping_Rate_Card!A:A=$A378), 1),
   IF( INDEX(Config!B:B, MATCH($A378, Config!A:A, 0))=""Local"", 2,
     IF( INDEX(Config!B"&amp;":B, MATCH($A378, Config!A:A, 0))=""Regional"", 3, 4 )
   )
 ),
"""")
"),"")</f>
        <v/>
      </c>
      <c r="J378" s="16">
        <f>IFERROR(__xludf.DUMMYFUNCTION("IFERROR(
 ( E378 * INDEX(FILTER(Pricing_Rules!E:E, Pricing_Rules!A:A=A378, Pricing_Rules!B:B=B378, Pricing_Rules!C:C&lt;=E378, Pricing_Rules!D:D&gt;=E378), 1)
   + INDEX(FILTER(Pricing_Rules!F:F, Pricing_Rules!A:A=A378, Pricing_Rules!B:B=B378, Pricing_Rules!C:C"&amp;"&lt;=E378, Pricing_Rules!D:D&gt;=E378), 1)
 )
 * (1 + IFERROR( INDEX(Config!D:D, MATCH(A378, Config!A:A, 0)), 0 )),
"""")
"),5.8999999999999995)</f>
        <v>5.9</v>
      </c>
      <c r="K378" s="19">
        <f t="shared" si="3"/>
        <v>-5.9</v>
      </c>
      <c r="L378" s="20" t="str">
        <f t="shared" si="4"/>
        <v/>
      </c>
    </row>
    <row r="379" ht="15.75" customHeight="1">
      <c r="A379" s="9" t="s">
        <v>9</v>
      </c>
      <c r="B379" s="12" t="str">
        <f t="array" ref="B379">XLOOKUP(C379, Channel_Listings!C:C, Channel_Listings!B:B)
</f>
        <v>Apparel_ArmSleeves</v>
      </c>
      <c r="C379" s="23" t="s">
        <v>504</v>
      </c>
      <c r="D379" s="14" t="str">
        <f t="array" ref="D379">XLOOKUP(C379, Channel_Listings!C:C, Channel_Listings!D:D)
</f>
        <v>ARMSLEEVES-FULL-GREY</v>
      </c>
      <c r="E379" s="15"/>
      <c r="F379" s="16">
        <f t="array" ref="F379">IFERROR(
  VALUE( INDEX(Product_Master!$I:$I,
               MATCH( INDEX(Pack_Master!$B:$B, MATCH($D379, Pack_Master!$A:$A, 0)),
                      Product_Master!$B:$B, 0)
  )) 
  * VALUE( INDEX(Pack_Master!$C:$C, MATCH($D379, Pack_Master!$A:$A, 0)) )
  + VALUE( INDEX(Pack_Master!$D:$D, MATCH($D379, Pack_Master!$A:$A, 0)) ),
"")
</f>
        <v>0</v>
      </c>
      <c r="G379" s="17">
        <f t="array" ref="G379">IFERROR(
 ( INDEX(Pack_Master!E:E, MATCH($D379, Pack_Master!A:A, 0))
   * INDEX(Pack_Master!F:F, MATCH($D379, Pack_Master!A:A, 0))
   * INDEX(Pack_Master!G:G, MATCH($D379, Pack_Master!A:A, 0))
 ) / INDEX(Config!C:C, MATCH($A379, Config!A:A, 0)),
"")
</f>
        <v>0</v>
      </c>
      <c r="H379" s="17">
        <f t="array" ref="H379">MAX( INDEX(Pack_Master!H:H, MATCH($D379, Pack_Master!A:A, 0)),
      IFERROR(G379, 0) )
</f>
        <v>0</v>
      </c>
      <c r="I379" s="18" t="str">
        <f>IFERROR(__xludf.DUMMYFUNCTION("IFERROR(
 INDEX(
   FILTER(Shipping_Rate_Card!B:F, Shipping_Rate_Card!A:A=$A379),
   MATCH($H379, FILTER(Shipping_Rate_Card!B:B, Shipping_Rate_Card!A:A=$A379), 1),
   IF( INDEX(Config!B:B, MATCH($A379, Config!A:A, 0))=""Local"", 2,
     IF( INDEX(Config!B"&amp;":B, MATCH($A379, Config!A:A, 0))=""Regional"", 3, 4 )
   )
 ),
"""")
"),"")</f>
        <v/>
      </c>
      <c r="J379" s="16">
        <f>IFERROR(__xludf.DUMMYFUNCTION("IFERROR(
 ( E379 * INDEX(FILTER(Pricing_Rules!E:E, Pricing_Rules!A:A=A379, Pricing_Rules!B:B=B379, Pricing_Rules!C:C&lt;=E379, Pricing_Rules!D:D&gt;=E379), 1)
   + INDEX(FILTER(Pricing_Rules!F:F, Pricing_Rules!A:A=A379, Pricing_Rules!B:B=B379, Pricing_Rules!C:C"&amp;"&lt;=E379, Pricing_Rules!D:D&gt;=E379), 1)
 )
 * (1 + IFERROR( INDEX(Config!D:D, MATCH(A379, Config!A:A, 0)), 0 )),
"""")
"),5.8999999999999995)</f>
        <v>5.9</v>
      </c>
      <c r="K379" s="19">
        <f t="shared" si="3"/>
        <v>-5.9</v>
      </c>
      <c r="L379" s="20" t="str">
        <f t="shared" si="4"/>
        <v/>
      </c>
    </row>
    <row r="380" ht="15.75" customHeight="1">
      <c r="A380" s="9" t="s">
        <v>9</v>
      </c>
      <c r="B380" s="12" t="str">
        <f t="array" ref="B380">XLOOKUP(C380, Channel_Listings!C:C, Channel_Listings!B:B)
</f>
        <v>Apparel_ArmSleeves</v>
      </c>
      <c r="C380" s="23" t="s">
        <v>507</v>
      </c>
      <c r="D380" s="14" t="str">
        <f t="array" ref="D380">XLOOKUP(C380, Channel_Listings!C:C, Channel_Listings!D:D)
</f>
        <v>ARMSLEEVES-FULL-WHITE</v>
      </c>
      <c r="E380" s="15"/>
      <c r="F380" s="16">
        <f t="array" ref="F380">IFERROR(
  VALUE( INDEX(Product_Master!$I:$I,
               MATCH( INDEX(Pack_Master!$B:$B, MATCH($D380, Pack_Master!$A:$A, 0)),
                      Product_Master!$B:$B, 0)
  )) 
  * VALUE( INDEX(Pack_Master!$C:$C, MATCH($D380, Pack_Master!$A:$A, 0)) )
  + VALUE( INDEX(Pack_Master!$D:$D, MATCH($D380, Pack_Master!$A:$A, 0)) ),
"")
</f>
        <v>0</v>
      </c>
      <c r="G380" s="17">
        <f t="array" ref="G380">IFERROR(
 ( INDEX(Pack_Master!E:E, MATCH($D380, Pack_Master!A:A, 0))
   * INDEX(Pack_Master!F:F, MATCH($D380, Pack_Master!A:A, 0))
   * INDEX(Pack_Master!G:G, MATCH($D380, Pack_Master!A:A, 0))
 ) / INDEX(Config!C:C, MATCH($A380, Config!A:A, 0)),
"")
</f>
        <v>0</v>
      </c>
      <c r="H380" s="17">
        <f t="array" ref="H380">MAX( INDEX(Pack_Master!H:H, MATCH($D380, Pack_Master!A:A, 0)),
      IFERROR(G380, 0) )
</f>
        <v>0</v>
      </c>
      <c r="I380" s="18" t="str">
        <f>IFERROR(__xludf.DUMMYFUNCTION("IFERROR(
 INDEX(
   FILTER(Shipping_Rate_Card!B:F, Shipping_Rate_Card!A:A=$A380),
   MATCH($H380, FILTER(Shipping_Rate_Card!B:B, Shipping_Rate_Card!A:A=$A380), 1),
   IF( INDEX(Config!B:B, MATCH($A380, Config!A:A, 0))=""Local"", 2,
     IF( INDEX(Config!B"&amp;":B, MATCH($A380, Config!A:A, 0))=""Regional"", 3, 4 )
   )
 ),
"""")
"),"")</f>
        <v/>
      </c>
      <c r="J380" s="16">
        <f>IFERROR(__xludf.DUMMYFUNCTION("IFERROR(
 ( E380 * INDEX(FILTER(Pricing_Rules!E:E, Pricing_Rules!A:A=A380, Pricing_Rules!B:B=B380, Pricing_Rules!C:C&lt;=E380, Pricing_Rules!D:D&gt;=E380), 1)
   + INDEX(FILTER(Pricing_Rules!F:F, Pricing_Rules!A:A=A380, Pricing_Rules!B:B=B380, Pricing_Rules!C:C"&amp;"&lt;=E380, Pricing_Rules!D:D&gt;=E380), 1)
 )
 * (1 + IFERROR( INDEX(Config!D:D, MATCH(A380, Config!A:A, 0)), 0 )),
"""")
"),5.8999999999999995)</f>
        <v>5.9</v>
      </c>
      <c r="K380" s="19">
        <f t="shared" si="3"/>
        <v>-5.9</v>
      </c>
      <c r="L380" s="20" t="str">
        <f t="shared" si="4"/>
        <v/>
      </c>
    </row>
    <row r="381" ht="15.75" customHeight="1">
      <c r="A381" s="9" t="s">
        <v>9</v>
      </c>
      <c r="B381" s="12" t="str">
        <f t="array" ref="B381">XLOOKUP(C381, Channel_Listings!C:C, Channel_Listings!B:B)
</f>
        <v>Apparel_ArmSleeves</v>
      </c>
      <c r="C381" s="23" t="s">
        <v>510</v>
      </c>
      <c r="D381" s="14" t="str">
        <f t="array" ref="D381">XLOOKUP(C381, Channel_Listings!C:C, Channel_Listings!D:D)
</f>
        <v>ARMSLEEVES-HALF-BEIGE</v>
      </c>
      <c r="E381" s="15"/>
      <c r="F381" s="16">
        <f t="array" ref="F381">IFERROR(
  VALUE( INDEX(Product_Master!$I:$I,
               MATCH( INDEX(Pack_Master!$B:$B, MATCH($D381, Pack_Master!$A:$A, 0)),
                      Product_Master!$B:$B, 0)
  )) 
  * VALUE( INDEX(Pack_Master!$C:$C, MATCH($D381, Pack_Master!$A:$A, 0)) )
  + VALUE( INDEX(Pack_Master!$D:$D, MATCH($D381, Pack_Master!$A:$A, 0)) ),
"")
</f>
        <v>0</v>
      </c>
      <c r="G381" s="17">
        <f t="array" ref="G381">IFERROR(
 ( INDEX(Pack_Master!E:E, MATCH($D381, Pack_Master!A:A, 0))
   * INDEX(Pack_Master!F:F, MATCH($D381, Pack_Master!A:A, 0))
   * INDEX(Pack_Master!G:G, MATCH($D381, Pack_Master!A:A, 0))
 ) / INDEX(Config!C:C, MATCH($A381, Config!A:A, 0)),
"")
</f>
        <v>0</v>
      </c>
      <c r="H381" s="17">
        <f t="array" ref="H381">MAX( INDEX(Pack_Master!H:H, MATCH($D381, Pack_Master!A:A, 0)),
      IFERROR(G381, 0) )
</f>
        <v>0</v>
      </c>
      <c r="I381" s="18" t="str">
        <f>IFERROR(__xludf.DUMMYFUNCTION("IFERROR(
 INDEX(
   FILTER(Shipping_Rate_Card!B:F, Shipping_Rate_Card!A:A=$A381),
   MATCH($H381, FILTER(Shipping_Rate_Card!B:B, Shipping_Rate_Card!A:A=$A381), 1),
   IF( INDEX(Config!B:B, MATCH($A381, Config!A:A, 0))=""Local"", 2,
     IF( INDEX(Config!B"&amp;":B, MATCH($A381, Config!A:A, 0))=""Regional"", 3, 4 )
   )
 ),
"""")
"),"")</f>
        <v/>
      </c>
      <c r="J381" s="16">
        <f>IFERROR(__xludf.DUMMYFUNCTION("IFERROR(
 ( E381 * INDEX(FILTER(Pricing_Rules!E:E, Pricing_Rules!A:A=A381, Pricing_Rules!B:B=B381, Pricing_Rules!C:C&lt;=E381, Pricing_Rules!D:D&gt;=E381), 1)
   + INDEX(FILTER(Pricing_Rules!F:F, Pricing_Rules!A:A=A381, Pricing_Rules!B:B=B381, Pricing_Rules!C:C"&amp;"&lt;=E381, Pricing_Rules!D:D&gt;=E381), 1)
 )
 * (1 + IFERROR( INDEX(Config!D:D, MATCH(A381, Config!A:A, 0)), 0 )),
"""")
"),5.8999999999999995)</f>
        <v>5.9</v>
      </c>
      <c r="K381" s="19">
        <f t="shared" si="3"/>
        <v>-5.9</v>
      </c>
      <c r="L381" s="20" t="str">
        <f t="shared" si="4"/>
        <v/>
      </c>
    </row>
    <row r="382" ht="15.75" customHeight="1">
      <c r="A382" s="9" t="s">
        <v>9</v>
      </c>
      <c r="B382" s="12" t="str">
        <f t="array" ref="B382">XLOOKUP(C382, Channel_Listings!C:C, Channel_Listings!B:B)
</f>
        <v>Apparel_ArmSleeves</v>
      </c>
      <c r="C382" s="23" t="s">
        <v>512</v>
      </c>
      <c r="D382" s="14" t="str">
        <f t="array" ref="D382">XLOOKUP(C382, Channel_Listings!C:C, Channel_Listings!D:D)
</f>
        <v>ARMSLEEVES-HALF-BLACK</v>
      </c>
      <c r="E382" s="15"/>
      <c r="F382" s="16">
        <f t="array" ref="F382">IFERROR(
  VALUE( INDEX(Product_Master!$I:$I,
               MATCH( INDEX(Pack_Master!$B:$B, MATCH($D382, Pack_Master!$A:$A, 0)),
                      Product_Master!$B:$B, 0)
  )) 
  * VALUE( INDEX(Pack_Master!$C:$C, MATCH($D382, Pack_Master!$A:$A, 0)) )
  + VALUE( INDEX(Pack_Master!$D:$D, MATCH($D382, Pack_Master!$A:$A, 0)) ),
"")
</f>
        <v>0</v>
      </c>
      <c r="G382" s="17">
        <f t="array" ref="G382">IFERROR(
 ( INDEX(Pack_Master!E:E, MATCH($D382, Pack_Master!A:A, 0))
   * INDEX(Pack_Master!F:F, MATCH($D382, Pack_Master!A:A, 0))
   * INDEX(Pack_Master!G:G, MATCH($D382, Pack_Master!A:A, 0))
 ) / INDEX(Config!C:C, MATCH($A382, Config!A:A, 0)),
"")
</f>
        <v>0</v>
      </c>
      <c r="H382" s="17">
        <f t="array" ref="H382">MAX( INDEX(Pack_Master!H:H, MATCH($D382, Pack_Master!A:A, 0)),
      IFERROR(G382, 0) )
</f>
        <v>0</v>
      </c>
      <c r="I382" s="18" t="str">
        <f>IFERROR(__xludf.DUMMYFUNCTION("IFERROR(
 INDEX(
   FILTER(Shipping_Rate_Card!B:F, Shipping_Rate_Card!A:A=$A382),
   MATCH($H382, FILTER(Shipping_Rate_Card!B:B, Shipping_Rate_Card!A:A=$A382), 1),
   IF( INDEX(Config!B:B, MATCH($A382, Config!A:A, 0))=""Local"", 2,
     IF( INDEX(Config!B"&amp;":B, MATCH($A382, Config!A:A, 0))=""Regional"", 3, 4 )
   )
 ),
"""")
"),"")</f>
        <v/>
      </c>
      <c r="J382" s="16">
        <f>IFERROR(__xludf.DUMMYFUNCTION("IFERROR(
 ( E382 * INDEX(FILTER(Pricing_Rules!E:E, Pricing_Rules!A:A=A382, Pricing_Rules!B:B=B382, Pricing_Rules!C:C&lt;=E382, Pricing_Rules!D:D&gt;=E382), 1)
   + INDEX(FILTER(Pricing_Rules!F:F, Pricing_Rules!A:A=A382, Pricing_Rules!B:B=B382, Pricing_Rules!C:C"&amp;"&lt;=E382, Pricing_Rules!D:D&gt;=E382), 1)
 )
 * (1 + IFERROR( INDEX(Config!D:D, MATCH(A382, Config!A:A, 0)), 0 )),
"""")
"),5.8999999999999995)</f>
        <v>5.9</v>
      </c>
      <c r="K382" s="19">
        <f t="shared" si="3"/>
        <v>-5.9</v>
      </c>
      <c r="L382" s="20" t="str">
        <f t="shared" si="4"/>
        <v/>
      </c>
    </row>
    <row r="383" ht="15.75" customHeight="1">
      <c r="A383" s="9" t="s">
        <v>9</v>
      </c>
      <c r="B383" s="12" t="str">
        <f t="array" ref="B383">XLOOKUP(C383, Channel_Listings!C:C, Channel_Listings!B:B)
</f>
        <v>Apparel_ArmSleeves</v>
      </c>
      <c r="C383" s="23" t="s">
        <v>513</v>
      </c>
      <c r="D383" s="14" t="str">
        <f t="array" ref="D383">XLOOKUP(C383, Channel_Listings!C:C, Channel_Listings!D:D)
</f>
        <v>ARMSLEEVES-HALF-PINK</v>
      </c>
      <c r="E383" s="15"/>
      <c r="F383" s="16">
        <f t="array" ref="F383">IFERROR(
  VALUE( INDEX(Product_Master!$I:$I,
               MATCH( INDEX(Pack_Master!$B:$B, MATCH($D383, Pack_Master!$A:$A, 0)),
                      Product_Master!$B:$B, 0)
  )) 
  * VALUE( INDEX(Pack_Master!$C:$C, MATCH($D383, Pack_Master!$A:$A, 0)) )
  + VALUE( INDEX(Pack_Master!$D:$D, MATCH($D383, Pack_Master!$A:$A, 0)) ),
"")
</f>
        <v>0</v>
      </c>
      <c r="G383" s="17">
        <f t="array" ref="G383">IFERROR(
 ( INDEX(Pack_Master!E:E, MATCH($D383, Pack_Master!A:A, 0))
   * INDEX(Pack_Master!F:F, MATCH($D383, Pack_Master!A:A, 0))
   * INDEX(Pack_Master!G:G, MATCH($D383, Pack_Master!A:A, 0))
 ) / INDEX(Config!C:C, MATCH($A383, Config!A:A, 0)),
"")
</f>
        <v>0</v>
      </c>
      <c r="H383" s="17">
        <f t="array" ref="H383">MAX( INDEX(Pack_Master!H:H, MATCH($D383, Pack_Master!A:A, 0)),
      IFERROR(G383, 0) )
</f>
        <v>0</v>
      </c>
      <c r="I383" s="18" t="str">
        <f>IFERROR(__xludf.DUMMYFUNCTION("IFERROR(
 INDEX(
   FILTER(Shipping_Rate_Card!B:F, Shipping_Rate_Card!A:A=$A383),
   MATCH($H383, FILTER(Shipping_Rate_Card!B:B, Shipping_Rate_Card!A:A=$A383), 1),
   IF( INDEX(Config!B:B, MATCH($A383, Config!A:A, 0))=""Local"", 2,
     IF( INDEX(Config!B"&amp;":B, MATCH($A383, Config!A:A, 0))=""Regional"", 3, 4 )
   )
 ),
"""")
"),"")</f>
        <v/>
      </c>
      <c r="J383" s="16">
        <f>IFERROR(__xludf.DUMMYFUNCTION("IFERROR(
 ( E383 * INDEX(FILTER(Pricing_Rules!E:E, Pricing_Rules!A:A=A383, Pricing_Rules!B:B=B383, Pricing_Rules!C:C&lt;=E383, Pricing_Rules!D:D&gt;=E383), 1)
   + INDEX(FILTER(Pricing_Rules!F:F, Pricing_Rules!A:A=A383, Pricing_Rules!B:B=B383, Pricing_Rules!C:C"&amp;"&lt;=E383, Pricing_Rules!D:D&gt;=E383), 1)
 )
 * (1 + IFERROR( INDEX(Config!D:D, MATCH(A383, Config!A:A, 0)), 0 )),
"""")
"),5.8999999999999995)</f>
        <v>5.9</v>
      </c>
      <c r="K383" s="19">
        <f t="shared" si="3"/>
        <v>-5.9</v>
      </c>
      <c r="L383" s="20" t="str">
        <f t="shared" si="4"/>
        <v/>
      </c>
    </row>
    <row r="384" ht="15.75" customHeight="1">
      <c r="A384" s="9" t="s">
        <v>9</v>
      </c>
      <c r="B384" s="12" t="str">
        <f t="array" ref="B384">XLOOKUP(C384, Channel_Listings!C:C, Channel_Listings!B:B)
</f>
        <v>Apparel_ArmSleeves</v>
      </c>
      <c r="C384" s="23" t="s">
        <v>515</v>
      </c>
      <c r="D384" s="14" t="str">
        <f t="array" ref="D384">XLOOKUP(C384, Channel_Listings!C:C, Channel_Listings!D:D)
</f>
        <v>ARMSLEEVES-HALF-WHITE</v>
      </c>
      <c r="E384" s="15"/>
      <c r="F384" s="16">
        <f t="array" ref="F384">IFERROR(
  VALUE( INDEX(Product_Master!$I:$I,
               MATCH( INDEX(Pack_Master!$B:$B, MATCH($D384, Pack_Master!$A:$A, 0)),
                      Product_Master!$B:$B, 0)
  )) 
  * VALUE( INDEX(Pack_Master!$C:$C, MATCH($D384, Pack_Master!$A:$A, 0)) )
  + VALUE( INDEX(Pack_Master!$D:$D, MATCH($D384, Pack_Master!$A:$A, 0)) ),
"")
</f>
        <v>0</v>
      </c>
      <c r="G384" s="17">
        <f t="array" ref="G384">IFERROR(
 ( INDEX(Pack_Master!E:E, MATCH($D384, Pack_Master!A:A, 0))
   * INDEX(Pack_Master!F:F, MATCH($D384, Pack_Master!A:A, 0))
   * INDEX(Pack_Master!G:G, MATCH($D384, Pack_Master!A:A, 0))
 ) / INDEX(Config!C:C, MATCH($A384, Config!A:A, 0)),
"")
</f>
        <v>0</v>
      </c>
      <c r="H384" s="17">
        <f t="array" ref="H384">MAX( INDEX(Pack_Master!H:H, MATCH($D384, Pack_Master!A:A, 0)),
      IFERROR(G384, 0) )
</f>
        <v>0</v>
      </c>
      <c r="I384" s="18" t="str">
        <f>IFERROR(__xludf.DUMMYFUNCTION("IFERROR(
 INDEX(
   FILTER(Shipping_Rate_Card!B:F, Shipping_Rate_Card!A:A=$A384),
   MATCH($H384, FILTER(Shipping_Rate_Card!B:B, Shipping_Rate_Card!A:A=$A384), 1),
   IF( INDEX(Config!B:B, MATCH($A384, Config!A:A, 0))=""Local"", 2,
     IF( INDEX(Config!B"&amp;":B, MATCH($A384, Config!A:A, 0))=""Regional"", 3, 4 )
   )
 ),
"""")
"),"")</f>
        <v/>
      </c>
      <c r="J384" s="16">
        <f>IFERROR(__xludf.DUMMYFUNCTION("IFERROR(
 ( E384 * INDEX(FILTER(Pricing_Rules!E:E, Pricing_Rules!A:A=A384, Pricing_Rules!B:B=B384, Pricing_Rules!C:C&lt;=E384, Pricing_Rules!D:D&gt;=E384), 1)
   + INDEX(FILTER(Pricing_Rules!F:F, Pricing_Rules!A:A=A384, Pricing_Rules!B:B=B384, Pricing_Rules!C:C"&amp;"&lt;=E384, Pricing_Rules!D:D&gt;=E384), 1)
 )
 * (1 + IFERROR( INDEX(Config!D:D, MATCH(A384, Config!A:A, 0)), 0 )),
"""")
"),5.8999999999999995)</f>
        <v>5.9</v>
      </c>
      <c r="K384" s="19">
        <f t="shared" si="3"/>
        <v>-5.9</v>
      </c>
      <c r="L384" s="20" t="str">
        <f t="shared" si="4"/>
        <v/>
      </c>
    </row>
    <row r="385" ht="15.75" customHeight="1">
      <c r="A385" s="9" t="s">
        <v>9</v>
      </c>
      <c r="B385" s="12" t="str">
        <f t="array" ref="B385">XLOOKUP(C385, Channel_Listings!C:C, Channel_Listings!B:B)
</f>
        <v>Apparel_Caps_Beanies</v>
      </c>
      <c r="C385" s="23" t="s">
        <v>516</v>
      </c>
      <c r="D385" s="14" t="str">
        <f t="array" ref="D385">XLOOKUP(C385, Channel_Listings!C:C, Channel_Listings!D:D)
</f>
        <v>CAP-BASEBALL-PLAIN-AQUA</v>
      </c>
      <c r="E385" s="15"/>
      <c r="F385" s="16">
        <f t="array" ref="F385">IFERROR(
  VALUE( INDEX(Product_Master!$I:$I,
               MATCH( INDEX(Pack_Master!$B:$B, MATCH($D385, Pack_Master!$A:$A, 0)),
                      Product_Master!$B:$B, 0)
  )) 
  * VALUE( INDEX(Pack_Master!$C:$C, MATCH($D385, Pack_Master!$A:$A, 0)) )
  + VALUE( INDEX(Pack_Master!$D:$D, MATCH($D385, Pack_Master!$A:$A, 0)) ),
"")
</f>
        <v>89</v>
      </c>
      <c r="G385" s="17">
        <f t="array" ref="G385">IFERROR(
 ( INDEX(Pack_Master!E:E, MATCH($D385, Pack_Master!A:A, 0))
   * INDEX(Pack_Master!F:F, MATCH($D385, Pack_Master!A:A, 0))
   * INDEX(Pack_Master!G:G, MATCH($D385, Pack_Master!A:A, 0))
 ) / INDEX(Config!C:C, MATCH($A385, Config!A:A, 0)),
"")
</f>
        <v>0.375</v>
      </c>
      <c r="H385" s="17">
        <f t="array" ref="H385">MAX( INDEX(Pack_Master!H:H, MATCH($D385, Pack_Master!A:A, 0)),
      IFERROR(G385, 0) )
</f>
        <v>0.5</v>
      </c>
      <c r="I385" s="18">
        <f>IFERROR(__xludf.DUMMYFUNCTION("IFERROR(
 INDEX(
   FILTER(Shipping_Rate_Card!B:F, Shipping_Rate_Card!A:A=$A385),
   MATCH($H385, FILTER(Shipping_Rate_Card!B:B, Shipping_Rate_Card!A:A=$A385), 1),
   IF( INDEX(Config!B:B, MATCH($A385, Config!A:A, 0))=""Local"", 2,
     IF( INDEX(Config!B"&amp;":B, MATCH($A385, Config!A:A, 0))=""Regional"", 3, 4 )
   )
 ),
"""")
"),67.0)</f>
        <v>67</v>
      </c>
      <c r="J385" s="16">
        <f>IFERROR(__xludf.DUMMYFUNCTION("IFERROR(
 ( E385 * INDEX(FILTER(Pricing_Rules!E:E, Pricing_Rules!A:A=A385, Pricing_Rules!B:B=B385, Pricing_Rules!C:C&lt;=E385, Pricing_Rules!D:D&gt;=E385), 1)
   + INDEX(FILTER(Pricing_Rules!F:F, Pricing_Rules!A:A=A385, Pricing_Rules!B:B=B385, Pricing_Rules!C:C"&amp;"&lt;=E385, Pricing_Rules!D:D&gt;=E385), 1)
 )
 * (1 + IFERROR( INDEX(Config!D:D, MATCH(A385, Config!A:A, 0)), 0 )),
"""")
"),5.8999999999999995)</f>
        <v>5.9</v>
      </c>
      <c r="K385" s="19">
        <f t="shared" si="3"/>
        <v>-161.9</v>
      </c>
      <c r="L385" s="20" t="str">
        <f t="shared" si="4"/>
        <v/>
      </c>
    </row>
    <row r="386" ht="15.75" customHeight="1">
      <c r="A386" s="9" t="s">
        <v>9</v>
      </c>
      <c r="B386" s="12" t="str">
        <f t="array" ref="B386">XLOOKUP(C386, Channel_Listings!C:C, Channel_Listings!B:B)
</f>
        <v>Apparel_Caps_Beanies</v>
      </c>
      <c r="C386" s="23" t="s">
        <v>517</v>
      </c>
      <c r="D386" s="14" t="str">
        <f t="array" ref="D386">XLOOKUP(C386, Channel_Listings!C:C, Channel_Listings!D:D)
</f>
        <v>CAP-BASEBALL-PLAIN-BEIGE</v>
      </c>
      <c r="E386" s="15"/>
      <c r="F386" s="16">
        <f t="array" ref="F386">IFERROR(
  VALUE( INDEX(Product_Master!$I:$I,
               MATCH( INDEX(Pack_Master!$B:$B, MATCH($D386, Pack_Master!$A:$A, 0)),
                      Product_Master!$B:$B, 0)
  )) 
  * VALUE( INDEX(Pack_Master!$C:$C, MATCH($D386, Pack_Master!$A:$A, 0)) )
  + VALUE( INDEX(Pack_Master!$D:$D, MATCH($D386, Pack_Master!$A:$A, 0)) ),
"")
</f>
        <v>89</v>
      </c>
      <c r="G386" s="17">
        <f t="array" ref="G386">IFERROR(
 ( INDEX(Pack_Master!E:E, MATCH($D386, Pack_Master!A:A, 0))
   * INDEX(Pack_Master!F:F, MATCH($D386, Pack_Master!A:A, 0))
   * INDEX(Pack_Master!G:G, MATCH($D386, Pack_Master!A:A, 0))
 ) / INDEX(Config!C:C, MATCH($A386, Config!A:A, 0)),
"")
</f>
        <v>0.375</v>
      </c>
      <c r="H386" s="17">
        <f t="array" ref="H386">MAX( INDEX(Pack_Master!H:H, MATCH($D386, Pack_Master!A:A, 0)),
      IFERROR(G386, 0) )
</f>
        <v>0.5</v>
      </c>
      <c r="I386" s="18">
        <f>IFERROR(__xludf.DUMMYFUNCTION("IFERROR(
 INDEX(
   FILTER(Shipping_Rate_Card!B:F, Shipping_Rate_Card!A:A=$A386),
   MATCH($H386, FILTER(Shipping_Rate_Card!B:B, Shipping_Rate_Card!A:A=$A386), 1),
   IF( INDEX(Config!B:B, MATCH($A386, Config!A:A, 0))=""Local"", 2,
     IF( INDEX(Config!B"&amp;":B, MATCH($A386, Config!A:A, 0))=""Regional"", 3, 4 )
   )
 ),
"""")
"),67.0)</f>
        <v>67</v>
      </c>
      <c r="J386" s="16">
        <f>IFERROR(__xludf.DUMMYFUNCTION("IFERROR(
 ( E386 * INDEX(FILTER(Pricing_Rules!E:E, Pricing_Rules!A:A=A386, Pricing_Rules!B:B=B386, Pricing_Rules!C:C&lt;=E386, Pricing_Rules!D:D&gt;=E386), 1)
   + INDEX(FILTER(Pricing_Rules!F:F, Pricing_Rules!A:A=A386, Pricing_Rules!B:B=B386, Pricing_Rules!C:C"&amp;"&lt;=E386, Pricing_Rules!D:D&gt;=E386), 1)
 )
 * (1 + IFERROR( INDEX(Config!D:D, MATCH(A386, Config!A:A, 0)), 0 )),
"""")
"),5.8999999999999995)</f>
        <v>5.9</v>
      </c>
      <c r="K386" s="19">
        <f t="shared" si="3"/>
        <v>-161.9</v>
      </c>
      <c r="L386" s="20" t="str">
        <f t="shared" si="4"/>
        <v/>
      </c>
    </row>
    <row r="387" ht="15.75" customHeight="1">
      <c r="A387" s="9" t="s">
        <v>9</v>
      </c>
      <c r="B387" s="12" t="str">
        <f t="array" ref="B387">XLOOKUP(C387, Channel_Listings!C:C, Channel_Listings!B:B)
</f>
        <v>Apparel_Caps_Beanies</v>
      </c>
      <c r="C387" s="23" t="s">
        <v>518</v>
      </c>
      <c r="D387" s="14" t="str">
        <f t="array" ref="D387">XLOOKUP(C387, Channel_Listings!C:C, Channel_Listings!D:D)
</f>
        <v>CAP-BASEBALL-PLAIN-BLACK</v>
      </c>
      <c r="E387" s="15"/>
      <c r="F387" s="16">
        <f t="array" ref="F387">IFERROR(
  VALUE( INDEX(Product_Master!$I:$I,
               MATCH( INDEX(Pack_Master!$B:$B, MATCH($D387, Pack_Master!$A:$A, 0)),
                      Product_Master!$B:$B, 0)
  )) 
  * VALUE( INDEX(Pack_Master!$C:$C, MATCH($D387, Pack_Master!$A:$A, 0)) )
  + VALUE( INDEX(Pack_Master!$D:$D, MATCH($D387, Pack_Master!$A:$A, 0)) ),
"")
</f>
        <v>89</v>
      </c>
      <c r="G387" s="17">
        <f t="array" ref="G387">IFERROR(
 ( INDEX(Pack_Master!E:E, MATCH($D387, Pack_Master!A:A, 0))
   * INDEX(Pack_Master!F:F, MATCH($D387, Pack_Master!A:A, 0))
   * INDEX(Pack_Master!G:G, MATCH($D387, Pack_Master!A:A, 0))
 ) / INDEX(Config!C:C, MATCH($A387, Config!A:A, 0)),
"")
</f>
        <v>0.375</v>
      </c>
      <c r="H387" s="17">
        <f t="array" ref="H387">MAX( INDEX(Pack_Master!H:H, MATCH($D387, Pack_Master!A:A, 0)),
      IFERROR(G387, 0) )
</f>
        <v>0.5</v>
      </c>
      <c r="I387" s="18">
        <f>IFERROR(__xludf.DUMMYFUNCTION("IFERROR(
 INDEX(
   FILTER(Shipping_Rate_Card!B:F, Shipping_Rate_Card!A:A=$A387),
   MATCH($H387, FILTER(Shipping_Rate_Card!B:B, Shipping_Rate_Card!A:A=$A387), 1),
   IF( INDEX(Config!B:B, MATCH($A387, Config!A:A, 0))=""Local"", 2,
     IF( INDEX(Config!B"&amp;":B, MATCH($A387, Config!A:A, 0))=""Regional"", 3, 4 )
   )
 ),
"""")
"),67.0)</f>
        <v>67</v>
      </c>
      <c r="J387" s="16">
        <f>IFERROR(__xludf.DUMMYFUNCTION("IFERROR(
 ( E387 * INDEX(FILTER(Pricing_Rules!E:E, Pricing_Rules!A:A=A387, Pricing_Rules!B:B=B387, Pricing_Rules!C:C&lt;=E387, Pricing_Rules!D:D&gt;=E387), 1)
   + INDEX(FILTER(Pricing_Rules!F:F, Pricing_Rules!A:A=A387, Pricing_Rules!B:B=B387, Pricing_Rules!C:C"&amp;"&lt;=E387, Pricing_Rules!D:D&gt;=E387), 1)
 )
 * (1 + IFERROR( INDEX(Config!D:D, MATCH(A387, Config!A:A, 0)), 0 )),
"""")
"),5.8999999999999995)</f>
        <v>5.9</v>
      </c>
      <c r="K387" s="19">
        <f t="shared" si="3"/>
        <v>-161.9</v>
      </c>
      <c r="L387" s="20" t="str">
        <f t="shared" si="4"/>
        <v/>
      </c>
    </row>
    <row r="388" ht="15.75" customHeight="1">
      <c r="A388" s="9" t="s">
        <v>9</v>
      </c>
      <c r="B388" s="12" t="str">
        <f t="array" ref="B388">XLOOKUP(C388, Channel_Listings!C:C, Channel_Listings!B:B)
</f>
        <v>Apparel_Caps_Beanies</v>
      </c>
      <c r="C388" s="23" t="s">
        <v>519</v>
      </c>
      <c r="D388" s="14" t="str">
        <f t="array" ref="D388">XLOOKUP(C388, Channel_Listings!C:C, Channel_Listings!D:D)
</f>
        <v>CAP-BASEBALL-PLAIN-BLUE</v>
      </c>
      <c r="E388" s="15"/>
      <c r="F388" s="16">
        <f t="array" ref="F388">IFERROR(
  VALUE( INDEX(Product_Master!$I:$I,
               MATCH( INDEX(Pack_Master!$B:$B, MATCH($D388, Pack_Master!$A:$A, 0)),
                      Product_Master!$B:$B, 0)
  )) 
  * VALUE( INDEX(Pack_Master!$C:$C, MATCH($D388, Pack_Master!$A:$A, 0)) )
  + VALUE( INDEX(Pack_Master!$D:$D, MATCH($D388, Pack_Master!$A:$A, 0)) ),
"")
</f>
        <v>89</v>
      </c>
      <c r="G388" s="17">
        <f t="array" ref="G388">IFERROR(
 ( INDEX(Pack_Master!E:E, MATCH($D388, Pack_Master!A:A, 0))
   * INDEX(Pack_Master!F:F, MATCH($D388, Pack_Master!A:A, 0))
   * INDEX(Pack_Master!G:G, MATCH($D388, Pack_Master!A:A, 0))
 ) / INDEX(Config!C:C, MATCH($A388, Config!A:A, 0)),
"")
</f>
        <v>0.375</v>
      </c>
      <c r="H388" s="17">
        <f t="array" ref="H388">MAX( INDEX(Pack_Master!H:H, MATCH($D388, Pack_Master!A:A, 0)),
      IFERROR(G388, 0) )
</f>
        <v>0.5</v>
      </c>
      <c r="I388" s="18">
        <f>IFERROR(__xludf.DUMMYFUNCTION("IFERROR(
 INDEX(
   FILTER(Shipping_Rate_Card!B:F, Shipping_Rate_Card!A:A=$A388),
   MATCH($H388, FILTER(Shipping_Rate_Card!B:B, Shipping_Rate_Card!A:A=$A388), 1),
   IF( INDEX(Config!B:B, MATCH($A388, Config!A:A, 0))=""Local"", 2,
     IF( INDEX(Config!B"&amp;":B, MATCH($A388, Config!A:A, 0))=""Regional"", 3, 4 )
   )
 ),
"""")
"),67.0)</f>
        <v>67</v>
      </c>
      <c r="J388" s="16">
        <f>IFERROR(__xludf.DUMMYFUNCTION("IFERROR(
 ( E388 * INDEX(FILTER(Pricing_Rules!E:E, Pricing_Rules!A:A=A388, Pricing_Rules!B:B=B388, Pricing_Rules!C:C&lt;=E388, Pricing_Rules!D:D&gt;=E388), 1)
   + INDEX(FILTER(Pricing_Rules!F:F, Pricing_Rules!A:A=A388, Pricing_Rules!B:B=B388, Pricing_Rules!C:C"&amp;"&lt;=E388, Pricing_Rules!D:D&gt;=E388), 1)
 )
 * (1 + IFERROR( INDEX(Config!D:D, MATCH(A388, Config!A:A, 0)), 0 )),
"""")
"),5.8999999999999995)</f>
        <v>5.9</v>
      </c>
      <c r="K388" s="19">
        <f t="shared" si="3"/>
        <v>-161.9</v>
      </c>
      <c r="L388" s="20" t="str">
        <f t="shared" si="4"/>
        <v/>
      </c>
    </row>
    <row r="389" ht="15.75" customHeight="1">
      <c r="A389" s="9" t="s">
        <v>9</v>
      </c>
      <c r="B389" s="12" t="str">
        <f t="array" ref="B389">XLOOKUP(C389, Channel_Listings!C:C, Channel_Listings!B:B)
</f>
        <v>Apparel_Caps_Beanies</v>
      </c>
      <c r="C389" s="23" t="s">
        <v>521</v>
      </c>
      <c r="D389" s="14" t="str">
        <f t="array" ref="D389">XLOOKUP(C389, Channel_Listings!C:C, Channel_Listings!D:D)
</f>
        <v>CAP-BASEBALL-PLAIN-CAMOUFLAGE</v>
      </c>
      <c r="E389" s="15"/>
      <c r="F389" s="16">
        <f t="array" ref="F389">IFERROR(
  VALUE( INDEX(Product_Master!$I:$I,
               MATCH( INDEX(Pack_Master!$B:$B, MATCH($D389, Pack_Master!$A:$A, 0)),
                      Product_Master!$B:$B, 0)
  )) 
  * VALUE( INDEX(Pack_Master!$C:$C, MATCH($D389, Pack_Master!$A:$A, 0)) )
  + VALUE( INDEX(Pack_Master!$D:$D, MATCH($D389, Pack_Master!$A:$A, 0)) ),
"")
</f>
        <v>89</v>
      </c>
      <c r="G389" s="17">
        <f t="array" ref="G389">IFERROR(
 ( INDEX(Pack_Master!E:E, MATCH($D389, Pack_Master!A:A, 0))
   * INDEX(Pack_Master!F:F, MATCH($D389, Pack_Master!A:A, 0))
   * INDEX(Pack_Master!G:G, MATCH($D389, Pack_Master!A:A, 0))
 ) / INDEX(Config!C:C, MATCH($A389, Config!A:A, 0)),
"")
</f>
        <v>0.375</v>
      </c>
      <c r="H389" s="17">
        <f t="array" ref="H389">MAX( INDEX(Pack_Master!H:H, MATCH($D389, Pack_Master!A:A, 0)),
      IFERROR(G389, 0) )
</f>
        <v>0.5</v>
      </c>
      <c r="I389" s="18">
        <f>IFERROR(__xludf.DUMMYFUNCTION("IFERROR(
 INDEX(
   FILTER(Shipping_Rate_Card!B:F, Shipping_Rate_Card!A:A=$A389),
   MATCH($H389, FILTER(Shipping_Rate_Card!B:B, Shipping_Rate_Card!A:A=$A389), 1),
   IF( INDEX(Config!B:B, MATCH($A389, Config!A:A, 0))=""Local"", 2,
     IF( INDEX(Config!B"&amp;":B, MATCH($A389, Config!A:A, 0))=""Regional"", 3, 4 )
   )
 ),
"""")
"),67.0)</f>
        <v>67</v>
      </c>
      <c r="J389" s="16">
        <f>IFERROR(__xludf.DUMMYFUNCTION("IFERROR(
 ( E389 * INDEX(FILTER(Pricing_Rules!E:E, Pricing_Rules!A:A=A389, Pricing_Rules!B:B=B389, Pricing_Rules!C:C&lt;=E389, Pricing_Rules!D:D&gt;=E389), 1)
   + INDEX(FILTER(Pricing_Rules!F:F, Pricing_Rules!A:A=A389, Pricing_Rules!B:B=B389, Pricing_Rules!C:C"&amp;"&lt;=E389, Pricing_Rules!D:D&gt;=E389), 1)
 )
 * (1 + IFERROR( INDEX(Config!D:D, MATCH(A389, Config!A:A, 0)), 0 )),
"""")
"),5.8999999999999995)</f>
        <v>5.9</v>
      </c>
      <c r="K389" s="19">
        <f t="shared" si="3"/>
        <v>-161.9</v>
      </c>
      <c r="L389" s="20" t="str">
        <f t="shared" si="4"/>
        <v/>
      </c>
    </row>
    <row r="390" ht="15.75" customHeight="1">
      <c r="A390" s="9" t="s">
        <v>9</v>
      </c>
      <c r="B390" s="12" t="str">
        <f t="array" ref="B390">XLOOKUP(C390, Channel_Listings!C:C, Channel_Listings!B:B)
</f>
        <v>Apparel_Caps_Beanies</v>
      </c>
      <c r="C390" s="23" t="s">
        <v>522</v>
      </c>
      <c r="D390" s="14" t="str">
        <f t="array" ref="D390">XLOOKUP(C390, Channel_Listings!C:C, Channel_Listings!D:D)
</f>
        <v>CAP-BASEBALL-PLAIN-CHARCOAL</v>
      </c>
      <c r="E390" s="15"/>
      <c r="F390" s="16">
        <f t="array" ref="F390">IFERROR(
  VALUE( INDEX(Product_Master!$I:$I,
               MATCH( INDEX(Pack_Master!$B:$B, MATCH($D390, Pack_Master!$A:$A, 0)),
                      Product_Master!$B:$B, 0)
  )) 
  * VALUE( INDEX(Pack_Master!$C:$C, MATCH($D390, Pack_Master!$A:$A, 0)) )
  + VALUE( INDEX(Pack_Master!$D:$D, MATCH($D390, Pack_Master!$A:$A, 0)) ),
"")
</f>
        <v>89</v>
      </c>
      <c r="G390" s="17">
        <f t="array" ref="G390">IFERROR(
 ( INDEX(Pack_Master!E:E, MATCH($D390, Pack_Master!A:A, 0))
   * INDEX(Pack_Master!F:F, MATCH($D390, Pack_Master!A:A, 0))
   * INDEX(Pack_Master!G:G, MATCH($D390, Pack_Master!A:A, 0))
 ) / INDEX(Config!C:C, MATCH($A390, Config!A:A, 0)),
"")
</f>
        <v>0.375</v>
      </c>
      <c r="H390" s="17">
        <f t="array" ref="H390">MAX( INDEX(Pack_Master!H:H, MATCH($D390, Pack_Master!A:A, 0)),
      IFERROR(G390, 0) )
</f>
        <v>0.5</v>
      </c>
      <c r="I390" s="18">
        <f>IFERROR(__xludf.DUMMYFUNCTION("IFERROR(
 INDEX(
   FILTER(Shipping_Rate_Card!B:F, Shipping_Rate_Card!A:A=$A390),
   MATCH($H390, FILTER(Shipping_Rate_Card!B:B, Shipping_Rate_Card!A:A=$A390), 1),
   IF( INDEX(Config!B:B, MATCH($A390, Config!A:A, 0))=""Local"", 2,
     IF( INDEX(Config!B"&amp;":B, MATCH($A390, Config!A:A, 0))=""Regional"", 3, 4 )
   )
 ),
"""")
"),67.0)</f>
        <v>67</v>
      </c>
      <c r="J390" s="16">
        <f>IFERROR(__xludf.DUMMYFUNCTION("IFERROR(
 ( E390 * INDEX(FILTER(Pricing_Rules!E:E, Pricing_Rules!A:A=A390, Pricing_Rules!B:B=B390, Pricing_Rules!C:C&lt;=E390, Pricing_Rules!D:D&gt;=E390), 1)
   + INDEX(FILTER(Pricing_Rules!F:F, Pricing_Rules!A:A=A390, Pricing_Rules!B:B=B390, Pricing_Rules!C:C"&amp;"&lt;=E390, Pricing_Rules!D:D&gt;=E390), 1)
 )
 * (1 + IFERROR( INDEX(Config!D:D, MATCH(A390, Config!A:A, 0)), 0 )),
"""")
"),5.8999999999999995)</f>
        <v>5.9</v>
      </c>
      <c r="K390" s="19">
        <f t="shared" si="3"/>
        <v>-161.9</v>
      </c>
      <c r="L390" s="20" t="str">
        <f t="shared" si="4"/>
        <v/>
      </c>
    </row>
    <row r="391" ht="15.75" customHeight="1">
      <c r="A391" s="9" t="s">
        <v>9</v>
      </c>
      <c r="B391" s="12" t="str">
        <f t="array" ref="B391">XLOOKUP(C391, Channel_Listings!C:C, Channel_Listings!B:B)
</f>
        <v>Apparel_Caps_Beanies</v>
      </c>
      <c r="C391" s="23" t="s">
        <v>523</v>
      </c>
      <c r="D391" s="14" t="str">
        <f t="array" ref="D391">XLOOKUP(C391, Channel_Listings!C:C, Channel_Listings!D:D)
</f>
        <v>CAP-BASEBALL-FULLNET-BLACK</v>
      </c>
      <c r="E391" s="15"/>
      <c r="F391" s="16">
        <f t="array" ref="F391">IFERROR(
  VALUE( INDEX(Product_Master!$I:$I,
               MATCH( INDEX(Pack_Master!$B:$B, MATCH($D391, Pack_Master!$A:$A, 0)),
                      Product_Master!$B:$B, 0)
  )) 
  * VALUE( INDEX(Pack_Master!$C:$C, MATCH($D391, Pack_Master!$A:$A, 0)) )
  + VALUE( INDEX(Pack_Master!$D:$D, MATCH($D391, Pack_Master!$A:$A, 0)) ),
"")
</f>
        <v>2</v>
      </c>
      <c r="G391" s="17">
        <f t="array" ref="G391">IFERROR(
 ( INDEX(Pack_Master!E:E, MATCH($D391, Pack_Master!A:A, 0))
   * INDEX(Pack_Master!F:F, MATCH($D391, Pack_Master!A:A, 0))
   * INDEX(Pack_Master!G:G, MATCH($D391, Pack_Master!A:A, 0))
 ) / INDEX(Config!C:C, MATCH($A391, Config!A:A, 0)),
"")
</f>
        <v>0.375</v>
      </c>
      <c r="H391" s="17">
        <f t="array" ref="H391">MAX( INDEX(Pack_Master!H:H, MATCH($D391, Pack_Master!A:A, 0)),
      IFERROR(G391, 0) )
</f>
        <v>0.5</v>
      </c>
      <c r="I391" s="18">
        <f>IFERROR(__xludf.DUMMYFUNCTION("IFERROR(
 INDEX(
   FILTER(Shipping_Rate_Card!B:F, Shipping_Rate_Card!A:A=$A391),
   MATCH($H391, FILTER(Shipping_Rate_Card!B:B, Shipping_Rate_Card!A:A=$A391), 1),
   IF( INDEX(Config!B:B, MATCH($A391, Config!A:A, 0))=""Local"", 2,
     IF( INDEX(Config!B"&amp;":B, MATCH($A391, Config!A:A, 0))=""Regional"", 3, 4 )
   )
 ),
"""")
"),67.0)</f>
        <v>67</v>
      </c>
      <c r="J391" s="16">
        <f>IFERROR(__xludf.DUMMYFUNCTION("IFERROR(
 ( E391 * INDEX(FILTER(Pricing_Rules!E:E, Pricing_Rules!A:A=A391, Pricing_Rules!B:B=B391, Pricing_Rules!C:C&lt;=E391, Pricing_Rules!D:D&gt;=E391), 1)
   + INDEX(FILTER(Pricing_Rules!F:F, Pricing_Rules!A:A=A391, Pricing_Rules!B:B=B391, Pricing_Rules!C:C"&amp;"&lt;=E391, Pricing_Rules!D:D&gt;=E391), 1)
 )
 * (1 + IFERROR( INDEX(Config!D:D, MATCH(A391, Config!A:A, 0)), 0 )),
"""")
"),5.8999999999999995)</f>
        <v>5.9</v>
      </c>
      <c r="K391" s="19">
        <f t="shared" si="3"/>
        <v>-74.9</v>
      </c>
      <c r="L391" s="20" t="str">
        <f t="shared" si="4"/>
        <v/>
      </c>
    </row>
    <row r="392" ht="15.75" customHeight="1">
      <c r="A392" s="9" t="s">
        <v>9</v>
      </c>
      <c r="B392" s="12" t="str">
        <f t="array" ref="B392">XLOOKUP(C392, Channel_Listings!C:C, Channel_Listings!B:B)
</f>
        <v>Apparel_Caps_Beanies</v>
      </c>
      <c r="C392" s="23" t="s">
        <v>526</v>
      </c>
      <c r="D392" s="14" t="str">
        <f t="array" ref="D392">XLOOKUP(C392, Channel_Listings!C:C, Channel_Listings!D:D)
</f>
        <v>CAP-BASEBALL-FULLNET-WHITE</v>
      </c>
      <c r="E392" s="15"/>
      <c r="F392" s="16">
        <f t="array" ref="F392">IFERROR(
  VALUE( INDEX(Product_Master!$I:$I,
               MATCH( INDEX(Pack_Master!$B:$B, MATCH($D392, Pack_Master!$A:$A, 0)),
                      Product_Master!$B:$B, 0)
  )) 
  * VALUE( INDEX(Pack_Master!$C:$C, MATCH($D392, Pack_Master!$A:$A, 0)) )
  + VALUE( INDEX(Pack_Master!$D:$D, MATCH($D392, Pack_Master!$A:$A, 0)) ),
"")
</f>
        <v>2</v>
      </c>
      <c r="G392" s="17">
        <f t="array" ref="G392">IFERROR(
 ( INDEX(Pack_Master!E:E, MATCH($D392, Pack_Master!A:A, 0))
   * INDEX(Pack_Master!F:F, MATCH($D392, Pack_Master!A:A, 0))
   * INDEX(Pack_Master!G:G, MATCH($D392, Pack_Master!A:A, 0))
 ) / INDEX(Config!C:C, MATCH($A392, Config!A:A, 0)),
"")
</f>
        <v>0.375</v>
      </c>
      <c r="H392" s="17">
        <f t="array" ref="H392">MAX( INDEX(Pack_Master!H:H, MATCH($D392, Pack_Master!A:A, 0)),
      IFERROR(G392, 0) )
</f>
        <v>0.5</v>
      </c>
      <c r="I392" s="18">
        <f>IFERROR(__xludf.DUMMYFUNCTION("IFERROR(
 INDEX(
   FILTER(Shipping_Rate_Card!B:F, Shipping_Rate_Card!A:A=$A392),
   MATCH($H392, FILTER(Shipping_Rate_Card!B:B, Shipping_Rate_Card!A:A=$A392), 1),
   IF( INDEX(Config!B:B, MATCH($A392, Config!A:A, 0))=""Local"", 2,
     IF( INDEX(Config!B"&amp;":B, MATCH($A392, Config!A:A, 0))=""Regional"", 3, 4 )
   )
 ),
"""")
"),67.0)</f>
        <v>67</v>
      </c>
      <c r="J392" s="16">
        <f>IFERROR(__xludf.DUMMYFUNCTION("IFERROR(
 ( E392 * INDEX(FILTER(Pricing_Rules!E:E, Pricing_Rules!A:A=A392, Pricing_Rules!B:B=B392, Pricing_Rules!C:C&lt;=E392, Pricing_Rules!D:D&gt;=E392), 1)
   + INDEX(FILTER(Pricing_Rules!F:F, Pricing_Rules!A:A=A392, Pricing_Rules!B:B=B392, Pricing_Rules!C:C"&amp;"&lt;=E392, Pricing_Rules!D:D&gt;=E392), 1)
 )
 * (1 + IFERROR( INDEX(Config!D:D, MATCH(A392, Config!A:A, 0)), 0 )),
"""")
"),5.8999999999999995)</f>
        <v>5.9</v>
      </c>
      <c r="K392" s="19">
        <f t="shared" si="3"/>
        <v>-74.9</v>
      </c>
      <c r="L392" s="20" t="str">
        <f t="shared" si="4"/>
        <v/>
      </c>
    </row>
    <row r="393" ht="15.75" customHeight="1">
      <c r="A393" s="9" t="s">
        <v>9</v>
      </c>
      <c r="B393" s="12" t="str">
        <f t="array" ref="B393">XLOOKUP(C393, Channel_Listings!C:C, Channel_Listings!B:B)
</f>
        <v>Apparel_Caps_Beanies</v>
      </c>
      <c r="C393" s="23" t="s">
        <v>527</v>
      </c>
      <c r="D393" s="14" t="str">
        <f t="array" ref="D393">XLOOKUP(C393, Channel_Listings!C:C, Channel_Listings!D:D)
</f>
        <v>CAP-BASEBALL-PLAIN-GREY</v>
      </c>
      <c r="E393" s="15"/>
      <c r="F393" s="16">
        <f t="array" ref="F393">IFERROR(
  VALUE( INDEX(Product_Master!$I:$I,
               MATCH( INDEX(Pack_Master!$B:$B, MATCH($D393, Pack_Master!$A:$A, 0)),
                      Product_Master!$B:$B, 0)
  )) 
  * VALUE( INDEX(Pack_Master!$C:$C, MATCH($D393, Pack_Master!$A:$A, 0)) )
  + VALUE( INDEX(Pack_Master!$D:$D, MATCH($D393, Pack_Master!$A:$A, 0)) ),
"")
</f>
        <v>89</v>
      </c>
      <c r="G393" s="17">
        <f t="array" ref="G393">IFERROR(
 ( INDEX(Pack_Master!E:E, MATCH($D393, Pack_Master!A:A, 0))
   * INDEX(Pack_Master!F:F, MATCH($D393, Pack_Master!A:A, 0))
   * INDEX(Pack_Master!G:G, MATCH($D393, Pack_Master!A:A, 0))
 ) / INDEX(Config!C:C, MATCH($A393, Config!A:A, 0)),
"")
</f>
        <v>0.375</v>
      </c>
      <c r="H393" s="17">
        <f t="array" ref="H393">MAX( INDEX(Pack_Master!H:H, MATCH($D393, Pack_Master!A:A, 0)),
      IFERROR(G393, 0) )
</f>
        <v>0.5</v>
      </c>
      <c r="I393" s="18">
        <f>IFERROR(__xludf.DUMMYFUNCTION("IFERROR(
 INDEX(
   FILTER(Shipping_Rate_Card!B:F, Shipping_Rate_Card!A:A=$A393),
   MATCH($H393, FILTER(Shipping_Rate_Card!B:B, Shipping_Rate_Card!A:A=$A393), 1),
   IF( INDEX(Config!B:B, MATCH($A393, Config!A:A, 0))=""Local"", 2,
     IF( INDEX(Config!B"&amp;":B, MATCH($A393, Config!A:A, 0))=""Regional"", 3, 4 )
   )
 ),
"""")
"),67.0)</f>
        <v>67</v>
      </c>
      <c r="J393" s="16">
        <f>IFERROR(__xludf.DUMMYFUNCTION("IFERROR(
 ( E393 * INDEX(FILTER(Pricing_Rules!E:E, Pricing_Rules!A:A=A393, Pricing_Rules!B:B=B393, Pricing_Rules!C:C&lt;=E393, Pricing_Rules!D:D&gt;=E393), 1)
   + INDEX(FILTER(Pricing_Rules!F:F, Pricing_Rules!A:A=A393, Pricing_Rules!B:B=B393, Pricing_Rules!C:C"&amp;"&lt;=E393, Pricing_Rules!D:D&gt;=E393), 1)
 )
 * (1 + IFERROR( INDEX(Config!D:D, MATCH(A393, Config!A:A, 0)), 0 )),
"""")
"),5.8999999999999995)</f>
        <v>5.9</v>
      </c>
      <c r="K393" s="19">
        <f t="shared" si="3"/>
        <v>-161.9</v>
      </c>
      <c r="L393" s="20" t="str">
        <f t="shared" si="4"/>
        <v/>
      </c>
    </row>
    <row r="394" ht="15.75" customHeight="1">
      <c r="A394" s="9" t="s">
        <v>9</v>
      </c>
      <c r="B394" s="12" t="str">
        <f t="array" ref="B394">XLOOKUP(C394, Channel_Listings!C:C, Channel_Listings!B:B)
</f>
        <v>Apparel_Caps_Beanies</v>
      </c>
      <c r="C394" s="22" t="s">
        <v>528</v>
      </c>
      <c r="D394" s="14" t="str">
        <f t="array" ref="D394">XLOOKUP(C394, Channel_Listings!C:C, Channel_Listings!D:D)
</f>
        <v>CAP-BASEBALL-PLAIN-GREY</v>
      </c>
      <c r="E394" s="15"/>
      <c r="F394" s="16">
        <f t="array" ref="F394">IFERROR(
  VALUE( INDEX(Product_Master!$I:$I,
               MATCH( INDEX(Pack_Master!$B:$B, MATCH($D394, Pack_Master!$A:$A, 0)),
                      Product_Master!$B:$B, 0)
  )) 
  * VALUE( INDEX(Pack_Master!$C:$C, MATCH($D394, Pack_Master!$A:$A, 0)) )
  + VALUE( INDEX(Pack_Master!$D:$D, MATCH($D394, Pack_Master!$A:$A, 0)) ),
"")
</f>
        <v>89</v>
      </c>
      <c r="G394" s="17">
        <f t="array" ref="G394">IFERROR(
 ( INDEX(Pack_Master!E:E, MATCH($D394, Pack_Master!A:A, 0))
   * INDEX(Pack_Master!F:F, MATCH($D394, Pack_Master!A:A, 0))
   * INDEX(Pack_Master!G:G, MATCH($D394, Pack_Master!A:A, 0))
 ) / INDEX(Config!C:C, MATCH($A394, Config!A:A, 0)),
"")
</f>
        <v>0.375</v>
      </c>
      <c r="H394" s="17">
        <f t="array" ref="H394">MAX( INDEX(Pack_Master!H:H, MATCH($D394, Pack_Master!A:A, 0)),
      IFERROR(G394, 0) )
</f>
        <v>0.5</v>
      </c>
      <c r="I394" s="18">
        <f>IFERROR(__xludf.DUMMYFUNCTION("IFERROR(
 INDEX(
   FILTER(Shipping_Rate_Card!B:F, Shipping_Rate_Card!A:A=$A394),
   MATCH($H394, FILTER(Shipping_Rate_Card!B:B, Shipping_Rate_Card!A:A=$A394), 1),
   IF( INDEX(Config!B:B, MATCH($A394, Config!A:A, 0))=""Local"", 2,
     IF( INDEX(Config!B"&amp;":B, MATCH($A394, Config!A:A, 0))=""Regional"", 3, 4 )
   )
 ),
"""")
"),67.0)</f>
        <v>67</v>
      </c>
      <c r="J394" s="16">
        <f>IFERROR(__xludf.DUMMYFUNCTION("IFERROR(
 ( E394 * INDEX(FILTER(Pricing_Rules!E:E, Pricing_Rules!A:A=A394, Pricing_Rules!B:B=B394, Pricing_Rules!C:C&lt;=E394, Pricing_Rules!D:D&gt;=E394), 1)
   + INDEX(FILTER(Pricing_Rules!F:F, Pricing_Rules!A:A=A394, Pricing_Rules!B:B=B394, Pricing_Rules!C:C"&amp;"&lt;=E394, Pricing_Rules!D:D&gt;=E394), 1)
 )
 * (1 + IFERROR( INDEX(Config!D:D, MATCH(A394, Config!A:A, 0)), 0 )),
"""")
"),5.8999999999999995)</f>
        <v>5.9</v>
      </c>
      <c r="K394" s="19">
        <f t="shared" si="3"/>
        <v>-161.9</v>
      </c>
      <c r="L394" s="20" t="str">
        <f t="shared" si="4"/>
        <v/>
      </c>
    </row>
    <row r="395" ht="15.75" customHeight="1">
      <c r="A395" s="9" t="s">
        <v>9</v>
      </c>
      <c r="B395" s="12" t="str">
        <f t="array" ref="B395">XLOOKUP(C395, Channel_Listings!C:C, Channel_Listings!B:B)
</f>
        <v>Apparel_Caps_Beanies</v>
      </c>
      <c r="C395" s="23" t="s">
        <v>529</v>
      </c>
      <c r="D395" s="14" t="str">
        <f t="array" ref="D395">XLOOKUP(C395, Channel_Listings!C:C, Channel_Listings!D:D)
</f>
        <v>CAP-BASEBALL-PLAIN-MAROON</v>
      </c>
      <c r="E395" s="15"/>
      <c r="F395" s="16">
        <f t="array" ref="F395">IFERROR(
  VALUE( INDEX(Product_Master!$I:$I,
               MATCH( INDEX(Pack_Master!$B:$B, MATCH($D395, Pack_Master!$A:$A, 0)),
                      Product_Master!$B:$B, 0)
  )) 
  * VALUE( INDEX(Pack_Master!$C:$C, MATCH($D395, Pack_Master!$A:$A, 0)) )
  + VALUE( INDEX(Pack_Master!$D:$D, MATCH($D395, Pack_Master!$A:$A, 0)) ),
"")
</f>
        <v>89</v>
      </c>
      <c r="G395" s="17">
        <f t="array" ref="G395">IFERROR(
 ( INDEX(Pack_Master!E:E, MATCH($D395, Pack_Master!A:A, 0))
   * INDEX(Pack_Master!F:F, MATCH($D395, Pack_Master!A:A, 0))
   * INDEX(Pack_Master!G:G, MATCH($D395, Pack_Master!A:A, 0))
 ) / INDEX(Config!C:C, MATCH($A395, Config!A:A, 0)),
"")
</f>
        <v>0.375</v>
      </c>
      <c r="H395" s="17">
        <f t="array" ref="H395">MAX( INDEX(Pack_Master!H:H, MATCH($D395, Pack_Master!A:A, 0)),
      IFERROR(G395, 0) )
</f>
        <v>0.5</v>
      </c>
      <c r="I395" s="18">
        <f>IFERROR(__xludf.DUMMYFUNCTION("IFERROR(
 INDEX(
   FILTER(Shipping_Rate_Card!B:F, Shipping_Rate_Card!A:A=$A395),
   MATCH($H395, FILTER(Shipping_Rate_Card!B:B, Shipping_Rate_Card!A:A=$A395), 1),
   IF( INDEX(Config!B:B, MATCH($A395, Config!A:A, 0))=""Local"", 2,
     IF( INDEX(Config!B"&amp;":B, MATCH($A395, Config!A:A, 0))=""Regional"", 3, 4 )
   )
 ),
"""")
"),67.0)</f>
        <v>67</v>
      </c>
      <c r="J395" s="16">
        <f>IFERROR(__xludf.DUMMYFUNCTION("IFERROR(
 ( E395 * INDEX(FILTER(Pricing_Rules!E:E, Pricing_Rules!A:A=A395, Pricing_Rules!B:B=B395, Pricing_Rules!C:C&lt;=E395, Pricing_Rules!D:D&gt;=E395), 1)
   + INDEX(FILTER(Pricing_Rules!F:F, Pricing_Rules!A:A=A395, Pricing_Rules!B:B=B395, Pricing_Rules!C:C"&amp;"&lt;=E395, Pricing_Rules!D:D&gt;=E395), 1)
 )
 * (1 + IFERROR( INDEX(Config!D:D, MATCH(A395, Config!A:A, 0)), 0 )),
"""")
"),5.8999999999999995)</f>
        <v>5.9</v>
      </c>
      <c r="K395" s="19">
        <f t="shared" si="3"/>
        <v>-161.9</v>
      </c>
      <c r="L395" s="20" t="str">
        <f t="shared" si="4"/>
        <v/>
      </c>
    </row>
    <row r="396" ht="15.75" customHeight="1">
      <c r="A396" s="9" t="s">
        <v>9</v>
      </c>
      <c r="B396" s="12" t="str">
        <f t="array" ref="B396">XLOOKUP(C396, Channel_Listings!C:C, Channel_Listings!B:B)
</f>
        <v>Apparel_Caps_Beanies</v>
      </c>
      <c r="C396" s="23" t="s">
        <v>530</v>
      </c>
      <c r="D396" s="14" t="str">
        <f t="array" ref="D396">XLOOKUP(C396, Channel_Listings!C:C, Channel_Listings!D:D)
</f>
        <v>CAP-BASEBALL-PLAIN-MUSTARD</v>
      </c>
      <c r="E396" s="15"/>
      <c r="F396" s="16">
        <f t="array" ref="F396">IFERROR(
  VALUE( INDEX(Product_Master!$I:$I,
               MATCH( INDEX(Pack_Master!$B:$B, MATCH($D396, Pack_Master!$A:$A, 0)),
                      Product_Master!$B:$B, 0)
  )) 
  * VALUE( INDEX(Pack_Master!$C:$C, MATCH($D396, Pack_Master!$A:$A, 0)) )
  + VALUE( INDEX(Pack_Master!$D:$D, MATCH($D396, Pack_Master!$A:$A, 0)) ),
"")
</f>
        <v>89</v>
      </c>
      <c r="G396" s="17">
        <f t="array" ref="G396">IFERROR(
 ( INDEX(Pack_Master!E:E, MATCH($D396, Pack_Master!A:A, 0))
   * INDEX(Pack_Master!F:F, MATCH($D396, Pack_Master!A:A, 0))
   * INDEX(Pack_Master!G:G, MATCH($D396, Pack_Master!A:A, 0))
 ) / INDEX(Config!C:C, MATCH($A396, Config!A:A, 0)),
"")
</f>
        <v>0.375</v>
      </c>
      <c r="H396" s="17">
        <f t="array" ref="H396">MAX( INDEX(Pack_Master!H:H, MATCH($D396, Pack_Master!A:A, 0)),
      IFERROR(G396, 0) )
</f>
        <v>0.5</v>
      </c>
      <c r="I396" s="18">
        <f>IFERROR(__xludf.DUMMYFUNCTION("IFERROR(
 INDEX(
   FILTER(Shipping_Rate_Card!B:F, Shipping_Rate_Card!A:A=$A396),
   MATCH($H396, FILTER(Shipping_Rate_Card!B:B, Shipping_Rate_Card!A:A=$A396), 1),
   IF( INDEX(Config!B:B, MATCH($A396, Config!A:A, 0))=""Local"", 2,
     IF( INDEX(Config!B"&amp;":B, MATCH($A396, Config!A:A, 0))=""Regional"", 3, 4 )
   )
 ),
"""")
"),67.0)</f>
        <v>67</v>
      </c>
      <c r="J396" s="16">
        <f>IFERROR(__xludf.DUMMYFUNCTION("IFERROR(
 ( E396 * INDEX(FILTER(Pricing_Rules!E:E, Pricing_Rules!A:A=A396, Pricing_Rules!B:B=B396, Pricing_Rules!C:C&lt;=E396, Pricing_Rules!D:D&gt;=E396), 1)
   + INDEX(FILTER(Pricing_Rules!F:F, Pricing_Rules!A:A=A396, Pricing_Rules!B:B=B396, Pricing_Rules!C:C"&amp;"&lt;=E396, Pricing_Rules!D:D&gt;=E396), 1)
 )
 * (1 + IFERROR( INDEX(Config!D:D, MATCH(A396, Config!A:A, 0)), 0 )),
"""")
"),5.8999999999999995)</f>
        <v>5.9</v>
      </c>
      <c r="K396" s="19">
        <f t="shared" si="3"/>
        <v>-161.9</v>
      </c>
      <c r="L396" s="20" t="str">
        <f t="shared" si="4"/>
        <v/>
      </c>
    </row>
    <row r="397" ht="15.75" customHeight="1">
      <c r="A397" s="9" t="s">
        <v>9</v>
      </c>
      <c r="B397" s="12" t="str">
        <f t="array" ref="B397">XLOOKUP(C397, Channel_Listings!C:C, Channel_Listings!B:B)
</f>
        <v>Apparel_Caps_Beanies</v>
      </c>
      <c r="C397" s="23" t="s">
        <v>531</v>
      </c>
      <c r="D397" s="14" t="str">
        <f t="array" ref="D397">XLOOKUP(C397, Channel_Listings!C:C, Channel_Listings!D:D)
</f>
        <v>CAP-BASEBALL-PLAIN-NAVYBLUE</v>
      </c>
      <c r="E397" s="15"/>
      <c r="F397" s="16">
        <f t="array" ref="F397">IFERROR(
  VALUE( INDEX(Product_Master!$I:$I,
               MATCH( INDEX(Pack_Master!$B:$B, MATCH($D397, Pack_Master!$A:$A, 0)),
                      Product_Master!$B:$B, 0)
  )) 
  * VALUE( INDEX(Pack_Master!$C:$C, MATCH($D397, Pack_Master!$A:$A, 0)) )
  + VALUE( INDEX(Pack_Master!$D:$D, MATCH($D397, Pack_Master!$A:$A, 0)) ),
"")
</f>
        <v>89</v>
      </c>
      <c r="G397" s="17">
        <f t="array" ref="G397">IFERROR(
 ( INDEX(Pack_Master!E:E, MATCH($D397, Pack_Master!A:A, 0))
   * INDEX(Pack_Master!F:F, MATCH($D397, Pack_Master!A:A, 0))
   * INDEX(Pack_Master!G:G, MATCH($D397, Pack_Master!A:A, 0))
 ) / INDEX(Config!C:C, MATCH($A397, Config!A:A, 0)),
"")
</f>
        <v>0.375</v>
      </c>
      <c r="H397" s="17">
        <f t="array" ref="H397">MAX( INDEX(Pack_Master!H:H, MATCH($D397, Pack_Master!A:A, 0)),
      IFERROR(G397, 0) )
</f>
        <v>0.5</v>
      </c>
      <c r="I397" s="18">
        <f>IFERROR(__xludf.DUMMYFUNCTION("IFERROR(
 INDEX(
   FILTER(Shipping_Rate_Card!B:F, Shipping_Rate_Card!A:A=$A397),
   MATCH($H397, FILTER(Shipping_Rate_Card!B:B, Shipping_Rate_Card!A:A=$A397), 1),
   IF( INDEX(Config!B:B, MATCH($A397, Config!A:A, 0))=""Local"", 2,
     IF( INDEX(Config!B"&amp;":B, MATCH($A397, Config!A:A, 0))=""Regional"", 3, 4 )
   )
 ),
"""")
"),67.0)</f>
        <v>67</v>
      </c>
      <c r="J397" s="16">
        <f>IFERROR(__xludf.DUMMYFUNCTION("IFERROR(
 ( E397 * INDEX(FILTER(Pricing_Rules!E:E, Pricing_Rules!A:A=A397, Pricing_Rules!B:B=B397, Pricing_Rules!C:C&lt;=E397, Pricing_Rules!D:D&gt;=E397), 1)
   + INDEX(FILTER(Pricing_Rules!F:F, Pricing_Rules!A:A=A397, Pricing_Rules!B:B=B397, Pricing_Rules!C:C"&amp;"&lt;=E397, Pricing_Rules!D:D&gt;=E397), 1)
 )
 * (1 + IFERROR( INDEX(Config!D:D, MATCH(A397, Config!A:A, 0)), 0 )),
"""")
"),5.8999999999999995)</f>
        <v>5.9</v>
      </c>
      <c r="K397" s="19">
        <f t="shared" si="3"/>
        <v>-161.9</v>
      </c>
      <c r="L397" s="20" t="str">
        <f t="shared" si="4"/>
        <v/>
      </c>
    </row>
    <row r="398" ht="15.75" customHeight="1">
      <c r="A398" s="9" t="s">
        <v>9</v>
      </c>
      <c r="B398" s="12" t="str">
        <f t="array" ref="B398">XLOOKUP(C398, Channel_Listings!C:C, Channel_Listings!B:B)
</f>
        <v>Apparel_Caps_Beanies</v>
      </c>
      <c r="C398" s="23" t="s">
        <v>532</v>
      </c>
      <c r="D398" s="14" t="str">
        <f t="array" ref="D398">XLOOKUP(C398, Channel_Listings!C:C, Channel_Listings!D:D)
</f>
        <v>CAP-BASEBALL-NET-HALF-BLACK</v>
      </c>
      <c r="E398" s="15"/>
      <c r="F398" s="16">
        <f t="array" ref="F398">IFERROR(
  VALUE( INDEX(Product_Master!$I:$I,
               MATCH( INDEX(Pack_Master!$B:$B, MATCH($D398, Pack_Master!$A:$A, 0)),
                      Product_Master!$B:$B, 0)
  )) 
  * VALUE( INDEX(Pack_Master!$C:$C, MATCH($D398, Pack_Master!$A:$A, 0)) )
  + VALUE( INDEX(Pack_Master!$D:$D, MATCH($D398, Pack_Master!$A:$A, 0)) ),
"")
</f>
        <v>70</v>
      </c>
      <c r="G398" s="17">
        <f t="array" ref="G398">IFERROR(
 ( INDEX(Pack_Master!E:E, MATCH($D398, Pack_Master!A:A, 0))
   * INDEX(Pack_Master!F:F, MATCH($D398, Pack_Master!A:A, 0))
   * INDEX(Pack_Master!G:G, MATCH($D398, Pack_Master!A:A, 0))
 ) / INDEX(Config!C:C, MATCH($A398, Config!A:A, 0)),
"")
</f>
        <v>0.375</v>
      </c>
      <c r="H398" s="17">
        <f t="array" ref="H398">MAX( INDEX(Pack_Master!H:H, MATCH($D398, Pack_Master!A:A, 0)),
      IFERROR(G398, 0) )
</f>
        <v>0.5</v>
      </c>
      <c r="I398" s="18">
        <f>IFERROR(__xludf.DUMMYFUNCTION("IFERROR(
 INDEX(
   FILTER(Shipping_Rate_Card!B:F, Shipping_Rate_Card!A:A=$A398),
   MATCH($H398, FILTER(Shipping_Rate_Card!B:B, Shipping_Rate_Card!A:A=$A398), 1),
   IF( INDEX(Config!B:B, MATCH($A398, Config!A:A, 0))=""Local"", 2,
     IF( INDEX(Config!B"&amp;":B, MATCH($A398, Config!A:A, 0))=""Regional"", 3, 4 )
   )
 ),
"""")
"),67.0)</f>
        <v>67</v>
      </c>
      <c r="J398" s="16">
        <f>IFERROR(__xludf.DUMMYFUNCTION("IFERROR(
 ( E398 * INDEX(FILTER(Pricing_Rules!E:E, Pricing_Rules!A:A=A398, Pricing_Rules!B:B=B398, Pricing_Rules!C:C&lt;=E398, Pricing_Rules!D:D&gt;=E398), 1)
   + INDEX(FILTER(Pricing_Rules!F:F, Pricing_Rules!A:A=A398, Pricing_Rules!B:B=B398, Pricing_Rules!C:C"&amp;"&lt;=E398, Pricing_Rules!D:D&gt;=E398), 1)
 )
 * (1 + IFERROR( INDEX(Config!D:D, MATCH(A398, Config!A:A, 0)), 0 )),
"""")
"),5.8999999999999995)</f>
        <v>5.9</v>
      </c>
      <c r="K398" s="19">
        <f t="shared" si="3"/>
        <v>-142.9</v>
      </c>
      <c r="L398" s="20" t="str">
        <f t="shared" si="4"/>
        <v/>
      </c>
    </row>
    <row r="399" ht="15.75" customHeight="1">
      <c r="A399" s="9" t="s">
        <v>9</v>
      </c>
      <c r="B399" s="12" t="str">
        <f t="array" ref="B399">XLOOKUP(C399, Channel_Listings!C:C, Channel_Listings!B:B)
</f>
        <v>Apparel_Caps_Beanies</v>
      </c>
      <c r="C399" s="23" t="s">
        <v>533</v>
      </c>
      <c r="D399" s="14" t="str">
        <f t="array" ref="D399">XLOOKUP(C399, Channel_Listings!C:C, Channel_Listings!D:D)
</f>
        <v>CAP-BASEBALL-NET-HALF-CHARCOAL</v>
      </c>
      <c r="E399" s="15"/>
      <c r="F399" s="16">
        <f t="array" ref="F399">IFERROR(
  VALUE( INDEX(Product_Master!$I:$I,
               MATCH( INDEX(Pack_Master!$B:$B, MATCH($D399, Pack_Master!$A:$A, 0)),
                      Product_Master!$B:$B, 0)
  )) 
  * VALUE( INDEX(Pack_Master!$C:$C, MATCH($D399, Pack_Master!$A:$A, 0)) )
  + VALUE( INDEX(Pack_Master!$D:$D, MATCH($D399, Pack_Master!$A:$A, 0)) ),
"")
</f>
        <v>2</v>
      </c>
      <c r="G399" s="17">
        <f t="array" ref="G399">IFERROR(
 ( INDEX(Pack_Master!E:E, MATCH($D399, Pack_Master!A:A, 0))
   * INDEX(Pack_Master!F:F, MATCH($D399, Pack_Master!A:A, 0))
   * INDEX(Pack_Master!G:G, MATCH($D399, Pack_Master!A:A, 0))
 ) / INDEX(Config!C:C, MATCH($A399, Config!A:A, 0)),
"")
</f>
        <v>0.375</v>
      </c>
      <c r="H399" s="17">
        <f t="array" ref="H399">MAX( INDEX(Pack_Master!H:H, MATCH($D399, Pack_Master!A:A, 0)),
      IFERROR(G399, 0) )
</f>
        <v>0.5</v>
      </c>
      <c r="I399" s="18">
        <f>IFERROR(__xludf.DUMMYFUNCTION("IFERROR(
 INDEX(
   FILTER(Shipping_Rate_Card!B:F, Shipping_Rate_Card!A:A=$A399),
   MATCH($H399, FILTER(Shipping_Rate_Card!B:B, Shipping_Rate_Card!A:A=$A399), 1),
   IF( INDEX(Config!B:B, MATCH($A399, Config!A:A, 0))=""Local"", 2,
     IF( INDEX(Config!B"&amp;":B, MATCH($A399, Config!A:A, 0))=""Regional"", 3, 4 )
   )
 ),
"""")
"),67.0)</f>
        <v>67</v>
      </c>
      <c r="J399" s="16">
        <f>IFERROR(__xludf.DUMMYFUNCTION("IFERROR(
 ( E399 * INDEX(FILTER(Pricing_Rules!E:E, Pricing_Rules!A:A=A399, Pricing_Rules!B:B=B399, Pricing_Rules!C:C&lt;=E399, Pricing_Rules!D:D&gt;=E399), 1)
   + INDEX(FILTER(Pricing_Rules!F:F, Pricing_Rules!A:A=A399, Pricing_Rules!B:B=B399, Pricing_Rules!C:C"&amp;"&lt;=E399, Pricing_Rules!D:D&gt;=E399), 1)
 )
 * (1 + IFERROR( INDEX(Config!D:D, MATCH(A399, Config!A:A, 0)), 0 )),
"""")
"),5.8999999999999995)</f>
        <v>5.9</v>
      </c>
      <c r="K399" s="19">
        <f t="shared" si="3"/>
        <v>-74.9</v>
      </c>
      <c r="L399" s="20" t="str">
        <f t="shared" si="4"/>
        <v/>
      </c>
    </row>
    <row r="400" ht="15.75" customHeight="1">
      <c r="A400" s="9" t="s">
        <v>9</v>
      </c>
      <c r="B400" s="12" t="str">
        <f t="array" ref="B400">XLOOKUP(C400, Channel_Listings!C:C, Channel_Listings!B:B)
</f>
        <v>Apparel_Caps_Beanies</v>
      </c>
      <c r="C400" s="23" t="s">
        <v>535</v>
      </c>
      <c r="D400" s="14" t="str">
        <f t="array" ref="D400">XLOOKUP(C400, Channel_Listings!C:C, Channel_Listings!D:D)
</f>
        <v>CAP-BASEBALL-NET-HALF-GREY</v>
      </c>
      <c r="E400" s="15"/>
      <c r="F400" s="16">
        <f t="array" ref="F400">IFERROR(
  VALUE( INDEX(Product_Master!$I:$I,
               MATCH( INDEX(Pack_Master!$B:$B, MATCH($D400, Pack_Master!$A:$A, 0)),
                      Product_Master!$B:$B, 0)
  )) 
  * VALUE( INDEX(Pack_Master!$C:$C, MATCH($D400, Pack_Master!$A:$A, 0)) )
  + VALUE( INDEX(Pack_Master!$D:$D, MATCH($D400, Pack_Master!$A:$A, 0)) ),
"")
</f>
        <v>2</v>
      </c>
      <c r="G400" s="17">
        <f t="array" ref="G400">IFERROR(
 ( INDEX(Pack_Master!E:E, MATCH($D400, Pack_Master!A:A, 0))
   * INDEX(Pack_Master!F:F, MATCH($D400, Pack_Master!A:A, 0))
   * INDEX(Pack_Master!G:G, MATCH($D400, Pack_Master!A:A, 0))
 ) / INDEX(Config!C:C, MATCH($A400, Config!A:A, 0)),
"")
</f>
        <v>0.375</v>
      </c>
      <c r="H400" s="17">
        <f t="array" ref="H400">MAX( INDEX(Pack_Master!H:H, MATCH($D400, Pack_Master!A:A, 0)),
      IFERROR(G400, 0) )
</f>
        <v>0.5</v>
      </c>
      <c r="I400" s="18">
        <f>IFERROR(__xludf.DUMMYFUNCTION("IFERROR(
 INDEX(
   FILTER(Shipping_Rate_Card!B:F, Shipping_Rate_Card!A:A=$A400),
   MATCH($H400, FILTER(Shipping_Rate_Card!B:B, Shipping_Rate_Card!A:A=$A400), 1),
   IF( INDEX(Config!B:B, MATCH($A400, Config!A:A, 0))=""Local"", 2,
     IF( INDEX(Config!B"&amp;":B, MATCH($A400, Config!A:A, 0))=""Regional"", 3, 4 )
   )
 ),
"""")
"),67.0)</f>
        <v>67</v>
      </c>
      <c r="J400" s="16">
        <f>IFERROR(__xludf.DUMMYFUNCTION("IFERROR(
 ( E400 * INDEX(FILTER(Pricing_Rules!E:E, Pricing_Rules!A:A=A400, Pricing_Rules!B:B=B400, Pricing_Rules!C:C&lt;=E400, Pricing_Rules!D:D&gt;=E400), 1)
   + INDEX(FILTER(Pricing_Rules!F:F, Pricing_Rules!A:A=A400, Pricing_Rules!B:B=B400, Pricing_Rules!C:C"&amp;"&lt;=E400, Pricing_Rules!D:D&gt;=E400), 1)
 )
 * (1 + IFERROR( INDEX(Config!D:D, MATCH(A400, Config!A:A, 0)), 0 )),
"""")
"),5.8999999999999995)</f>
        <v>5.9</v>
      </c>
      <c r="K400" s="19">
        <f t="shared" si="3"/>
        <v>-74.9</v>
      </c>
      <c r="L400" s="20" t="str">
        <f t="shared" si="4"/>
        <v/>
      </c>
    </row>
    <row r="401" ht="15.75" customHeight="1">
      <c r="A401" s="9" t="s">
        <v>9</v>
      </c>
      <c r="B401" s="12" t="str">
        <f t="array" ref="B401">XLOOKUP(C401, Channel_Listings!C:C, Channel_Listings!B:B)
</f>
        <v>Apparel_Caps_Beanies</v>
      </c>
      <c r="C401" s="23" t="s">
        <v>537</v>
      </c>
      <c r="D401" s="14" t="str">
        <f t="array" ref="D401">XLOOKUP(C401, Channel_Listings!C:C, Channel_Listings!D:D)
</f>
        <v>CAP-BASEBALL-NET-HALF-NAVYBLUE</v>
      </c>
      <c r="E401" s="15"/>
      <c r="F401" s="16">
        <f t="array" ref="F401">IFERROR(
  VALUE( INDEX(Product_Master!$I:$I,
               MATCH( INDEX(Pack_Master!$B:$B, MATCH($D401, Pack_Master!$A:$A, 0)),
                      Product_Master!$B:$B, 0)
  )) 
  * VALUE( INDEX(Pack_Master!$C:$C, MATCH($D401, Pack_Master!$A:$A, 0)) )
  + VALUE( INDEX(Pack_Master!$D:$D, MATCH($D401, Pack_Master!$A:$A, 0)) ),
"")
</f>
        <v>2</v>
      </c>
      <c r="G401" s="17">
        <f t="array" ref="G401">IFERROR(
 ( INDEX(Pack_Master!E:E, MATCH($D401, Pack_Master!A:A, 0))
   * INDEX(Pack_Master!F:F, MATCH($D401, Pack_Master!A:A, 0))
   * INDEX(Pack_Master!G:G, MATCH($D401, Pack_Master!A:A, 0))
 ) / INDEX(Config!C:C, MATCH($A401, Config!A:A, 0)),
"")
</f>
        <v>0.375</v>
      </c>
      <c r="H401" s="17">
        <f t="array" ref="H401">MAX( INDEX(Pack_Master!H:H, MATCH($D401, Pack_Master!A:A, 0)),
      IFERROR(G401, 0) )
</f>
        <v>0.5</v>
      </c>
      <c r="I401" s="18">
        <f>IFERROR(__xludf.DUMMYFUNCTION("IFERROR(
 INDEX(
   FILTER(Shipping_Rate_Card!B:F, Shipping_Rate_Card!A:A=$A401),
   MATCH($H401, FILTER(Shipping_Rate_Card!B:B, Shipping_Rate_Card!A:A=$A401), 1),
   IF( INDEX(Config!B:B, MATCH($A401, Config!A:A, 0))=""Local"", 2,
     IF( INDEX(Config!B"&amp;":B, MATCH($A401, Config!A:A, 0))=""Regional"", 3, 4 )
   )
 ),
"""")
"),67.0)</f>
        <v>67</v>
      </c>
      <c r="J401" s="16">
        <f>IFERROR(__xludf.DUMMYFUNCTION("IFERROR(
 ( E401 * INDEX(FILTER(Pricing_Rules!E:E, Pricing_Rules!A:A=A401, Pricing_Rules!B:B=B401, Pricing_Rules!C:C&lt;=E401, Pricing_Rules!D:D&gt;=E401), 1)
   + INDEX(FILTER(Pricing_Rules!F:F, Pricing_Rules!A:A=A401, Pricing_Rules!B:B=B401, Pricing_Rules!C:C"&amp;"&lt;=E401, Pricing_Rules!D:D&gt;=E401), 1)
 )
 * (1 + IFERROR( INDEX(Config!D:D, MATCH(A401, Config!A:A, 0)), 0 )),
"""")
"),5.8999999999999995)</f>
        <v>5.9</v>
      </c>
      <c r="K401" s="19">
        <f t="shared" si="3"/>
        <v>-74.9</v>
      </c>
      <c r="L401" s="20" t="str">
        <f t="shared" si="4"/>
        <v/>
      </c>
    </row>
    <row r="402" ht="15.75" customHeight="1">
      <c r="A402" s="9" t="s">
        <v>9</v>
      </c>
      <c r="B402" s="12" t="str">
        <f t="array" ref="B402">XLOOKUP(C402, Channel_Listings!C:C, Channel_Listings!B:B)
</f>
        <v>Apparel_Caps_Beanies</v>
      </c>
      <c r="C402" s="23" t="s">
        <v>538</v>
      </c>
      <c r="D402" s="14" t="str">
        <f t="array" ref="D402">XLOOKUP(C402, Channel_Listings!C:C, Channel_Listings!D:D)
</f>
        <v>CAP-BASEBALL-NET-HALF-OLIVE</v>
      </c>
      <c r="E402" s="15"/>
      <c r="F402" s="16">
        <f t="array" ref="F402">IFERROR(
  VALUE( INDEX(Product_Master!$I:$I,
               MATCH( INDEX(Pack_Master!$B:$B, MATCH($D402, Pack_Master!$A:$A, 0)),
                      Product_Master!$B:$B, 0)
  )) 
  * VALUE( INDEX(Pack_Master!$C:$C, MATCH($D402, Pack_Master!$A:$A, 0)) )
  + VALUE( INDEX(Pack_Master!$D:$D, MATCH($D402, Pack_Master!$A:$A, 0)) ),
"")
</f>
        <v>2</v>
      </c>
      <c r="G402" s="17">
        <f t="array" ref="G402">IFERROR(
 ( INDEX(Pack_Master!E:E, MATCH($D402, Pack_Master!A:A, 0))
   * INDEX(Pack_Master!F:F, MATCH($D402, Pack_Master!A:A, 0))
   * INDEX(Pack_Master!G:G, MATCH($D402, Pack_Master!A:A, 0))
 ) / INDEX(Config!C:C, MATCH($A402, Config!A:A, 0)),
"")
</f>
        <v>0.375</v>
      </c>
      <c r="H402" s="17">
        <f t="array" ref="H402">MAX( INDEX(Pack_Master!H:H, MATCH($D402, Pack_Master!A:A, 0)),
      IFERROR(G402, 0) )
</f>
        <v>0.5</v>
      </c>
      <c r="I402" s="18">
        <f>IFERROR(__xludf.DUMMYFUNCTION("IFERROR(
 INDEX(
   FILTER(Shipping_Rate_Card!B:F, Shipping_Rate_Card!A:A=$A402),
   MATCH($H402, FILTER(Shipping_Rate_Card!B:B, Shipping_Rate_Card!A:A=$A402), 1),
   IF( INDEX(Config!B:B, MATCH($A402, Config!A:A, 0))=""Local"", 2,
     IF( INDEX(Config!B"&amp;":B, MATCH($A402, Config!A:A, 0))=""Regional"", 3, 4 )
   )
 ),
"""")
"),67.0)</f>
        <v>67</v>
      </c>
      <c r="J402" s="16">
        <f>IFERROR(__xludf.DUMMYFUNCTION("IFERROR(
 ( E402 * INDEX(FILTER(Pricing_Rules!E:E, Pricing_Rules!A:A=A402, Pricing_Rules!B:B=B402, Pricing_Rules!C:C&lt;=E402, Pricing_Rules!D:D&gt;=E402), 1)
   + INDEX(FILTER(Pricing_Rules!F:F, Pricing_Rules!A:A=A402, Pricing_Rules!B:B=B402, Pricing_Rules!C:C"&amp;"&lt;=E402, Pricing_Rules!D:D&gt;=E402), 1)
 )
 * (1 + IFERROR( INDEX(Config!D:D, MATCH(A402, Config!A:A, 0)), 0 )),
"""")
"),5.8999999999999995)</f>
        <v>5.9</v>
      </c>
      <c r="K402" s="19">
        <f t="shared" si="3"/>
        <v>-74.9</v>
      </c>
      <c r="L402" s="20" t="str">
        <f t="shared" si="4"/>
        <v/>
      </c>
    </row>
    <row r="403" ht="15.75" customHeight="1">
      <c r="A403" s="9" t="s">
        <v>9</v>
      </c>
      <c r="B403" s="12" t="str">
        <f t="array" ref="B403">XLOOKUP(C403, Channel_Listings!C:C, Channel_Listings!B:B)
</f>
        <v>Apparel_Caps_Beanies</v>
      </c>
      <c r="C403" s="23" t="s">
        <v>539</v>
      </c>
      <c r="D403" s="14" t="str">
        <f t="array" ref="D403">XLOOKUP(C403, Channel_Listings!C:C, Channel_Listings!D:D)
</f>
        <v>CAP-BASEBALL-NET-HALF-PINK</v>
      </c>
      <c r="E403" s="15"/>
      <c r="F403" s="16">
        <f t="array" ref="F403">IFERROR(
  VALUE( INDEX(Product_Master!$I:$I,
               MATCH( INDEX(Pack_Master!$B:$B, MATCH($D403, Pack_Master!$A:$A, 0)),
                      Product_Master!$B:$B, 0)
  )) 
  * VALUE( INDEX(Pack_Master!$C:$C, MATCH($D403, Pack_Master!$A:$A, 0)) )
  + VALUE( INDEX(Pack_Master!$D:$D, MATCH($D403, Pack_Master!$A:$A, 0)) ),
"")
</f>
        <v>70</v>
      </c>
      <c r="G403" s="17">
        <f t="array" ref="G403">IFERROR(
 ( INDEX(Pack_Master!E:E, MATCH($D403, Pack_Master!A:A, 0))
   * INDEX(Pack_Master!F:F, MATCH($D403, Pack_Master!A:A, 0))
   * INDEX(Pack_Master!G:G, MATCH($D403, Pack_Master!A:A, 0))
 ) / INDEX(Config!C:C, MATCH($A403, Config!A:A, 0)),
"")
</f>
        <v>0.375</v>
      </c>
      <c r="H403" s="17">
        <f t="array" ref="H403">MAX( INDEX(Pack_Master!H:H, MATCH($D403, Pack_Master!A:A, 0)),
      IFERROR(G403, 0) )
</f>
        <v>0.5</v>
      </c>
      <c r="I403" s="18">
        <f>IFERROR(__xludf.DUMMYFUNCTION("IFERROR(
 INDEX(
   FILTER(Shipping_Rate_Card!B:F, Shipping_Rate_Card!A:A=$A403),
   MATCH($H403, FILTER(Shipping_Rate_Card!B:B, Shipping_Rate_Card!A:A=$A403), 1),
   IF( INDEX(Config!B:B, MATCH($A403, Config!A:A, 0))=""Local"", 2,
     IF( INDEX(Config!B"&amp;":B, MATCH($A403, Config!A:A, 0))=""Regional"", 3, 4 )
   )
 ),
"""")
"),67.0)</f>
        <v>67</v>
      </c>
      <c r="J403" s="16">
        <f>IFERROR(__xludf.DUMMYFUNCTION("IFERROR(
 ( E403 * INDEX(FILTER(Pricing_Rules!E:E, Pricing_Rules!A:A=A403, Pricing_Rules!B:B=B403, Pricing_Rules!C:C&lt;=E403, Pricing_Rules!D:D&gt;=E403), 1)
   + INDEX(FILTER(Pricing_Rules!F:F, Pricing_Rules!A:A=A403, Pricing_Rules!B:B=B403, Pricing_Rules!C:C"&amp;"&lt;=E403, Pricing_Rules!D:D&gt;=E403), 1)
 )
 * (1 + IFERROR( INDEX(Config!D:D, MATCH(A403, Config!A:A, 0)), 0 )),
"""")
"),5.8999999999999995)</f>
        <v>5.9</v>
      </c>
      <c r="K403" s="19">
        <f t="shared" si="3"/>
        <v>-142.9</v>
      </c>
      <c r="L403" s="20" t="str">
        <f t="shared" si="4"/>
        <v/>
      </c>
    </row>
    <row r="404" ht="15.75" customHeight="1">
      <c r="A404" s="9" t="s">
        <v>9</v>
      </c>
      <c r="B404" s="12" t="str">
        <f t="array" ref="B404">XLOOKUP(C404, Channel_Listings!C:C, Channel_Listings!B:B)
</f>
        <v>Apparel_Caps_Beanies</v>
      </c>
      <c r="C404" s="23" t="s">
        <v>540</v>
      </c>
      <c r="D404" s="14" t="str">
        <f t="array" ref="D404">XLOOKUP(C404, Channel_Listings!C:C, Channel_Listings!D:D)
</f>
        <v>CAP-BASEBALL-NET-HALF-RED</v>
      </c>
      <c r="E404" s="15"/>
      <c r="F404" s="16">
        <f t="array" ref="F404">IFERROR(
  VALUE( INDEX(Product_Master!$I:$I,
               MATCH( INDEX(Pack_Master!$B:$B, MATCH($D404, Pack_Master!$A:$A, 0)),
                      Product_Master!$B:$B, 0)
  )) 
  * VALUE( INDEX(Pack_Master!$C:$C, MATCH($D404, Pack_Master!$A:$A, 0)) )
  + VALUE( INDEX(Pack_Master!$D:$D, MATCH($D404, Pack_Master!$A:$A, 0)) ),
"")
</f>
        <v>2</v>
      </c>
      <c r="G404" s="17">
        <f t="array" ref="G404">IFERROR(
 ( INDEX(Pack_Master!E:E, MATCH($D404, Pack_Master!A:A, 0))
   * INDEX(Pack_Master!F:F, MATCH($D404, Pack_Master!A:A, 0))
   * INDEX(Pack_Master!G:G, MATCH($D404, Pack_Master!A:A, 0))
 ) / INDEX(Config!C:C, MATCH($A404, Config!A:A, 0)),
"")
</f>
        <v>0.375</v>
      </c>
      <c r="H404" s="17">
        <f t="array" ref="H404">MAX( INDEX(Pack_Master!H:H, MATCH($D404, Pack_Master!A:A, 0)),
      IFERROR(G404, 0) )
</f>
        <v>0.5</v>
      </c>
      <c r="I404" s="18">
        <f>IFERROR(__xludf.DUMMYFUNCTION("IFERROR(
 INDEX(
   FILTER(Shipping_Rate_Card!B:F, Shipping_Rate_Card!A:A=$A404),
   MATCH($H404, FILTER(Shipping_Rate_Card!B:B, Shipping_Rate_Card!A:A=$A404), 1),
   IF( INDEX(Config!B:B, MATCH($A404, Config!A:A, 0))=""Local"", 2,
     IF( INDEX(Config!B"&amp;":B, MATCH($A404, Config!A:A, 0))=""Regional"", 3, 4 )
   )
 ),
"""")
"),67.0)</f>
        <v>67</v>
      </c>
      <c r="J404" s="16">
        <f>IFERROR(__xludf.DUMMYFUNCTION("IFERROR(
 ( E404 * INDEX(FILTER(Pricing_Rules!E:E, Pricing_Rules!A:A=A404, Pricing_Rules!B:B=B404, Pricing_Rules!C:C&lt;=E404, Pricing_Rules!D:D&gt;=E404), 1)
   + INDEX(FILTER(Pricing_Rules!F:F, Pricing_Rules!A:A=A404, Pricing_Rules!B:B=B404, Pricing_Rules!C:C"&amp;"&lt;=E404, Pricing_Rules!D:D&gt;=E404), 1)
 )
 * (1 + IFERROR( INDEX(Config!D:D, MATCH(A404, Config!A:A, 0)), 0 )),
"""")
"),5.8999999999999995)</f>
        <v>5.9</v>
      </c>
      <c r="K404" s="19">
        <f t="shared" si="3"/>
        <v>-74.9</v>
      </c>
      <c r="L404" s="20" t="str">
        <f t="shared" si="4"/>
        <v/>
      </c>
    </row>
    <row r="405" ht="15.75" customHeight="1">
      <c r="A405" s="9" t="s">
        <v>9</v>
      </c>
      <c r="B405" s="12" t="str">
        <f t="array" ref="B405">XLOOKUP(C405, Channel_Listings!C:C, Channel_Listings!B:B)
</f>
        <v>Apparel_Caps_Beanies</v>
      </c>
      <c r="C405" s="23" t="s">
        <v>542</v>
      </c>
      <c r="D405" s="14" t="str">
        <f t="array" ref="D405">XLOOKUP(C405, Channel_Listings!C:C, Channel_Listings!D:D)
</f>
        <v>CAP-BASEBALL-NET-HALF-WHITE</v>
      </c>
      <c r="E405" s="15"/>
      <c r="F405" s="16">
        <f t="array" ref="F405">IFERROR(
  VALUE( INDEX(Product_Master!$I:$I,
               MATCH( INDEX(Pack_Master!$B:$B, MATCH($D405, Pack_Master!$A:$A, 0)),
                      Product_Master!$B:$B, 0)
  )) 
  * VALUE( INDEX(Pack_Master!$C:$C, MATCH($D405, Pack_Master!$A:$A, 0)) )
  + VALUE( INDEX(Pack_Master!$D:$D, MATCH($D405, Pack_Master!$A:$A, 0)) ),
"")
</f>
        <v>70</v>
      </c>
      <c r="G405" s="17">
        <f t="array" ref="G405">IFERROR(
 ( INDEX(Pack_Master!E:E, MATCH($D405, Pack_Master!A:A, 0))
   * INDEX(Pack_Master!F:F, MATCH($D405, Pack_Master!A:A, 0))
   * INDEX(Pack_Master!G:G, MATCH($D405, Pack_Master!A:A, 0))
 ) / INDEX(Config!C:C, MATCH($A405, Config!A:A, 0)),
"")
</f>
        <v>0.375</v>
      </c>
      <c r="H405" s="17">
        <f t="array" ref="H405">MAX( INDEX(Pack_Master!H:H, MATCH($D405, Pack_Master!A:A, 0)),
      IFERROR(G405, 0) )
</f>
        <v>0.5</v>
      </c>
      <c r="I405" s="18">
        <f>IFERROR(__xludf.DUMMYFUNCTION("IFERROR(
 INDEX(
   FILTER(Shipping_Rate_Card!B:F, Shipping_Rate_Card!A:A=$A405),
   MATCH($H405, FILTER(Shipping_Rate_Card!B:B, Shipping_Rate_Card!A:A=$A405), 1),
   IF( INDEX(Config!B:B, MATCH($A405, Config!A:A, 0))=""Local"", 2,
     IF( INDEX(Config!B"&amp;":B, MATCH($A405, Config!A:A, 0))=""Regional"", 3, 4 )
   )
 ),
"""")
"),67.0)</f>
        <v>67</v>
      </c>
      <c r="J405" s="16">
        <f>IFERROR(__xludf.DUMMYFUNCTION("IFERROR(
 ( E405 * INDEX(FILTER(Pricing_Rules!E:E, Pricing_Rules!A:A=A405, Pricing_Rules!B:B=B405, Pricing_Rules!C:C&lt;=E405, Pricing_Rules!D:D&gt;=E405), 1)
   + INDEX(FILTER(Pricing_Rules!F:F, Pricing_Rules!A:A=A405, Pricing_Rules!B:B=B405, Pricing_Rules!C:C"&amp;"&lt;=E405, Pricing_Rules!D:D&gt;=E405), 1)
 )
 * (1 + IFERROR( INDEX(Config!D:D, MATCH(A405, Config!A:A, 0)), 0 )),
"""")
"),5.8999999999999995)</f>
        <v>5.9</v>
      </c>
      <c r="K405" s="19">
        <f t="shared" si="3"/>
        <v>-142.9</v>
      </c>
      <c r="L405" s="20" t="str">
        <f t="shared" si="4"/>
        <v/>
      </c>
    </row>
    <row r="406" ht="15.75" customHeight="1">
      <c r="A406" s="9" t="s">
        <v>9</v>
      </c>
      <c r="B406" s="12" t="str">
        <f t="array" ref="B406">XLOOKUP(C406, Channel_Listings!C:C, Channel_Listings!B:B)
</f>
        <v>Apparel_Caps_Beanies</v>
      </c>
      <c r="C406" s="23" t="s">
        <v>543</v>
      </c>
      <c r="D406" s="14" t="str">
        <f t="array" ref="D406">XLOOKUP(C406, Channel_Listings!C:C, Channel_Listings!D:D)
</f>
        <v>CAP-BASEBALL-PLAIN-OLIVEGREEN</v>
      </c>
      <c r="E406" s="15"/>
      <c r="F406" s="16">
        <f t="array" ref="F406">IFERROR(
  VALUE( INDEX(Product_Master!$I:$I,
               MATCH( INDEX(Pack_Master!$B:$B, MATCH($D406, Pack_Master!$A:$A, 0)),
                      Product_Master!$B:$B, 0)
  )) 
  * VALUE( INDEX(Pack_Master!$C:$C, MATCH($D406, Pack_Master!$A:$A, 0)) )
  + VALUE( INDEX(Pack_Master!$D:$D, MATCH($D406, Pack_Master!$A:$A, 0)) ),
"")
</f>
        <v>89</v>
      </c>
      <c r="G406" s="17">
        <f t="array" ref="G406">IFERROR(
 ( INDEX(Pack_Master!E:E, MATCH($D406, Pack_Master!A:A, 0))
   * INDEX(Pack_Master!F:F, MATCH($D406, Pack_Master!A:A, 0))
   * INDEX(Pack_Master!G:G, MATCH($D406, Pack_Master!A:A, 0))
 ) / INDEX(Config!C:C, MATCH($A406, Config!A:A, 0)),
"")
</f>
        <v>0.375</v>
      </c>
      <c r="H406" s="17">
        <f t="array" ref="H406">MAX( INDEX(Pack_Master!H:H, MATCH($D406, Pack_Master!A:A, 0)),
      IFERROR(G406, 0) )
</f>
        <v>0.5</v>
      </c>
      <c r="I406" s="18">
        <f>IFERROR(__xludf.DUMMYFUNCTION("IFERROR(
 INDEX(
   FILTER(Shipping_Rate_Card!B:F, Shipping_Rate_Card!A:A=$A406),
   MATCH($H406, FILTER(Shipping_Rate_Card!B:B, Shipping_Rate_Card!A:A=$A406), 1),
   IF( INDEX(Config!B:B, MATCH($A406, Config!A:A, 0))=""Local"", 2,
     IF( INDEX(Config!B"&amp;":B, MATCH($A406, Config!A:A, 0))=""Regional"", 3, 4 )
   )
 ),
"""")
"),67.0)</f>
        <v>67</v>
      </c>
      <c r="J406" s="16">
        <f>IFERROR(__xludf.DUMMYFUNCTION("IFERROR(
 ( E406 * INDEX(FILTER(Pricing_Rules!E:E, Pricing_Rules!A:A=A406, Pricing_Rules!B:B=B406, Pricing_Rules!C:C&lt;=E406, Pricing_Rules!D:D&gt;=E406), 1)
   + INDEX(FILTER(Pricing_Rules!F:F, Pricing_Rules!A:A=A406, Pricing_Rules!B:B=B406, Pricing_Rules!C:C"&amp;"&lt;=E406, Pricing_Rules!D:D&gt;=E406), 1)
 )
 * (1 + IFERROR( INDEX(Config!D:D, MATCH(A406, Config!A:A, 0)), 0 )),
"""")
"),5.8999999999999995)</f>
        <v>5.9</v>
      </c>
      <c r="K406" s="19">
        <f t="shared" si="3"/>
        <v>-161.9</v>
      </c>
      <c r="L406" s="20" t="str">
        <f t="shared" si="4"/>
        <v/>
      </c>
    </row>
    <row r="407" ht="15.75" customHeight="1">
      <c r="A407" s="9" t="s">
        <v>9</v>
      </c>
      <c r="B407" s="12" t="str">
        <f t="array" ref="B407">XLOOKUP(C407, Channel_Listings!C:C, Channel_Listings!B:B)
</f>
        <v>Apparel_Caps_Beanies</v>
      </c>
      <c r="C407" s="23" t="s">
        <v>544</v>
      </c>
      <c r="D407" s="14" t="str">
        <f t="array" ref="D407">XLOOKUP(C407, Channel_Listings!C:C, Channel_Listings!D:D)
</f>
        <v>CAP-BASEBALL-PLAIN-ORANGE</v>
      </c>
      <c r="E407" s="15"/>
      <c r="F407" s="16">
        <f t="array" ref="F407">IFERROR(
  VALUE( INDEX(Product_Master!$I:$I,
               MATCH( INDEX(Pack_Master!$B:$B, MATCH($D407, Pack_Master!$A:$A, 0)),
                      Product_Master!$B:$B, 0)
  )) 
  * VALUE( INDEX(Pack_Master!$C:$C, MATCH($D407, Pack_Master!$A:$A, 0)) )
  + VALUE( INDEX(Pack_Master!$D:$D, MATCH($D407, Pack_Master!$A:$A, 0)) ),
"")
</f>
        <v>89</v>
      </c>
      <c r="G407" s="17">
        <f t="array" ref="G407">IFERROR(
 ( INDEX(Pack_Master!E:E, MATCH($D407, Pack_Master!A:A, 0))
   * INDEX(Pack_Master!F:F, MATCH($D407, Pack_Master!A:A, 0))
   * INDEX(Pack_Master!G:G, MATCH($D407, Pack_Master!A:A, 0))
 ) / INDEX(Config!C:C, MATCH($A407, Config!A:A, 0)),
"")
</f>
        <v>0.375</v>
      </c>
      <c r="H407" s="17">
        <f t="array" ref="H407">MAX( INDEX(Pack_Master!H:H, MATCH($D407, Pack_Master!A:A, 0)),
      IFERROR(G407, 0) )
</f>
        <v>0.5</v>
      </c>
      <c r="I407" s="18">
        <f>IFERROR(__xludf.DUMMYFUNCTION("IFERROR(
 INDEX(
   FILTER(Shipping_Rate_Card!B:F, Shipping_Rate_Card!A:A=$A407),
   MATCH($H407, FILTER(Shipping_Rate_Card!B:B, Shipping_Rate_Card!A:A=$A407), 1),
   IF( INDEX(Config!B:B, MATCH($A407, Config!A:A, 0))=""Local"", 2,
     IF( INDEX(Config!B"&amp;":B, MATCH($A407, Config!A:A, 0))=""Regional"", 3, 4 )
   )
 ),
"""")
"),67.0)</f>
        <v>67</v>
      </c>
      <c r="J407" s="16">
        <f>IFERROR(__xludf.DUMMYFUNCTION("IFERROR(
 ( E407 * INDEX(FILTER(Pricing_Rules!E:E, Pricing_Rules!A:A=A407, Pricing_Rules!B:B=B407, Pricing_Rules!C:C&lt;=E407, Pricing_Rules!D:D&gt;=E407), 1)
   + INDEX(FILTER(Pricing_Rules!F:F, Pricing_Rules!A:A=A407, Pricing_Rules!B:B=B407, Pricing_Rules!C:C"&amp;"&lt;=E407, Pricing_Rules!D:D&gt;=E407), 1)
 )
 * (1 + IFERROR( INDEX(Config!D:D, MATCH(A407, Config!A:A, 0)), 0 )),
"""")
"),5.8999999999999995)</f>
        <v>5.9</v>
      </c>
      <c r="K407" s="19">
        <f t="shared" si="3"/>
        <v>-161.9</v>
      </c>
      <c r="L407" s="20" t="str">
        <f t="shared" si="4"/>
        <v/>
      </c>
    </row>
    <row r="408" ht="15.75" customHeight="1">
      <c r="A408" s="9" t="s">
        <v>9</v>
      </c>
      <c r="B408" s="12" t="str">
        <f t="array" ref="B408">XLOOKUP(C408, Channel_Listings!C:C, Channel_Listings!B:B)
</f>
        <v>Apparel_Caps_Beanies</v>
      </c>
      <c r="C408" s="23" t="s">
        <v>545</v>
      </c>
      <c r="D408" s="14" t="str">
        <f t="array" ref="D408">XLOOKUP(C408, Channel_Listings!C:C, Channel_Listings!D:D)
</f>
        <v>CAP-BASEBALL-PLAIN-PINK</v>
      </c>
      <c r="E408" s="15"/>
      <c r="F408" s="16">
        <f t="array" ref="F408">IFERROR(
  VALUE( INDEX(Product_Master!$I:$I,
               MATCH( INDEX(Pack_Master!$B:$B, MATCH($D408, Pack_Master!$A:$A, 0)),
                      Product_Master!$B:$B, 0)
  )) 
  * VALUE( INDEX(Pack_Master!$C:$C, MATCH($D408, Pack_Master!$A:$A, 0)) )
  + VALUE( INDEX(Pack_Master!$D:$D, MATCH($D408, Pack_Master!$A:$A, 0)) ),
"")
</f>
        <v>89</v>
      </c>
      <c r="G408" s="17">
        <f t="array" ref="G408">IFERROR(
 ( INDEX(Pack_Master!E:E, MATCH($D408, Pack_Master!A:A, 0))
   * INDEX(Pack_Master!F:F, MATCH($D408, Pack_Master!A:A, 0))
   * INDEX(Pack_Master!G:G, MATCH($D408, Pack_Master!A:A, 0))
 ) / INDEX(Config!C:C, MATCH($A408, Config!A:A, 0)),
"")
</f>
        <v>0.375</v>
      </c>
      <c r="H408" s="17">
        <f t="array" ref="H408">MAX( INDEX(Pack_Master!H:H, MATCH($D408, Pack_Master!A:A, 0)),
      IFERROR(G408, 0) )
</f>
        <v>0.5</v>
      </c>
      <c r="I408" s="18">
        <f>IFERROR(__xludf.DUMMYFUNCTION("IFERROR(
 INDEX(
   FILTER(Shipping_Rate_Card!B:F, Shipping_Rate_Card!A:A=$A408),
   MATCH($H408, FILTER(Shipping_Rate_Card!B:B, Shipping_Rate_Card!A:A=$A408), 1),
   IF( INDEX(Config!B:B, MATCH($A408, Config!A:A, 0))=""Local"", 2,
     IF( INDEX(Config!B"&amp;":B, MATCH($A408, Config!A:A, 0))=""Regional"", 3, 4 )
   )
 ),
"""")
"),67.0)</f>
        <v>67</v>
      </c>
      <c r="J408" s="16">
        <f>IFERROR(__xludf.DUMMYFUNCTION("IFERROR(
 ( E408 * INDEX(FILTER(Pricing_Rules!E:E, Pricing_Rules!A:A=A408, Pricing_Rules!B:B=B408, Pricing_Rules!C:C&lt;=E408, Pricing_Rules!D:D&gt;=E408), 1)
   + INDEX(FILTER(Pricing_Rules!F:F, Pricing_Rules!A:A=A408, Pricing_Rules!B:B=B408, Pricing_Rules!C:C"&amp;"&lt;=E408, Pricing_Rules!D:D&gt;=E408), 1)
 )
 * (1 + IFERROR( INDEX(Config!D:D, MATCH(A408, Config!A:A, 0)), 0 )),
"""")
"),5.8999999999999995)</f>
        <v>5.9</v>
      </c>
      <c r="K408" s="19">
        <f t="shared" si="3"/>
        <v>-161.9</v>
      </c>
      <c r="L408" s="20" t="str">
        <f t="shared" si="4"/>
        <v/>
      </c>
    </row>
    <row r="409" ht="15.75" customHeight="1">
      <c r="A409" s="9" t="s">
        <v>9</v>
      </c>
      <c r="B409" s="12" t="str">
        <f t="array" ref="B409">XLOOKUP(C409, Channel_Listings!C:C, Channel_Listings!B:B)
</f>
        <v>Apparel_Caps_Beanies</v>
      </c>
      <c r="C409" s="23" t="s">
        <v>547</v>
      </c>
      <c r="D409" s="14" t="str">
        <f t="array" ref="D409">XLOOKUP(C409, Channel_Listings!C:C, Channel_Listings!D:D)
</f>
        <v>CAP-BASEBALL-PO2-BEIGEMAROON</v>
      </c>
      <c r="E409" s="15"/>
      <c r="F409" s="16">
        <f t="array" ref="F409">IFERROR(
  VALUE( INDEX(Product_Master!$I:$I,
               MATCH( INDEX(Pack_Master!$B:$B, MATCH($D409, Pack_Master!$A:$A, 0)),
                      Product_Master!$B:$B, 0)
  )) 
  * VALUE( INDEX(Pack_Master!$C:$C, MATCH($D409, Pack_Master!$A:$A, 0)) )
  + VALUE( INDEX(Pack_Master!$D:$D, MATCH($D409, Pack_Master!$A:$A, 0)) ),
"")
</f>
        <v>2</v>
      </c>
      <c r="G409" s="17">
        <f t="array" ref="G409">IFERROR(
 ( INDEX(Pack_Master!E:E, MATCH($D409, Pack_Master!A:A, 0))
   * INDEX(Pack_Master!F:F, MATCH($D409, Pack_Master!A:A, 0))
   * INDEX(Pack_Master!G:G, MATCH($D409, Pack_Master!A:A, 0))
 ) / INDEX(Config!C:C, MATCH($A409, Config!A:A, 0)),
"")
</f>
        <v>0.375</v>
      </c>
      <c r="H409" s="17">
        <f t="array" ref="H409">MAX( INDEX(Pack_Master!H:H, MATCH($D409, Pack_Master!A:A, 0)),
      IFERROR(G409, 0) )
</f>
        <v>0.5</v>
      </c>
      <c r="I409" s="18">
        <f>IFERROR(__xludf.DUMMYFUNCTION("IFERROR(
 INDEX(
   FILTER(Shipping_Rate_Card!B:F, Shipping_Rate_Card!A:A=$A409),
   MATCH($H409, FILTER(Shipping_Rate_Card!B:B, Shipping_Rate_Card!A:A=$A409), 1),
   IF( INDEX(Config!B:B, MATCH($A409, Config!A:A, 0))=""Local"", 2,
     IF( INDEX(Config!B"&amp;":B, MATCH($A409, Config!A:A, 0))=""Regional"", 3, 4 )
   )
 ),
"""")
"),67.0)</f>
        <v>67</v>
      </c>
      <c r="J409" s="16">
        <f>IFERROR(__xludf.DUMMYFUNCTION("IFERROR(
 ( E409 * INDEX(FILTER(Pricing_Rules!E:E, Pricing_Rules!A:A=A409, Pricing_Rules!B:B=B409, Pricing_Rules!C:C&lt;=E409, Pricing_Rules!D:D&gt;=E409), 1)
   + INDEX(FILTER(Pricing_Rules!F:F, Pricing_Rules!A:A=A409, Pricing_Rules!B:B=B409, Pricing_Rules!C:C"&amp;"&lt;=E409, Pricing_Rules!D:D&gt;=E409), 1)
 )
 * (1 + IFERROR( INDEX(Config!D:D, MATCH(A409, Config!A:A, 0)), 0 )),
"""")
"),5.8999999999999995)</f>
        <v>5.9</v>
      </c>
      <c r="K409" s="19">
        <f t="shared" si="3"/>
        <v>-74.9</v>
      </c>
      <c r="L409" s="20" t="str">
        <f t="shared" si="4"/>
        <v/>
      </c>
    </row>
    <row r="410" ht="15.75" customHeight="1">
      <c r="A410" s="9" t="s">
        <v>9</v>
      </c>
      <c r="B410" s="12" t="str">
        <f t="array" ref="B410">XLOOKUP(C410, Channel_Listings!C:C, Channel_Listings!B:B)
</f>
        <v>Apparel_Caps_Beanies</v>
      </c>
      <c r="C410" s="23" t="s">
        <v>550</v>
      </c>
      <c r="D410" s="14" t="str">
        <f t="array" ref="D410">XLOOKUP(C410, Channel_Listings!C:C, Channel_Listings!D:D)
</f>
        <v>CAP-BASEBALL-PO2-BEIGENAVYBLUE</v>
      </c>
      <c r="E410" s="15"/>
      <c r="F410" s="16">
        <f t="array" ref="F410">IFERROR(
  VALUE( INDEX(Product_Master!$I:$I,
               MATCH( INDEX(Pack_Master!$B:$B, MATCH($D410, Pack_Master!$A:$A, 0)),
                      Product_Master!$B:$B, 0)
  )) 
  * VALUE( INDEX(Pack_Master!$C:$C, MATCH($D410, Pack_Master!$A:$A, 0)) )
  + VALUE( INDEX(Pack_Master!$D:$D, MATCH($D410, Pack_Master!$A:$A, 0)) ),
"")
</f>
        <v>2</v>
      </c>
      <c r="G410" s="17">
        <f t="array" ref="G410">IFERROR(
 ( INDEX(Pack_Master!E:E, MATCH($D410, Pack_Master!A:A, 0))
   * INDEX(Pack_Master!F:F, MATCH($D410, Pack_Master!A:A, 0))
   * INDEX(Pack_Master!G:G, MATCH($D410, Pack_Master!A:A, 0))
 ) / INDEX(Config!C:C, MATCH($A410, Config!A:A, 0)),
"")
</f>
        <v>0.375</v>
      </c>
      <c r="H410" s="17">
        <f t="array" ref="H410">MAX( INDEX(Pack_Master!H:H, MATCH($D410, Pack_Master!A:A, 0)),
      IFERROR(G410, 0) )
</f>
        <v>0.5</v>
      </c>
      <c r="I410" s="18">
        <f>IFERROR(__xludf.DUMMYFUNCTION("IFERROR(
 INDEX(
   FILTER(Shipping_Rate_Card!B:F, Shipping_Rate_Card!A:A=$A410),
   MATCH($H410, FILTER(Shipping_Rate_Card!B:B, Shipping_Rate_Card!A:A=$A410), 1),
   IF( INDEX(Config!B:B, MATCH($A410, Config!A:A, 0))=""Local"", 2,
     IF( INDEX(Config!B"&amp;":B, MATCH($A410, Config!A:A, 0))=""Regional"", 3, 4 )
   )
 ),
"""")
"),67.0)</f>
        <v>67</v>
      </c>
      <c r="J410" s="16">
        <f>IFERROR(__xludf.DUMMYFUNCTION("IFERROR(
 ( E410 * INDEX(FILTER(Pricing_Rules!E:E, Pricing_Rules!A:A=A410, Pricing_Rules!B:B=B410, Pricing_Rules!C:C&lt;=E410, Pricing_Rules!D:D&gt;=E410), 1)
   + INDEX(FILTER(Pricing_Rules!F:F, Pricing_Rules!A:A=A410, Pricing_Rules!B:B=B410, Pricing_Rules!C:C"&amp;"&lt;=E410, Pricing_Rules!D:D&gt;=E410), 1)
 )
 * (1 + IFERROR( INDEX(Config!D:D, MATCH(A410, Config!A:A, 0)), 0 )),
"""")
"),5.8999999999999995)</f>
        <v>5.9</v>
      </c>
      <c r="K410" s="19">
        <f t="shared" si="3"/>
        <v>-74.9</v>
      </c>
      <c r="L410" s="20" t="str">
        <f t="shared" si="4"/>
        <v/>
      </c>
    </row>
    <row r="411" ht="15.75" customHeight="1">
      <c r="A411" s="9" t="s">
        <v>9</v>
      </c>
      <c r="B411" s="12" t="str">
        <f t="array" ref="B411">XLOOKUP(C411, Channel_Listings!C:C, Channel_Listings!B:B)
</f>
        <v>Apparel_Caps_Beanies</v>
      </c>
      <c r="C411" s="23" t="s">
        <v>552</v>
      </c>
      <c r="D411" s="14" t="str">
        <f t="array" ref="D411">XLOOKUP(C411, Channel_Listings!C:C, Channel_Listings!D:D)
</f>
        <v>CAP-BASEBALL-PO2-BLACKCHARCOAL</v>
      </c>
      <c r="E411" s="15"/>
      <c r="F411" s="16">
        <f t="array" ref="F411">IFERROR(
  VALUE( INDEX(Product_Master!$I:$I,
               MATCH( INDEX(Pack_Master!$B:$B, MATCH($D411, Pack_Master!$A:$A, 0)),
                      Product_Master!$B:$B, 0)
  )) 
  * VALUE( INDEX(Pack_Master!$C:$C, MATCH($D411, Pack_Master!$A:$A, 0)) )
  + VALUE( INDEX(Pack_Master!$D:$D, MATCH($D411, Pack_Master!$A:$A, 0)) ),
"")
</f>
        <v>2</v>
      </c>
      <c r="G411" s="17">
        <f t="array" ref="G411">IFERROR(
 ( INDEX(Pack_Master!E:E, MATCH($D411, Pack_Master!A:A, 0))
   * INDEX(Pack_Master!F:F, MATCH($D411, Pack_Master!A:A, 0))
   * INDEX(Pack_Master!G:G, MATCH($D411, Pack_Master!A:A, 0))
 ) / INDEX(Config!C:C, MATCH($A411, Config!A:A, 0)),
"")
</f>
        <v>0.375</v>
      </c>
      <c r="H411" s="17">
        <f t="array" ref="H411">MAX( INDEX(Pack_Master!H:H, MATCH($D411, Pack_Master!A:A, 0)),
      IFERROR(G411, 0) )
</f>
        <v>0.5</v>
      </c>
      <c r="I411" s="18">
        <f>IFERROR(__xludf.DUMMYFUNCTION("IFERROR(
 INDEX(
   FILTER(Shipping_Rate_Card!B:F, Shipping_Rate_Card!A:A=$A411),
   MATCH($H411, FILTER(Shipping_Rate_Card!B:B, Shipping_Rate_Card!A:A=$A411), 1),
   IF( INDEX(Config!B:B, MATCH($A411, Config!A:A, 0))=""Local"", 2,
     IF( INDEX(Config!B"&amp;":B, MATCH($A411, Config!A:A, 0))=""Regional"", 3, 4 )
   )
 ),
"""")
"),67.0)</f>
        <v>67</v>
      </c>
      <c r="J411" s="16">
        <f>IFERROR(__xludf.DUMMYFUNCTION("IFERROR(
 ( E411 * INDEX(FILTER(Pricing_Rules!E:E, Pricing_Rules!A:A=A411, Pricing_Rules!B:B=B411, Pricing_Rules!C:C&lt;=E411, Pricing_Rules!D:D&gt;=E411), 1)
   + INDEX(FILTER(Pricing_Rules!F:F, Pricing_Rules!A:A=A411, Pricing_Rules!B:B=B411, Pricing_Rules!C:C"&amp;"&lt;=E411, Pricing_Rules!D:D&gt;=E411), 1)
 )
 * (1 + IFERROR( INDEX(Config!D:D, MATCH(A411, Config!A:A, 0)), 0 )),
"""")
"),5.8999999999999995)</f>
        <v>5.9</v>
      </c>
      <c r="K411" s="19">
        <f t="shared" si="3"/>
        <v>-74.9</v>
      </c>
      <c r="L411" s="20" t="str">
        <f t="shared" si="4"/>
        <v/>
      </c>
    </row>
    <row r="412" ht="15.75" customHeight="1">
      <c r="A412" s="9" t="s">
        <v>9</v>
      </c>
      <c r="B412" s="12" t="str">
        <f t="array" ref="B412">XLOOKUP(C412, Channel_Listings!C:C, Channel_Listings!B:B)
</f>
        <v>Apparel_Caps_Beanies</v>
      </c>
      <c r="C412" s="23" t="s">
        <v>554</v>
      </c>
      <c r="D412" s="14" t="str">
        <f t="array" ref="D412">XLOOKUP(C412, Channel_Listings!C:C, Channel_Listings!D:D)
</f>
        <v>CAP-BASEBALL-PO2-BLACKGREY</v>
      </c>
      <c r="E412" s="15"/>
      <c r="F412" s="16">
        <f t="array" ref="F412">IFERROR(
  VALUE( INDEX(Product_Master!$I:$I,
               MATCH( INDEX(Pack_Master!$B:$B, MATCH($D412, Pack_Master!$A:$A, 0)),
                      Product_Master!$B:$B, 0)
  )) 
  * VALUE( INDEX(Pack_Master!$C:$C, MATCH($D412, Pack_Master!$A:$A, 0)) )
  + VALUE( INDEX(Pack_Master!$D:$D, MATCH($D412, Pack_Master!$A:$A, 0)) ),
"")
</f>
        <v>2</v>
      </c>
      <c r="G412" s="17">
        <f t="array" ref="G412">IFERROR(
 ( INDEX(Pack_Master!E:E, MATCH($D412, Pack_Master!A:A, 0))
   * INDEX(Pack_Master!F:F, MATCH($D412, Pack_Master!A:A, 0))
   * INDEX(Pack_Master!G:G, MATCH($D412, Pack_Master!A:A, 0))
 ) / INDEX(Config!C:C, MATCH($A412, Config!A:A, 0)),
"")
</f>
        <v>0.375</v>
      </c>
      <c r="H412" s="17">
        <f t="array" ref="H412">MAX( INDEX(Pack_Master!H:H, MATCH($D412, Pack_Master!A:A, 0)),
      IFERROR(G412, 0) )
</f>
        <v>0.5</v>
      </c>
      <c r="I412" s="18">
        <f>IFERROR(__xludf.DUMMYFUNCTION("IFERROR(
 INDEX(
   FILTER(Shipping_Rate_Card!B:F, Shipping_Rate_Card!A:A=$A412),
   MATCH($H412, FILTER(Shipping_Rate_Card!B:B, Shipping_Rate_Card!A:A=$A412), 1),
   IF( INDEX(Config!B:B, MATCH($A412, Config!A:A, 0))=""Local"", 2,
     IF( INDEX(Config!B"&amp;":B, MATCH($A412, Config!A:A, 0))=""Regional"", 3, 4 )
   )
 ),
"""")
"),67.0)</f>
        <v>67</v>
      </c>
      <c r="J412" s="16">
        <f>IFERROR(__xludf.DUMMYFUNCTION("IFERROR(
 ( E412 * INDEX(FILTER(Pricing_Rules!E:E, Pricing_Rules!A:A=A412, Pricing_Rules!B:B=B412, Pricing_Rules!C:C&lt;=E412, Pricing_Rules!D:D&gt;=E412), 1)
   + INDEX(FILTER(Pricing_Rules!F:F, Pricing_Rules!A:A=A412, Pricing_Rules!B:B=B412, Pricing_Rules!C:C"&amp;"&lt;=E412, Pricing_Rules!D:D&gt;=E412), 1)
 )
 * (1 + IFERROR( INDEX(Config!D:D, MATCH(A412, Config!A:A, 0)), 0 )),
"""")
"),5.8999999999999995)</f>
        <v>5.9</v>
      </c>
      <c r="K412" s="19">
        <f t="shared" si="3"/>
        <v>-74.9</v>
      </c>
      <c r="L412" s="20" t="str">
        <f t="shared" si="4"/>
        <v/>
      </c>
    </row>
    <row r="413" ht="15.75" customHeight="1">
      <c r="A413" s="9" t="s">
        <v>9</v>
      </c>
      <c r="B413" s="12" t="str">
        <f t="array" ref="B413">XLOOKUP(C413, Channel_Listings!C:C, Channel_Listings!B:B)
</f>
        <v>Apparel_Caps_Beanies</v>
      </c>
      <c r="C413" s="23" t="s">
        <v>556</v>
      </c>
      <c r="D413" s="14" t="str">
        <f t="array" ref="D413">XLOOKUP(C413, Channel_Listings!C:C, Channel_Listings!D:D)
</f>
        <v>CAP-BASEBALL-PO2-BLACKORANGE</v>
      </c>
      <c r="E413" s="15"/>
      <c r="F413" s="16">
        <f t="array" ref="F413">IFERROR(
  VALUE( INDEX(Product_Master!$I:$I,
               MATCH( INDEX(Pack_Master!$B:$B, MATCH($D413, Pack_Master!$A:$A, 0)),
                      Product_Master!$B:$B, 0)
  )) 
  * VALUE( INDEX(Pack_Master!$C:$C, MATCH($D413, Pack_Master!$A:$A, 0)) )
  + VALUE( INDEX(Pack_Master!$D:$D, MATCH($D413, Pack_Master!$A:$A, 0)) ),
"")
</f>
        <v>2</v>
      </c>
      <c r="G413" s="17">
        <f t="array" ref="G413">IFERROR(
 ( INDEX(Pack_Master!E:E, MATCH($D413, Pack_Master!A:A, 0))
   * INDEX(Pack_Master!F:F, MATCH($D413, Pack_Master!A:A, 0))
   * INDEX(Pack_Master!G:G, MATCH($D413, Pack_Master!A:A, 0))
 ) / INDEX(Config!C:C, MATCH($A413, Config!A:A, 0)),
"")
</f>
        <v>0.375</v>
      </c>
      <c r="H413" s="17">
        <f t="array" ref="H413">MAX( INDEX(Pack_Master!H:H, MATCH($D413, Pack_Master!A:A, 0)),
      IFERROR(G413, 0) )
</f>
        <v>0.5</v>
      </c>
      <c r="I413" s="18">
        <f>IFERROR(__xludf.DUMMYFUNCTION("IFERROR(
 INDEX(
   FILTER(Shipping_Rate_Card!B:F, Shipping_Rate_Card!A:A=$A413),
   MATCH($H413, FILTER(Shipping_Rate_Card!B:B, Shipping_Rate_Card!A:A=$A413), 1),
   IF( INDEX(Config!B:B, MATCH($A413, Config!A:A, 0))=""Local"", 2,
     IF( INDEX(Config!B"&amp;":B, MATCH($A413, Config!A:A, 0))=""Regional"", 3, 4 )
   )
 ),
"""")
"),67.0)</f>
        <v>67</v>
      </c>
      <c r="J413" s="16">
        <f>IFERROR(__xludf.DUMMYFUNCTION("IFERROR(
 ( E413 * INDEX(FILTER(Pricing_Rules!E:E, Pricing_Rules!A:A=A413, Pricing_Rules!B:B=B413, Pricing_Rules!C:C&lt;=E413, Pricing_Rules!D:D&gt;=E413), 1)
   + INDEX(FILTER(Pricing_Rules!F:F, Pricing_Rules!A:A=A413, Pricing_Rules!B:B=B413, Pricing_Rules!C:C"&amp;"&lt;=E413, Pricing_Rules!D:D&gt;=E413), 1)
 )
 * (1 + IFERROR( INDEX(Config!D:D, MATCH(A413, Config!A:A, 0)), 0 )),
"""")
"),5.8999999999999995)</f>
        <v>5.9</v>
      </c>
      <c r="K413" s="19">
        <f t="shared" si="3"/>
        <v>-74.9</v>
      </c>
      <c r="L413" s="20" t="str">
        <f t="shared" si="4"/>
        <v/>
      </c>
    </row>
    <row r="414" ht="15.75" customHeight="1">
      <c r="A414" s="9" t="s">
        <v>9</v>
      </c>
      <c r="B414" s="12" t="str">
        <f t="array" ref="B414">XLOOKUP(C414, Channel_Listings!C:C, Channel_Listings!B:B)
</f>
        <v>Apparel_Caps_Beanies</v>
      </c>
      <c r="C414" s="23" t="s">
        <v>558</v>
      </c>
      <c r="D414" s="14" t="str">
        <f t="array" ref="D414">XLOOKUP(C414, Channel_Listings!C:C, Channel_Listings!D:D)
</f>
        <v>CAP-BASEBALL-PO2-BLACKPINK</v>
      </c>
      <c r="E414" s="15"/>
      <c r="F414" s="16">
        <f t="array" ref="F414">IFERROR(
  VALUE( INDEX(Product_Master!$I:$I,
               MATCH( INDEX(Pack_Master!$B:$B, MATCH($D414, Pack_Master!$A:$A, 0)),
                      Product_Master!$B:$B, 0)
  )) 
  * VALUE( INDEX(Pack_Master!$C:$C, MATCH($D414, Pack_Master!$A:$A, 0)) )
  + VALUE( INDEX(Pack_Master!$D:$D, MATCH($D414, Pack_Master!$A:$A, 0)) ),
"")
</f>
        <v>2</v>
      </c>
      <c r="G414" s="17">
        <f t="array" ref="G414">IFERROR(
 ( INDEX(Pack_Master!E:E, MATCH($D414, Pack_Master!A:A, 0))
   * INDEX(Pack_Master!F:F, MATCH($D414, Pack_Master!A:A, 0))
   * INDEX(Pack_Master!G:G, MATCH($D414, Pack_Master!A:A, 0))
 ) / INDEX(Config!C:C, MATCH($A414, Config!A:A, 0)),
"")
</f>
        <v>0.375</v>
      </c>
      <c r="H414" s="17">
        <f t="array" ref="H414">MAX( INDEX(Pack_Master!H:H, MATCH($D414, Pack_Master!A:A, 0)),
      IFERROR(G414, 0) )
</f>
        <v>0.5</v>
      </c>
      <c r="I414" s="18">
        <f>IFERROR(__xludf.DUMMYFUNCTION("IFERROR(
 INDEX(
   FILTER(Shipping_Rate_Card!B:F, Shipping_Rate_Card!A:A=$A414),
   MATCH($H414, FILTER(Shipping_Rate_Card!B:B, Shipping_Rate_Card!A:A=$A414), 1),
   IF( INDEX(Config!B:B, MATCH($A414, Config!A:A, 0))=""Local"", 2,
     IF( INDEX(Config!B"&amp;":B, MATCH($A414, Config!A:A, 0))=""Regional"", 3, 4 )
   )
 ),
"""")
"),67.0)</f>
        <v>67</v>
      </c>
      <c r="J414" s="16">
        <f>IFERROR(__xludf.DUMMYFUNCTION("IFERROR(
 ( E414 * INDEX(FILTER(Pricing_Rules!E:E, Pricing_Rules!A:A=A414, Pricing_Rules!B:B=B414, Pricing_Rules!C:C&lt;=E414, Pricing_Rules!D:D&gt;=E414), 1)
   + INDEX(FILTER(Pricing_Rules!F:F, Pricing_Rules!A:A=A414, Pricing_Rules!B:B=B414, Pricing_Rules!C:C"&amp;"&lt;=E414, Pricing_Rules!D:D&gt;=E414), 1)
 )
 * (1 + IFERROR( INDEX(Config!D:D, MATCH(A414, Config!A:A, 0)), 0 )),
"""")
"),5.8999999999999995)</f>
        <v>5.9</v>
      </c>
      <c r="K414" s="19">
        <f t="shared" si="3"/>
        <v>-74.9</v>
      </c>
      <c r="L414" s="20" t="str">
        <f t="shared" si="4"/>
        <v/>
      </c>
    </row>
    <row r="415" ht="15.75" customHeight="1">
      <c r="A415" s="9" t="s">
        <v>9</v>
      </c>
      <c r="B415" s="12" t="str">
        <f t="array" ref="B415">XLOOKUP(C415, Channel_Listings!C:C, Channel_Listings!B:B)
</f>
        <v>Apparel_Caps_Beanies</v>
      </c>
      <c r="C415" s="23" t="s">
        <v>560</v>
      </c>
      <c r="D415" s="14" t="str">
        <f t="array" ref="D415">XLOOKUP(C415, Channel_Listings!C:C, Channel_Listings!D:D)
</f>
        <v>CAP-BASEBALL-PO2-BLACKWHITE</v>
      </c>
      <c r="E415" s="15"/>
      <c r="F415" s="16">
        <f t="array" ref="F415">IFERROR(
  VALUE( INDEX(Product_Master!$I:$I,
               MATCH( INDEX(Pack_Master!$B:$B, MATCH($D415, Pack_Master!$A:$A, 0)),
                      Product_Master!$B:$B, 0)
  )) 
  * VALUE( INDEX(Pack_Master!$C:$C, MATCH($D415, Pack_Master!$A:$A, 0)) )
  + VALUE( INDEX(Pack_Master!$D:$D, MATCH($D415, Pack_Master!$A:$A, 0)) ),
"")
</f>
        <v>2</v>
      </c>
      <c r="G415" s="17">
        <f t="array" ref="G415">IFERROR(
 ( INDEX(Pack_Master!E:E, MATCH($D415, Pack_Master!A:A, 0))
   * INDEX(Pack_Master!F:F, MATCH($D415, Pack_Master!A:A, 0))
   * INDEX(Pack_Master!G:G, MATCH($D415, Pack_Master!A:A, 0))
 ) / INDEX(Config!C:C, MATCH($A415, Config!A:A, 0)),
"")
</f>
        <v>0.375</v>
      </c>
      <c r="H415" s="17">
        <f t="array" ref="H415">MAX( INDEX(Pack_Master!H:H, MATCH($D415, Pack_Master!A:A, 0)),
      IFERROR(G415, 0) )
</f>
        <v>0.5</v>
      </c>
      <c r="I415" s="18">
        <f>IFERROR(__xludf.DUMMYFUNCTION("IFERROR(
 INDEX(
   FILTER(Shipping_Rate_Card!B:F, Shipping_Rate_Card!A:A=$A415),
   MATCH($H415, FILTER(Shipping_Rate_Card!B:B, Shipping_Rate_Card!A:A=$A415), 1),
   IF( INDEX(Config!B:B, MATCH($A415, Config!A:A, 0))=""Local"", 2,
     IF( INDEX(Config!B"&amp;":B, MATCH($A415, Config!A:A, 0))=""Regional"", 3, 4 )
   )
 ),
"""")
"),67.0)</f>
        <v>67</v>
      </c>
      <c r="J415" s="16">
        <f>IFERROR(__xludf.DUMMYFUNCTION("IFERROR(
 ( E415 * INDEX(FILTER(Pricing_Rules!E:E, Pricing_Rules!A:A=A415, Pricing_Rules!B:B=B415, Pricing_Rules!C:C&lt;=E415, Pricing_Rules!D:D&gt;=E415), 1)
   + INDEX(FILTER(Pricing_Rules!F:F, Pricing_Rules!A:A=A415, Pricing_Rules!B:B=B415, Pricing_Rules!C:C"&amp;"&lt;=E415, Pricing_Rules!D:D&gt;=E415), 1)
 )
 * (1 + IFERROR( INDEX(Config!D:D, MATCH(A415, Config!A:A, 0)), 0 )),
"""")
"),5.8999999999999995)</f>
        <v>5.9</v>
      </c>
      <c r="K415" s="19">
        <f t="shared" si="3"/>
        <v>-74.9</v>
      </c>
      <c r="L415" s="20" t="str">
        <f t="shared" si="4"/>
        <v/>
      </c>
    </row>
    <row r="416" ht="15.75" customHeight="1">
      <c r="A416" s="9" t="s">
        <v>9</v>
      </c>
      <c r="B416" s="12" t="str">
        <f t="array" ref="B416">XLOOKUP(C416, Channel_Listings!C:C, Channel_Listings!B:B)
</f>
        <v>Apparel_Caps_Beanies</v>
      </c>
      <c r="C416" s="23" t="s">
        <v>562</v>
      </c>
      <c r="D416" s="14" t="str">
        <f t="array" ref="D416">XLOOKUP(C416, Channel_Listings!C:C, Channel_Listings!D:D)
</f>
        <v>CAP-BASEBALL-PO2-BLACKYELLOW</v>
      </c>
      <c r="E416" s="15"/>
      <c r="F416" s="16">
        <f t="array" ref="F416">IFERROR(
  VALUE( INDEX(Product_Master!$I:$I,
               MATCH( INDEX(Pack_Master!$B:$B, MATCH($D416, Pack_Master!$A:$A, 0)),
                      Product_Master!$B:$B, 0)
  )) 
  * VALUE( INDEX(Pack_Master!$C:$C, MATCH($D416, Pack_Master!$A:$A, 0)) )
  + VALUE( INDEX(Pack_Master!$D:$D, MATCH($D416, Pack_Master!$A:$A, 0)) ),
"")
</f>
        <v>2</v>
      </c>
      <c r="G416" s="17">
        <f t="array" ref="G416">IFERROR(
 ( INDEX(Pack_Master!E:E, MATCH($D416, Pack_Master!A:A, 0))
   * INDEX(Pack_Master!F:F, MATCH($D416, Pack_Master!A:A, 0))
   * INDEX(Pack_Master!G:G, MATCH($D416, Pack_Master!A:A, 0))
 ) / INDEX(Config!C:C, MATCH($A416, Config!A:A, 0)),
"")
</f>
        <v>0.375</v>
      </c>
      <c r="H416" s="17">
        <f t="array" ref="H416">MAX( INDEX(Pack_Master!H:H, MATCH($D416, Pack_Master!A:A, 0)),
      IFERROR(G416, 0) )
</f>
        <v>0.5</v>
      </c>
      <c r="I416" s="18">
        <f>IFERROR(__xludf.DUMMYFUNCTION("IFERROR(
 INDEX(
   FILTER(Shipping_Rate_Card!B:F, Shipping_Rate_Card!A:A=$A416),
   MATCH($H416, FILTER(Shipping_Rate_Card!B:B, Shipping_Rate_Card!A:A=$A416), 1),
   IF( INDEX(Config!B:B, MATCH($A416, Config!A:A, 0))=""Local"", 2,
     IF( INDEX(Config!B"&amp;":B, MATCH($A416, Config!A:A, 0))=""Regional"", 3, 4 )
   )
 ),
"""")
"),67.0)</f>
        <v>67</v>
      </c>
      <c r="J416" s="16">
        <f>IFERROR(__xludf.DUMMYFUNCTION("IFERROR(
 ( E416 * INDEX(FILTER(Pricing_Rules!E:E, Pricing_Rules!A:A=A416, Pricing_Rules!B:B=B416, Pricing_Rules!C:C&lt;=E416, Pricing_Rules!D:D&gt;=E416), 1)
   + INDEX(FILTER(Pricing_Rules!F:F, Pricing_Rules!A:A=A416, Pricing_Rules!B:B=B416, Pricing_Rules!C:C"&amp;"&lt;=E416, Pricing_Rules!D:D&gt;=E416), 1)
 )
 * (1 + IFERROR( INDEX(Config!D:D, MATCH(A416, Config!A:A, 0)), 0 )),
"""")
"),5.8999999999999995)</f>
        <v>5.9</v>
      </c>
      <c r="K416" s="19">
        <f t="shared" si="3"/>
        <v>-74.9</v>
      </c>
      <c r="L416" s="20" t="str">
        <f t="shared" si="4"/>
        <v/>
      </c>
    </row>
    <row r="417" ht="15.75" customHeight="1">
      <c r="A417" s="9" t="s">
        <v>9</v>
      </c>
      <c r="B417" s="12" t="str">
        <f t="array" ref="B417">XLOOKUP(C417, Channel_Listings!C:C, Channel_Listings!B:B)
</f>
        <v>Apparel_Caps_Beanies</v>
      </c>
      <c r="C417" s="23" t="s">
        <v>564</v>
      </c>
      <c r="D417" s="14" t="str">
        <f t="array" ref="D417">XLOOKUP(C417, Channel_Listings!C:C, Channel_Listings!D:D)
</f>
        <v>CAP-BASEBALL-PO2-CHARCOALWHITE</v>
      </c>
      <c r="E417" s="15"/>
      <c r="F417" s="16">
        <f t="array" ref="F417">IFERROR(
  VALUE( INDEX(Product_Master!$I:$I,
               MATCH( INDEX(Pack_Master!$B:$B, MATCH($D417, Pack_Master!$A:$A, 0)),
                      Product_Master!$B:$B, 0)
  )) 
  * VALUE( INDEX(Pack_Master!$C:$C, MATCH($D417, Pack_Master!$A:$A, 0)) )
  + VALUE( INDEX(Pack_Master!$D:$D, MATCH($D417, Pack_Master!$A:$A, 0)) ),
"")
</f>
        <v>2</v>
      </c>
      <c r="G417" s="17">
        <f t="array" ref="G417">IFERROR(
 ( INDEX(Pack_Master!E:E, MATCH($D417, Pack_Master!A:A, 0))
   * INDEX(Pack_Master!F:F, MATCH($D417, Pack_Master!A:A, 0))
   * INDEX(Pack_Master!G:G, MATCH($D417, Pack_Master!A:A, 0))
 ) / INDEX(Config!C:C, MATCH($A417, Config!A:A, 0)),
"")
</f>
        <v>0.375</v>
      </c>
      <c r="H417" s="17">
        <f t="array" ref="H417">MAX( INDEX(Pack_Master!H:H, MATCH($D417, Pack_Master!A:A, 0)),
      IFERROR(G417, 0) )
</f>
        <v>0.5</v>
      </c>
      <c r="I417" s="18">
        <f>IFERROR(__xludf.DUMMYFUNCTION("IFERROR(
 INDEX(
   FILTER(Shipping_Rate_Card!B:F, Shipping_Rate_Card!A:A=$A417),
   MATCH($H417, FILTER(Shipping_Rate_Card!B:B, Shipping_Rate_Card!A:A=$A417), 1),
   IF( INDEX(Config!B:B, MATCH($A417, Config!A:A, 0))=""Local"", 2,
     IF( INDEX(Config!B"&amp;":B, MATCH($A417, Config!A:A, 0))=""Regional"", 3, 4 )
   )
 ),
"""")
"),67.0)</f>
        <v>67</v>
      </c>
      <c r="J417" s="16">
        <f>IFERROR(__xludf.DUMMYFUNCTION("IFERROR(
 ( E417 * INDEX(FILTER(Pricing_Rules!E:E, Pricing_Rules!A:A=A417, Pricing_Rules!B:B=B417, Pricing_Rules!C:C&lt;=E417, Pricing_Rules!D:D&gt;=E417), 1)
   + INDEX(FILTER(Pricing_Rules!F:F, Pricing_Rules!A:A=A417, Pricing_Rules!B:B=B417, Pricing_Rules!C:C"&amp;"&lt;=E417, Pricing_Rules!D:D&gt;=E417), 1)
 )
 * (1 + IFERROR( INDEX(Config!D:D, MATCH(A417, Config!A:A, 0)), 0 )),
"""")
"),5.8999999999999995)</f>
        <v>5.9</v>
      </c>
      <c r="K417" s="19">
        <f t="shared" si="3"/>
        <v>-74.9</v>
      </c>
      <c r="L417" s="20" t="str">
        <f t="shared" si="4"/>
        <v/>
      </c>
    </row>
    <row r="418" ht="15.75" customHeight="1">
      <c r="A418" s="9" t="s">
        <v>9</v>
      </c>
      <c r="B418" s="12" t="str">
        <f t="array" ref="B418">XLOOKUP(C418, Channel_Listings!C:C, Channel_Listings!B:B)
</f>
        <v>Apparel_Caps_Beanies</v>
      </c>
      <c r="C418" s="23" t="s">
        <v>566</v>
      </c>
      <c r="D418" s="14" t="str">
        <f t="array" ref="D418">XLOOKUP(C418, Channel_Listings!C:C, Channel_Listings!D:D)
</f>
        <v>CAP-BASEBALL-PO2-GREENRED</v>
      </c>
      <c r="E418" s="15"/>
      <c r="F418" s="16">
        <f t="array" ref="F418">IFERROR(
  VALUE( INDEX(Product_Master!$I:$I,
               MATCH( INDEX(Pack_Master!$B:$B, MATCH($D418, Pack_Master!$A:$A, 0)),
                      Product_Master!$B:$B, 0)
  )) 
  * VALUE( INDEX(Pack_Master!$C:$C, MATCH($D418, Pack_Master!$A:$A, 0)) )
  + VALUE( INDEX(Pack_Master!$D:$D, MATCH($D418, Pack_Master!$A:$A, 0)) ),
"")
</f>
        <v>2</v>
      </c>
      <c r="G418" s="17">
        <f t="array" ref="G418">IFERROR(
 ( INDEX(Pack_Master!E:E, MATCH($D418, Pack_Master!A:A, 0))
   * INDEX(Pack_Master!F:F, MATCH($D418, Pack_Master!A:A, 0))
   * INDEX(Pack_Master!G:G, MATCH($D418, Pack_Master!A:A, 0))
 ) / INDEX(Config!C:C, MATCH($A418, Config!A:A, 0)),
"")
</f>
        <v>0.375</v>
      </c>
      <c r="H418" s="17">
        <f t="array" ref="H418">MAX( INDEX(Pack_Master!H:H, MATCH($D418, Pack_Master!A:A, 0)),
      IFERROR(G418, 0) )
</f>
        <v>0.5</v>
      </c>
      <c r="I418" s="18">
        <f>IFERROR(__xludf.DUMMYFUNCTION("IFERROR(
 INDEX(
   FILTER(Shipping_Rate_Card!B:F, Shipping_Rate_Card!A:A=$A418),
   MATCH($H418, FILTER(Shipping_Rate_Card!B:B, Shipping_Rate_Card!A:A=$A418), 1),
   IF( INDEX(Config!B:B, MATCH($A418, Config!A:A, 0))=""Local"", 2,
     IF( INDEX(Config!B"&amp;":B, MATCH($A418, Config!A:A, 0))=""Regional"", 3, 4 )
   )
 ),
"""")
"),67.0)</f>
        <v>67</v>
      </c>
      <c r="J418" s="16">
        <f>IFERROR(__xludf.DUMMYFUNCTION("IFERROR(
 ( E418 * INDEX(FILTER(Pricing_Rules!E:E, Pricing_Rules!A:A=A418, Pricing_Rules!B:B=B418, Pricing_Rules!C:C&lt;=E418, Pricing_Rules!D:D&gt;=E418), 1)
   + INDEX(FILTER(Pricing_Rules!F:F, Pricing_Rules!A:A=A418, Pricing_Rules!B:B=B418, Pricing_Rules!C:C"&amp;"&lt;=E418, Pricing_Rules!D:D&gt;=E418), 1)
 )
 * (1 + IFERROR( INDEX(Config!D:D, MATCH(A418, Config!A:A, 0)), 0 )),
"""")
"),5.8999999999999995)</f>
        <v>5.9</v>
      </c>
      <c r="K418" s="19">
        <f t="shared" si="3"/>
        <v>-74.9</v>
      </c>
      <c r="L418" s="20" t="str">
        <f t="shared" si="4"/>
        <v/>
      </c>
    </row>
    <row r="419" ht="15.75" customHeight="1">
      <c r="A419" s="9" t="s">
        <v>9</v>
      </c>
      <c r="B419" s="12" t="str">
        <f t="array" ref="B419">XLOOKUP(C419, Channel_Listings!C:C, Channel_Listings!B:B)
</f>
        <v>Apparel_Caps_Beanies</v>
      </c>
      <c r="C419" s="23" t="s">
        <v>568</v>
      </c>
      <c r="D419" s="14" t="str">
        <f t="array" ref="D419">XLOOKUP(C419, Channel_Listings!C:C, Channel_Listings!D:D)
</f>
        <v>CAP-BASEBALL-PO2-GREYCHARCOAL</v>
      </c>
      <c r="E419" s="15"/>
      <c r="F419" s="16">
        <f t="array" ref="F419">IFERROR(
  VALUE( INDEX(Product_Master!$I:$I,
               MATCH( INDEX(Pack_Master!$B:$B, MATCH($D419, Pack_Master!$A:$A, 0)),
                      Product_Master!$B:$B, 0)
  )) 
  * VALUE( INDEX(Pack_Master!$C:$C, MATCH($D419, Pack_Master!$A:$A, 0)) )
  + VALUE( INDEX(Pack_Master!$D:$D, MATCH($D419, Pack_Master!$A:$A, 0)) ),
"")
</f>
        <v>2</v>
      </c>
      <c r="G419" s="17">
        <f t="array" ref="G419">IFERROR(
 ( INDEX(Pack_Master!E:E, MATCH($D419, Pack_Master!A:A, 0))
   * INDEX(Pack_Master!F:F, MATCH($D419, Pack_Master!A:A, 0))
   * INDEX(Pack_Master!G:G, MATCH($D419, Pack_Master!A:A, 0))
 ) / INDEX(Config!C:C, MATCH($A419, Config!A:A, 0)),
"")
</f>
        <v>0.375</v>
      </c>
      <c r="H419" s="17">
        <f t="array" ref="H419">MAX( INDEX(Pack_Master!H:H, MATCH($D419, Pack_Master!A:A, 0)),
      IFERROR(G419, 0) )
</f>
        <v>0.5</v>
      </c>
      <c r="I419" s="18">
        <f>IFERROR(__xludf.DUMMYFUNCTION("IFERROR(
 INDEX(
   FILTER(Shipping_Rate_Card!B:F, Shipping_Rate_Card!A:A=$A419),
   MATCH($H419, FILTER(Shipping_Rate_Card!B:B, Shipping_Rate_Card!A:A=$A419), 1),
   IF( INDEX(Config!B:B, MATCH($A419, Config!A:A, 0))=""Local"", 2,
     IF( INDEX(Config!B"&amp;":B, MATCH($A419, Config!A:A, 0))=""Regional"", 3, 4 )
   )
 ),
"""")
"),67.0)</f>
        <v>67</v>
      </c>
      <c r="J419" s="16">
        <f>IFERROR(__xludf.DUMMYFUNCTION("IFERROR(
 ( E419 * INDEX(FILTER(Pricing_Rules!E:E, Pricing_Rules!A:A=A419, Pricing_Rules!B:B=B419, Pricing_Rules!C:C&lt;=E419, Pricing_Rules!D:D&gt;=E419), 1)
   + INDEX(FILTER(Pricing_Rules!F:F, Pricing_Rules!A:A=A419, Pricing_Rules!B:B=B419, Pricing_Rules!C:C"&amp;"&lt;=E419, Pricing_Rules!D:D&gt;=E419), 1)
 )
 * (1 + IFERROR( INDEX(Config!D:D, MATCH(A419, Config!A:A, 0)), 0 )),
"""")
"),5.8999999999999995)</f>
        <v>5.9</v>
      </c>
      <c r="K419" s="19">
        <f t="shared" si="3"/>
        <v>-74.9</v>
      </c>
      <c r="L419" s="20" t="str">
        <f t="shared" si="4"/>
        <v/>
      </c>
    </row>
    <row r="420" ht="15.75" customHeight="1">
      <c r="A420" s="9" t="s">
        <v>9</v>
      </c>
      <c r="B420" s="12" t="str">
        <f t="array" ref="B420">XLOOKUP(C420, Channel_Listings!C:C, Channel_Listings!B:B)
</f>
        <v>Apparel_Caps_Beanies</v>
      </c>
      <c r="C420" s="23" t="s">
        <v>570</v>
      </c>
      <c r="D420" s="14" t="str">
        <f t="array" ref="D420">XLOOKUP(C420, Channel_Listings!C:C, Channel_Listings!D:D)
</f>
        <v>CAP-BASEBALL-PO2-GREYWHITE</v>
      </c>
      <c r="E420" s="15"/>
      <c r="F420" s="16">
        <f t="array" ref="F420">IFERROR(
  VALUE( INDEX(Product_Master!$I:$I,
               MATCH( INDEX(Pack_Master!$B:$B, MATCH($D420, Pack_Master!$A:$A, 0)),
                      Product_Master!$B:$B, 0)
  )) 
  * VALUE( INDEX(Pack_Master!$C:$C, MATCH($D420, Pack_Master!$A:$A, 0)) )
  + VALUE( INDEX(Pack_Master!$D:$D, MATCH($D420, Pack_Master!$A:$A, 0)) ),
"")
</f>
        <v>2</v>
      </c>
      <c r="G420" s="17">
        <f t="array" ref="G420">IFERROR(
 ( INDEX(Pack_Master!E:E, MATCH($D420, Pack_Master!A:A, 0))
   * INDEX(Pack_Master!F:F, MATCH($D420, Pack_Master!A:A, 0))
   * INDEX(Pack_Master!G:G, MATCH($D420, Pack_Master!A:A, 0))
 ) / INDEX(Config!C:C, MATCH($A420, Config!A:A, 0)),
"")
</f>
        <v>0.375</v>
      </c>
      <c r="H420" s="17">
        <f t="array" ref="H420">MAX( INDEX(Pack_Master!H:H, MATCH($D420, Pack_Master!A:A, 0)),
      IFERROR(G420, 0) )
</f>
        <v>0.5</v>
      </c>
      <c r="I420" s="18">
        <f>IFERROR(__xludf.DUMMYFUNCTION("IFERROR(
 INDEX(
   FILTER(Shipping_Rate_Card!B:F, Shipping_Rate_Card!A:A=$A420),
   MATCH($H420, FILTER(Shipping_Rate_Card!B:B, Shipping_Rate_Card!A:A=$A420), 1),
   IF( INDEX(Config!B:B, MATCH($A420, Config!A:A, 0))=""Local"", 2,
     IF( INDEX(Config!B"&amp;":B, MATCH($A420, Config!A:A, 0))=""Regional"", 3, 4 )
   )
 ),
"""")
"),67.0)</f>
        <v>67</v>
      </c>
      <c r="J420" s="16">
        <f>IFERROR(__xludf.DUMMYFUNCTION("IFERROR(
 ( E420 * INDEX(FILTER(Pricing_Rules!E:E, Pricing_Rules!A:A=A420, Pricing_Rules!B:B=B420, Pricing_Rules!C:C&lt;=E420, Pricing_Rules!D:D&gt;=E420), 1)
   + INDEX(FILTER(Pricing_Rules!F:F, Pricing_Rules!A:A=A420, Pricing_Rules!B:B=B420, Pricing_Rules!C:C"&amp;"&lt;=E420, Pricing_Rules!D:D&gt;=E420), 1)
 )
 * (1 + IFERROR( INDEX(Config!D:D, MATCH(A420, Config!A:A, 0)), 0 )),
"""")
"),5.8999999999999995)</f>
        <v>5.9</v>
      </c>
      <c r="K420" s="19">
        <f t="shared" si="3"/>
        <v>-74.9</v>
      </c>
      <c r="L420" s="20" t="str">
        <f t="shared" si="4"/>
        <v/>
      </c>
    </row>
    <row r="421" ht="15.75" customHeight="1">
      <c r="A421" s="9" t="s">
        <v>9</v>
      </c>
      <c r="B421" s="12" t="str">
        <f t="array" ref="B421">XLOOKUP(C421, Channel_Listings!C:C, Channel_Listings!B:B)
</f>
        <v>Apparel_Caps_Beanies</v>
      </c>
      <c r="C421" s="23" t="s">
        <v>572</v>
      </c>
      <c r="D421" s="14" t="str">
        <f t="array" ref="D421">XLOOKUP(C421, Channel_Listings!C:C, Channel_Listings!D:D)
</f>
        <v>CAP-BASEBALL-PO2-MAROONGREY</v>
      </c>
      <c r="E421" s="15"/>
      <c r="F421" s="16">
        <f t="array" ref="F421">IFERROR(
  VALUE( INDEX(Product_Master!$I:$I,
               MATCH( INDEX(Pack_Master!$B:$B, MATCH($D421, Pack_Master!$A:$A, 0)),
                      Product_Master!$B:$B, 0)
  )) 
  * VALUE( INDEX(Pack_Master!$C:$C, MATCH($D421, Pack_Master!$A:$A, 0)) )
  + VALUE( INDEX(Pack_Master!$D:$D, MATCH($D421, Pack_Master!$A:$A, 0)) ),
"")
</f>
        <v>2</v>
      </c>
      <c r="G421" s="17">
        <f t="array" ref="G421">IFERROR(
 ( INDEX(Pack_Master!E:E, MATCH($D421, Pack_Master!A:A, 0))
   * INDEX(Pack_Master!F:F, MATCH($D421, Pack_Master!A:A, 0))
   * INDEX(Pack_Master!G:G, MATCH($D421, Pack_Master!A:A, 0))
 ) / INDEX(Config!C:C, MATCH($A421, Config!A:A, 0)),
"")
</f>
        <v>0.375</v>
      </c>
      <c r="H421" s="17">
        <f t="array" ref="H421">MAX( INDEX(Pack_Master!H:H, MATCH($D421, Pack_Master!A:A, 0)),
      IFERROR(G421, 0) )
</f>
        <v>0.5</v>
      </c>
      <c r="I421" s="18">
        <f>IFERROR(__xludf.DUMMYFUNCTION("IFERROR(
 INDEX(
   FILTER(Shipping_Rate_Card!B:F, Shipping_Rate_Card!A:A=$A421),
   MATCH($H421, FILTER(Shipping_Rate_Card!B:B, Shipping_Rate_Card!A:A=$A421), 1),
   IF( INDEX(Config!B:B, MATCH($A421, Config!A:A, 0))=""Local"", 2,
     IF( INDEX(Config!B"&amp;":B, MATCH($A421, Config!A:A, 0))=""Regional"", 3, 4 )
   )
 ),
"""")
"),67.0)</f>
        <v>67</v>
      </c>
      <c r="J421" s="16">
        <f>IFERROR(__xludf.DUMMYFUNCTION("IFERROR(
 ( E421 * INDEX(FILTER(Pricing_Rules!E:E, Pricing_Rules!A:A=A421, Pricing_Rules!B:B=B421, Pricing_Rules!C:C&lt;=E421, Pricing_Rules!D:D&gt;=E421), 1)
   + INDEX(FILTER(Pricing_Rules!F:F, Pricing_Rules!A:A=A421, Pricing_Rules!B:B=B421, Pricing_Rules!C:C"&amp;"&lt;=E421, Pricing_Rules!D:D&gt;=E421), 1)
 )
 * (1 + IFERROR( INDEX(Config!D:D, MATCH(A421, Config!A:A, 0)), 0 )),
"""")
"),5.8999999999999995)</f>
        <v>5.9</v>
      </c>
      <c r="K421" s="19">
        <f t="shared" si="3"/>
        <v>-74.9</v>
      </c>
      <c r="L421" s="20" t="str">
        <f t="shared" si="4"/>
        <v/>
      </c>
    </row>
    <row r="422" ht="15.75" customHeight="1">
      <c r="A422" s="9" t="s">
        <v>9</v>
      </c>
      <c r="B422" s="12" t="str">
        <f t="array" ref="B422">XLOOKUP(C422, Channel_Listings!C:C, Channel_Listings!B:B)
</f>
        <v>Apparel_Caps_Beanies</v>
      </c>
      <c r="C422" s="23" t="s">
        <v>574</v>
      </c>
      <c r="D422" s="14" t="str">
        <f t="array" ref="D422">XLOOKUP(C422, Channel_Listings!C:C, Channel_Listings!D:D)
</f>
        <v>CAP-BASEBALL-PO2-NAVYBLUEYELLOW</v>
      </c>
      <c r="E422" s="15"/>
      <c r="F422" s="16">
        <f t="array" ref="F422">IFERROR(
  VALUE( INDEX(Product_Master!$I:$I,
               MATCH( INDEX(Pack_Master!$B:$B, MATCH($D422, Pack_Master!$A:$A, 0)),
                      Product_Master!$B:$B, 0)
  )) 
  * VALUE( INDEX(Pack_Master!$C:$C, MATCH($D422, Pack_Master!$A:$A, 0)) )
  + VALUE( INDEX(Pack_Master!$D:$D, MATCH($D422, Pack_Master!$A:$A, 0)) ),
"")
</f>
        <v>2</v>
      </c>
      <c r="G422" s="17">
        <f t="array" ref="G422">IFERROR(
 ( INDEX(Pack_Master!E:E, MATCH($D422, Pack_Master!A:A, 0))
   * INDEX(Pack_Master!F:F, MATCH($D422, Pack_Master!A:A, 0))
   * INDEX(Pack_Master!G:G, MATCH($D422, Pack_Master!A:A, 0))
 ) / INDEX(Config!C:C, MATCH($A422, Config!A:A, 0)),
"")
</f>
        <v>0.375</v>
      </c>
      <c r="H422" s="17">
        <f t="array" ref="H422">MAX( INDEX(Pack_Master!H:H, MATCH($D422, Pack_Master!A:A, 0)),
      IFERROR(G422, 0) )
</f>
        <v>0.5</v>
      </c>
      <c r="I422" s="18">
        <f>IFERROR(__xludf.DUMMYFUNCTION("IFERROR(
 INDEX(
   FILTER(Shipping_Rate_Card!B:F, Shipping_Rate_Card!A:A=$A422),
   MATCH($H422, FILTER(Shipping_Rate_Card!B:B, Shipping_Rate_Card!A:A=$A422), 1),
   IF( INDEX(Config!B:B, MATCH($A422, Config!A:A, 0))=""Local"", 2,
     IF( INDEX(Config!B"&amp;":B, MATCH($A422, Config!A:A, 0))=""Regional"", 3, 4 )
   )
 ),
"""")
"),67.0)</f>
        <v>67</v>
      </c>
      <c r="J422" s="16">
        <f>IFERROR(__xludf.DUMMYFUNCTION("IFERROR(
 ( E422 * INDEX(FILTER(Pricing_Rules!E:E, Pricing_Rules!A:A=A422, Pricing_Rules!B:B=B422, Pricing_Rules!C:C&lt;=E422, Pricing_Rules!D:D&gt;=E422), 1)
   + INDEX(FILTER(Pricing_Rules!F:F, Pricing_Rules!A:A=A422, Pricing_Rules!B:B=B422, Pricing_Rules!C:C"&amp;"&lt;=E422, Pricing_Rules!D:D&gt;=E422), 1)
 )
 * (1 + IFERROR( INDEX(Config!D:D, MATCH(A422, Config!A:A, 0)), 0 )),
"""")
"),5.8999999999999995)</f>
        <v>5.9</v>
      </c>
      <c r="K422" s="19">
        <f t="shared" si="3"/>
        <v>-74.9</v>
      </c>
      <c r="L422" s="20" t="str">
        <f t="shared" si="4"/>
        <v/>
      </c>
    </row>
    <row r="423" ht="15.75" customHeight="1">
      <c r="A423" s="9" t="s">
        <v>9</v>
      </c>
      <c r="B423" s="12" t="str">
        <f t="array" ref="B423">XLOOKUP(C423, Channel_Listings!C:C, Channel_Listings!B:B)
</f>
        <v>Apparel_Caps_Beanies</v>
      </c>
      <c r="C423" s="23" t="s">
        <v>576</v>
      </c>
      <c r="D423" s="14" t="str">
        <f t="array" ref="D423">XLOOKUP(C423, Channel_Listings!C:C, Channel_Listings!D:D)
</f>
        <v>CAP-BASEBALL-PO2-OLIVEBEIGE</v>
      </c>
      <c r="E423" s="15"/>
      <c r="F423" s="16">
        <f t="array" ref="F423">IFERROR(
  VALUE( INDEX(Product_Master!$I:$I,
               MATCH( INDEX(Pack_Master!$B:$B, MATCH($D423, Pack_Master!$A:$A, 0)),
                      Product_Master!$B:$B, 0)
  )) 
  * VALUE( INDEX(Pack_Master!$C:$C, MATCH($D423, Pack_Master!$A:$A, 0)) )
  + VALUE( INDEX(Pack_Master!$D:$D, MATCH($D423, Pack_Master!$A:$A, 0)) ),
"")
</f>
        <v>2</v>
      </c>
      <c r="G423" s="17">
        <f t="array" ref="G423">IFERROR(
 ( INDEX(Pack_Master!E:E, MATCH($D423, Pack_Master!A:A, 0))
   * INDEX(Pack_Master!F:F, MATCH($D423, Pack_Master!A:A, 0))
   * INDEX(Pack_Master!G:G, MATCH($D423, Pack_Master!A:A, 0))
 ) / INDEX(Config!C:C, MATCH($A423, Config!A:A, 0)),
"")
</f>
        <v>0.375</v>
      </c>
      <c r="H423" s="17">
        <f t="array" ref="H423">MAX( INDEX(Pack_Master!H:H, MATCH($D423, Pack_Master!A:A, 0)),
      IFERROR(G423, 0) )
</f>
        <v>0.5</v>
      </c>
      <c r="I423" s="18">
        <f>IFERROR(__xludf.DUMMYFUNCTION("IFERROR(
 INDEX(
   FILTER(Shipping_Rate_Card!B:F, Shipping_Rate_Card!A:A=$A423),
   MATCH($H423, FILTER(Shipping_Rate_Card!B:B, Shipping_Rate_Card!A:A=$A423), 1),
   IF( INDEX(Config!B:B, MATCH($A423, Config!A:A, 0))=""Local"", 2,
     IF( INDEX(Config!B"&amp;":B, MATCH($A423, Config!A:A, 0))=""Regional"", 3, 4 )
   )
 ),
"""")
"),67.0)</f>
        <v>67</v>
      </c>
      <c r="J423" s="16">
        <f>IFERROR(__xludf.DUMMYFUNCTION("IFERROR(
 ( E423 * INDEX(FILTER(Pricing_Rules!E:E, Pricing_Rules!A:A=A423, Pricing_Rules!B:B=B423, Pricing_Rules!C:C&lt;=E423, Pricing_Rules!D:D&gt;=E423), 1)
   + INDEX(FILTER(Pricing_Rules!F:F, Pricing_Rules!A:A=A423, Pricing_Rules!B:B=B423, Pricing_Rules!C:C"&amp;"&lt;=E423, Pricing_Rules!D:D&gt;=E423), 1)
 )
 * (1 + IFERROR( INDEX(Config!D:D, MATCH(A423, Config!A:A, 0)), 0 )),
"""")
"),5.8999999999999995)</f>
        <v>5.9</v>
      </c>
      <c r="K423" s="19">
        <f t="shared" si="3"/>
        <v>-74.9</v>
      </c>
      <c r="L423" s="20" t="str">
        <f t="shared" si="4"/>
        <v/>
      </c>
    </row>
    <row r="424" ht="15.75" customHeight="1">
      <c r="A424" s="9" t="s">
        <v>9</v>
      </c>
      <c r="B424" s="12" t="str">
        <f t="array" ref="B424">XLOOKUP(C424, Channel_Listings!C:C, Channel_Listings!B:B)
</f>
        <v>Apparel_Caps_Beanies</v>
      </c>
      <c r="C424" s="23" t="s">
        <v>579</v>
      </c>
      <c r="D424" s="14" t="str">
        <f t="array" ref="D424">XLOOKUP(C424, Channel_Listings!C:C, Channel_Listings!D:D)
</f>
        <v>CAP-BASEBALL-PO2-OLIVECHARCOAL</v>
      </c>
      <c r="E424" s="15"/>
      <c r="F424" s="16">
        <f t="array" ref="F424">IFERROR(
  VALUE( INDEX(Product_Master!$I:$I,
               MATCH( INDEX(Pack_Master!$B:$B, MATCH($D424, Pack_Master!$A:$A, 0)),
                      Product_Master!$B:$B, 0)
  )) 
  * VALUE( INDEX(Pack_Master!$C:$C, MATCH($D424, Pack_Master!$A:$A, 0)) )
  + VALUE( INDEX(Pack_Master!$D:$D, MATCH($D424, Pack_Master!$A:$A, 0)) ),
"")
</f>
        <v>2</v>
      </c>
      <c r="G424" s="17">
        <f t="array" ref="G424">IFERROR(
 ( INDEX(Pack_Master!E:E, MATCH($D424, Pack_Master!A:A, 0))
   * INDEX(Pack_Master!F:F, MATCH($D424, Pack_Master!A:A, 0))
   * INDEX(Pack_Master!G:G, MATCH($D424, Pack_Master!A:A, 0))
 ) / INDEX(Config!C:C, MATCH($A424, Config!A:A, 0)),
"")
</f>
        <v>0.375</v>
      </c>
      <c r="H424" s="17">
        <f t="array" ref="H424">MAX( INDEX(Pack_Master!H:H, MATCH($D424, Pack_Master!A:A, 0)),
      IFERROR(G424, 0) )
</f>
        <v>0.5</v>
      </c>
      <c r="I424" s="18">
        <f>IFERROR(__xludf.DUMMYFUNCTION("IFERROR(
 INDEX(
   FILTER(Shipping_Rate_Card!B:F, Shipping_Rate_Card!A:A=$A424),
   MATCH($H424, FILTER(Shipping_Rate_Card!B:B, Shipping_Rate_Card!A:A=$A424), 1),
   IF( INDEX(Config!B:B, MATCH($A424, Config!A:A, 0))=""Local"", 2,
     IF( INDEX(Config!B"&amp;":B, MATCH($A424, Config!A:A, 0))=""Regional"", 3, 4 )
   )
 ),
"""")
"),67.0)</f>
        <v>67</v>
      </c>
      <c r="J424" s="16">
        <f>IFERROR(__xludf.DUMMYFUNCTION("IFERROR(
 ( E424 * INDEX(FILTER(Pricing_Rules!E:E, Pricing_Rules!A:A=A424, Pricing_Rules!B:B=B424, Pricing_Rules!C:C&lt;=E424, Pricing_Rules!D:D&gt;=E424), 1)
   + INDEX(FILTER(Pricing_Rules!F:F, Pricing_Rules!A:A=A424, Pricing_Rules!B:B=B424, Pricing_Rules!C:C"&amp;"&lt;=E424, Pricing_Rules!D:D&gt;=E424), 1)
 )
 * (1 + IFERROR( INDEX(Config!D:D, MATCH(A424, Config!A:A, 0)), 0 )),
"""")
"),5.8999999999999995)</f>
        <v>5.9</v>
      </c>
      <c r="K424" s="19">
        <f t="shared" si="3"/>
        <v>-74.9</v>
      </c>
      <c r="L424" s="20" t="str">
        <f t="shared" si="4"/>
        <v/>
      </c>
    </row>
    <row r="425" ht="15.75" customHeight="1">
      <c r="A425" s="9" t="s">
        <v>9</v>
      </c>
      <c r="B425" s="12" t="str">
        <f t="array" ref="B425">XLOOKUP(C425, Channel_Listings!C:C, Channel_Listings!B:B)
</f>
        <v>Apparel_Caps_Beanies</v>
      </c>
      <c r="C425" s="23" t="s">
        <v>581</v>
      </c>
      <c r="D425" s="14" t="str">
        <f t="array" ref="D425">XLOOKUP(C425, Channel_Listings!C:C, Channel_Listings!D:D)
</f>
        <v>CAP-BASEBALL-PO2-ORANGEGREY</v>
      </c>
      <c r="E425" s="15"/>
      <c r="F425" s="16">
        <f t="array" ref="F425">IFERROR(
  VALUE( INDEX(Product_Master!$I:$I,
               MATCH( INDEX(Pack_Master!$B:$B, MATCH($D425, Pack_Master!$A:$A, 0)),
                      Product_Master!$B:$B, 0)
  )) 
  * VALUE( INDEX(Pack_Master!$C:$C, MATCH($D425, Pack_Master!$A:$A, 0)) )
  + VALUE( INDEX(Pack_Master!$D:$D, MATCH($D425, Pack_Master!$A:$A, 0)) ),
"")
</f>
        <v>2</v>
      </c>
      <c r="G425" s="17">
        <f t="array" ref="G425">IFERROR(
 ( INDEX(Pack_Master!E:E, MATCH($D425, Pack_Master!A:A, 0))
   * INDEX(Pack_Master!F:F, MATCH($D425, Pack_Master!A:A, 0))
   * INDEX(Pack_Master!G:G, MATCH($D425, Pack_Master!A:A, 0))
 ) / INDEX(Config!C:C, MATCH($A425, Config!A:A, 0)),
"")
</f>
        <v>0.375</v>
      </c>
      <c r="H425" s="17">
        <f t="array" ref="H425">MAX( INDEX(Pack_Master!H:H, MATCH($D425, Pack_Master!A:A, 0)),
      IFERROR(G425, 0) )
</f>
        <v>0.5</v>
      </c>
      <c r="I425" s="18">
        <f>IFERROR(__xludf.DUMMYFUNCTION("IFERROR(
 INDEX(
   FILTER(Shipping_Rate_Card!B:F, Shipping_Rate_Card!A:A=$A425),
   MATCH($H425, FILTER(Shipping_Rate_Card!B:B, Shipping_Rate_Card!A:A=$A425), 1),
   IF( INDEX(Config!B:B, MATCH($A425, Config!A:A, 0))=""Local"", 2,
     IF( INDEX(Config!B"&amp;":B, MATCH($A425, Config!A:A, 0))=""Regional"", 3, 4 )
   )
 ),
"""")
"),67.0)</f>
        <v>67</v>
      </c>
      <c r="J425" s="16">
        <f>IFERROR(__xludf.DUMMYFUNCTION("IFERROR(
 ( E425 * INDEX(FILTER(Pricing_Rules!E:E, Pricing_Rules!A:A=A425, Pricing_Rules!B:B=B425, Pricing_Rules!C:C&lt;=E425, Pricing_Rules!D:D&gt;=E425), 1)
   + INDEX(FILTER(Pricing_Rules!F:F, Pricing_Rules!A:A=A425, Pricing_Rules!B:B=B425, Pricing_Rules!C:C"&amp;"&lt;=E425, Pricing_Rules!D:D&gt;=E425), 1)
 )
 * (1 + IFERROR( INDEX(Config!D:D, MATCH(A425, Config!A:A, 0)), 0 )),
"""")
"),5.8999999999999995)</f>
        <v>5.9</v>
      </c>
      <c r="K425" s="19">
        <f t="shared" si="3"/>
        <v>-74.9</v>
      </c>
      <c r="L425" s="20" t="str">
        <f t="shared" si="4"/>
        <v/>
      </c>
    </row>
    <row r="426" ht="15.75" customHeight="1">
      <c r="A426" s="9" t="s">
        <v>9</v>
      </c>
      <c r="B426" s="12" t="str">
        <f t="array" ref="B426">XLOOKUP(C426, Channel_Listings!C:C, Channel_Listings!B:B)
</f>
        <v>Apparel_Caps_Beanies</v>
      </c>
      <c r="C426" s="23" t="s">
        <v>583</v>
      </c>
      <c r="D426" s="14" t="str">
        <f t="array" ref="D426">XLOOKUP(C426, Channel_Listings!C:C, Channel_Listings!D:D)
</f>
        <v>CAP-BASEBALL-PO2-ORANGESKYBLUE</v>
      </c>
      <c r="E426" s="15"/>
      <c r="F426" s="16">
        <f t="array" ref="F426">IFERROR(
  VALUE( INDEX(Product_Master!$I:$I,
               MATCH( INDEX(Pack_Master!$B:$B, MATCH($D426, Pack_Master!$A:$A, 0)),
                      Product_Master!$B:$B, 0)
  )) 
  * VALUE( INDEX(Pack_Master!$C:$C, MATCH($D426, Pack_Master!$A:$A, 0)) )
  + VALUE( INDEX(Pack_Master!$D:$D, MATCH($D426, Pack_Master!$A:$A, 0)) ),
"")
</f>
        <v>2</v>
      </c>
      <c r="G426" s="17">
        <f t="array" ref="G426">IFERROR(
 ( INDEX(Pack_Master!E:E, MATCH($D426, Pack_Master!A:A, 0))
   * INDEX(Pack_Master!F:F, MATCH($D426, Pack_Master!A:A, 0))
   * INDEX(Pack_Master!G:G, MATCH($D426, Pack_Master!A:A, 0))
 ) / INDEX(Config!C:C, MATCH($A426, Config!A:A, 0)),
"")
</f>
        <v>0.375</v>
      </c>
      <c r="H426" s="17">
        <f t="array" ref="H426">MAX( INDEX(Pack_Master!H:H, MATCH($D426, Pack_Master!A:A, 0)),
      IFERROR(G426, 0) )
</f>
        <v>0.5</v>
      </c>
      <c r="I426" s="18">
        <f>IFERROR(__xludf.DUMMYFUNCTION("IFERROR(
 INDEX(
   FILTER(Shipping_Rate_Card!B:F, Shipping_Rate_Card!A:A=$A426),
   MATCH($H426, FILTER(Shipping_Rate_Card!B:B, Shipping_Rate_Card!A:A=$A426), 1),
   IF( INDEX(Config!B:B, MATCH($A426, Config!A:A, 0))=""Local"", 2,
     IF( INDEX(Config!B"&amp;":B, MATCH($A426, Config!A:A, 0))=""Regional"", 3, 4 )
   )
 ),
"""")
"),67.0)</f>
        <v>67</v>
      </c>
      <c r="J426" s="16">
        <f>IFERROR(__xludf.DUMMYFUNCTION("IFERROR(
 ( E426 * INDEX(FILTER(Pricing_Rules!E:E, Pricing_Rules!A:A=A426, Pricing_Rules!B:B=B426, Pricing_Rules!C:C&lt;=E426, Pricing_Rules!D:D&gt;=E426), 1)
   + INDEX(FILTER(Pricing_Rules!F:F, Pricing_Rules!A:A=A426, Pricing_Rules!B:B=B426, Pricing_Rules!C:C"&amp;"&lt;=E426, Pricing_Rules!D:D&gt;=E426), 1)
 )
 * (1 + IFERROR( INDEX(Config!D:D, MATCH(A426, Config!A:A, 0)), 0 )),
"""")
"),5.8999999999999995)</f>
        <v>5.9</v>
      </c>
      <c r="K426" s="19">
        <f t="shared" si="3"/>
        <v>-74.9</v>
      </c>
      <c r="L426" s="20" t="str">
        <f t="shared" si="4"/>
        <v/>
      </c>
    </row>
    <row r="427" ht="15.75" customHeight="1">
      <c r="A427" s="9" t="s">
        <v>9</v>
      </c>
      <c r="B427" s="12" t="str">
        <f t="array" ref="B427">XLOOKUP(C427, Channel_Listings!C:C, Channel_Listings!B:B)
</f>
        <v>Apparel_Caps_Beanies</v>
      </c>
      <c r="C427" s="23" t="s">
        <v>585</v>
      </c>
      <c r="D427" s="14" t="str">
        <f t="array" ref="D427">XLOOKUP(C427, Channel_Listings!C:C, Channel_Listings!D:D)
</f>
        <v>CAP-BASEBALL-PO2-PINKCHARCOAL</v>
      </c>
      <c r="E427" s="15"/>
      <c r="F427" s="16">
        <f t="array" ref="F427">IFERROR(
  VALUE( INDEX(Product_Master!$I:$I,
               MATCH( INDEX(Pack_Master!$B:$B, MATCH($D427, Pack_Master!$A:$A, 0)),
                      Product_Master!$B:$B, 0)
  )) 
  * VALUE( INDEX(Pack_Master!$C:$C, MATCH($D427, Pack_Master!$A:$A, 0)) )
  + VALUE( INDEX(Pack_Master!$D:$D, MATCH($D427, Pack_Master!$A:$A, 0)) ),
"")
</f>
        <v>2</v>
      </c>
      <c r="G427" s="17">
        <f t="array" ref="G427">IFERROR(
 ( INDEX(Pack_Master!E:E, MATCH($D427, Pack_Master!A:A, 0))
   * INDEX(Pack_Master!F:F, MATCH($D427, Pack_Master!A:A, 0))
   * INDEX(Pack_Master!G:G, MATCH($D427, Pack_Master!A:A, 0))
 ) / INDEX(Config!C:C, MATCH($A427, Config!A:A, 0)),
"")
</f>
        <v>0.375</v>
      </c>
      <c r="H427" s="17">
        <f t="array" ref="H427">MAX( INDEX(Pack_Master!H:H, MATCH($D427, Pack_Master!A:A, 0)),
      IFERROR(G427, 0) )
</f>
        <v>0.5</v>
      </c>
      <c r="I427" s="18">
        <f>IFERROR(__xludf.DUMMYFUNCTION("IFERROR(
 INDEX(
   FILTER(Shipping_Rate_Card!B:F, Shipping_Rate_Card!A:A=$A427),
   MATCH($H427, FILTER(Shipping_Rate_Card!B:B, Shipping_Rate_Card!A:A=$A427), 1),
   IF( INDEX(Config!B:B, MATCH($A427, Config!A:A, 0))=""Local"", 2,
     IF( INDEX(Config!B"&amp;":B, MATCH($A427, Config!A:A, 0))=""Regional"", 3, 4 )
   )
 ),
"""")
"),67.0)</f>
        <v>67</v>
      </c>
      <c r="J427" s="16">
        <f>IFERROR(__xludf.DUMMYFUNCTION("IFERROR(
 ( E427 * INDEX(FILTER(Pricing_Rules!E:E, Pricing_Rules!A:A=A427, Pricing_Rules!B:B=B427, Pricing_Rules!C:C&lt;=E427, Pricing_Rules!D:D&gt;=E427), 1)
   + INDEX(FILTER(Pricing_Rules!F:F, Pricing_Rules!A:A=A427, Pricing_Rules!B:B=B427, Pricing_Rules!C:C"&amp;"&lt;=E427, Pricing_Rules!D:D&gt;=E427), 1)
 )
 * (1 + IFERROR( INDEX(Config!D:D, MATCH(A427, Config!A:A, 0)), 0 )),
"""")
"),5.8999999999999995)</f>
        <v>5.9</v>
      </c>
      <c r="K427" s="19">
        <f t="shared" si="3"/>
        <v>-74.9</v>
      </c>
      <c r="L427" s="20" t="str">
        <f t="shared" si="4"/>
        <v/>
      </c>
    </row>
    <row r="428" ht="15.75" customHeight="1">
      <c r="A428" s="9" t="s">
        <v>9</v>
      </c>
      <c r="B428" s="12" t="str">
        <f t="array" ref="B428">XLOOKUP(C428, Channel_Listings!C:C, Channel_Listings!B:B)
</f>
        <v>Apparel_Caps_Beanies</v>
      </c>
      <c r="C428" s="23" t="s">
        <v>587</v>
      </c>
      <c r="D428" s="14" t="str">
        <f t="array" ref="D428">XLOOKUP(C428, Channel_Listings!C:C, Channel_Listings!D:D)
</f>
        <v>CAP-BASEBALL-PO2-PINKSKYBLUE</v>
      </c>
      <c r="E428" s="15"/>
      <c r="F428" s="16">
        <f t="array" ref="F428">IFERROR(
  VALUE( INDEX(Product_Master!$I:$I,
               MATCH( INDEX(Pack_Master!$B:$B, MATCH($D428, Pack_Master!$A:$A, 0)),
                      Product_Master!$B:$B, 0)
  )) 
  * VALUE( INDEX(Pack_Master!$C:$C, MATCH($D428, Pack_Master!$A:$A, 0)) )
  + VALUE( INDEX(Pack_Master!$D:$D, MATCH($D428, Pack_Master!$A:$A, 0)) ),
"")
</f>
        <v>2</v>
      </c>
      <c r="G428" s="17">
        <f t="array" ref="G428">IFERROR(
 ( INDEX(Pack_Master!E:E, MATCH($D428, Pack_Master!A:A, 0))
   * INDEX(Pack_Master!F:F, MATCH($D428, Pack_Master!A:A, 0))
   * INDEX(Pack_Master!G:G, MATCH($D428, Pack_Master!A:A, 0))
 ) / INDEX(Config!C:C, MATCH($A428, Config!A:A, 0)),
"")
</f>
        <v>0.375</v>
      </c>
      <c r="H428" s="17">
        <f t="array" ref="H428">MAX( INDEX(Pack_Master!H:H, MATCH($D428, Pack_Master!A:A, 0)),
      IFERROR(G428, 0) )
</f>
        <v>0.5</v>
      </c>
      <c r="I428" s="18">
        <f>IFERROR(__xludf.DUMMYFUNCTION("IFERROR(
 INDEX(
   FILTER(Shipping_Rate_Card!B:F, Shipping_Rate_Card!A:A=$A428),
   MATCH($H428, FILTER(Shipping_Rate_Card!B:B, Shipping_Rate_Card!A:A=$A428), 1),
   IF( INDEX(Config!B:B, MATCH($A428, Config!A:A, 0))=""Local"", 2,
     IF( INDEX(Config!B"&amp;":B, MATCH($A428, Config!A:A, 0))=""Regional"", 3, 4 )
   )
 ),
"""")
"),67.0)</f>
        <v>67</v>
      </c>
      <c r="J428" s="16">
        <f>IFERROR(__xludf.DUMMYFUNCTION("IFERROR(
 ( E428 * INDEX(FILTER(Pricing_Rules!E:E, Pricing_Rules!A:A=A428, Pricing_Rules!B:B=B428, Pricing_Rules!C:C&lt;=E428, Pricing_Rules!D:D&gt;=E428), 1)
   + INDEX(FILTER(Pricing_Rules!F:F, Pricing_Rules!A:A=A428, Pricing_Rules!B:B=B428, Pricing_Rules!C:C"&amp;"&lt;=E428, Pricing_Rules!D:D&gt;=E428), 1)
 )
 * (1 + IFERROR( INDEX(Config!D:D, MATCH(A428, Config!A:A, 0)), 0 )),
"""")
"),5.8999999999999995)</f>
        <v>5.9</v>
      </c>
      <c r="K428" s="19">
        <f t="shared" si="3"/>
        <v>-74.9</v>
      </c>
      <c r="L428" s="20" t="str">
        <f t="shared" si="4"/>
        <v/>
      </c>
    </row>
    <row r="429" ht="15.75" customHeight="1">
      <c r="A429" s="9" t="s">
        <v>9</v>
      </c>
      <c r="B429" s="12" t="str">
        <f t="array" ref="B429">XLOOKUP(C429, Channel_Listings!C:C, Channel_Listings!B:B)
</f>
        <v>Apparel_Caps_Beanies</v>
      </c>
      <c r="C429" s="23" t="s">
        <v>590</v>
      </c>
      <c r="D429" s="14" t="str">
        <f t="array" ref="D429">XLOOKUP(C429, Channel_Listings!C:C, Channel_Listings!D:D)
</f>
        <v>CAP-BASEBALL-PO2-PINKWHITE</v>
      </c>
      <c r="E429" s="15"/>
      <c r="F429" s="16">
        <f t="array" ref="F429">IFERROR(
  VALUE( INDEX(Product_Master!$I:$I,
               MATCH( INDEX(Pack_Master!$B:$B, MATCH($D429, Pack_Master!$A:$A, 0)),
                      Product_Master!$B:$B, 0)
  )) 
  * VALUE( INDEX(Pack_Master!$C:$C, MATCH($D429, Pack_Master!$A:$A, 0)) )
  + VALUE( INDEX(Pack_Master!$D:$D, MATCH($D429, Pack_Master!$A:$A, 0)) ),
"")
</f>
        <v>2</v>
      </c>
      <c r="G429" s="17">
        <f t="array" ref="G429">IFERROR(
 ( INDEX(Pack_Master!E:E, MATCH($D429, Pack_Master!A:A, 0))
   * INDEX(Pack_Master!F:F, MATCH($D429, Pack_Master!A:A, 0))
   * INDEX(Pack_Master!G:G, MATCH($D429, Pack_Master!A:A, 0))
 ) / INDEX(Config!C:C, MATCH($A429, Config!A:A, 0)),
"")
</f>
        <v>0.375</v>
      </c>
      <c r="H429" s="17">
        <f t="array" ref="H429">MAX( INDEX(Pack_Master!H:H, MATCH($D429, Pack_Master!A:A, 0)),
      IFERROR(G429, 0) )
</f>
        <v>0.5</v>
      </c>
      <c r="I429" s="18">
        <f>IFERROR(__xludf.DUMMYFUNCTION("IFERROR(
 INDEX(
   FILTER(Shipping_Rate_Card!B:F, Shipping_Rate_Card!A:A=$A429),
   MATCH($H429, FILTER(Shipping_Rate_Card!B:B, Shipping_Rate_Card!A:A=$A429), 1),
   IF( INDEX(Config!B:B, MATCH($A429, Config!A:A, 0))=""Local"", 2,
     IF( INDEX(Config!B"&amp;":B, MATCH($A429, Config!A:A, 0))=""Regional"", 3, 4 )
   )
 ),
"""")
"),67.0)</f>
        <v>67</v>
      </c>
      <c r="J429" s="16">
        <f>IFERROR(__xludf.DUMMYFUNCTION("IFERROR(
 ( E429 * INDEX(FILTER(Pricing_Rules!E:E, Pricing_Rules!A:A=A429, Pricing_Rules!B:B=B429, Pricing_Rules!C:C&lt;=E429, Pricing_Rules!D:D&gt;=E429), 1)
   + INDEX(FILTER(Pricing_Rules!F:F, Pricing_Rules!A:A=A429, Pricing_Rules!B:B=B429, Pricing_Rules!C:C"&amp;"&lt;=E429, Pricing_Rules!D:D&gt;=E429), 1)
 )
 * (1 + IFERROR( INDEX(Config!D:D, MATCH(A429, Config!A:A, 0)), 0 )),
"""")
"),5.8999999999999995)</f>
        <v>5.9</v>
      </c>
      <c r="K429" s="19">
        <f t="shared" si="3"/>
        <v>-74.9</v>
      </c>
      <c r="L429" s="20" t="str">
        <f t="shared" si="4"/>
        <v/>
      </c>
    </row>
    <row r="430" ht="15.75" customHeight="1">
      <c r="A430" s="9" t="s">
        <v>9</v>
      </c>
      <c r="B430" s="12" t="str">
        <f t="array" ref="B430">XLOOKUP(C430, Channel_Listings!C:C, Channel_Listings!B:B)
</f>
        <v>Apparel_Caps_Beanies</v>
      </c>
      <c r="C430" s="23" t="s">
        <v>593</v>
      </c>
      <c r="D430" s="14" t="str">
        <f t="array" ref="D430">XLOOKUP(C430, Channel_Listings!C:C, Channel_Listings!D:D)
</f>
        <v>CAP-BASEBALL-PO2-WHITEMUSTARD</v>
      </c>
      <c r="E430" s="15"/>
      <c r="F430" s="16">
        <f t="array" ref="F430">IFERROR(
  VALUE( INDEX(Product_Master!$I:$I,
               MATCH( INDEX(Pack_Master!$B:$B, MATCH($D430, Pack_Master!$A:$A, 0)),
                      Product_Master!$B:$B, 0)
  )) 
  * VALUE( INDEX(Pack_Master!$C:$C, MATCH($D430, Pack_Master!$A:$A, 0)) )
  + VALUE( INDEX(Pack_Master!$D:$D, MATCH($D430, Pack_Master!$A:$A, 0)) ),
"")
</f>
        <v>2</v>
      </c>
      <c r="G430" s="17">
        <f t="array" ref="G430">IFERROR(
 ( INDEX(Pack_Master!E:E, MATCH($D430, Pack_Master!A:A, 0))
   * INDEX(Pack_Master!F:F, MATCH($D430, Pack_Master!A:A, 0))
   * INDEX(Pack_Master!G:G, MATCH($D430, Pack_Master!A:A, 0))
 ) / INDEX(Config!C:C, MATCH($A430, Config!A:A, 0)),
"")
</f>
        <v>0.375</v>
      </c>
      <c r="H430" s="17">
        <f t="array" ref="H430">MAX( INDEX(Pack_Master!H:H, MATCH($D430, Pack_Master!A:A, 0)),
      IFERROR(G430, 0) )
</f>
        <v>0.5</v>
      </c>
      <c r="I430" s="18">
        <f>IFERROR(__xludf.DUMMYFUNCTION("IFERROR(
 INDEX(
   FILTER(Shipping_Rate_Card!B:F, Shipping_Rate_Card!A:A=$A430),
   MATCH($H430, FILTER(Shipping_Rate_Card!B:B, Shipping_Rate_Card!A:A=$A430), 1),
   IF( INDEX(Config!B:B, MATCH($A430, Config!A:A, 0))=""Local"", 2,
     IF( INDEX(Config!B"&amp;":B, MATCH($A430, Config!A:A, 0))=""Regional"", 3, 4 )
   )
 ),
"""")
"),67.0)</f>
        <v>67</v>
      </c>
      <c r="J430" s="16">
        <f>IFERROR(__xludf.DUMMYFUNCTION("IFERROR(
 ( E430 * INDEX(FILTER(Pricing_Rules!E:E, Pricing_Rules!A:A=A430, Pricing_Rules!B:B=B430, Pricing_Rules!C:C&lt;=E430, Pricing_Rules!D:D&gt;=E430), 1)
   + INDEX(FILTER(Pricing_Rules!F:F, Pricing_Rules!A:A=A430, Pricing_Rules!B:B=B430, Pricing_Rules!C:C"&amp;"&lt;=E430, Pricing_Rules!D:D&gt;=E430), 1)
 )
 * (1 + IFERROR( INDEX(Config!D:D, MATCH(A430, Config!A:A, 0)), 0 )),
"""")
"),5.8999999999999995)</f>
        <v>5.9</v>
      </c>
      <c r="K430" s="19">
        <f t="shared" si="3"/>
        <v>-74.9</v>
      </c>
      <c r="L430" s="20" t="str">
        <f t="shared" si="4"/>
        <v/>
      </c>
    </row>
    <row r="431" ht="15.75" customHeight="1">
      <c r="A431" s="9" t="s">
        <v>9</v>
      </c>
      <c r="B431" s="12" t="str">
        <f t="array" ref="B431">XLOOKUP(C431, Channel_Listings!C:C, Channel_Listings!B:B)
</f>
        <v>Apparel_Caps_Beanies</v>
      </c>
      <c r="C431" s="23" t="s">
        <v>596</v>
      </c>
      <c r="D431" s="14" t="str">
        <f t="array" ref="D431">XLOOKUP(C431, Channel_Listings!C:C, Channel_Listings!D:D)
</f>
        <v>CAP-BASEBALL-PLAIN-RED</v>
      </c>
      <c r="E431" s="15"/>
      <c r="F431" s="16">
        <f t="array" ref="F431">IFERROR(
  VALUE( INDEX(Product_Master!$I:$I,
               MATCH( INDEX(Pack_Master!$B:$B, MATCH($D431, Pack_Master!$A:$A, 0)),
                      Product_Master!$B:$B, 0)
  )) 
  * VALUE( INDEX(Pack_Master!$C:$C, MATCH($D431, Pack_Master!$A:$A, 0)) )
  + VALUE( INDEX(Pack_Master!$D:$D, MATCH($D431, Pack_Master!$A:$A, 0)) ),
"")
</f>
        <v>89</v>
      </c>
      <c r="G431" s="17">
        <f t="array" ref="G431">IFERROR(
 ( INDEX(Pack_Master!E:E, MATCH($D431, Pack_Master!A:A, 0))
   * INDEX(Pack_Master!F:F, MATCH($D431, Pack_Master!A:A, 0))
   * INDEX(Pack_Master!G:G, MATCH($D431, Pack_Master!A:A, 0))
 ) / INDEX(Config!C:C, MATCH($A431, Config!A:A, 0)),
"")
</f>
        <v>0.375</v>
      </c>
      <c r="H431" s="17">
        <f t="array" ref="H431">MAX( INDEX(Pack_Master!H:H, MATCH($D431, Pack_Master!A:A, 0)),
      IFERROR(G431, 0) )
</f>
        <v>0.5</v>
      </c>
      <c r="I431" s="18">
        <f>IFERROR(__xludf.DUMMYFUNCTION("IFERROR(
 INDEX(
   FILTER(Shipping_Rate_Card!B:F, Shipping_Rate_Card!A:A=$A431),
   MATCH($H431, FILTER(Shipping_Rate_Card!B:B, Shipping_Rate_Card!A:A=$A431), 1),
   IF( INDEX(Config!B:B, MATCH($A431, Config!A:A, 0))=""Local"", 2,
     IF( INDEX(Config!B"&amp;":B, MATCH($A431, Config!A:A, 0))=""Regional"", 3, 4 )
   )
 ),
"""")
"),67.0)</f>
        <v>67</v>
      </c>
      <c r="J431" s="16">
        <f>IFERROR(__xludf.DUMMYFUNCTION("IFERROR(
 ( E431 * INDEX(FILTER(Pricing_Rules!E:E, Pricing_Rules!A:A=A431, Pricing_Rules!B:B=B431, Pricing_Rules!C:C&lt;=E431, Pricing_Rules!D:D&gt;=E431), 1)
   + INDEX(FILTER(Pricing_Rules!F:F, Pricing_Rules!A:A=A431, Pricing_Rules!B:B=B431, Pricing_Rules!C:C"&amp;"&lt;=E431, Pricing_Rules!D:D&gt;=E431), 1)
 )
 * (1 + IFERROR( INDEX(Config!D:D, MATCH(A431, Config!A:A, 0)), 0 )),
"""")
"),5.8999999999999995)</f>
        <v>5.9</v>
      </c>
      <c r="K431" s="19">
        <f t="shared" si="3"/>
        <v>-161.9</v>
      </c>
      <c r="L431" s="20" t="str">
        <f t="shared" si="4"/>
        <v/>
      </c>
    </row>
    <row r="432" ht="15.75" customHeight="1">
      <c r="A432" s="9" t="s">
        <v>9</v>
      </c>
      <c r="B432" s="12" t="str">
        <f t="array" ref="B432">XLOOKUP(C432, Channel_Listings!C:C, Channel_Listings!B:B)
</f>
        <v>Apparel_Caps_Beanies</v>
      </c>
      <c r="C432" s="23" t="s">
        <v>597</v>
      </c>
      <c r="D432" s="14" t="str">
        <f t="array" ref="D432">XLOOKUP(C432, Channel_Listings!C:C, Channel_Listings!D:D)
</f>
        <v>CAP-BASEBALL-PLAIN-SKYBLUE</v>
      </c>
      <c r="E432" s="15"/>
      <c r="F432" s="16">
        <f t="array" ref="F432">IFERROR(
  VALUE( INDEX(Product_Master!$I:$I,
               MATCH( INDEX(Pack_Master!$B:$B, MATCH($D432, Pack_Master!$A:$A, 0)),
                      Product_Master!$B:$B, 0)
  )) 
  * VALUE( INDEX(Pack_Master!$C:$C, MATCH($D432, Pack_Master!$A:$A, 0)) )
  + VALUE( INDEX(Pack_Master!$D:$D, MATCH($D432, Pack_Master!$A:$A, 0)) ),
"")
</f>
        <v>89</v>
      </c>
      <c r="G432" s="17">
        <f t="array" ref="G432">IFERROR(
 ( INDEX(Pack_Master!E:E, MATCH($D432, Pack_Master!A:A, 0))
   * INDEX(Pack_Master!F:F, MATCH($D432, Pack_Master!A:A, 0))
   * INDEX(Pack_Master!G:G, MATCH($D432, Pack_Master!A:A, 0))
 ) / INDEX(Config!C:C, MATCH($A432, Config!A:A, 0)),
"")
</f>
        <v>0.375</v>
      </c>
      <c r="H432" s="17">
        <f t="array" ref="H432">MAX( INDEX(Pack_Master!H:H, MATCH($D432, Pack_Master!A:A, 0)),
      IFERROR(G432, 0) )
</f>
        <v>0.5</v>
      </c>
      <c r="I432" s="18">
        <f>IFERROR(__xludf.DUMMYFUNCTION("IFERROR(
 INDEX(
   FILTER(Shipping_Rate_Card!B:F, Shipping_Rate_Card!A:A=$A432),
   MATCH($H432, FILTER(Shipping_Rate_Card!B:B, Shipping_Rate_Card!A:A=$A432), 1),
   IF( INDEX(Config!B:B, MATCH($A432, Config!A:A, 0))=""Local"", 2,
     IF( INDEX(Config!B"&amp;":B, MATCH($A432, Config!A:A, 0))=""Regional"", 3, 4 )
   )
 ),
"""")
"),67.0)</f>
        <v>67</v>
      </c>
      <c r="J432" s="16">
        <f>IFERROR(__xludf.DUMMYFUNCTION("IFERROR(
 ( E432 * INDEX(FILTER(Pricing_Rules!E:E, Pricing_Rules!A:A=A432, Pricing_Rules!B:B=B432, Pricing_Rules!C:C&lt;=E432, Pricing_Rules!D:D&gt;=E432), 1)
   + INDEX(FILTER(Pricing_Rules!F:F, Pricing_Rules!A:A=A432, Pricing_Rules!B:B=B432, Pricing_Rules!C:C"&amp;"&lt;=E432, Pricing_Rules!D:D&gt;=E432), 1)
 )
 * (1 + IFERROR( INDEX(Config!D:D, MATCH(A432, Config!A:A, 0)), 0 )),
"""")
"),5.8999999999999995)</f>
        <v>5.9</v>
      </c>
      <c r="K432" s="19">
        <f t="shared" si="3"/>
        <v>-161.9</v>
      </c>
      <c r="L432" s="20" t="str">
        <f t="shared" si="4"/>
        <v/>
      </c>
    </row>
    <row r="433" ht="15.75" customHeight="1">
      <c r="A433" s="9" t="s">
        <v>9</v>
      </c>
      <c r="B433" s="12" t="str">
        <f t="array" ref="B433">XLOOKUP(C433, Channel_Listings!C:C, Channel_Listings!B:B)
</f>
        <v>Apparel_Caps_Beanies</v>
      </c>
      <c r="C433" s="23" t="s">
        <v>598</v>
      </c>
      <c r="D433" s="14" t="str">
        <f t="array" ref="D433">XLOOKUP(C433, Channel_Listings!C:C, Channel_Listings!D:D)
</f>
        <v>CAP-BASEBALL-PLAIN-WHITE</v>
      </c>
      <c r="E433" s="15"/>
      <c r="F433" s="16">
        <f t="array" ref="F433">IFERROR(
  VALUE( INDEX(Product_Master!$I:$I,
               MATCH( INDEX(Pack_Master!$B:$B, MATCH($D433, Pack_Master!$A:$A, 0)),
                      Product_Master!$B:$B, 0)
  )) 
  * VALUE( INDEX(Pack_Master!$C:$C, MATCH($D433, Pack_Master!$A:$A, 0)) )
  + VALUE( INDEX(Pack_Master!$D:$D, MATCH($D433, Pack_Master!$A:$A, 0)) ),
"")
</f>
        <v>89</v>
      </c>
      <c r="G433" s="17">
        <f t="array" ref="G433">IFERROR(
 ( INDEX(Pack_Master!E:E, MATCH($D433, Pack_Master!A:A, 0))
   * INDEX(Pack_Master!F:F, MATCH($D433, Pack_Master!A:A, 0))
   * INDEX(Pack_Master!G:G, MATCH($D433, Pack_Master!A:A, 0))
 ) / INDEX(Config!C:C, MATCH($A433, Config!A:A, 0)),
"")
</f>
        <v>0.375</v>
      </c>
      <c r="H433" s="17">
        <f t="array" ref="H433">MAX( INDEX(Pack_Master!H:H, MATCH($D433, Pack_Master!A:A, 0)),
      IFERROR(G433, 0) )
</f>
        <v>0.5</v>
      </c>
      <c r="I433" s="18">
        <f>IFERROR(__xludf.DUMMYFUNCTION("IFERROR(
 INDEX(
   FILTER(Shipping_Rate_Card!B:F, Shipping_Rate_Card!A:A=$A433),
   MATCH($H433, FILTER(Shipping_Rate_Card!B:B, Shipping_Rate_Card!A:A=$A433), 1),
   IF( INDEX(Config!B:B, MATCH($A433, Config!A:A, 0))=""Local"", 2,
     IF( INDEX(Config!B"&amp;":B, MATCH($A433, Config!A:A, 0))=""Regional"", 3, 4 )
   )
 ),
"""")
"),67.0)</f>
        <v>67</v>
      </c>
      <c r="J433" s="16">
        <f>IFERROR(__xludf.DUMMYFUNCTION("IFERROR(
 ( E433 * INDEX(FILTER(Pricing_Rules!E:E, Pricing_Rules!A:A=A433, Pricing_Rules!B:B=B433, Pricing_Rules!C:C&lt;=E433, Pricing_Rules!D:D&gt;=E433), 1)
   + INDEX(FILTER(Pricing_Rules!F:F, Pricing_Rules!A:A=A433, Pricing_Rules!B:B=B433, Pricing_Rules!C:C"&amp;"&lt;=E433, Pricing_Rules!D:D&gt;=E433), 1)
 )
 * (1 + IFERROR( INDEX(Config!D:D, MATCH(A433, Config!A:A, 0)), 0 )),
"""")
"),5.8999999999999995)</f>
        <v>5.9</v>
      </c>
      <c r="K433" s="19">
        <f t="shared" si="3"/>
        <v>-161.9</v>
      </c>
      <c r="L433" s="20" t="str">
        <f t="shared" si="4"/>
        <v/>
      </c>
    </row>
    <row r="434" ht="15.75" customHeight="1">
      <c r="A434" s="9" t="s">
        <v>9</v>
      </c>
      <c r="B434" s="12" t="str">
        <f t="array" ref="B434">XLOOKUP(C434, Channel_Listings!C:C, Channel_Listings!B:B)
</f>
        <v>Apparel_Caps_Beanies</v>
      </c>
      <c r="C434" s="23" t="s">
        <v>599</v>
      </c>
      <c r="D434" s="14" t="str">
        <f t="array" ref="D434">XLOOKUP(C434, Channel_Listings!C:C, Channel_Listings!D:D)
</f>
        <v>CAP-RAIN-BASEBALL-BLACK</v>
      </c>
      <c r="E434" s="15"/>
      <c r="F434" s="16">
        <f t="array" ref="F434">IFERROR(
  VALUE( INDEX(Product_Master!$I:$I,
               MATCH( INDEX(Pack_Master!$B:$B, MATCH($D434, Pack_Master!$A:$A, 0)),
                      Product_Master!$B:$B, 0)
  )) 
  * VALUE( INDEX(Pack_Master!$C:$C, MATCH($D434, Pack_Master!$A:$A, 0)) )
  + VALUE( INDEX(Pack_Master!$D:$D, MATCH($D434, Pack_Master!$A:$A, 0)) ),
"")
</f>
        <v>2</v>
      </c>
      <c r="G434" s="17">
        <f t="array" ref="G434">IFERROR(
 ( INDEX(Pack_Master!E:E, MATCH($D434, Pack_Master!A:A, 0))
   * INDEX(Pack_Master!F:F, MATCH($D434, Pack_Master!A:A, 0))
   * INDEX(Pack_Master!G:G, MATCH($D434, Pack_Master!A:A, 0))
 ) / INDEX(Config!C:C, MATCH($A434, Config!A:A, 0)),
"")
</f>
        <v>0.375</v>
      </c>
      <c r="H434" s="17">
        <f t="array" ref="H434">MAX( INDEX(Pack_Master!H:H, MATCH($D434, Pack_Master!A:A, 0)),
      IFERROR(G434, 0) )
</f>
        <v>0.5</v>
      </c>
      <c r="I434" s="18">
        <f>IFERROR(__xludf.DUMMYFUNCTION("IFERROR(
 INDEX(
   FILTER(Shipping_Rate_Card!B:F, Shipping_Rate_Card!A:A=$A434),
   MATCH($H434, FILTER(Shipping_Rate_Card!B:B, Shipping_Rate_Card!A:A=$A434), 1),
   IF( INDEX(Config!B:B, MATCH($A434, Config!A:A, 0))=""Local"", 2,
     IF( INDEX(Config!B"&amp;":B, MATCH($A434, Config!A:A, 0))=""Regional"", 3, 4 )
   )
 ),
"""")
"),67.0)</f>
        <v>67</v>
      </c>
      <c r="J434" s="16">
        <f>IFERROR(__xludf.DUMMYFUNCTION("IFERROR(
 ( E434 * INDEX(FILTER(Pricing_Rules!E:E, Pricing_Rules!A:A=A434, Pricing_Rules!B:B=B434, Pricing_Rules!C:C&lt;=E434, Pricing_Rules!D:D&gt;=E434), 1)
   + INDEX(FILTER(Pricing_Rules!F:F, Pricing_Rules!A:A=A434, Pricing_Rules!B:B=B434, Pricing_Rules!C:C"&amp;"&lt;=E434, Pricing_Rules!D:D&gt;=E434), 1)
 )
 * (1 + IFERROR( INDEX(Config!D:D, MATCH(A434, Config!A:A, 0)), 0 )),
"""")
"),5.8999999999999995)</f>
        <v>5.9</v>
      </c>
      <c r="K434" s="19">
        <f t="shared" si="3"/>
        <v>-74.9</v>
      </c>
      <c r="L434" s="20" t="str">
        <f t="shared" si="4"/>
        <v/>
      </c>
    </row>
    <row r="435" ht="15.75" customHeight="1">
      <c r="A435" s="9" t="s">
        <v>9</v>
      </c>
      <c r="B435" s="12" t="str">
        <f t="array" ref="B435">XLOOKUP(C435, Channel_Listings!C:C, Channel_Listings!B:B)
</f>
        <v>Apparel_Caps_Beanies</v>
      </c>
      <c r="C435" s="23" t="s">
        <v>601</v>
      </c>
      <c r="D435" s="14" t="str">
        <f t="array" ref="D435">XLOOKUP(C435, Channel_Listings!C:C, Channel_Listings!D:D)
</f>
        <v>CAP-RAIN-BASEBALL-GREY</v>
      </c>
      <c r="E435" s="15"/>
      <c r="F435" s="16">
        <f t="array" ref="F435">IFERROR(
  VALUE( INDEX(Product_Master!$I:$I,
               MATCH( INDEX(Pack_Master!$B:$B, MATCH($D435, Pack_Master!$A:$A, 0)),
                      Product_Master!$B:$B, 0)
  )) 
  * VALUE( INDEX(Pack_Master!$C:$C, MATCH($D435, Pack_Master!$A:$A, 0)) )
  + VALUE( INDEX(Pack_Master!$D:$D, MATCH($D435, Pack_Master!$A:$A, 0)) ),
"")
</f>
        <v>2</v>
      </c>
      <c r="G435" s="17">
        <f t="array" ref="G435">IFERROR(
 ( INDEX(Pack_Master!E:E, MATCH($D435, Pack_Master!A:A, 0))
   * INDEX(Pack_Master!F:F, MATCH($D435, Pack_Master!A:A, 0))
   * INDEX(Pack_Master!G:G, MATCH($D435, Pack_Master!A:A, 0))
 ) / INDEX(Config!C:C, MATCH($A435, Config!A:A, 0)),
"")
</f>
        <v>0.375</v>
      </c>
      <c r="H435" s="17">
        <f t="array" ref="H435">MAX( INDEX(Pack_Master!H:H, MATCH($D435, Pack_Master!A:A, 0)),
      IFERROR(G435, 0) )
</f>
        <v>0.5</v>
      </c>
      <c r="I435" s="18">
        <f>IFERROR(__xludf.DUMMYFUNCTION("IFERROR(
 INDEX(
   FILTER(Shipping_Rate_Card!B:F, Shipping_Rate_Card!A:A=$A435),
   MATCH($H435, FILTER(Shipping_Rate_Card!B:B, Shipping_Rate_Card!A:A=$A435), 1),
   IF( INDEX(Config!B:B, MATCH($A435, Config!A:A, 0))=""Local"", 2,
     IF( INDEX(Config!B"&amp;":B, MATCH($A435, Config!A:A, 0))=""Regional"", 3, 4 )
   )
 ),
"""")
"),67.0)</f>
        <v>67</v>
      </c>
      <c r="J435" s="16">
        <f>IFERROR(__xludf.DUMMYFUNCTION("IFERROR(
 ( E435 * INDEX(FILTER(Pricing_Rules!E:E, Pricing_Rules!A:A=A435, Pricing_Rules!B:B=B435, Pricing_Rules!C:C&lt;=E435, Pricing_Rules!D:D&gt;=E435), 1)
   + INDEX(FILTER(Pricing_Rules!F:F, Pricing_Rules!A:A=A435, Pricing_Rules!B:B=B435, Pricing_Rules!C:C"&amp;"&lt;=E435, Pricing_Rules!D:D&gt;=E435), 1)
 )
 * (1 + IFERROR( INDEX(Config!D:D, MATCH(A435, Config!A:A, 0)), 0 )),
"""")
"),5.8999999999999995)</f>
        <v>5.9</v>
      </c>
      <c r="K435" s="19">
        <f t="shared" si="3"/>
        <v>-74.9</v>
      </c>
      <c r="L435" s="20" t="str">
        <f t="shared" si="4"/>
        <v/>
      </c>
    </row>
    <row r="436" ht="15.75" customHeight="1">
      <c r="A436" s="9" t="s">
        <v>9</v>
      </c>
      <c r="B436" s="12" t="str">
        <f t="array" ref="B436">XLOOKUP(C436, Channel_Listings!C:C, Channel_Listings!B:B)
</f>
        <v>Apparel_Caps_Beanies</v>
      </c>
      <c r="C436" s="23" t="s">
        <v>604</v>
      </c>
      <c r="D436" s="14" t="str">
        <f t="array" ref="D436">XLOOKUP(C436, Channel_Listings!C:C, Channel_Listings!D:D)
</f>
        <v>CAP-RAIN-BASEBALL-NAVYBLUE</v>
      </c>
      <c r="E436" s="15"/>
      <c r="F436" s="16">
        <f t="array" ref="F436">IFERROR(
  VALUE( INDEX(Product_Master!$I:$I,
               MATCH( INDEX(Pack_Master!$B:$B, MATCH($D436, Pack_Master!$A:$A, 0)),
                      Product_Master!$B:$B, 0)
  )) 
  * VALUE( INDEX(Pack_Master!$C:$C, MATCH($D436, Pack_Master!$A:$A, 0)) )
  + VALUE( INDEX(Pack_Master!$D:$D, MATCH($D436, Pack_Master!$A:$A, 0)) ),
"")
</f>
        <v>2</v>
      </c>
      <c r="G436" s="17">
        <f t="array" ref="G436">IFERROR(
 ( INDEX(Pack_Master!E:E, MATCH($D436, Pack_Master!A:A, 0))
   * INDEX(Pack_Master!F:F, MATCH($D436, Pack_Master!A:A, 0))
   * INDEX(Pack_Master!G:G, MATCH($D436, Pack_Master!A:A, 0))
 ) / INDEX(Config!C:C, MATCH($A436, Config!A:A, 0)),
"")
</f>
        <v>0.375</v>
      </c>
      <c r="H436" s="17">
        <f t="array" ref="H436">MAX( INDEX(Pack_Master!H:H, MATCH($D436, Pack_Master!A:A, 0)),
      IFERROR(G436, 0) )
</f>
        <v>0.5</v>
      </c>
      <c r="I436" s="18">
        <f>IFERROR(__xludf.DUMMYFUNCTION("IFERROR(
 INDEX(
   FILTER(Shipping_Rate_Card!B:F, Shipping_Rate_Card!A:A=$A436),
   MATCH($H436, FILTER(Shipping_Rate_Card!B:B, Shipping_Rate_Card!A:A=$A436), 1),
   IF( INDEX(Config!B:B, MATCH($A436, Config!A:A, 0))=""Local"", 2,
     IF( INDEX(Config!B"&amp;":B, MATCH($A436, Config!A:A, 0))=""Regional"", 3, 4 )
   )
 ),
"""")
"),67.0)</f>
        <v>67</v>
      </c>
      <c r="J436" s="16">
        <f>IFERROR(__xludf.DUMMYFUNCTION("IFERROR(
 ( E436 * INDEX(FILTER(Pricing_Rules!E:E, Pricing_Rules!A:A=A436, Pricing_Rules!B:B=B436, Pricing_Rules!C:C&lt;=E436, Pricing_Rules!D:D&gt;=E436), 1)
   + INDEX(FILTER(Pricing_Rules!F:F, Pricing_Rules!A:A=A436, Pricing_Rules!B:B=B436, Pricing_Rules!C:C"&amp;"&lt;=E436, Pricing_Rules!D:D&gt;=E436), 1)
 )
 * (1 + IFERROR( INDEX(Config!D:D, MATCH(A436, Config!A:A, 0)), 0 )),
"""")
"),5.8999999999999995)</f>
        <v>5.9</v>
      </c>
      <c r="K436" s="19">
        <f t="shared" si="3"/>
        <v>-74.9</v>
      </c>
      <c r="L436" s="20" t="str">
        <f t="shared" si="4"/>
        <v/>
      </c>
    </row>
    <row r="437" ht="15.75" customHeight="1">
      <c r="A437" s="9" t="s">
        <v>9</v>
      </c>
      <c r="B437" s="12" t="str">
        <f t="array" ref="B437">XLOOKUP(C437, Channel_Listings!C:C, Channel_Listings!B:B)
</f>
        <v>Apparel_Caps_Beanies</v>
      </c>
      <c r="C437" s="22" t="s">
        <v>606</v>
      </c>
      <c r="D437" s="14" t="str">
        <f t="array" ref="D437">XLOOKUP(C437, Channel_Listings!C:C, Channel_Listings!D:D)
</f>
        <v>CAP-RAIN-MILITARY-BLACK</v>
      </c>
      <c r="E437" s="15"/>
      <c r="F437" s="16">
        <f t="array" ref="F437">IFERROR(
  VALUE( INDEX(Product_Master!$I:$I,
               MATCH( INDEX(Pack_Master!$B:$B, MATCH($D437, Pack_Master!$A:$A, 0)),
                      Product_Master!$B:$B, 0)
  )) 
  * VALUE( INDEX(Pack_Master!$C:$C, MATCH($D437, Pack_Master!$A:$A, 0)) )
  + VALUE( INDEX(Pack_Master!$D:$D, MATCH($D437, Pack_Master!$A:$A, 0)) ),
"")
</f>
        <v>2</v>
      </c>
      <c r="G437" s="17">
        <f t="array" ref="G437">IFERROR(
 ( INDEX(Pack_Master!E:E, MATCH($D437, Pack_Master!A:A, 0))
   * INDEX(Pack_Master!F:F, MATCH($D437, Pack_Master!A:A, 0))
   * INDEX(Pack_Master!G:G, MATCH($D437, Pack_Master!A:A, 0))
 ) / INDEX(Config!C:C, MATCH($A437, Config!A:A, 0)),
"")
</f>
        <v>0.375</v>
      </c>
      <c r="H437" s="17">
        <f t="array" ref="H437">MAX( INDEX(Pack_Master!H:H, MATCH($D437, Pack_Master!A:A, 0)),
      IFERROR(G437, 0) )
</f>
        <v>0.5</v>
      </c>
      <c r="I437" s="18">
        <f>IFERROR(__xludf.DUMMYFUNCTION("IFERROR(
 INDEX(
   FILTER(Shipping_Rate_Card!B:F, Shipping_Rate_Card!A:A=$A437),
   MATCH($H437, FILTER(Shipping_Rate_Card!B:B, Shipping_Rate_Card!A:A=$A437), 1),
   IF( INDEX(Config!B:B, MATCH($A437, Config!A:A, 0))=""Local"", 2,
     IF( INDEX(Config!B"&amp;":B, MATCH($A437, Config!A:A, 0))=""Regional"", 3, 4 )
   )
 ),
"""")
"),67.0)</f>
        <v>67</v>
      </c>
      <c r="J437" s="16">
        <f>IFERROR(__xludf.DUMMYFUNCTION("IFERROR(
 ( E437 * INDEX(FILTER(Pricing_Rules!E:E, Pricing_Rules!A:A=A437, Pricing_Rules!B:B=B437, Pricing_Rules!C:C&lt;=E437, Pricing_Rules!D:D&gt;=E437), 1)
   + INDEX(FILTER(Pricing_Rules!F:F, Pricing_Rules!A:A=A437, Pricing_Rules!B:B=B437, Pricing_Rules!C:C"&amp;"&lt;=E437, Pricing_Rules!D:D&gt;=E437), 1)
 )
 * (1 + IFERROR( INDEX(Config!D:D, MATCH(A437, Config!A:A, 0)), 0 )),
"""")
"),5.8999999999999995)</f>
        <v>5.9</v>
      </c>
      <c r="K437" s="19">
        <f t="shared" si="3"/>
        <v>-74.9</v>
      </c>
      <c r="L437" s="20" t="str">
        <f t="shared" si="4"/>
        <v/>
      </c>
    </row>
    <row r="438" ht="15.75" customHeight="1">
      <c r="A438" s="9" t="s">
        <v>9</v>
      </c>
      <c r="B438" s="12" t="str">
        <f t="array" ref="B438">XLOOKUP(C438, Channel_Listings!C:C, Channel_Listings!B:B)
</f>
        <v>Apparel_Caps_Beanies</v>
      </c>
      <c r="C438" s="22" t="s">
        <v>609</v>
      </c>
      <c r="D438" s="14" t="str">
        <f t="array" ref="D438">XLOOKUP(C438, Channel_Listings!C:C, Channel_Listings!D:D)
</f>
        <v>CAP-RAIN-MILITARY-GREEN</v>
      </c>
      <c r="E438" s="15"/>
      <c r="F438" s="16">
        <f t="array" ref="F438">IFERROR(
  VALUE( INDEX(Product_Master!$I:$I,
               MATCH( INDEX(Pack_Master!$B:$B, MATCH($D438, Pack_Master!$A:$A, 0)),
                      Product_Master!$B:$B, 0)
  )) 
  * VALUE( INDEX(Pack_Master!$C:$C, MATCH($D438, Pack_Master!$A:$A, 0)) )
  + VALUE( INDEX(Pack_Master!$D:$D, MATCH($D438, Pack_Master!$A:$A, 0)) ),
"")
</f>
        <v>2</v>
      </c>
      <c r="G438" s="17">
        <f t="array" ref="G438">IFERROR(
 ( INDEX(Pack_Master!E:E, MATCH($D438, Pack_Master!A:A, 0))
   * INDEX(Pack_Master!F:F, MATCH($D438, Pack_Master!A:A, 0))
   * INDEX(Pack_Master!G:G, MATCH($D438, Pack_Master!A:A, 0))
 ) / INDEX(Config!C:C, MATCH($A438, Config!A:A, 0)),
"")
</f>
        <v>0.375</v>
      </c>
      <c r="H438" s="17">
        <f t="array" ref="H438">MAX( INDEX(Pack_Master!H:H, MATCH($D438, Pack_Master!A:A, 0)),
      IFERROR(G438, 0) )
</f>
        <v>0.5</v>
      </c>
      <c r="I438" s="18">
        <f>IFERROR(__xludf.DUMMYFUNCTION("IFERROR(
 INDEX(
   FILTER(Shipping_Rate_Card!B:F, Shipping_Rate_Card!A:A=$A438),
   MATCH($H438, FILTER(Shipping_Rate_Card!B:B, Shipping_Rate_Card!A:A=$A438), 1),
   IF( INDEX(Config!B:B, MATCH($A438, Config!A:A, 0))=""Local"", 2,
     IF( INDEX(Config!B"&amp;":B, MATCH($A438, Config!A:A, 0))=""Regional"", 3, 4 )
   )
 ),
"""")
"),67.0)</f>
        <v>67</v>
      </c>
      <c r="J438" s="16">
        <f>IFERROR(__xludf.DUMMYFUNCTION("IFERROR(
 ( E438 * INDEX(FILTER(Pricing_Rules!E:E, Pricing_Rules!A:A=A438, Pricing_Rules!B:B=B438, Pricing_Rules!C:C&lt;=E438, Pricing_Rules!D:D&gt;=E438), 1)
   + INDEX(FILTER(Pricing_Rules!F:F, Pricing_Rules!A:A=A438, Pricing_Rules!B:B=B438, Pricing_Rules!C:C"&amp;"&lt;=E438, Pricing_Rules!D:D&gt;=E438), 1)
 )
 * (1 + IFERROR( INDEX(Config!D:D, MATCH(A438, Config!A:A, 0)), 0 )),
"""")
"),5.8999999999999995)</f>
        <v>5.9</v>
      </c>
      <c r="K438" s="19">
        <f t="shared" si="3"/>
        <v>-74.9</v>
      </c>
      <c r="L438" s="20" t="str">
        <f t="shared" si="4"/>
        <v/>
      </c>
    </row>
    <row r="439" ht="15.75" customHeight="1">
      <c r="A439" s="9" t="s">
        <v>9</v>
      </c>
      <c r="B439" s="12" t="str">
        <f t="array" ref="B439">XLOOKUP(C439, Channel_Listings!C:C, Channel_Listings!B:B)
</f>
        <v>Apparel_Caps_Beanies</v>
      </c>
      <c r="C439" s="22" t="s">
        <v>612</v>
      </c>
      <c r="D439" s="14" t="str">
        <f t="array" ref="D439">XLOOKUP(C439, Channel_Listings!C:C, Channel_Listings!D:D)
</f>
        <v>CAP-RAIN-MILITARY-NAVY</v>
      </c>
      <c r="E439" s="15"/>
      <c r="F439" s="16">
        <f t="array" ref="F439">IFERROR(
  VALUE( INDEX(Product_Master!$I:$I,
               MATCH( INDEX(Pack_Master!$B:$B, MATCH($D439, Pack_Master!$A:$A, 0)),
                      Product_Master!$B:$B, 0)
  )) 
  * VALUE( INDEX(Pack_Master!$C:$C, MATCH($D439, Pack_Master!$A:$A, 0)) )
  + VALUE( INDEX(Pack_Master!$D:$D, MATCH($D439, Pack_Master!$A:$A, 0)) ),
"")
</f>
        <v>2</v>
      </c>
      <c r="G439" s="17">
        <f t="array" ref="G439">IFERROR(
 ( INDEX(Pack_Master!E:E, MATCH($D439, Pack_Master!A:A, 0))
   * INDEX(Pack_Master!F:F, MATCH($D439, Pack_Master!A:A, 0))
   * INDEX(Pack_Master!G:G, MATCH($D439, Pack_Master!A:A, 0))
 ) / INDEX(Config!C:C, MATCH($A439, Config!A:A, 0)),
"")
</f>
        <v>0.375</v>
      </c>
      <c r="H439" s="17">
        <f t="array" ref="H439">MAX( INDEX(Pack_Master!H:H, MATCH($D439, Pack_Master!A:A, 0)),
      IFERROR(G439, 0) )
</f>
        <v>0.5</v>
      </c>
      <c r="I439" s="18">
        <f>IFERROR(__xludf.DUMMYFUNCTION("IFERROR(
 INDEX(
   FILTER(Shipping_Rate_Card!B:F, Shipping_Rate_Card!A:A=$A439),
   MATCH($H439, FILTER(Shipping_Rate_Card!B:B, Shipping_Rate_Card!A:A=$A439), 1),
   IF( INDEX(Config!B:B, MATCH($A439, Config!A:A, 0))=""Local"", 2,
     IF( INDEX(Config!B"&amp;":B, MATCH($A439, Config!A:A, 0))=""Regional"", 3, 4 )
   )
 ),
"""")
"),67.0)</f>
        <v>67</v>
      </c>
      <c r="J439" s="16">
        <f>IFERROR(__xludf.DUMMYFUNCTION("IFERROR(
 ( E439 * INDEX(FILTER(Pricing_Rules!E:E, Pricing_Rules!A:A=A439, Pricing_Rules!B:B=B439, Pricing_Rules!C:C&lt;=E439, Pricing_Rules!D:D&gt;=E439), 1)
   + INDEX(FILTER(Pricing_Rules!F:F, Pricing_Rules!A:A=A439, Pricing_Rules!B:B=B439, Pricing_Rules!C:C"&amp;"&lt;=E439, Pricing_Rules!D:D&gt;=E439), 1)
 )
 * (1 + IFERROR( INDEX(Config!D:D, MATCH(A439, Config!A:A, 0)), 0 )),
"""")
"),5.8999999999999995)</f>
        <v>5.9</v>
      </c>
      <c r="K439" s="19">
        <f t="shared" si="3"/>
        <v>-74.9</v>
      </c>
      <c r="L439" s="20" t="str">
        <f t="shared" si="4"/>
        <v/>
      </c>
    </row>
    <row r="440" ht="15.75" customHeight="1">
      <c r="A440" s="9" t="s">
        <v>9</v>
      </c>
      <c r="B440" s="12" t="str">
        <f t="array" ref="B440">XLOOKUP(C440, Channel_Listings!C:C, Channel_Listings!B:B)
</f>
        <v>Apparel_Accessories_Winter</v>
      </c>
      <c r="C440" s="22" t="s">
        <v>615</v>
      </c>
      <c r="D440" s="14" t="str">
        <f t="array" ref="D440">XLOOKUP(C440, Channel_Listings!C:C, Channel_Listings!D:D)
</f>
        <v>GLOVE-WINTER-TOUCH-BLACK</v>
      </c>
      <c r="E440" s="15"/>
      <c r="F440" s="16">
        <f t="array" ref="F440">IFERROR(
  VALUE( INDEX(Product_Master!$I:$I,
               MATCH( INDEX(Pack_Master!$B:$B, MATCH($D440, Pack_Master!$A:$A, 0)),
                      Product_Master!$B:$B, 0)
  )) 
  * VALUE( INDEX(Pack_Master!$C:$C, MATCH($D440, Pack_Master!$A:$A, 0)) )
  + VALUE( INDEX(Pack_Master!$D:$D, MATCH($D440, Pack_Master!$A:$A, 0)) ),
"")
</f>
        <v>0</v>
      </c>
      <c r="G440" s="17">
        <f t="array" ref="G440">IFERROR(
 ( INDEX(Pack_Master!E:E, MATCH($D440, Pack_Master!A:A, 0))
   * INDEX(Pack_Master!F:F, MATCH($D440, Pack_Master!A:A, 0))
   * INDEX(Pack_Master!G:G, MATCH($D440, Pack_Master!A:A, 0))
 ) / INDEX(Config!C:C, MATCH($A440, Config!A:A, 0)),
"")
</f>
        <v>0</v>
      </c>
      <c r="H440" s="17">
        <f t="array" ref="H440">MAX( INDEX(Pack_Master!H:H, MATCH($D440, Pack_Master!A:A, 0)),
      IFERROR(G440, 0) )
</f>
        <v>0</v>
      </c>
      <c r="I440" s="18" t="str">
        <f>IFERROR(__xludf.DUMMYFUNCTION("IFERROR(
 INDEX(
   FILTER(Shipping_Rate_Card!B:F, Shipping_Rate_Card!A:A=$A440),
   MATCH($H440, FILTER(Shipping_Rate_Card!B:B, Shipping_Rate_Card!A:A=$A440), 1),
   IF( INDEX(Config!B:B, MATCH($A440, Config!A:A, 0))=""Local"", 2,
     IF( INDEX(Config!B"&amp;":B, MATCH($A440, Config!A:A, 0))=""Regional"", 3, 4 )
   )
 ),
"""")
"),"")</f>
        <v/>
      </c>
      <c r="J440" s="16">
        <f>IFERROR(__xludf.DUMMYFUNCTION("IFERROR(
 ( E440 * INDEX(FILTER(Pricing_Rules!E:E, Pricing_Rules!A:A=A440, Pricing_Rules!B:B=B440, Pricing_Rules!C:C&lt;=E440, Pricing_Rules!D:D&gt;=E440), 1)
   + INDEX(FILTER(Pricing_Rules!F:F, Pricing_Rules!A:A=A440, Pricing_Rules!B:B=B440, Pricing_Rules!C:C"&amp;"&lt;=E440, Pricing_Rules!D:D&gt;=E440), 1)
 )
 * (1 + IFERROR( INDEX(Config!D:D, MATCH(A440, Config!A:A, 0)), 0 )),
"""")
"),5.8999999999999995)</f>
        <v>5.9</v>
      </c>
      <c r="K440" s="19">
        <f t="shared" si="3"/>
        <v>-5.9</v>
      </c>
      <c r="L440" s="20" t="str">
        <f t="shared" si="4"/>
        <v/>
      </c>
    </row>
    <row r="441" ht="15.75" customHeight="1">
      <c r="A441" s="9" t="s">
        <v>9</v>
      </c>
      <c r="B441" s="12" t="str">
        <f t="array" ref="B441">XLOOKUP(C441, Channel_Listings!C:C, Channel_Listings!B:B)
</f>
        <v>Apparel_Accessories_Winter</v>
      </c>
      <c r="C441" s="22" t="s">
        <v>616</v>
      </c>
      <c r="D441" s="14" t="str">
        <f t="array" ref="D441">XLOOKUP(C441, Channel_Listings!C:C, Channel_Listings!D:D)
</f>
        <v>GLOVES-HALF-GYM-BLACK</v>
      </c>
      <c r="E441" s="15"/>
      <c r="F441" s="16">
        <f t="array" ref="F441">IFERROR(
  VALUE( INDEX(Product_Master!$I:$I,
               MATCH( INDEX(Pack_Master!$B:$B, MATCH($D441, Pack_Master!$A:$A, 0)),
                      Product_Master!$B:$B, 0)
  )) 
  * VALUE( INDEX(Pack_Master!$C:$C, MATCH($D441, Pack_Master!$A:$A, 0)) )
  + VALUE( INDEX(Pack_Master!$D:$D, MATCH($D441, Pack_Master!$A:$A, 0)) ),
"")
</f>
        <v>0</v>
      </c>
      <c r="G441" s="17">
        <f t="array" ref="G441">IFERROR(
 ( INDEX(Pack_Master!E:E, MATCH($D441, Pack_Master!A:A, 0))
   * INDEX(Pack_Master!F:F, MATCH($D441, Pack_Master!A:A, 0))
   * INDEX(Pack_Master!G:G, MATCH($D441, Pack_Master!A:A, 0))
 ) / INDEX(Config!C:C, MATCH($A441, Config!A:A, 0)),
"")
</f>
        <v>0</v>
      </c>
      <c r="H441" s="17">
        <f t="array" ref="H441">MAX( INDEX(Pack_Master!H:H, MATCH($D441, Pack_Master!A:A, 0)),
      IFERROR(G441, 0) )
</f>
        <v>0</v>
      </c>
      <c r="I441" s="18" t="str">
        <f>IFERROR(__xludf.DUMMYFUNCTION("IFERROR(
 INDEX(
   FILTER(Shipping_Rate_Card!B:F, Shipping_Rate_Card!A:A=$A441),
   MATCH($H441, FILTER(Shipping_Rate_Card!B:B, Shipping_Rate_Card!A:A=$A441), 1),
   IF( INDEX(Config!B:B, MATCH($A441, Config!A:A, 0))=""Local"", 2,
     IF( INDEX(Config!B"&amp;":B, MATCH($A441, Config!A:A, 0))=""Regional"", 3, 4 )
   )
 ),
"""")
"),"")</f>
        <v/>
      </c>
      <c r="J441" s="16">
        <f>IFERROR(__xludf.DUMMYFUNCTION("IFERROR(
 ( E441 * INDEX(FILTER(Pricing_Rules!E:E, Pricing_Rules!A:A=A441, Pricing_Rules!B:B=B441, Pricing_Rules!C:C&lt;=E441, Pricing_Rules!D:D&gt;=E441), 1)
   + INDEX(FILTER(Pricing_Rules!F:F, Pricing_Rules!A:A=A441, Pricing_Rules!B:B=B441, Pricing_Rules!C:C"&amp;"&lt;=E441, Pricing_Rules!D:D&gt;=E441), 1)
 )
 * (1 + IFERROR( INDEX(Config!D:D, MATCH(A441, Config!A:A, 0)), 0 )),
"""")
"),5.8999999999999995)</f>
        <v>5.9</v>
      </c>
      <c r="K441" s="19">
        <f t="shared" si="3"/>
        <v>-5.9</v>
      </c>
      <c r="L441" s="20" t="str">
        <f t="shared" si="4"/>
        <v/>
      </c>
    </row>
    <row r="442" ht="15.75" customHeight="1">
      <c r="A442" s="9" t="s">
        <v>9</v>
      </c>
      <c r="B442" s="12" t="str">
        <f t="array" ref="B442">XLOOKUP(C442, Channel_Listings!C:C, Channel_Listings!B:B)
</f>
        <v>Apparel_Accessories_Winter</v>
      </c>
      <c r="C442" s="22" t="s">
        <v>619</v>
      </c>
      <c r="D442" s="14" t="str">
        <f t="array" ref="D442">XLOOKUP(C442, Channel_Listings!C:C, Channel_Listings!D:D)
</f>
        <v>GLOVES-HALF-GYM-SPORTS</v>
      </c>
      <c r="E442" s="15"/>
      <c r="F442" s="16">
        <f t="array" ref="F442">IFERROR(
  VALUE( INDEX(Product_Master!$I:$I,
               MATCH( INDEX(Pack_Master!$B:$B, MATCH($D442, Pack_Master!$A:$A, 0)),
                      Product_Master!$B:$B, 0)
  )) 
  * VALUE( INDEX(Pack_Master!$C:$C, MATCH($D442, Pack_Master!$A:$A, 0)) )
  + VALUE( INDEX(Pack_Master!$D:$D, MATCH($D442, Pack_Master!$A:$A, 0)) ),
"")
</f>
        <v>0</v>
      </c>
      <c r="G442" s="17">
        <f t="array" ref="G442">IFERROR(
 ( INDEX(Pack_Master!E:E, MATCH($D442, Pack_Master!A:A, 0))
   * INDEX(Pack_Master!F:F, MATCH($D442, Pack_Master!A:A, 0))
   * INDEX(Pack_Master!G:G, MATCH($D442, Pack_Master!A:A, 0))
 ) / INDEX(Config!C:C, MATCH($A442, Config!A:A, 0)),
"")
</f>
        <v>0</v>
      </c>
      <c r="H442" s="17">
        <f t="array" ref="H442">MAX( INDEX(Pack_Master!H:H, MATCH($D442, Pack_Master!A:A, 0)),
      IFERROR(G442, 0) )
</f>
        <v>0</v>
      </c>
      <c r="I442" s="18" t="str">
        <f>IFERROR(__xludf.DUMMYFUNCTION("IFERROR(
 INDEX(
   FILTER(Shipping_Rate_Card!B:F, Shipping_Rate_Card!A:A=$A442),
   MATCH($H442, FILTER(Shipping_Rate_Card!B:B, Shipping_Rate_Card!A:A=$A442), 1),
   IF( INDEX(Config!B:B, MATCH($A442, Config!A:A, 0))=""Local"", 2,
     IF( INDEX(Config!B"&amp;":B, MATCH($A442, Config!A:A, 0))=""Regional"", 3, 4 )
   )
 ),
"""")
"),"")</f>
        <v/>
      </c>
      <c r="J442" s="16">
        <f>IFERROR(__xludf.DUMMYFUNCTION("IFERROR(
 ( E442 * INDEX(FILTER(Pricing_Rules!E:E, Pricing_Rules!A:A=A442, Pricing_Rules!B:B=B442, Pricing_Rules!C:C&lt;=E442, Pricing_Rules!D:D&gt;=E442), 1)
   + INDEX(FILTER(Pricing_Rules!F:F, Pricing_Rules!A:A=A442, Pricing_Rules!B:B=B442, Pricing_Rules!C:C"&amp;"&lt;=E442, Pricing_Rules!D:D&gt;=E442), 1)
 )
 * (1 + IFERROR( INDEX(Config!D:D, MATCH(A442, Config!A:A, 0)), 0 )),
"""")
"),5.8999999999999995)</f>
        <v>5.9</v>
      </c>
      <c r="K442" s="19">
        <f t="shared" si="3"/>
        <v>-5.9</v>
      </c>
      <c r="L442" s="20" t="str">
        <f t="shared" si="4"/>
        <v/>
      </c>
    </row>
    <row r="443" ht="15.75" customHeight="1">
      <c r="A443" s="9" t="s">
        <v>9</v>
      </c>
      <c r="B443" s="12" t="str">
        <f t="array" ref="B443">XLOOKUP(C443, Channel_Listings!C:C, Channel_Listings!B:B)
</f>
        <v>Automotive_FaceMasks</v>
      </c>
      <c r="C443" s="22" t="s">
        <v>622</v>
      </c>
      <c r="D443" s="14" t="str">
        <f t="array" ref="D443">XLOOKUP(C443, Channel_Listings!C:C, Channel_Listings!D:D)
</f>
        <v>MASK-HALF-BLACK-PK1</v>
      </c>
      <c r="E443" s="15"/>
      <c r="F443" s="16">
        <f t="array" ref="F443">IFERROR(
  VALUE( INDEX(Product_Master!$I:$I,
               MATCH( INDEX(Pack_Master!$B:$B, MATCH($D443, Pack_Master!$A:$A, 0)),
                      Product_Master!$B:$B, 0)
  )) 
  * VALUE( INDEX(Pack_Master!$C:$C, MATCH($D443, Pack_Master!$A:$A, 0)) )
  + VALUE( INDEX(Pack_Master!$D:$D, MATCH($D443, Pack_Master!$A:$A, 0)) ),
"")
</f>
        <v>0</v>
      </c>
      <c r="G443" s="17">
        <f t="array" ref="G443">IFERROR(
 ( INDEX(Pack_Master!E:E, MATCH($D443, Pack_Master!A:A, 0))
   * INDEX(Pack_Master!F:F, MATCH($D443, Pack_Master!A:A, 0))
   * INDEX(Pack_Master!G:G, MATCH($D443, Pack_Master!A:A, 0))
 ) / INDEX(Config!C:C, MATCH($A443, Config!A:A, 0)),
"")
</f>
        <v>0</v>
      </c>
      <c r="H443" s="17">
        <f t="array" ref="H443">MAX( INDEX(Pack_Master!H:H, MATCH($D443, Pack_Master!A:A, 0)),
      IFERROR(G443, 0) )
</f>
        <v>0</v>
      </c>
      <c r="I443" s="18" t="str">
        <f>IFERROR(__xludf.DUMMYFUNCTION("IFERROR(
 INDEX(
   FILTER(Shipping_Rate_Card!B:F, Shipping_Rate_Card!A:A=$A443),
   MATCH($H443, FILTER(Shipping_Rate_Card!B:B, Shipping_Rate_Card!A:A=$A443), 1),
   IF( INDEX(Config!B:B, MATCH($A443, Config!A:A, 0))=""Local"", 2,
     IF( INDEX(Config!B"&amp;":B, MATCH($A443, Config!A:A, 0))=""Regional"", 3, 4 )
   )
 ),
"""")
"),"")</f>
        <v/>
      </c>
      <c r="J443" s="16">
        <f>IFERROR(__xludf.DUMMYFUNCTION("IFERROR(
 ( E443 * INDEX(FILTER(Pricing_Rules!E:E, Pricing_Rules!A:A=A443, Pricing_Rules!B:B=B443, Pricing_Rules!C:C&lt;=E443, Pricing_Rules!D:D&gt;=E443), 1)
   + INDEX(FILTER(Pricing_Rules!F:F, Pricing_Rules!A:A=A443, Pricing_Rules!B:B=B443, Pricing_Rules!C:C"&amp;"&lt;=E443, Pricing_Rules!D:D&gt;=E443), 1)
 )
 * (1 + IFERROR( INDEX(Config!D:D, MATCH(A443, Config!A:A, 0)), 0 )),
"""")
"),5.8999999999999995)</f>
        <v>5.9</v>
      </c>
      <c r="K443" s="19">
        <f t="shared" si="3"/>
        <v>-5.9</v>
      </c>
      <c r="L443" s="20" t="str">
        <f t="shared" si="4"/>
        <v/>
      </c>
    </row>
    <row r="444" ht="15.75" customHeight="1">
      <c r="A444" s="9" t="s">
        <v>9</v>
      </c>
      <c r="B444" s="12" t="str">
        <f t="array" ref="B444">XLOOKUP(C444, Channel_Listings!C:C, Channel_Listings!B:B)
</f>
        <v>Automotive_FaceMasks</v>
      </c>
      <c r="C444" s="22" t="s">
        <v>624</v>
      </c>
      <c r="D444" s="14" t="str">
        <f t="array" ref="D444">XLOOKUP(C444, Channel_Listings!C:C, Channel_Listings!D:D)
</f>
        <v>MASK-HALF-BLUE-PK1</v>
      </c>
      <c r="E444" s="15"/>
      <c r="F444" s="16">
        <f t="array" ref="F444">IFERROR(
  VALUE( INDEX(Product_Master!$I:$I,
               MATCH( INDEX(Pack_Master!$B:$B, MATCH($D444, Pack_Master!$A:$A, 0)),
                      Product_Master!$B:$B, 0)
  )) 
  * VALUE( INDEX(Pack_Master!$C:$C, MATCH($D444, Pack_Master!$A:$A, 0)) )
  + VALUE( INDEX(Pack_Master!$D:$D, MATCH($D444, Pack_Master!$A:$A, 0)) ),
"")
</f>
        <v>0</v>
      </c>
      <c r="G444" s="17">
        <f t="array" ref="G444">IFERROR(
 ( INDEX(Pack_Master!E:E, MATCH($D444, Pack_Master!A:A, 0))
   * INDEX(Pack_Master!F:F, MATCH($D444, Pack_Master!A:A, 0))
   * INDEX(Pack_Master!G:G, MATCH($D444, Pack_Master!A:A, 0))
 ) / INDEX(Config!C:C, MATCH($A444, Config!A:A, 0)),
"")
</f>
        <v>0</v>
      </c>
      <c r="H444" s="17">
        <f t="array" ref="H444">MAX( INDEX(Pack_Master!H:H, MATCH($D444, Pack_Master!A:A, 0)),
      IFERROR(G444, 0) )
</f>
        <v>0</v>
      </c>
      <c r="I444" s="18" t="str">
        <f>IFERROR(__xludf.DUMMYFUNCTION("IFERROR(
 INDEX(
   FILTER(Shipping_Rate_Card!B:F, Shipping_Rate_Card!A:A=$A444),
   MATCH($H444, FILTER(Shipping_Rate_Card!B:B, Shipping_Rate_Card!A:A=$A444), 1),
   IF( INDEX(Config!B:B, MATCH($A444, Config!A:A, 0))=""Local"", 2,
     IF( INDEX(Config!B"&amp;":B, MATCH($A444, Config!A:A, 0))=""Regional"", 3, 4 )
   )
 ),
"""")
"),"")</f>
        <v/>
      </c>
      <c r="J444" s="16">
        <f>IFERROR(__xludf.DUMMYFUNCTION("IFERROR(
 ( E444 * INDEX(FILTER(Pricing_Rules!E:E, Pricing_Rules!A:A=A444, Pricing_Rules!B:B=B444, Pricing_Rules!C:C&lt;=E444, Pricing_Rules!D:D&gt;=E444), 1)
   + INDEX(FILTER(Pricing_Rules!F:F, Pricing_Rules!A:A=A444, Pricing_Rules!B:B=B444, Pricing_Rules!C:C"&amp;"&lt;=E444, Pricing_Rules!D:D&gt;=E444), 1)
 )
 * (1 + IFERROR( INDEX(Config!D:D, MATCH(A444, Config!A:A, 0)), 0 )),
"""")
"),5.8999999999999995)</f>
        <v>5.9</v>
      </c>
      <c r="K444" s="19">
        <f t="shared" si="3"/>
        <v>-5.9</v>
      </c>
      <c r="L444" s="20" t="str">
        <f t="shared" si="4"/>
        <v/>
      </c>
    </row>
    <row r="445" ht="15.75" customHeight="1">
      <c r="A445" s="9" t="s">
        <v>9</v>
      </c>
      <c r="B445" s="12" t="str">
        <f t="array" ref="B445">XLOOKUP(C445, Channel_Listings!C:C, Channel_Listings!B:B)
</f>
        <v>Automotive_FaceMasks</v>
      </c>
      <c r="C445" s="22" t="s">
        <v>626</v>
      </c>
      <c r="D445" s="14" t="str">
        <f t="array" ref="D445">XLOOKUP(C445, Channel_Listings!C:C, Channel_Listings!D:D)
</f>
        <v>MASK-HALF-DARKGREY-PK1</v>
      </c>
      <c r="E445" s="15"/>
      <c r="F445" s="16">
        <f t="array" ref="F445">IFERROR(
  VALUE( INDEX(Product_Master!$I:$I,
               MATCH( INDEX(Pack_Master!$B:$B, MATCH($D445, Pack_Master!$A:$A, 0)),
                      Product_Master!$B:$B, 0)
  )) 
  * VALUE( INDEX(Pack_Master!$C:$C, MATCH($D445, Pack_Master!$A:$A, 0)) )
  + VALUE( INDEX(Pack_Master!$D:$D, MATCH($D445, Pack_Master!$A:$A, 0)) ),
"")
</f>
        <v>0</v>
      </c>
      <c r="G445" s="17">
        <f t="array" ref="G445">IFERROR(
 ( INDEX(Pack_Master!E:E, MATCH($D445, Pack_Master!A:A, 0))
   * INDEX(Pack_Master!F:F, MATCH($D445, Pack_Master!A:A, 0))
   * INDEX(Pack_Master!G:G, MATCH($D445, Pack_Master!A:A, 0))
 ) / INDEX(Config!C:C, MATCH($A445, Config!A:A, 0)),
"")
</f>
        <v>0</v>
      </c>
      <c r="H445" s="17">
        <f t="array" ref="H445">MAX( INDEX(Pack_Master!H:H, MATCH($D445, Pack_Master!A:A, 0)),
      IFERROR(G445, 0) )
</f>
        <v>0</v>
      </c>
      <c r="I445" s="18" t="str">
        <f>IFERROR(__xludf.DUMMYFUNCTION("IFERROR(
 INDEX(
   FILTER(Shipping_Rate_Card!B:F, Shipping_Rate_Card!A:A=$A445),
   MATCH($H445, FILTER(Shipping_Rate_Card!B:B, Shipping_Rate_Card!A:A=$A445), 1),
   IF( INDEX(Config!B:B, MATCH($A445, Config!A:A, 0))=""Local"", 2,
     IF( INDEX(Config!B"&amp;":B, MATCH($A445, Config!A:A, 0))=""Regional"", 3, 4 )
   )
 ),
"""")
"),"")</f>
        <v/>
      </c>
      <c r="J445" s="16">
        <f>IFERROR(__xludf.DUMMYFUNCTION("IFERROR(
 ( E445 * INDEX(FILTER(Pricing_Rules!E:E, Pricing_Rules!A:A=A445, Pricing_Rules!B:B=B445, Pricing_Rules!C:C&lt;=E445, Pricing_Rules!D:D&gt;=E445), 1)
   + INDEX(FILTER(Pricing_Rules!F:F, Pricing_Rules!A:A=A445, Pricing_Rules!B:B=B445, Pricing_Rules!C:C"&amp;"&lt;=E445, Pricing_Rules!D:D&gt;=E445), 1)
 )
 * (1 + IFERROR( INDEX(Config!D:D, MATCH(A445, Config!A:A, 0)), 0 )),
"""")
"),5.8999999999999995)</f>
        <v>5.9</v>
      </c>
      <c r="K445" s="19">
        <f t="shared" si="3"/>
        <v>-5.9</v>
      </c>
      <c r="L445" s="20" t="str">
        <f t="shared" si="4"/>
        <v/>
      </c>
    </row>
    <row r="446" ht="15.75" customHeight="1">
      <c r="A446" s="9" t="s">
        <v>9</v>
      </c>
      <c r="B446" s="12" t="str">
        <f t="array" ref="B446">XLOOKUP(C446, Channel_Listings!C:C, Channel_Listings!B:B)
</f>
        <v>Automotive_FaceMasks</v>
      </c>
      <c r="C446" s="22" t="s">
        <v>628</v>
      </c>
      <c r="D446" s="14" t="str">
        <f t="array" ref="D446">XLOOKUP(C446, Channel_Listings!C:C, Channel_Listings!D:D)
</f>
        <v>MASK-HALF-GREY-PK1</v>
      </c>
      <c r="E446" s="15"/>
      <c r="F446" s="16">
        <f t="array" ref="F446">IFERROR(
  VALUE( INDEX(Product_Master!$I:$I,
               MATCH( INDEX(Pack_Master!$B:$B, MATCH($D446, Pack_Master!$A:$A, 0)),
                      Product_Master!$B:$B, 0)
  )) 
  * VALUE( INDEX(Pack_Master!$C:$C, MATCH($D446, Pack_Master!$A:$A, 0)) )
  + VALUE( INDEX(Pack_Master!$D:$D, MATCH($D446, Pack_Master!$A:$A, 0)) ),
"")
</f>
        <v>0</v>
      </c>
      <c r="G446" s="17">
        <f t="array" ref="G446">IFERROR(
 ( INDEX(Pack_Master!E:E, MATCH($D446, Pack_Master!A:A, 0))
   * INDEX(Pack_Master!F:F, MATCH($D446, Pack_Master!A:A, 0))
   * INDEX(Pack_Master!G:G, MATCH($D446, Pack_Master!A:A, 0))
 ) / INDEX(Config!C:C, MATCH($A446, Config!A:A, 0)),
"")
</f>
        <v>0</v>
      </c>
      <c r="H446" s="17">
        <f t="array" ref="H446">MAX( INDEX(Pack_Master!H:H, MATCH($D446, Pack_Master!A:A, 0)),
      IFERROR(G446, 0) )
</f>
        <v>0</v>
      </c>
      <c r="I446" s="18" t="str">
        <f>IFERROR(__xludf.DUMMYFUNCTION("IFERROR(
 INDEX(
   FILTER(Shipping_Rate_Card!B:F, Shipping_Rate_Card!A:A=$A446),
   MATCH($H446, FILTER(Shipping_Rate_Card!B:B, Shipping_Rate_Card!A:A=$A446), 1),
   IF( INDEX(Config!B:B, MATCH($A446, Config!A:A, 0))=""Local"", 2,
     IF( INDEX(Config!B"&amp;":B, MATCH($A446, Config!A:A, 0))=""Regional"", 3, 4 )
   )
 ),
"""")
"),"")</f>
        <v/>
      </c>
      <c r="J446" s="16">
        <f>IFERROR(__xludf.DUMMYFUNCTION("IFERROR(
 ( E446 * INDEX(FILTER(Pricing_Rules!E:E, Pricing_Rules!A:A=A446, Pricing_Rules!B:B=B446, Pricing_Rules!C:C&lt;=E446, Pricing_Rules!D:D&gt;=E446), 1)
   + INDEX(FILTER(Pricing_Rules!F:F, Pricing_Rules!A:A=A446, Pricing_Rules!B:B=B446, Pricing_Rules!C:C"&amp;"&lt;=E446, Pricing_Rules!D:D&gt;=E446), 1)
 )
 * (1 + IFERROR( INDEX(Config!D:D, MATCH(A446, Config!A:A, 0)), 0 )),
"""")
"),5.8999999999999995)</f>
        <v>5.9</v>
      </c>
      <c r="K446" s="19">
        <f t="shared" si="3"/>
        <v>-5.9</v>
      </c>
      <c r="L446" s="20" t="str">
        <f t="shared" si="4"/>
        <v/>
      </c>
    </row>
    <row r="447" ht="15.75" customHeight="1">
      <c r="A447" s="9" t="s">
        <v>9</v>
      </c>
      <c r="B447" s="12" t="str">
        <f t="array" ref="B447">XLOOKUP(C447, Channel_Listings!C:C, Channel_Listings!B:B)
</f>
        <v>Automotive_FaceMasks</v>
      </c>
      <c r="C447" s="22" t="s">
        <v>630</v>
      </c>
      <c r="D447" s="14" t="str">
        <f t="array" ref="D447">XLOOKUP(C447, Channel_Listings!C:C, Channel_Listings!D:D)
</f>
        <v>MASK-HALF-NAVYBLUE-PK1</v>
      </c>
      <c r="E447" s="15"/>
      <c r="F447" s="16">
        <f t="array" ref="F447">IFERROR(
  VALUE( INDEX(Product_Master!$I:$I,
               MATCH( INDEX(Pack_Master!$B:$B, MATCH($D447, Pack_Master!$A:$A, 0)),
                      Product_Master!$B:$B, 0)
  )) 
  * VALUE( INDEX(Pack_Master!$C:$C, MATCH($D447, Pack_Master!$A:$A, 0)) )
  + VALUE( INDEX(Pack_Master!$D:$D, MATCH($D447, Pack_Master!$A:$A, 0)) ),
"")
</f>
        <v>0</v>
      </c>
      <c r="G447" s="17">
        <f t="array" ref="G447">IFERROR(
 ( INDEX(Pack_Master!E:E, MATCH($D447, Pack_Master!A:A, 0))
   * INDEX(Pack_Master!F:F, MATCH($D447, Pack_Master!A:A, 0))
   * INDEX(Pack_Master!G:G, MATCH($D447, Pack_Master!A:A, 0))
 ) / INDEX(Config!C:C, MATCH($A447, Config!A:A, 0)),
"")
</f>
        <v>0</v>
      </c>
      <c r="H447" s="17">
        <f t="array" ref="H447">MAX( INDEX(Pack_Master!H:H, MATCH($D447, Pack_Master!A:A, 0)),
      IFERROR(G447, 0) )
</f>
        <v>0</v>
      </c>
      <c r="I447" s="18" t="str">
        <f>IFERROR(__xludf.DUMMYFUNCTION("IFERROR(
 INDEX(
   FILTER(Shipping_Rate_Card!B:F, Shipping_Rate_Card!A:A=$A447),
   MATCH($H447, FILTER(Shipping_Rate_Card!B:B, Shipping_Rate_Card!A:A=$A447), 1),
   IF( INDEX(Config!B:B, MATCH($A447, Config!A:A, 0))=""Local"", 2,
     IF( INDEX(Config!B"&amp;":B, MATCH($A447, Config!A:A, 0))=""Regional"", 3, 4 )
   )
 ),
"""")
"),"")</f>
        <v/>
      </c>
      <c r="J447" s="16">
        <f>IFERROR(__xludf.DUMMYFUNCTION("IFERROR(
 ( E447 * INDEX(FILTER(Pricing_Rules!E:E, Pricing_Rules!A:A=A447, Pricing_Rules!B:B=B447, Pricing_Rules!C:C&lt;=E447, Pricing_Rules!D:D&gt;=E447), 1)
   + INDEX(FILTER(Pricing_Rules!F:F, Pricing_Rules!A:A=A447, Pricing_Rules!B:B=B447, Pricing_Rules!C:C"&amp;"&lt;=E447, Pricing_Rules!D:D&gt;=E447), 1)
 )
 * (1 + IFERROR( INDEX(Config!D:D, MATCH(A447, Config!A:A, 0)), 0 )),
"""")
"),5.8999999999999995)</f>
        <v>5.9</v>
      </c>
      <c r="K447" s="19">
        <f t="shared" si="3"/>
        <v>-5.9</v>
      </c>
      <c r="L447" s="20" t="str">
        <f t="shared" si="4"/>
        <v/>
      </c>
    </row>
    <row r="448" ht="15.75" customHeight="1">
      <c r="A448" s="9" t="s">
        <v>9</v>
      </c>
      <c r="B448" s="12" t="str">
        <f t="array" ref="B448">XLOOKUP(C448, Channel_Listings!C:C, Channel_Listings!B:B)
</f>
        <v>Automotive_FaceMasks</v>
      </c>
      <c r="C448" s="22" t="s">
        <v>633</v>
      </c>
      <c r="D448" s="14" t="str">
        <f t="array" ref="D448">XLOOKUP(C448, Channel_Listings!C:C, Channel_Listings!D:D)
</f>
        <v>MASK-HALF-BLACK-PK4</v>
      </c>
      <c r="E448" s="15"/>
      <c r="F448" s="16">
        <f t="array" ref="F448">IFERROR(
  VALUE( INDEX(Product_Master!$I:$I,
               MATCH( INDEX(Pack_Master!$B:$B, MATCH($D448, Pack_Master!$A:$A, 0)),
                      Product_Master!$B:$B, 0)
  )) 
  * VALUE( INDEX(Pack_Master!$C:$C, MATCH($D448, Pack_Master!$A:$A, 0)) )
  + VALUE( INDEX(Pack_Master!$D:$D, MATCH($D448, Pack_Master!$A:$A, 0)) ),
"")
</f>
        <v>0</v>
      </c>
      <c r="G448" s="17">
        <f t="array" ref="G448">IFERROR(
 ( INDEX(Pack_Master!E:E, MATCH($D448, Pack_Master!A:A, 0))
   * INDEX(Pack_Master!F:F, MATCH($D448, Pack_Master!A:A, 0))
   * INDEX(Pack_Master!G:G, MATCH($D448, Pack_Master!A:A, 0))
 ) / INDEX(Config!C:C, MATCH($A448, Config!A:A, 0)),
"")
</f>
        <v>0</v>
      </c>
      <c r="H448" s="17">
        <f t="array" ref="H448">MAX( INDEX(Pack_Master!H:H, MATCH($D448, Pack_Master!A:A, 0)),
      IFERROR(G448, 0) )
</f>
        <v>0</v>
      </c>
      <c r="I448" s="18" t="str">
        <f>IFERROR(__xludf.DUMMYFUNCTION("IFERROR(
 INDEX(
   FILTER(Shipping_Rate_Card!B:F, Shipping_Rate_Card!A:A=$A448),
   MATCH($H448, FILTER(Shipping_Rate_Card!B:B, Shipping_Rate_Card!A:A=$A448), 1),
   IF( INDEX(Config!B:B, MATCH($A448, Config!A:A, 0))=""Local"", 2,
     IF( INDEX(Config!B"&amp;":B, MATCH($A448, Config!A:A, 0))=""Regional"", 3, 4 )
   )
 ),
"""")
"),"")</f>
        <v/>
      </c>
      <c r="J448" s="16">
        <f>IFERROR(__xludf.DUMMYFUNCTION("IFERROR(
 ( E448 * INDEX(FILTER(Pricing_Rules!E:E, Pricing_Rules!A:A=A448, Pricing_Rules!B:B=B448, Pricing_Rules!C:C&lt;=E448, Pricing_Rules!D:D&gt;=E448), 1)
   + INDEX(FILTER(Pricing_Rules!F:F, Pricing_Rules!A:A=A448, Pricing_Rules!B:B=B448, Pricing_Rules!C:C"&amp;"&lt;=E448, Pricing_Rules!D:D&gt;=E448), 1)
 )
 * (1 + IFERROR( INDEX(Config!D:D, MATCH(A448, Config!A:A, 0)), 0 )),
"""")
"),5.8999999999999995)</f>
        <v>5.9</v>
      </c>
      <c r="K448" s="19">
        <f t="shared" si="3"/>
        <v>-5.9</v>
      </c>
      <c r="L448" s="20" t="str">
        <f t="shared" si="4"/>
        <v/>
      </c>
    </row>
    <row r="449" ht="15.75" customHeight="1">
      <c r="A449" s="9" t="s">
        <v>9</v>
      </c>
      <c r="B449" s="12" t="str">
        <f t="array" ref="B449">XLOOKUP(C449, Channel_Listings!C:C, Channel_Listings!B:B)
</f>
        <v>Automotive_FaceMasks</v>
      </c>
      <c r="C449" s="22" t="s">
        <v>635</v>
      </c>
      <c r="D449" s="14" t="str">
        <f t="array" ref="D449">XLOOKUP(C449, Channel_Listings!C:C, Channel_Listings!D:D)
</f>
        <v>MASK-HALF-BLACK-PK5</v>
      </c>
      <c r="E449" s="15"/>
      <c r="F449" s="16">
        <f t="array" ref="F449">IFERROR(
  VALUE( INDEX(Product_Master!$I:$I,
               MATCH( INDEX(Pack_Master!$B:$B, MATCH($D449, Pack_Master!$A:$A, 0)),
                      Product_Master!$B:$B, 0)
  )) 
  * VALUE( INDEX(Pack_Master!$C:$C, MATCH($D449, Pack_Master!$A:$A, 0)) )
  + VALUE( INDEX(Pack_Master!$D:$D, MATCH($D449, Pack_Master!$A:$A, 0)) ),
"")
</f>
        <v>0</v>
      </c>
      <c r="G449" s="17">
        <f t="array" ref="G449">IFERROR(
 ( INDEX(Pack_Master!E:E, MATCH($D449, Pack_Master!A:A, 0))
   * INDEX(Pack_Master!F:F, MATCH($D449, Pack_Master!A:A, 0))
   * INDEX(Pack_Master!G:G, MATCH($D449, Pack_Master!A:A, 0))
 ) / INDEX(Config!C:C, MATCH($A449, Config!A:A, 0)),
"")
</f>
        <v>0</v>
      </c>
      <c r="H449" s="17">
        <f t="array" ref="H449">MAX( INDEX(Pack_Master!H:H, MATCH($D449, Pack_Master!A:A, 0)),
      IFERROR(G449, 0) )
</f>
        <v>0</v>
      </c>
      <c r="I449" s="18" t="str">
        <f>IFERROR(__xludf.DUMMYFUNCTION("IFERROR(
 INDEX(
   FILTER(Shipping_Rate_Card!B:F, Shipping_Rate_Card!A:A=$A449),
   MATCH($H449, FILTER(Shipping_Rate_Card!B:B, Shipping_Rate_Card!A:A=$A449), 1),
   IF( INDEX(Config!B:B, MATCH($A449, Config!A:A, 0))=""Local"", 2,
     IF( INDEX(Config!B"&amp;":B, MATCH($A449, Config!A:A, 0))=""Regional"", 3, 4 )
   )
 ),
"""")
"),"")</f>
        <v/>
      </c>
      <c r="J449" s="16">
        <f>IFERROR(__xludf.DUMMYFUNCTION("IFERROR(
 ( E449 * INDEX(FILTER(Pricing_Rules!E:E, Pricing_Rules!A:A=A449, Pricing_Rules!B:B=B449, Pricing_Rules!C:C&lt;=E449, Pricing_Rules!D:D&gt;=E449), 1)
   + INDEX(FILTER(Pricing_Rules!F:F, Pricing_Rules!A:A=A449, Pricing_Rules!B:B=B449, Pricing_Rules!C:C"&amp;"&lt;=E449, Pricing_Rules!D:D&gt;=E449), 1)
 )
 * (1 + IFERROR( INDEX(Config!D:D, MATCH(A449, Config!A:A, 0)), 0 )),
"""")
"),5.8999999999999995)</f>
        <v>5.9</v>
      </c>
      <c r="K449" s="19">
        <f t="shared" si="3"/>
        <v>-5.9</v>
      </c>
      <c r="L449" s="20" t="str">
        <f t="shared" si="4"/>
        <v/>
      </c>
    </row>
    <row r="450" ht="15.75" customHeight="1">
      <c r="A450" s="9" t="s">
        <v>9</v>
      </c>
      <c r="B450" s="12" t="str">
        <f t="array" ref="B450">XLOOKUP(C450, Channel_Listings!C:C, Channel_Listings!B:B)
</f>
        <v>Apparel_Tshirts</v>
      </c>
      <c r="C450" s="22" t="s">
        <v>637</v>
      </c>
      <c r="D450" s="14" t="str">
        <f t="array" ref="D450">XLOOKUP(C450, Channel_Listings!C:C, Channel_Listings!D:D)
</f>
        <v>TSHIRT-COTTONROUND-PITCH-L</v>
      </c>
      <c r="E450" s="15"/>
      <c r="F450" s="16">
        <f t="array" ref="F450">IFERROR(
  VALUE( INDEX(Product_Master!$I:$I,
               MATCH( INDEX(Pack_Master!$B:$B, MATCH($D450, Pack_Master!$A:$A, 0)),
                      Product_Master!$B:$B, 0)
  )) 
  * VALUE( INDEX(Pack_Master!$C:$C, MATCH($D450, Pack_Master!$A:$A, 0)) )
  + VALUE( INDEX(Pack_Master!$D:$D, MATCH($D450, Pack_Master!$A:$A, 0)) ),
"")
</f>
        <v>0</v>
      </c>
      <c r="G450" s="17">
        <f t="array" ref="G450">IFERROR(
 ( INDEX(Pack_Master!E:E, MATCH($D450, Pack_Master!A:A, 0))
   * INDEX(Pack_Master!F:F, MATCH($D450, Pack_Master!A:A, 0))
   * INDEX(Pack_Master!G:G, MATCH($D450, Pack_Master!A:A, 0))
 ) / INDEX(Config!C:C, MATCH($A450, Config!A:A, 0)),
"")
</f>
        <v>0</v>
      </c>
      <c r="H450" s="17">
        <f t="array" ref="H450">MAX( INDEX(Pack_Master!H:H, MATCH($D450, Pack_Master!A:A, 0)),
      IFERROR(G450, 0) )
</f>
        <v>0</v>
      </c>
      <c r="I450" s="18" t="str">
        <f>IFERROR(__xludf.DUMMYFUNCTION("IFERROR(
 INDEX(
   FILTER(Shipping_Rate_Card!B:F, Shipping_Rate_Card!A:A=$A450),
   MATCH($H450, FILTER(Shipping_Rate_Card!B:B, Shipping_Rate_Card!A:A=$A450), 1),
   IF( INDEX(Config!B:B, MATCH($A450, Config!A:A, 0))=""Local"", 2,
     IF( INDEX(Config!B"&amp;":B, MATCH($A450, Config!A:A, 0))=""Regional"", 3, 4 )
   )
 ),
"""")
"),"")</f>
        <v/>
      </c>
      <c r="J450" s="16">
        <f>IFERROR(__xludf.DUMMYFUNCTION("IFERROR(
 ( E450 * INDEX(FILTER(Pricing_Rules!E:E, Pricing_Rules!A:A=A450, Pricing_Rules!B:B=B450, Pricing_Rules!C:C&lt;=E450, Pricing_Rules!D:D&gt;=E450), 1)
   + INDEX(FILTER(Pricing_Rules!F:F, Pricing_Rules!A:A=A450, Pricing_Rules!B:B=B450, Pricing_Rules!C:C"&amp;"&lt;=E450, Pricing_Rules!D:D&gt;=E450), 1)
 )
 * (1 + IFERROR( INDEX(Config!D:D, MATCH(A450, Config!A:A, 0)), 0 )),
"""")
"),5.8999999999999995)</f>
        <v>5.9</v>
      </c>
      <c r="K450" s="19">
        <f t="shared" si="3"/>
        <v>-5.9</v>
      </c>
      <c r="L450" s="20" t="str">
        <f t="shared" si="4"/>
        <v/>
      </c>
    </row>
    <row r="451" ht="15.75" customHeight="1">
      <c r="A451" s="9" t="s">
        <v>9</v>
      </c>
      <c r="B451" s="12" t="str">
        <f t="array" ref="B451">XLOOKUP(C451, Channel_Listings!C:C, Channel_Listings!B:B)
</f>
        <v>Apparel_Tshirts</v>
      </c>
      <c r="C451" s="22" t="s">
        <v>640</v>
      </c>
      <c r="D451" s="14" t="str">
        <f t="array" ref="D451">XLOOKUP(C451, Channel_Listings!C:C, Channel_Listings!D:D)
</f>
        <v>TSHIRT-COTTONROUND-PITCH-M</v>
      </c>
      <c r="E451" s="15"/>
      <c r="F451" s="16">
        <f t="array" ref="F451">IFERROR(
  VALUE( INDEX(Product_Master!$I:$I,
               MATCH( INDEX(Pack_Master!$B:$B, MATCH($D451, Pack_Master!$A:$A, 0)),
                      Product_Master!$B:$B, 0)
  )) 
  * VALUE( INDEX(Pack_Master!$C:$C, MATCH($D451, Pack_Master!$A:$A, 0)) )
  + VALUE( INDEX(Pack_Master!$D:$D, MATCH($D451, Pack_Master!$A:$A, 0)) ),
"")
</f>
        <v>0</v>
      </c>
      <c r="G451" s="17">
        <f t="array" ref="G451">IFERROR(
 ( INDEX(Pack_Master!E:E, MATCH($D451, Pack_Master!A:A, 0))
   * INDEX(Pack_Master!F:F, MATCH($D451, Pack_Master!A:A, 0))
   * INDEX(Pack_Master!G:G, MATCH($D451, Pack_Master!A:A, 0))
 ) / INDEX(Config!C:C, MATCH($A451, Config!A:A, 0)),
"")
</f>
        <v>0</v>
      </c>
      <c r="H451" s="17">
        <f t="array" ref="H451">MAX( INDEX(Pack_Master!H:H, MATCH($D451, Pack_Master!A:A, 0)),
      IFERROR(G451, 0) )
</f>
        <v>0</v>
      </c>
      <c r="I451" s="18" t="str">
        <f>IFERROR(__xludf.DUMMYFUNCTION("IFERROR(
 INDEX(
   FILTER(Shipping_Rate_Card!B:F, Shipping_Rate_Card!A:A=$A451),
   MATCH($H451, FILTER(Shipping_Rate_Card!B:B, Shipping_Rate_Card!A:A=$A451), 1),
   IF( INDEX(Config!B:B, MATCH($A451, Config!A:A, 0))=""Local"", 2,
     IF( INDEX(Config!B"&amp;":B, MATCH($A451, Config!A:A, 0))=""Regional"", 3, 4 )
   )
 ),
"""")
"),"")</f>
        <v/>
      </c>
      <c r="J451" s="16">
        <f>IFERROR(__xludf.DUMMYFUNCTION("IFERROR(
 ( E451 * INDEX(FILTER(Pricing_Rules!E:E, Pricing_Rules!A:A=A451, Pricing_Rules!B:B=B451, Pricing_Rules!C:C&lt;=E451, Pricing_Rules!D:D&gt;=E451), 1)
   + INDEX(FILTER(Pricing_Rules!F:F, Pricing_Rules!A:A=A451, Pricing_Rules!B:B=B451, Pricing_Rules!C:C"&amp;"&lt;=E451, Pricing_Rules!D:D&gt;=E451), 1)
 )
 * (1 + IFERROR( INDEX(Config!D:D, MATCH(A451, Config!A:A, 0)), 0 )),
"""")
"),5.8999999999999995)</f>
        <v>5.9</v>
      </c>
      <c r="K451" s="19">
        <f t="shared" si="3"/>
        <v>-5.9</v>
      </c>
      <c r="L451" s="20" t="str">
        <f t="shared" si="4"/>
        <v/>
      </c>
    </row>
    <row r="452" ht="15.75" customHeight="1">
      <c r="A452" s="9" t="s">
        <v>9</v>
      </c>
      <c r="B452" s="12" t="str">
        <f t="array" ref="B452">XLOOKUP(C452, Channel_Listings!C:C, Channel_Listings!B:B)
</f>
        <v>Apparel_Tshirts</v>
      </c>
      <c r="C452" s="22" t="s">
        <v>643</v>
      </c>
      <c r="D452" s="14" t="str">
        <f t="array" ref="D452">XLOOKUP(C452, Channel_Listings!C:C, Channel_Listings!D:D)
</f>
        <v>TSHIRT-COTTONROUND-PITCH-XL</v>
      </c>
      <c r="E452" s="15"/>
      <c r="F452" s="16">
        <f t="array" ref="F452">IFERROR(
  VALUE( INDEX(Product_Master!$I:$I,
               MATCH( INDEX(Pack_Master!$B:$B, MATCH($D452, Pack_Master!$A:$A, 0)),
                      Product_Master!$B:$B, 0)
  )) 
  * VALUE( INDEX(Pack_Master!$C:$C, MATCH($D452, Pack_Master!$A:$A, 0)) )
  + VALUE( INDEX(Pack_Master!$D:$D, MATCH($D452, Pack_Master!$A:$A, 0)) ),
"")
</f>
        <v>0</v>
      </c>
      <c r="G452" s="17">
        <f t="array" ref="G452">IFERROR(
 ( INDEX(Pack_Master!E:E, MATCH($D452, Pack_Master!A:A, 0))
   * INDEX(Pack_Master!F:F, MATCH($D452, Pack_Master!A:A, 0))
   * INDEX(Pack_Master!G:G, MATCH($D452, Pack_Master!A:A, 0))
 ) / INDEX(Config!C:C, MATCH($A452, Config!A:A, 0)),
"")
</f>
        <v>0</v>
      </c>
      <c r="H452" s="17">
        <f t="array" ref="H452">MAX( INDEX(Pack_Master!H:H, MATCH($D452, Pack_Master!A:A, 0)),
      IFERROR(G452, 0) )
</f>
        <v>0</v>
      </c>
      <c r="I452" s="18" t="str">
        <f>IFERROR(__xludf.DUMMYFUNCTION("IFERROR(
 INDEX(
   FILTER(Shipping_Rate_Card!B:F, Shipping_Rate_Card!A:A=$A452),
   MATCH($H452, FILTER(Shipping_Rate_Card!B:B, Shipping_Rate_Card!A:A=$A452), 1),
   IF( INDEX(Config!B:B, MATCH($A452, Config!A:A, 0))=""Local"", 2,
     IF( INDEX(Config!B"&amp;":B, MATCH($A452, Config!A:A, 0))=""Regional"", 3, 4 )
   )
 ),
"""")
"),"")</f>
        <v/>
      </c>
      <c r="J452" s="16">
        <f>IFERROR(__xludf.DUMMYFUNCTION("IFERROR(
 ( E452 * INDEX(FILTER(Pricing_Rules!E:E, Pricing_Rules!A:A=A452, Pricing_Rules!B:B=B452, Pricing_Rules!C:C&lt;=E452, Pricing_Rules!D:D&gt;=E452), 1)
   + INDEX(FILTER(Pricing_Rules!F:F, Pricing_Rules!A:A=A452, Pricing_Rules!B:B=B452, Pricing_Rules!C:C"&amp;"&lt;=E452, Pricing_Rules!D:D&gt;=E452), 1)
 )
 * (1 + IFERROR( INDEX(Config!D:D, MATCH(A452, Config!A:A, 0)), 0 )),
"""")
"),5.8999999999999995)</f>
        <v>5.9</v>
      </c>
      <c r="K452" s="19">
        <f t="shared" si="3"/>
        <v>-5.9</v>
      </c>
      <c r="L452" s="20" t="str">
        <f t="shared" si="4"/>
        <v/>
      </c>
    </row>
    <row r="453" ht="15.75" customHeight="1">
      <c r="A453" s="9" t="s">
        <v>9</v>
      </c>
      <c r="B453" s="12" t="str">
        <f t="array" ref="B453">XLOOKUP(C453, Channel_Listings!C:C, Channel_Listings!B:B)
</f>
        <v>Apparel_Tshirts</v>
      </c>
      <c r="C453" s="22" t="s">
        <v>646</v>
      </c>
      <c r="D453" s="14" t="str">
        <f t="array" ref="D453">XLOOKUP(C453, Channel_Listings!C:C, Channel_Listings!D:D)
</f>
        <v>TSHIRT-COTTONROUND-PITCH-XXL</v>
      </c>
      <c r="E453" s="15"/>
      <c r="F453" s="16">
        <f t="array" ref="F453">IFERROR(
  VALUE( INDEX(Product_Master!$I:$I,
               MATCH( INDEX(Pack_Master!$B:$B, MATCH($D453, Pack_Master!$A:$A, 0)),
                      Product_Master!$B:$B, 0)
  )) 
  * VALUE( INDEX(Pack_Master!$C:$C, MATCH($D453, Pack_Master!$A:$A, 0)) )
  + VALUE( INDEX(Pack_Master!$D:$D, MATCH($D453, Pack_Master!$A:$A, 0)) ),
"")
</f>
        <v>0</v>
      </c>
      <c r="G453" s="17">
        <f t="array" ref="G453">IFERROR(
 ( INDEX(Pack_Master!E:E, MATCH($D453, Pack_Master!A:A, 0))
   * INDEX(Pack_Master!F:F, MATCH($D453, Pack_Master!A:A, 0))
   * INDEX(Pack_Master!G:G, MATCH($D453, Pack_Master!A:A, 0))
 ) / INDEX(Config!C:C, MATCH($A453, Config!A:A, 0)),
"")
</f>
        <v>0</v>
      </c>
      <c r="H453" s="17">
        <f t="array" ref="H453">MAX( INDEX(Pack_Master!H:H, MATCH($D453, Pack_Master!A:A, 0)),
      IFERROR(G453, 0) )
</f>
        <v>0</v>
      </c>
      <c r="I453" s="18" t="str">
        <f>IFERROR(__xludf.DUMMYFUNCTION("IFERROR(
 INDEX(
   FILTER(Shipping_Rate_Card!B:F, Shipping_Rate_Card!A:A=$A453),
   MATCH($H453, FILTER(Shipping_Rate_Card!B:B, Shipping_Rate_Card!A:A=$A453), 1),
   IF( INDEX(Config!B:B, MATCH($A453, Config!A:A, 0))=""Local"", 2,
     IF( INDEX(Config!B"&amp;":B, MATCH($A453, Config!A:A, 0))=""Regional"", 3, 4 )
   )
 ),
"""")
"),"")</f>
        <v/>
      </c>
      <c r="J453" s="16">
        <f>IFERROR(__xludf.DUMMYFUNCTION("IFERROR(
 ( E453 * INDEX(FILTER(Pricing_Rules!E:E, Pricing_Rules!A:A=A453, Pricing_Rules!B:B=B453, Pricing_Rules!C:C&lt;=E453, Pricing_Rules!D:D&gt;=E453), 1)
   + INDEX(FILTER(Pricing_Rules!F:F, Pricing_Rules!A:A=A453, Pricing_Rules!B:B=B453, Pricing_Rules!C:C"&amp;"&lt;=E453, Pricing_Rules!D:D&gt;=E453), 1)
 )
 * (1 + IFERROR( INDEX(Config!D:D, MATCH(A453, Config!A:A, 0)), 0 )),
"""")
"),5.8999999999999995)</f>
        <v>5.9</v>
      </c>
      <c r="K453" s="19">
        <f t="shared" si="3"/>
        <v>-5.9</v>
      </c>
      <c r="L453" s="20" t="str">
        <f t="shared" si="4"/>
        <v/>
      </c>
    </row>
    <row r="454" ht="15.75" customHeight="1">
      <c r="A454" s="9" t="s">
        <v>9</v>
      </c>
      <c r="B454" s="12" t="str">
        <f t="array" ref="B454">XLOOKUP(C454, Channel_Listings!C:C, Channel_Listings!B:B)
</f>
        <v>Apparel_Accessories_Winter</v>
      </c>
      <c r="C454" s="22" t="s">
        <v>649</v>
      </c>
      <c r="D454" s="14" t="str">
        <f t="array" ref="D454">XLOOKUP(C454, Channel_Listings!C:C, Channel_Listings!D:D)
</f>
        <v>STOLE-SILK-WHITE</v>
      </c>
      <c r="E454" s="15"/>
      <c r="F454" s="16">
        <f t="array" ref="F454">IFERROR(
  VALUE( INDEX(Product_Master!$I:$I,
               MATCH( INDEX(Pack_Master!$B:$B, MATCH($D454, Pack_Master!$A:$A, 0)),
                      Product_Master!$B:$B, 0)
  )) 
  * VALUE( INDEX(Pack_Master!$C:$C, MATCH($D454, Pack_Master!$A:$A, 0)) )
  + VALUE( INDEX(Pack_Master!$D:$D, MATCH($D454, Pack_Master!$A:$A, 0)) ),
"")
</f>
        <v>0</v>
      </c>
      <c r="G454" s="17">
        <f t="array" ref="G454">IFERROR(
 ( INDEX(Pack_Master!E:E, MATCH($D454, Pack_Master!A:A, 0))
   * INDEX(Pack_Master!F:F, MATCH($D454, Pack_Master!A:A, 0))
   * INDEX(Pack_Master!G:G, MATCH($D454, Pack_Master!A:A, 0))
 ) / INDEX(Config!C:C, MATCH($A454, Config!A:A, 0)),
"")
</f>
        <v>0</v>
      </c>
      <c r="H454" s="17">
        <f t="array" ref="H454">MAX( INDEX(Pack_Master!H:H, MATCH($D454, Pack_Master!A:A, 0)),
      IFERROR(G454, 0) )
</f>
        <v>0</v>
      </c>
      <c r="I454" s="18" t="str">
        <f>IFERROR(__xludf.DUMMYFUNCTION("IFERROR(
 INDEX(
   FILTER(Shipping_Rate_Card!B:F, Shipping_Rate_Card!A:A=$A454),
   MATCH($H454, FILTER(Shipping_Rate_Card!B:B, Shipping_Rate_Card!A:A=$A454), 1),
   IF( INDEX(Config!B:B, MATCH($A454, Config!A:A, 0))=""Local"", 2,
     IF( INDEX(Config!B"&amp;":B, MATCH($A454, Config!A:A, 0))=""Regional"", 3, 4 )
   )
 ),
"""")
"),"")</f>
        <v/>
      </c>
      <c r="J454" s="16">
        <f>IFERROR(__xludf.DUMMYFUNCTION("IFERROR(
 ( E454 * INDEX(FILTER(Pricing_Rules!E:E, Pricing_Rules!A:A=A454, Pricing_Rules!B:B=B454, Pricing_Rules!C:C&lt;=E454, Pricing_Rules!D:D&gt;=E454), 1)
   + INDEX(FILTER(Pricing_Rules!F:F, Pricing_Rules!A:A=A454, Pricing_Rules!B:B=B454, Pricing_Rules!C:C"&amp;"&lt;=E454, Pricing_Rules!D:D&gt;=E454), 1)
 )
 * (1 + IFERROR( INDEX(Config!D:D, MATCH(A454, Config!A:A, 0)), 0 )),
"""")
"),5.8999999999999995)</f>
        <v>5.9</v>
      </c>
      <c r="K454" s="19">
        <f t="shared" si="3"/>
        <v>-5.9</v>
      </c>
      <c r="L454" s="20" t="str">
        <f t="shared" si="4"/>
        <v/>
      </c>
    </row>
    <row r="455" ht="15.75" customHeight="1">
      <c r="A455" s="9" t="s">
        <v>9</v>
      </c>
      <c r="B455" s="12" t="str">
        <f t="array" ref="B455">XLOOKUP(C455, Channel_Listings!C:C, Channel_Listings!B:B)
</f>
        <v>Apparel_Tshirts</v>
      </c>
      <c r="C455" s="22" t="s">
        <v>651</v>
      </c>
      <c r="D455" s="14" t="str">
        <f t="array" ref="D455">XLOOKUP(C455, Channel_Listings!C:C, Channel_Listings!D:D)
</f>
        <v>TSHIRT-COTTONROUND-AIRFORCEBLUE-2XL</v>
      </c>
      <c r="E455" s="15"/>
      <c r="F455" s="16">
        <f t="array" ref="F455">IFERROR(
  VALUE( INDEX(Product_Master!$I:$I,
               MATCH( INDEX(Pack_Master!$B:$B, MATCH($D455, Pack_Master!$A:$A, 0)),
                      Product_Master!$B:$B, 0)
  )) 
  * VALUE( INDEX(Pack_Master!$C:$C, MATCH($D455, Pack_Master!$A:$A, 0)) )
  + VALUE( INDEX(Pack_Master!$D:$D, MATCH($D455, Pack_Master!$A:$A, 0)) ),
"")
</f>
        <v>0</v>
      </c>
      <c r="G455" s="17">
        <f t="array" ref="G455">IFERROR(
 ( INDEX(Pack_Master!E:E, MATCH($D455, Pack_Master!A:A, 0))
   * INDEX(Pack_Master!F:F, MATCH($D455, Pack_Master!A:A, 0))
   * INDEX(Pack_Master!G:G, MATCH($D455, Pack_Master!A:A, 0))
 ) / INDEX(Config!C:C, MATCH($A455, Config!A:A, 0)),
"")
</f>
        <v>0</v>
      </c>
      <c r="H455" s="17">
        <f t="array" ref="H455">MAX( INDEX(Pack_Master!H:H, MATCH($D455, Pack_Master!A:A, 0)),
      IFERROR(G455, 0) )
</f>
        <v>0</v>
      </c>
      <c r="I455" s="18" t="str">
        <f>IFERROR(__xludf.DUMMYFUNCTION("IFERROR(
 INDEX(
   FILTER(Shipping_Rate_Card!B:F, Shipping_Rate_Card!A:A=$A455),
   MATCH($H455, FILTER(Shipping_Rate_Card!B:B, Shipping_Rate_Card!A:A=$A455), 1),
   IF( INDEX(Config!B:B, MATCH($A455, Config!A:A, 0))=""Local"", 2,
     IF( INDEX(Config!B"&amp;":B, MATCH($A455, Config!A:A, 0))=""Regional"", 3, 4 )
   )
 ),
"""")
"),"")</f>
        <v/>
      </c>
      <c r="J455" s="16">
        <f>IFERROR(__xludf.DUMMYFUNCTION("IFERROR(
 ( E455 * INDEX(FILTER(Pricing_Rules!E:E, Pricing_Rules!A:A=A455, Pricing_Rules!B:B=B455, Pricing_Rules!C:C&lt;=E455, Pricing_Rules!D:D&gt;=E455), 1)
   + INDEX(FILTER(Pricing_Rules!F:F, Pricing_Rules!A:A=A455, Pricing_Rules!B:B=B455, Pricing_Rules!C:C"&amp;"&lt;=E455, Pricing_Rules!D:D&gt;=E455), 1)
 )
 * (1 + IFERROR( INDEX(Config!D:D, MATCH(A455, Config!A:A, 0)), 0 )),
"""")
"),5.8999999999999995)</f>
        <v>5.9</v>
      </c>
      <c r="K455" s="19">
        <f t="shared" si="3"/>
        <v>-5.9</v>
      </c>
      <c r="L455" s="20" t="str">
        <f t="shared" si="4"/>
        <v/>
      </c>
    </row>
    <row r="456" ht="15.75" customHeight="1">
      <c r="A456" s="9" t="s">
        <v>9</v>
      </c>
      <c r="B456" s="12" t="str">
        <f t="array" ref="B456">XLOOKUP(C456, Channel_Listings!C:C, Channel_Listings!B:B)
</f>
        <v>Apparel_Tshirts</v>
      </c>
      <c r="C456" s="22" t="s">
        <v>653</v>
      </c>
      <c r="D456" s="14" t="str">
        <f t="array" ref="D456">XLOOKUP(C456, Channel_Listings!C:C, Channel_Listings!D:D)
</f>
        <v>TSHIRT-COTTONROUND-AIRFORCEBLUE-L</v>
      </c>
      <c r="E456" s="15"/>
      <c r="F456" s="16">
        <f t="array" ref="F456">IFERROR(
  VALUE( INDEX(Product_Master!$I:$I,
               MATCH( INDEX(Pack_Master!$B:$B, MATCH($D456, Pack_Master!$A:$A, 0)),
                      Product_Master!$B:$B, 0)
  )) 
  * VALUE( INDEX(Pack_Master!$C:$C, MATCH($D456, Pack_Master!$A:$A, 0)) )
  + VALUE( INDEX(Pack_Master!$D:$D, MATCH($D456, Pack_Master!$A:$A, 0)) ),
"")
</f>
        <v>0</v>
      </c>
      <c r="G456" s="17">
        <f t="array" ref="G456">IFERROR(
 ( INDEX(Pack_Master!E:E, MATCH($D456, Pack_Master!A:A, 0))
   * INDEX(Pack_Master!F:F, MATCH($D456, Pack_Master!A:A, 0))
   * INDEX(Pack_Master!G:G, MATCH($D456, Pack_Master!A:A, 0))
 ) / INDEX(Config!C:C, MATCH($A456, Config!A:A, 0)),
"")
</f>
        <v>0</v>
      </c>
      <c r="H456" s="17">
        <f t="array" ref="H456">MAX( INDEX(Pack_Master!H:H, MATCH($D456, Pack_Master!A:A, 0)),
      IFERROR(G456, 0) )
</f>
        <v>0</v>
      </c>
      <c r="I456" s="18" t="str">
        <f>IFERROR(__xludf.DUMMYFUNCTION("IFERROR(
 INDEX(
   FILTER(Shipping_Rate_Card!B:F, Shipping_Rate_Card!A:A=$A456),
   MATCH($H456, FILTER(Shipping_Rate_Card!B:B, Shipping_Rate_Card!A:A=$A456), 1),
   IF( INDEX(Config!B:B, MATCH($A456, Config!A:A, 0))=""Local"", 2,
     IF( INDEX(Config!B"&amp;":B, MATCH($A456, Config!A:A, 0))=""Regional"", 3, 4 )
   )
 ),
"""")
"),"")</f>
        <v/>
      </c>
      <c r="J456" s="16">
        <f>IFERROR(__xludf.DUMMYFUNCTION("IFERROR(
 ( E456 * INDEX(FILTER(Pricing_Rules!E:E, Pricing_Rules!A:A=A456, Pricing_Rules!B:B=B456, Pricing_Rules!C:C&lt;=E456, Pricing_Rules!D:D&gt;=E456), 1)
   + INDEX(FILTER(Pricing_Rules!F:F, Pricing_Rules!A:A=A456, Pricing_Rules!B:B=B456, Pricing_Rules!C:C"&amp;"&lt;=E456, Pricing_Rules!D:D&gt;=E456), 1)
 )
 * (1 + IFERROR( INDEX(Config!D:D, MATCH(A456, Config!A:A, 0)), 0 )),
"""")
"),5.8999999999999995)</f>
        <v>5.9</v>
      </c>
      <c r="K456" s="19">
        <f t="shared" si="3"/>
        <v>-5.9</v>
      </c>
      <c r="L456" s="20" t="str">
        <f t="shared" si="4"/>
        <v/>
      </c>
    </row>
    <row r="457" ht="15.75" customHeight="1">
      <c r="A457" s="9" t="s">
        <v>9</v>
      </c>
      <c r="B457" s="12" t="str">
        <f t="array" ref="B457">XLOOKUP(C457, Channel_Listings!C:C, Channel_Listings!B:B)
</f>
        <v>Apparel_Tshirts</v>
      </c>
      <c r="C457" s="22" t="s">
        <v>655</v>
      </c>
      <c r="D457" s="14" t="str">
        <f t="array" ref="D457">XLOOKUP(C457, Channel_Listings!C:C, Channel_Listings!D:D)
</f>
        <v>TSHIRT-COTTONROUND-AIRFORCEBLUE-M</v>
      </c>
      <c r="E457" s="15"/>
      <c r="F457" s="16">
        <f t="array" ref="F457">IFERROR(
  VALUE( INDEX(Product_Master!$I:$I,
               MATCH( INDEX(Pack_Master!$B:$B, MATCH($D457, Pack_Master!$A:$A, 0)),
                      Product_Master!$B:$B, 0)
  )) 
  * VALUE( INDEX(Pack_Master!$C:$C, MATCH($D457, Pack_Master!$A:$A, 0)) )
  + VALUE( INDEX(Pack_Master!$D:$D, MATCH($D457, Pack_Master!$A:$A, 0)) ),
"")
</f>
        <v>0</v>
      </c>
      <c r="G457" s="17">
        <f t="array" ref="G457">IFERROR(
 ( INDEX(Pack_Master!E:E, MATCH($D457, Pack_Master!A:A, 0))
   * INDEX(Pack_Master!F:F, MATCH($D457, Pack_Master!A:A, 0))
   * INDEX(Pack_Master!G:G, MATCH($D457, Pack_Master!A:A, 0))
 ) / INDEX(Config!C:C, MATCH($A457, Config!A:A, 0)),
"")
</f>
        <v>0</v>
      </c>
      <c r="H457" s="17">
        <f t="array" ref="H457">MAX( INDEX(Pack_Master!H:H, MATCH($D457, Pack_Master!A:A, 0)),
      IFERROR(G457, 0) )
</f>
        <v>0</v>
      </c>
      <c r="I457" s="18" t="str">
        <f>IFERROR(__xludf.DUMMYFUNCTION("IFERROR(
 INDEX(
   FILTER(Shipping_Rate_Card!B:F, Shipping_Rate_Card!A:A=$A457),
   MATCH($H457, FILTER(Shipping_Rate_Card!B:B, Shipping_Rate_Card!A:A=$A457), 1),
   IF( INDEX(Config!B:B, MATCH($A457, Config!A:A, 0))=""Local"", 2,
     IF( INDEX(Config!B"&amp;":B, MATCH($A457, Config!A:A, 0))=""Regional"", 3, 4 )
   )
 ),
"""")
"),"")</f>
        <v/>
      </c>
      <c r="J457" s="16">
        <f>IFERROR(__xludf.DUMMYFUNCTION("IFERROR(
 ( E457 * INDEX(FILTER(Pricing_Rules!E:E, Pricing_Rules!A:A=A457, Pricing_Rules!B:B=B457, Pricing_Rules!C:C&lt;=E457, Pricing_Rules!D:D&gt;=E457), 1)
   + INDEX(FILTER(Pricing_Rules!F:F, Pricing_Rules!A:A=A457, Pricing_Rules!B:B=B457, Pricing_Rules!C:C"&amp;"&lt;=E457, Pricing_Rules!D:D&gt;=E457), 1)
 )
 * (1 + IFERROR( INDEX(Config!D:D, MATCH(A457, Config!A:A, 0)), 0 )),
"""")
"),5.8999999999999995)</f>
        <v>5.9</v>
      </c>
      <c r="K457" s="19">
        <f t="shared" si="3"/>
        <v>-5.9</v>
      </c>
      <c r="L457" s="20" t="str">
        <f t="shared" si="4"/>
        <v/>
      </c>
    </row>
    <row r="458" ht="15.75" customHeight="1">
      <c r="A458" s="9" t="s">
        <v>9</v>
      </c>
      <c r="B458" s="12" t="str">
        <f t="array" ref="B458">XLOOKUP(C458, Channel_Listings!C:C, Channel_Listings!B:B)
</f>
        <v>Apparel_Tshirts</v>
      </c>
      <c r="C458" s="22" t="s">
        <v>657</v>
      </c>
      <c r="D458" s="14" t="str">
        <f t="array" ref="D458">XLOOKUP(C458, Channel_Listings!C:C, Channel_Listings!D:D)
</f>
        <v>TSHIRT-COTTONROUND-AIRFORCEBLUE-XL</v>
      </c>
      <c r="E458" s="15"/>
      <c r="F458" s="16">
        <f t="array" ref="F458">IFERROR(
  VALUE( INDEX(Product_Master!$I:$I,
               MATCH( INDEX(Pack_Master!$B:$B, MATCH($D458, Pack_Master!$A:$A, 0)),
                      Product_Master!$B:$B, 0)
  )) 
  * VALUE( INDEX(Pack_Master!$C:$C, MATCH($D458, Pack_Master!$A:$A, 0)) )
  + VALUE( INDEX(Pack_Master!$D:$D, MATCH($D458, Pack_Master!$A:$A, 0)) ),
"")
</f>
        <v>0</v>
      </c>
      <c r="G458" s="17">
        <f t="array" ref="G458">IFERROR(
 ( INDEX(Pack_Master!E:E, MATCH($D458, Pack_Master!A:A, 0))
   * INDEX(Pack_Master!F:F, MATCH($D458, Pack_Master!A:A, 0))
   * INDEX(Pack_Master!G:G, MATCH($D458, Pack_Master!A:A, 0))
 ) / INDEX(Config!C:C, MATCH($A458, Config!A:A, 0)),
"")
</f>
        <v>0</v>
      </c>
      <c r="H458" s="17">
        <f t="array" ref="H458">MAX( INDEX(Pack_Master!H:H, MATCH($D458, Pack_Master!A:A, 0)),
      IFERROR(G458, 0) )
</f>
        <v>0</v>
      </c>
      <c r="I458" s="18" t="str">
        <f>IFERROR(__xludf.DUMMYFUNCTION("IFERROR(
 INDEX(
   FILTER(Shipping_Rate_Card!B:F, Shipping_Rate_Card!A:A=$A458),
   MATCH($H458, FILTER(Shipping_Rate_Card!B:B, Shipping_Rate_Card!A:A=$A458), 1),
   IF( INDEX(Config!B:B, MATCH($A458, Config!A:A, 0))=""Local"", 2,
     IF( INDEX(Config!B"&amp;":B, MATCH($A458, Config!A:A, 0))=""Regional"", 3, 4 )
   )
 ),
"""")
"),"")</f>
        <v/>
      </c>
      <c r="J458" s="16">
        <f>IFERROR(__xludf.DUMMYFUNCTION("IFERROR(
 ( E458 * INDEX(FILTER(Pricing_Rules!E:E, Pricing_Rules!A:A=A458, Pricing_Rules!B:B=B458, Pricing_Rules!C:C&lt;=E458, Pricing_Rules!D:D&gt;=E458), 1)
   + INDEX(FILTER(Pricing_Rules!F:F, Pricing_Rules!A:A=A458, Pricing_Rules!B:B=B458, Pricing_Rules!C:C"&amp;"&lt;=E458, Pricing_Rules!D:D&gt;=E458), 1)
 )
 * (1 + IFERROR( INDEX(Config!D:D, MATCH(A458, Config!A:A, 0)), 0 )),
"""")
"),5.8999999999999995)</f>
        <v>5.9</v>
      </c>
      <c r="K458" s="19">
        <f t="shared" si="3"/>
        <v>-5.9</v>
      </c>
      <c r="L458" s="20" t="str">
        <f t="shared" si="4"/>
        <v/>
      </c>
    </row>
    <row r="459" ht="15.75" customHeight="1">
      <c r="A459" s="9" t="s">
        <v>9</v>
      </c>
      <c r="B459" s="12" t="str">
        <f t="array" ref="B459">XLOOKUP(C459, Channel_Listings!C:C, Channel_Listings!B:B)
</f>
        <v>Apparel_Tshirts</v>
      </c>
      <c r="C459" s="22" t="s">
        <v>659</v>
      </c>
      <c r="D459" s="14" t="str">
        <f t="array" ref="D459">XLOOKUP(C459, Channel_Listings!C:C, Channel_Listings!D:D)
</f>
        <v>TSHIRT-COTTONROUND-BLACK-2XL</v>
      </c>
      <c r="E459" s="15"/>
      <c r="F459" s="16">
        <f t="array" ref="F459">IFERROR(
  VALUE( INDEX(Product_Master!$I:$I,
               MATCH( INDEX(Pack_Master!$B:$B, MATCH($D459, Pack_Master!$A:$A, 0)),
                      Product_Master!$B:$B, 0)
  )) 
  * VALUE( INDEX(Pack_Master!$C:$C, MATCH($D459, Pack_Master!$A:$A, 0)) )
  + VALUE( INDEX(Pack_Master!$D:$D, MATCH($D459, Pack_Master!$A:$A, 0)) ),
"")
</f>
        <v>0</v>
      </c>
      <c r="G459" s="17">
        <f t="array" ref="G459">IFERROR(
 ( INDEX(Pack_Master!E:E, MATCH($D459, Pack_Master!A:A, 0))
   * INDEX(Pack_Master!F:F, MATCH($D459, Pack_Master!A:A, 0))
   * INDEX(Pack_Master!G:G, MATCH($D459, Pack_Master!A:A, 0))
 ) / INDEX(Config!C:C, MATCH($A459, Config!A:A, 0)),
"")
</f>
        <v>0</v>
      </c>
      <c r="H459" s="17">
        <f t="array" ref="H459">MAX( INDEX(Pack_Master!H:H, MATCH($D459, Pack_Master!A:A, 0)),
      IFERROR(G459, 0) )
</f>
        <v>0</v>
      </c>
      <c r="I459" s="18" t="str">
        <f>IFERROR(__xludf.DUMMYFUNCTION("IFERROR(
 INDEX(
   FILTER(Shipping_Rate_Card!B:F, Shipping_Rate_Card!A:A=$A459),
   MATCH($H459, FILTER(Shipping_Rate_Card!B:B, Shipping_Rate_Card!A:A=$A459), 1),
   IF( INDEX(Config!B:B, MATCH($A459, Config!A:A, 0))=""Local"", 2,
     IF( INDEX(Config!B"&amp;":B, MATCH($A459, Config!A:A, 0))=""Regional"", 3, 4 )
   )
 ),
"""")
"),"")</f>
        <v/>
      </c>
      <c r="J459" s="16">
        <f>IFERROR(__xludf.DUMMYFUNCTION("IFERROR(
 ( E459 * INDEX(FILTER(Pricing_Rules!E:E, Pricing_Rules!A:A=A459, Pricing_Rules!B:B=B459, Pricing_Rules!C:C&lt;=E459, Pricing_Rules!D:D&gt;=E459), 1)
   + INDEX(FILTER(Pricing_Rules!F:F, Pricing_Rules!A:A=A459, Pricing_Rules!B:B=B459, Pricing_Rules!C:C"&amp;"&lt;=E459, Pricing_Rules!D:D&gt;=E459), 1)
 )
 * (1 + IFERROR( INDEX(Config!D:D, MATCH(A459, Config!A:A, 0)), 0 )),
"""")
"),5.8999999999999995)</f>
        <v>5.9</v>
      </c>
      <c r="K459" s="19">
        <f t="shared" si="3"/>
        <v>-5.9</v>
      </c>
      <c r="L459" s="20" t="str">
        <f t="shared" si="4"/>
        <v/>
      </c>
    </row>
    <row r="460" ht="15.75" customHeight="1">
      <c r="A460" s="9" t="s">
        <v>9</v>
      </c>
      <c r="B460" s="12" t="str">
        <f t="array" ref="B460">XLOOKUP(C460, Channel_Listings!C:C, Channel_Listings!B:B)
</f>
        <v>Apparel_Tshirts</v>
      </c>
      <c r="C460" s="22" t="s">
        <v>661</v>
      </c>
      <c r="D460" s="14" t="str">
        <f t="array" ref="D460">XLOOKUP(C460, Channel_Listings!C:C, Channel_Listings!D:D)
</f>
        <v>TSHIRT-COTTONROUND-BLACK-L</v>
      </c>
      <c r="E460" s="15"/>
      <c r="F460" s="16">
        <f t="array" ref="F460">IFERROR(
  VALUE( INDEX(Product_Master!$I:$I,
               MATCH( INDEX(Pack_Master!$B:$B, MATCH($D460, Pack_Master!$A:$A, 0)),
                      Product_Master!$B:$B, 0)
  )) 
  * VALUE( INDEX(Pack_Master!$C:$C, MATCH($D460, Pack_Master!$A:$A, 0)) )
  + VALUE( INDEX(Pack_Master!$D:$D, MATCH($D460, Pack_Master!$A:$A, 0)) ),
"")
</f>
        <v>0</v>
      </c>
      <c r="G460" s="17">
        <f t="array" ref="G460">IFERROR(
 ( INDEX(Pack_Master!E:E, MATCH($D460, Pack_Master!A:A, 0))
   * INDEX(Pack_Master!F:F, MATCH($D460, Pack_Master!A:A, 0))
   * INDEX(Pack_Master!G:G, MATCH($D460, Pack_Master!A:A, 0))
 ) / INDEX(Config!C:C, MATCH($A460, Config!A:A, 0)),
"")
</f>
        <v>0</v>
      </c>
      <c r="H460" s="17">
        <f t="array" ref="H460">MAX( INDEX(Pack_Master!H:H, MATCH($D460, Pack_Master!A:A, 0)),
      IFERROR(G460, 0) )
</f>
        <v>0</v>
      </c>
      <c r="I460" s="18" t="str">
        <f>IFERROR(__xludf.DUMMYFUNCTION("IFERROR(
 INDEX(
   FILTER(Shipping_Rate_Card!B:F, Shipping_Rate_Card!A:A=$A460),
   MATCH($H460, FILTER(Shipping_Rate_Card!B:B, Shipping_Rate_Card!A:A=$A460), 1),
   IF( INDEX(Config!B:B, MATCH($A460, Config!A:A, 0))=""Local"", 2,
     IF( INDEX(Config!B"&amp;":B, MATCH($A460, Config!A:A, 0))=""Regional"", 3, 4 )
   )
 ),
"""")
"),"")</f>
        <v/>
      </c>
      <c r="J460" s="16">
        <f>IFERROR(__xludf.DUMMYFUNCTION("IFERROR(
 ( E460 * INDEX(FILTER(Pricing_Rules!E:E, Pricing_Rules!A:A=A460, Pricing_Rules!B:B=B460, Pricing_Rules!C:C&lt;=E460, Pricing_Rules!D:D&gt;=E460), 1)
   + INDEX(FILTER(Pricing_Rules!F:F, Pricing_Rules!A:A=A460, Pricing_Rules!B:B=B460, Pricing_Rules!C:C"&amp;"&lt;=E460, Pricing_Rules!D:D&gt;=E460), 1)
 )
 * (1 + IFERROR( INDEX(Config!D:D, MATCH(A460, Config!A:A, 0)), 0 )),
"""")
"),5.8999999999999995)</f>
        <v>5.9</v>
      </c>
      <c r="K460" s="19">
        <f t="shared" si="3"/>
        <v>-5.9</v>
      </c>
      <c r="L460" s="20" t="str">
        <f t="shared" si="4"/>
        <v/>
      </c>
    </row>
    <row r="461" ht="15.75" customHeight="1">
      <c r="A461" s="9" t="s">
        <v>9</v>
      </c>
      <c r="B461" s="12" t="str">
        <f t="array" ref="B461">XLOOKUP(C461, Channel_Listings!C:C, Channel_Listings!B:B)
</f>
        <v>Apparel_Tshirts</v>
      </c>
      <c r="C461" s="22" t="s">
        <v>663</v>
      </c>
      <c r="D461" s="14" t="str">
        <f t="array" ref="D461">XLOOKUP(C461, Channel_Listings!C:C, Channel_Listings!D:D)
</f>
        <v>TSHIRT-COTTONROUND-BLACK-M</v>
      </c>
      <c r="E461" s="15"/>
      <c r="F461" s="16">
        <f t="array" ref="F461">IFERROR(
  VALUE( INDEX(Product_Master!$I:$I,
               MATCH( INDEX(Pack_Master!$B:$B, MATCH($D461, Pack_Master!$A:$A, 0)),
                      Product_Master!$B:$B, 0)
  )) 
  * VALUE( INDEX(Pack_Master!$C:$C, MATCH($D461, Pack_Master!$A:$A, 0)) )
  + VALUE( INDEX(Pack_Master!$D:$D, MATCH($D461, Pack_Master!$A:$A, 0)) ),
"")
</f>
        <v>0</v>
      </c>
      <c r="G461" s="17">
        <f t="array" ref="G461">IFERROR(
 ( INDEX(Pack_Master!E:E, MATCH($D461, Pack_Master!A:A, 0))
   * INDEX(Pack_Master!F:F, MATCH($D461, Pack_Master!A:A, 0))
   * INDEX(Pack_Master!G:G, MATCH($D461, Pack_Master!A:A, 0))
 ) / INDEX(Config!C:C, MATCH($A461, Config!A:A, 0)),
"")
</f>
        <v>0</v>
      </c>
      <c r="H461" s="17">
        <f t="array" ref="H461">MAX( INDEX(Pack_Master!H:H, MATCH($D461, Pack_Master!A:A, 0)),
      IFERROR(G461, 0) )
</f>
        <v>0</v>
      </c>
      <c r="I461" s="18" t="str">
        <f>IFERROR(__xludf.DUMMYFUNCTION("IFERROR(
 INDEX(
   FILTER(Shipping_Rate_Card!B:F, Shipping_Rate_Card!A:A=$A461),
   MATCH($H461, FILTER(Shipping_Rate_Card!B:B, Shipping_Rate_Card!A:A=$A461), 1),
   IF( INDEX(Config!B:B, MATCH($A461, Config!A:A, 0))=""Local"", 2,
     IF( INDEX(Config!B"&amp;":B, MATCH($A461, Config!A:A, 0))=""Regional"", 3, 4 )
   )
 ),
"""")
"),"")</f>
        <v/>
      </c>
      <c r="J461" s="16">
        <f>IFERROR(__xludf.DUMMYFUNCTION("IFERROR(
 ( E461 * INDEX(FILTER(Pricing_Rules!E:E, Pricing_Rules!A:A=A461, Pricing_Rules!B:B=B461, Pricing_Rules!C:C&lt;=E461, Pricing_Rules!D:D&gt;=E461), 1)
   + INDEX(FILTER(Pricing_Rules!F:F, Pricing_Rules!A:A=A461, Pricing_Rules!B:B=B461, Pricing_Rules!C:C"&amp;"&lt;=E461, Pricing_Rules!D:D&gt;=E461), 1)
 )
 * (1 + IFERROR( INDEX(Config!D:D, MATCH(A461, Config!A:A, 0)), 0 )),
"""")
"),5.8999999999999995)</f>
        <v>5.9</v>
      </c>
      <c r="K461" s="19">
        <f t="shared" si="3"/>
        <v>-5.9</v>
      </c>
      <c r="L461" s="20" t="str">
        <f t="shared" si="4"/>
        <v/>
      </c>
    </row>
    <row r="462" ht="15.75" customHeight="1">
      <c r="A462" s="9" t="s">
        <v>9</v>
      </c>
      <c r="B462" s="12" t="str">
        <f t="array" ref="B462">XLOOKUP(C462, Channel_Listings!C:C, Channel_Listings!B:B)
</f>
        <v>Apparel_Tshirts</v>
      </c>
      <c r="C462" s="22" t="s">
        <v>665</v>
      </c>
      <c r="D462" s="14" t="str">
        <f t="array" ref="D462">XLOOKUP(C462, Channel_Listings!C:C, Channel_Listings!D:D)
</f>
        <v>TSHIRT-COTTONROUND-BLACK-XL</v>
      </c>
      <c r="E462" s="15"/>
      <c r="F462" s="16">
        <f t="array" ref="F462">IFERROR(
  VALUE( INDEX(Product_Master!$I:$I,
               MATCH( INDEX(Pack_Master!$B:$B, MATCH($D462, Pack_Master!$A:$A, 0)),
                      Product_Master!$B:$B, 0)
  )) 
  * VALUE( INDEX(Pack_Master!$C:$C, MATCH($D462, Pack_Master!$A:$A, 0)) )
  + VALUE( INDEX(Pack_Master!$D:$D, MATCH($D462, Pack_Master!$A:$A, 0)) ),
"")
</f>
        <v>0</v>
      </c>
      <c r="G462" s="17">
        <f t="array" ref="G462">IFERROR(
 ( INDEX(Pack_Master!E:E, MATCH($D462, Pack_Master!A:A, 0))
   * INDEX(Pack_Master!F:F, MATCH($D462, Pack_Master!A:A, 0))
   * INDEX(Pack_Master!G:G, MATCH($D462, Pack_Master!A:A, 0))
 ) / INDEX(Config!C:C, MATCH($A462, Config!A:A, 0)),
"")
</f>
        <v>0</v>
      </c>
      <c r="H462" s="17">
        <f t="array" ref="H462">MAX( INDEX(Pack_Master!H:H, MATCH($D462, Pack_Master!A:A, 0)),
      IFERROR(G462, 0) )
</f>
        <v>0</v>
      </c>
      <c r="I462" s="18" t="str">
        <f>IFERROR(__xludf.DUMMYFUNCTION("IFERROR(
 INDEX(
   FILTER(Shipping_Rate_Card!B:F, Shipping_Rate_Card!A:A=$A462),
   MATCH($H462, FILTER(Shipping_Rate_Card!B:B, Shipping_Rate_Card!A:A=$A462), 1),
   IF( INDEX(Config!B:B, MATCH($A462, Config!A:A, 0))=""Local"", 2,
     IF( INDEX(Config!B"&amp;":B, MATCH($A462, Config!A:A, 0))=""Regional"", 3, 4 )
   )
 ),
"""")
"),"")</f>
        <v/>
      </c>
      <c r="J462" s="16">
        <f>IFERROR(__xludf.DUMMYFUNCTION("IFERROR(
 ( E462 * INDEX(FILTER(Pricing_Rules!E:E, Pricing_Rules!A:A=A462, Pricing_Rules!B:B=B462, Pricing_Rules!C:C&lt;=E462, Pricing_Rules!D:D&gt;=E462), 1)
   + INDEX(FILTER(Pricing_Rules!F:F, Pricing_Rules!A:A=A462, Pricing_Rules!B:B=B462, Pricing_Rules!C:C"&amp;"&lt;=E462, Pricing_Rules!D:D&gt;=E462), 1)
 )
 * (1 + IFERROR( INDEX(Config!D:D, MATCH(A462, Config!A:A, 0)), 0 )),
"""")
"),5.8999999999999995)</f>
        <v>5.9</v>
      </c>
      <c r="K462" s="19">
        <f t="shared" si="3"/>
        <v>-5.9</v>
      </c>
      <c r="L462" s="20" t="str">
        <f t="shared" si="4"/>
        <v/>
      </c>
    </row>
    <row r="463" ht="15.75" customHeight="1">
      <c r="A463" s="9" t="s">
        <v>9</v>
      </c>
      <c r="B463" s="12" t="str">
        <f t="array" ref="B463">XLOOKUP(C463, Channel_Listings!C:C, Channel_Listings!B:B)
</f>
        <v>Apparel_Tshirts</v>
      </c>
      <c r="C463" s="22" t="s">
        <v>667</v>
      </c>
      <c r="D463" s="14" t="str">
        <f t="array" ref="D463">XLOOKUP(C463, Channel_Listings!C:C, Channel_Listings!D:D)
</f>
        <v>TSHIRT-COTTONROUND-BOTTLEGREEN-2XL</v>
      </c>
      <c r="E463" s="15"/>
      <c r="F463" s="16">
        <f t="array" ref="F463">IFERROR(
  VALUE( INDEX(Product_Master!$I:$I,
               MATCH( INDEX(Pack_Master!$B:$B, MATCH($D463, Pack_Master!$A:$A, 0)),
                      Product_Master!$B:$B, 0)
  )) 
  * VALUE( INDEX(Pack_Master!$C:$C, MATCH($D463, Pack_Master!$A:$A, 0)) )
  + VALUE( INDEX(Pack_Master!$D:$D, MATCH($D463, Pack_Master!$A:$A, 0)) ),
"")
</f>
        <v>0</v>
      </c>
      <c r="G463" s="17">
        <f t="array" ref="G463">IFERROR(
 ( INDEX(Pack_Master!E:E, MATCH($D463, Pack_Master!A:A, 0))
   * INDEX(Pack_Master!F:F, MATCH($D463, Pack_Master!A:A, 0))
   * INDEX(Pack_Master!G:G, MATCH($D463, Pack_Master!A:A, 0))
 ) / INDEX(Config!C:C, MATCH($A463, Config!A:A, 0)),
"")
</f>
        <v>0</v>
      </c>
      <c r="H463" s="17">
        <f t="array" ref="H463">MAX( INDEX(Pack_Master!H:H, MATCH($D463, Pack_Master!A:A, 0)),
      IFERROR(G463, 0) )
</f>
        <v>0</v>
      </c>
      <c r="I463" s="18" t="str">
        <f>IFERROR(__xludf.DUMMYFUNCTION("IFERROR(
 INDEX(
   FILTER(Shipping_Rate_Card!B:F, Shipping_Rate_Card!A:A=$A463),
   MATCH($H463, FILTER(Shipping_Rate_Card!B:B, Shipping_Rate_Card!A:A=$A463), 1),
   IF( INDEX(Config!B:B, MATCH($A463, Config!A:A, 0))=""Local"", 2,
     IF( INDEX(Config!B"&amp;":B, MATCH($A463, Config!A:A, 0))=""Regional"", 3, 4 )
   )
 ),
"""")
"),"")</f>
        <v/>
      </c>
      <c r="J463" s="16">
        <f>IFERROR(__xludf.DUMMYFUNCTION("IFERROR(
 ( E463 * INDEX(FILTER(Pricing_Rules!E:E, Pricing_Rules!A:A=A463, Pricing_Rules!B:B=B463, Pricing_Rules!C:C&lt;=E463, Pricing_Rules!D:D&gt;=E463), 1)
   + INDEX(FILTER(Pricing_Rules!F:F, Pricing_Rules!A:A=A463, Pricing_Rules!B:B=B463, Pricing_Rules!C:C"&amp;"&lt;=E463, Pricing_Rules!D:D&gt;=E463), 1)
 )
 * (1 + IFERROR( INDEX(Config!D:D, MATCH(A463, Config!A:A, 0)), 0 )),
"""")
"),5.8999999999999995)</f>
        <v>5.9</v>
      </c>
      <c r="K463" s="19">
        <f t="shared" si="3"/>
        <v>-5.9</v>
      </c>
      <c r="L463" s="20" t="str">
        <f t="shared" si="4"/>
        <v/>
      </c>
    </row>
    <row r="464" ht="15.75" customHeight="1">
      <c r="A464" s="9" t="s">
        <v>9</v>
      </c>
      <c r="B464" s="12" t="str">
        <f t="array" ref="B464">XLOOKUP(C464, Channel_Listings!C:C, Channel_Listings!B:B)
</f>
        <v>Apparel_Tshirts</v>
      </c>
      <c r="C464" s="22" t="s">
        <v>669</v>
      </c>
      <c r="D464" s="14" t="str">
        <f t="array" ref="D464">XLOOKUP(C464, Channel_Listings!C:C, Channel_Listings!D:D)
</f>
        <v>TSHIRT-COTTONROUND-BOTTLEGREEN-L</v>
      </c>
      <c r="E464" s="15"/>
      <c r="F464" s="16">
        <f t="array" ref="F464">IFERROR(
  VALUE( INDEX(Product_Master!$I:$I,
               MATCH( INDEX(Pack_Master!$B:$B, MATCH($D464, Pack_Master!$A:$A, 0)),
                      Product_Master!$B:$B, 0)
  )) 
  * VALUE( INDEX(Pack_Master!$C:$C, MATCH($D464, Pack_Master!$A:$A, 0)) )
  + VALUE( INDEX(Pack_Master!$D:$D, MATCH($D464, Pack_Master!$A:$A, 0)) ),
"")
</f>
        <v>0</v>
      </c>
      <c r="G464" s="17">
        <f t="array" ref="G464">IFERROR(
 ( INDEX(Pack_Master!E:E, MATCH($D464, Pack_Master!A:A, 0))
   * INDEX(Pack_Master!F:F, MATCH($D464, Pack_Master!A:A, 0))
   * INDEX(Pack_Master!G:G, MATCH($D464, Pack_Master!A:A, 0))
 ) / INDEX(Config!C:C, MATCH($A464, Config!A:A, 0)),
"")
</f>
        <v>0</v>
      </c>
      <c r="H464" s="17">
        <f t="array" ref="H464">MAX( INDEX(Pack_Master!H:H, MATCH($D464, Pack_Master!A:A, 0)),
      IFERROR(G464, 0) )
</f>
        <v>0</v>
      </c>
      <c r="I464" s="18" t="str">
        <f>IFERROR(__xludf.DUMMYFUNCTION("IFERROR(
 INDEX(
   FILTER(Shipping_Rate_Card!B:F, Shipping_Rate_Card!A:A=$A464),
   MATCH($H464, FILTER(Shipping_Rate_Card!B:B, Shipping_Rate_Card!A:A=$A464), 1),
   IF( INDEX(Config!B:B, MATCH($A464, Config!A:A, 0))=""Local"", 2,
     IF( INDEX(Config!B"&amp;":B, MATCH($A464, Config!A:A, 0))=""Regional"", 3, 4 )
   )
 ),
"""")
"),"")</f>
        <v/>
      </c>
      <c r="J464" s="16">
        <f>IFERROR(__xludf.DUMMYFUNCTION("IFERROR(
 ( E464 * INDEX(FILTER(Pricing_Rules!E:E, Pricing_Rules!A:A=A464, Pricing_Rules!B:B=B464, Pricing_Rules!C:C&lt;=E464, Pricing_Rules!D:D&gt;=E464), 1)
   + INDEX(FILTER(Pricing_Rules!F:F, Pricing_Rules!A:A=A464, Pricing_Rules!B:B=B464, Pricing_Rules!C:C"&amp;"&lt;=E464, Pricing_Rules!D:D&gt;=E464), 1)
 )
 * (1 + IFERROR( INDEX(Config!D:D, MATCH(A464, Config!A:A, 0)), 0 )),
"""")
"),5.8999999999999995)</f>
        <v>5.9</v>
      </c>
      <c r="K464" s="19">
        <f t="shared" si="3"/>
        <v>-5.9</v>
      </c>
      <c r="L464" s="20" t="str">
        <f t="shared" si="4"/>
        <v/>
      </c>
    </row>
    <row r="465" ht="15.75" customHeight="1">
      <c r="A465" s="9" t="s">
        <v>9</v>
      </c>
      <c r="B465" s="12" t="str">
        <f t="array" ref="B465">XLOOKUP(C465, Channel_Listings!C:C, Channel_Listings!B:B)
</f>
        <v>Apparel_Tshirts</v>
      </c>
      <c r="C465" s="22" t="s">
        <v>671</v>
      </c>
      <c r="D465" s="14" t="str">
        <f t="array" ref="D465">XLOOKUP(C465, Channel_Listings!C:C, Channel_Listings!D:D)
</f>
        <v>TSHIRT-COTTONROUND-BOTTLEGREEN-M</v>
      </c>
      <c r="E465" s="15"/>
      <c r="F465" s="16">
        <f t="array" ref="F465">IFERROR(
  VALUE( INDEX(Product_Master!$I:$I,
               MATCH( INDEX(Pack_Master!$B:$B, MATCH($D465, Pack_Master!$A:$A, 0)),
                      Product_Master!$B:$B, 0)
  )) 
  * VALUE( INDEX(Pack_Master!$C:$C, MATCH($D465, Pack_Master!$A:$A, 0)) )
  + VALUE( INDEX(Pack_Master!$D:$D, MATCH($D465, Pack_Master!$A:$A, 0)) ),
"")
</f>
        <v>0</v>
      </c>
      <c r="G465" s="17">
        <f t="array" ref="G465">IFERROR(
 ( INDEX(Pack_Master!E:E, MATCH($D465, Pack_Master!A:A, 0))
   * INDEX(Pack_Master!F:F, MATCH($D465, Pack_Master!A:A, 0))
   * INDEX(Pack_Master!G:G, MATCH($D465, Pack_Master!A:A, 0))
 ) / INDEX(Config!C:C, MATCH($A465, Config!A:A, 0)),
"")
</f>
        <v>0</v>
      </c>
      <c r="H465" s="17">
        <f t="array" ref="H465">MAX( INDEX(Pack_Master!H:H, MATCH($D465, Pack_Master!A:A, 0)),
      IFERROR(G465, 0) )
</f>
        <v>0</v>
      </c>
      <c r="I465" s="18" t="str">
        <f>IFERROR(__xludf.DUMMYFUNCTION("IFERROR(
 INDEX(
   FILTER(Shipping_Rate_Card!B:F, Shipping_Rate_Card!A:A=$A465),
   MATCH($H465, FILTER(Shipping_Rate_Card!B:B, Shipping_Rate_Card!A:A=$A465), 1),
   IF( INDEX(Config!B:B, MATCH($A465, Config!A:A, 0))=""Local"", 2,
     IF( INDEX(Config!B"&amp;":B, MATCH($A465, Config!A:A, 0))=""Regional"", 3, 4 )
   )
 ),
"""")
"),"")</f>
        <v/>
      </c>
      <c r="J465" s="16">
        <f>IFERROR(__xludf.DUMMYFUNCTION("IFERROR(
 ( E465 * INDEX(FILTER(Pricing_Rules!E:E, Pricing_Rules!A:A=A465, Pricing_Rules!B:B=B465, Pricing_Rules!C:C&lt;=E465, Pricing_Rules!D:D&gt;=E465), 1)
   + INDEX(FILTER(Pricing_Rules!F:F, Pricing_Rules!A:A=A465, Pricing_Rules!B:B=B465, Pricing_Rules!C:C"&amp;"&lt;=E465, Pricing_Rules!D:D&gt;=E465), 1)
 )
 * (1 + IFERROR( INDEX(Config!D:D, MATCH(A465, Config!A:A, 0)), 0 )),
"""")
"),5.8999999999999995)</f>
        <v>5.9</v>
      </c>
      <c r="K465" s="19">
        <f t="shared" si="3"/>
        <v>-5.9</v>
      </c>
      <c r="L465" s="20" t="str">
        <f t="shared" si="4"/>
        <v/>
      </c>
    </row>
    <row r="466" ht="15.75" customHeight="1">
      <c r="A466" s="9" t="s">
        <v>9</v>
      </c>
      <c r="B466" s="12" t="str">
        <f t="array" ref="B466">XLOOKUP(C466, Channel_Listings!C:C, Channel_Listings!B:B)
</f>
        <v>Apparel_Tshirts</v>
      </c>
      <c r="C466" s="22" t="s">
        <v>674</v>
      </c>
      <c r="D466" s="14" t="str">
        <f t="array" ref="D466">XLOOKUP(C466, Channel_Listings!C:C, Channel_Listings!D:D)
</f>
        <v>TSHIRT-COTTONROUND-BOTTLEGREEN-XL1</v>
      </c>
      <c r="E466" s="15"/>
      <c r="F466" s="16">
        <f t="array" ref="F466">IFERROR(
  VALUE( INDEX(Product_Master!$I:$I,
               MATCH( INDEX(Pack_Master!$B:$B, MATCH($D466, Pack_Master!$A:$A, 0)),
                      Product_Master!$B:$B, 0)
  )) 
  * VALUE( INDEX(Pack_Master!$C:$C, MATCH($D466, Pack_Master!$A:$A, 0)) )
  + VALUE( INDEX(Pack_Master!$D:$D, MATCH($D466, Pack_Master!$A:$A, 0)) ),
"")
</f>
        <v>0</v>
      </c>
      <c r="G466" s="17">
        <f t="array" ref="G466">IFERROR(
 ( INDEX(Pack_Master!E:E, MATCH($D466, Pack_Master!A:A, 0))
   * INDEX(Pack_Master!F:F, MATCH($D466, Pack_Master!A:A, 0))
   * INDEX(Pack_Master!G:G, MATCH($D466, Pack_Master!A:A, 0))
 ) / INDEX(Config!C:C, MATCH($A466, Config!A:A, 0)),
"")
</f>
        <v>0</v>
      </c>
      <c r="H466" s="17">
        <f t="array" ref="H466">MAX( INDEX(Pack_Master!H:H, MATCH($D466, Pack_Master!A:A, 0)),
      IFERROR(G466, 0) )
</f>
        <v>0</v>
      </c>
      <c r="I466" s="18" t="str">
        <f>IFERROR(__xludf.DUMMYFUNCTION("IFERROR(
 INDEX(
   FILTER(Shipping_Rate_Card!B:F, Shipping_Rate_Card!A:A=$A466),
   MATCH($H466, FILTER(Shipping_Rate_Card!B:B, Shipping_Rate_Card!A:A=$A466), 1),
   IF( INDEX(Config!B:B, MATCH($A466, Config!A:A, 0))=""Local"", 2,
     IF( INDEX(Config!B"&amp;":B, MATCH($A466, Config!A:A, 0))=""Regional"", 3, 4 )
   )
 ),
"""")
"),"")</f>
        <v/>
      </c>
      <c r="J466" s="16">
        <f>IFERROR(__xludf.DUMMYFUNCTION("IFERROR(
 ( E466 * INDEX(FILTER(Pricing_Rules!E:E, Pricing_Rules!A:A=A466, Pricing_Rules!B:B=B466, Pricing_Rules!C:C&lt;=E466, Pricing_Rules!D:D&gt;=E466), 1)
   + INDEX(FILTER(Pricing_Rules!F:F, Pricing_Rules!A:A=A466, Pricing_Rules!B:B=B466, Pricing_Rules!C:C"&amp;"&lt;=E466, Pricing_Rules!D:D&gt;=E466), 1)
 )
 * (1 + IFERROR( INDEX(Config!D:D, MATCH(A466, Config!A:A, 0)), 0 )),
"""")
"),5.8999999999999995)</f>
        <v>5.9</v>
      </c>
      <c r="K466" s="19">
        <f t="shared" si="3"/>
        <v>-5.9</v>
      </c>
      <c r="L466" s="20" t="str">
        <f t="shared" si="4"/>
        <v/>
      </c>
    </row>
    <row r="467" ht="15.75" customHeight="1">
      <c r="A467" s="9" t="s">
        <v>9</v>
      </c>
      <c r="B467" s="12" t="str">
        <f t="array" ref="B467">XLOOKUP(C467, Channel_Listings!C:C, Channel_Listings!B:B)
</f>
        <v>Apparel_Tshirts</v>
      </c>
      <c r="C467" s="22" t="s">
        <v>676</v>
      </c>
      <c r="D467" s="14" t="str">
        <f t="array" ref="D467">XLOOKUP(C467, Channel_Listings!C:C, Channel_Listings!D:D)
</f>
        <v>TSHIRT-COTTONROUND-BRICKRED-2XL</v>
      </c>
      <c r="E467" s="15"/>
      <c r="F467" s="16">
        <f t="array" ref="F467">IFERROR(
  VALUE( INDEX(Product_Master!$I:$I,
               MATCH( INDEX(Pack_Master!$B:$B, MATCH($D467, Pack_Master!$A:$A, 0)),
                      Product_Master!$B:$B, 0)
  )) 
  * VALUE( INDEX(Pack_Master!$C:$C, MATCH($D467, Pack_Master!$A:$A, 0)) )
  + VALUE( INDEX(Pack_Master!$D:$D, MATCH($D467, Pack_Master!$A:$A, 0)) ),
"")
</f>
        <v>0</v>
      </c>
      <c r="G467" s="17">
        <f t="array" ref="G467">IFERROR(
 ( INDEX(Pack_Master!E:E, MATCH($D467, Pack_Master!A:A, 0))
   * INDEX(Pack_Master!F:F, MATCH($D467, Pack_Master!A:A, 0))
   * INDEX(Pack_Master!G:G, MATCH($D467, Pack_Master!A:A, 0))
 ) / INDEX(Config!C:C, MATCH($A467, Config!A:A, 0)),
"")
</f>
        <v>0</v>
      </c>
      <c r="H467" s="17">
        <f t="array" ref="H467">MAX( INDEX(Pack_Master!H:H, MATCH($D467, Pack_Master!A:A, 0)),
      IFERROR(G467, 0) )
</f>
        <v>0</v>
      </c>
      <c r="I467" s="18" t="str">
        <f>IFERROR(__xludf.DUMMYFUNCTION("IFERROR(
 INDEX(
   FILTER(Shipping_Rate_Card!B:F, Shipping_Rate_Card!A:A=$A467),
   MATCH($H467, FILTER(Shipping_Rate_Card!B:B, Shipping_Rate_Card!A:A=$A467), 1),
   IF( INDEX(Config!B:B, MATCH($A467, Config!A:A, 0))=""Local"", 2,
     IF( INDEX(Config!B"&amp;":B, MATCH($A467, Config!A:A, 0))=""Regional"", 3, 4 )
   )
 ),
"""")
"),"")</f>
        <v/>
      </c>
      <c r="J467" s="16">
        <f>IFERROR(__xludf.DUMMYFUNCTION("IFERROR(
 ( E467 * INDEX(FILTER(Pricing_Rules!E:E, Pricing_Rules!A:A=A467, Pricing_Rules!B:B=B467, Pricing_Rules!C:C&lt;=E467, Pricing_Rules!D:D&gt;=E467), 1)
   + INDEX(FILTER(Pricing_Rules!F:F, Pricing_Rules!A:A=A467, Pricing_Rules!B:B=B467, Pricing_Rules!C:C"&amp;"&lt;=E467, Pricing_Rules!D:D&gt;=E467), 1)
 )
 * (1 + IFERROR( INDEX(Config!D:D, MATCH(A467, Config!A:A, 0)), 0 )),
"""")
"),5.8999999999999995)</f>
        <v>5.9</v>
      </c>
      <c r="K467" s="19">
        <f t="shared" si="3"/>
        <v>-5.9</v>
      </c>
      <c r="L467" s="20" t="str">
        <f t="shared" si="4"/>
        <v/>
      </c>
    </row>
    <row r="468" ht="15.75" customHeight="1">
      <c r="A468" s="9" t="s">
        <v>9</v>
      </c>
      <c r="B468" s="12" t="str">
        <f t="array" ref="B468">XLOOKUP(C468, Channel_Listings!C:C, Channel_Listings!B:B)
</f>
        <v>Apparel_Tshirts</v>
      </c>
      <c r="C468" s="22" t="s">
        <v>678</v>
      </c>
      <c r="D468" s="14" t="str">
        <f t="array" ref="D468">XLOOKUP(C468, Channel_Listings!C:C, Channel_Listings!D:D)
</f>
        <v>TSHIRT-COTTONROUND-BRICKRED-L</v>
      </c>
      <c r="E468" s="15"/>
      <c r="F468" s="16">
        <f t="array" ref="F468">IFERROR(
  VALUE( INDEX(Product_Master!$I:$I,
               MATCH( INDEX(Pack_Master!$B:$B, MATCH($D468, Pack_Master!$A:$A, 0)),
                      Product_Master!$B:$B, 0)
  )) 
  * VALUE( INDEX(Pack_Master!$C:$C, MATCH($D468, Pack_Master!$A:$A, 0)) )
  + VALUE( INDEX(Pack_Master!$D:$D, MATCH($D468, Pack_Master!$A:$A, 0)) ),
"")
</f>
        <v>0</v>
      </c>
      <c r="G468" s="17">
        <f t="array" ref="G468">IFERROR(
 ( INDEX(Pack_Master!E:E, MATCH($D468, Pack_Master!A:A, 0))
   * INDEX(Pack_Master!F:F, MATCH($D468, Pack_Master!A:A, 0))
   * INDEX(Pack_Master!G:G, MATCH($D468, Pack_Master!A:A, 0))
 ) / INDEX(Config!C:C, MATCH($A468, Config!A:A, 0)),
"")
</f>
        <v>0</v>
      </c>
      <c r="H468" s="17">
        <f t="array" ref="H468">MAX( INDEX(Pack_Master!H:H, MATCH($D468, Pack_Master!A:A, 0)),
      IFERROR(G468, 0) )
</f>
        <v>0</v>
      </c>
      <c r="I468" s="18" t="str">
        <f>IFERROR(__xludf.DUMMYFUNCTION("IFERROR(
 INDEX(
   FILTER(Shipping_Rate_Card!B:F, Shipping_Rate_Card!A:A=$A468),
   MATCH($H468, FILTER(Shipping_Rate_Card!B:B, Shipping_Rate_Card!A:A=$A468), 1),
   IF( INDEX(Config!B:B, MATCH($A468, Config!A:A, 0))=""Local"", 2,
     IF( INDEX(Config!B"&amp;":B, MATCH($A468, Config!A:A, 0))=""Regional"", 3, 4 )
   )
 ),
"""")
"),"")</f>
        <v/>
      </c>
      <c r="J468" s="16">
        <f>IFERROR(__xludf.DUMMYFUNCTION("IFERROR(
 ( E468 * INDEX(FILTER(Pricing_Rules!E:E, Pricing_Rules!A:A=A468, Pricing_Rules!B:B=B468, Pricing_Rules!C:C&lt;=E468, Pricing_Rules!D:D&gt;=E468), 1)
   + INDEX(FILTER(Pricing_Rules!F:F, Pricing_Rules!A:A=A468, Pricing_Rules!B:B=B468, Pricing_Rules!C:C"&amp;"&lt;=E468, Pricing_Rules!D:D&gt;=E468), 1)
 )
 * (1 + IFERROR( INDEX(Config!D:D, MATCH(A468, Config!A:A, 0)), 0 )),
"""")
"),5.8999999999999995)</f>
        <v>5.9</v>
      </c>
      <c r="K468" s="19">
        <f t="shared" si="3"/>
        <v>-5.9</v>
      </c>
      <c r="L468" s="20" t="str">
        <f t="shared" si="4"/>
        <v/>
      </c>
    </row>
    <row r="469" ht="15.75" customHeight="1">
      <c r="A469" s="9" t="s">
        <v>9</v>
      </c>
      <c r="B469" s="12" t="str">
        <f t="array" ref="B469">XLOOKUP(C469, Channel_Listings!C:C, Channel_Listings!B:B)
</f>
        <v>Apparel_Tshirts</v>
      </c>
      <c r="C469" s="22" t="s">
        <v>680</v>
      </c>
      <c r="D469" s="14" t="str">
        <f t="array" ref="D469">XLOOKUP(C469, Channel_Listings!C:C, Channel_Listings!D:D)
</f>
        <v>TSHIRT-COTTONROUND-BRICKRED-M</v>
      </c>
      <c r="E469" s="15"/>
      <c r="F469" s="16">
        <f t="array" ref="F469">IFERROR(
  VALUE( INDEX(Product_Master!$I:$I,
               MATCH( INDEX(Pack_Master!$B:$B, MATCH($D469, Pack_Master!$A:$A, 0)),
                      Product_Master!$B:$B, 0)
  )) 
  * VALUE( INDEX(Pack_Master!$C:$C, MATCH($D469, Pack_Master!$A:$A, 0)) )
  + VALUE( INDEX(Pack_Master!$D:$D, MATCH($D469, Pack_Master!$A:$A, 0)) ),
"")
</f>
        <v>0</v>
      </c>
      <c r="G469" s="17">
        <f t="array" ref="G469">IFERROR(
 ( INDEX(Pack_Master!E:E, MATCH($D469, Pack_Master!A:A, 0))
   * INDEX(Pack_Master!F:F, MATCH($D469, Pack_Master!A:A, 0))
   * INDEX(Pack_Master!G:G, MATCH($D469, Pack_Master!A:A, 0))
 ) / INDEX(Config!C:C, MATCH($A469, Config!A:A, 0)),
"")
</f>
        <v>0</v>
      </c>
      <c r="H469" s="17">
        <f t="array" ref="H469">MAX( INDEX(Pack_Master!H:H, MATCH($D469, Pack_Master!A:A, 0)),
      IFERROR(G469, 0) )
</f>
        <v>0</v>
      </c>
      <c r="I469" s="18" t="str">
        <f>IFERROR(__xludf.DUMMYFUNCTION("IFERROR(
 INDEX(
   FILTER(Shipping_Rate_Card!B:F, Shipping_Rate_Card!A:A=$A469),
   MATCH($H469, FILTER(Shipping_Rate_Card!B:B, Shipping_Rate_Card!A:A=$A469), 1),
   IF( INDEX(Config!B:B, MATCH($A469, Config!A:A, 0))=""Local"", 2,
     IF( INDEX(Config!B"&amp;":B, MATCH($A469, Config!A:A, 0))=""Regional"", 3, 4 )
   )
 ),
"""")
"),"")</f>
        <v/>
      </c>
      <c r="J469" s="16">
        <f>IFERROR(__xludf.DUMMYFUNCTION("IFERROR(
 ( E469 * INDEX(FILTER(Pricing_Rules!E:E, Pricing_Rules!A:A=A469, Pricing_Rules!B:B=B469, Pricing_Rules!C:C&lt;=E469, Pricing_Rules!D:D&gt;=E469), 1)
   + INDEX(FILTER(Pricing_Rules!F:F, Pricing_Rules!A:A=A469, Pricing_Rules!B:B=B469, Pricing_Rules!C:C"&amp;"&lt;=E469, Pricing_Rules!D:D&gt;=E469), 1)
 )
 * (1 + IFERROR( INDEX(Config!D:D, MATCH(A469, Config!A:A, 0)), 0 )),
"""")
"),5.8999999999999995)</f>
        <v>5.9</v>
      </c>
      <c r="K469" s="19">
        <f t="shared" si="3"/>
        <v>-5.9</v>
      </c>
      <c r="L469" s="20" t="str">
        <f t="shared" si="4"/>
        <v/>
      </c>
    </row>
    <row r="470" ht="15.75" customHeight="1">
      <c r="A470" s="9" t="s">
        <v>9</v>
      </c>
      <c r="B470" s="12" t="str">
        <f t="array" ref="B470">XLOOKUP(C470, Channel_Listings!C:C, Channel_Listings!B:B)
</f>
        <v>Apparel_Tshirts</v>
      </c>
      <c r="C470" s="22" t="s">
        <v>682</v>
      </c>
      <c r="D470" s="14" t="str">
        <f t="array" ref="D470">XLOOKUP(C470, Channel_Listings!C:C, Channel_Listings!D:D)
</f>
        <v>TSHIRT-COTTONROUND-BRICKRED-XL</v>
      </c>
      <c r="E470" s="15"/>
      <c r="F470" s="16">
        <f t="array" ref="F470">IFERROR(
  VALUE( INDEX(Product_Master!$I:$I,
               MATCH( INDEX(Pack_Master!$B:$B, MATCH($D470, Pack_Master!$A:$A, 0)),
                      Product_Master!$B:$B, 0)
  )) 
  * VALUE( INDEX(Pack_Master!$C:$C, MATCH($D470, Pack_Master!$A:$A, 0)) )
  + VALUE( INDEX(Pack_Master!$D:$D, MATCH($D470, Pack_Master!$A:$A, 0)) ),
"")
</f>
        <v>0</v>
      </c>
      <c r="G470" s="17">
        <f t="array" ref="G470">IFERROR(
 ( INDEX(Pack_Master!E:E, MATCH($D470, Pack_Master!A:A, 0))
   * INDEX(Pack_Master!F:F, MATCH($D470, Pack_Master!A:A, 0))
   * INDEX(Pack_Master!G:G, MATCH($D470, Pack_Master!A:A, 0))
 ) / INDEX(Config!C:C, MATCH($A470, Config!A:A, 0)),
"")
</f>
        <v>0</v>
      </c>
      <c r="H470" s="17">
        <f t="array" ref="H470">MAX( INDEX(Pack_Master!H:H, MATCH($D470, Pack_Master!A:A, 0)),
      IFERROR(G470, 0) )
</f>
        <v>0</v>
      </c>
      <c r="I470" s="18" t="str">
        <f>IFERROR(__xludf.DUMMYFUNCTION("IFERROR(
 INDEX(
   FILTER(Shipping_Rate_Card!B:F, Shipping_Rate_Card!A:A=$A470),
   MATCH($H470, FILTER(Shipping_Rate_Card!B:B, Shipping_Rate_Card!A:A=$A470), 1),
   IF( INDEX(Config!B:B, MATCH($A470, Config!A:A, 0))=""Local"", 2,
     IF( INDEX(Config!B"&amp;":B, MATCH($A470, Config!A:A, 0))=""Regional"", 3, 4 )
   )
 ),
"""")
"),"")</f>
        <v/>
      </c>
      <c r="J470" s="16">
        <f>IFERROR(__xludf.DUMMYFUNCTION("IFERROR(
 ( E470 * INDEX(FILTER(Pricing_Rules!E:E, Pricing_Rules!A:A=A470, Pricing_Rules!B:B=B470, Pricing_Rules!C:C&lt;=E470, Pricing_Rules!D:D&gt;=E470), 1)
   + INDEX(FILTER(Pricing_Rules!F:F, Pricing_Rules!A:A=A470, Pricing_Rules!B:B=B470, Pricing_Rules!C:C"&amp;"&lt;=E470, Pricing_Rules!D:D&gt;=E470), 1)
 )
 * (1 + IFERROR( INDEX(Config!D:D, MATCH(A470, Config!A:A, 0)), 0 )),
"""")
"),5.8999999999999995)</f>
        <v>5.9</v>
      </c>
      <c r="K470" s="19">
        <f t="shared" si="3"/>
        <v>-5.9</v>
      </c>
      <c r="L470" s="20" t="str">
        <f t="shared" si="4"/>
        <v/>
      </c>
    </row>
    <row r="471" ht="15.75" customHeight="1">
      <c r="A471" s="9" t="s">
        <v>9</v>
      </c>
      <c r="B471" s="12" t="str">
        <f t="array" ref="B471">XLOOKUP(C471, Channel_Listings!C:C, Channel_Listings!B:B)
</f>
        <v>Apparel_Tshirts</v>
      </c>
      <c r="C471" s="22" t="s">
        <v>684</v>
      </c>
      <c r="D471" s="14" t="str">
        <f t="array" ref="D471">XLOOKUP(C471, Channel_Listings!C:C, Channel_Listings!D:D)
</f>
        <v>TSHIRT-COTTONROUND-CORALGREEN-L</v>
      </c>
      <c r="E471" s="15"/>
      <c r="F471" s="16">
        <f t="array" ref="F471">IFERROR(
  VALUE( INDEX(Product_Master!$I:$I,
               MATCH( INDEX(Pack_Master!$B:$B, MATCH($D471, Pack_Master!$A:$A, 0)),
                      Product_Master!$B:$B, 0)
  )) 
  * VALUE( INDEX(Pack_Master!$C:$C, MATCH($D471, Pack_Master!$A:$A, 0)) )
  + VALUE( INDEX(Pack_Master!$D:$D, MATCH($D471, Pack_Master!$A:$A, 0)) ),
"")
</f>
        <v>0</v>
      </c>
      <c r="G471" s="17">
        <f t="array" ref="G471">IFERROR(
 ( INDEX(Pack_Master!E:E, MATCH($D471, Pack_Master!A:A, 0))
   * INDEX(Pack_Master!F:F, MATCH($D471, Pack_Master!A:A, 0))
   * INDEX(Pack_Master!G:G, MATCH($D471, Pack_Master!A:A, 0))
 ) / INDEX(Config!C:C, MATCH($A471, Config!A:A, 0)),
"")
</f>
        <v>0</v>
      </c>
      <c r="H471" s="17">
        <f t="array" ref="H471">MAX( INDEX(Pack_Master!H:H, MATCH($D471, Pack_Master!A:A, 0)),
      IFERROR(G471, 0) )
</f>
        <v>0</v>
      </c>
      <c r="I471" s="18" t="str">
        <f>IFERROR(__xludf.DUMMYFUNCTION("IFERROR(
 INDEX(
   FILTER(Shipping_Rate_Card!B:F, Shipping_Rate_Card!A:A=$A471),
   MATCH($H471, FILTER(Shipping_Rate_Card!B:B, Shipping_Rate_Card!A:A=$A471), 1),
   IF( INDEX(Config!B:B, MATCH($A471, Config!A:A, 0))=""Local"", 2,
     IF( INDEX(Config!B"&amp;":B, MATCH($A471, Config!A:A, 0))=""Regional"", 3, 4 )
   )
 ),
"""")
"),"")</f>
        <v/>
      </c>
      <c r="J471" s="16">
        <f>IFERROR(__xludf.DUMMYFUNCTION("IFERROR(
 ( E471 * INDEX(FILTER(Pricing_Rules!E:E, Pricing_Rules!A:A=A471, Pricing_Rules!B:B=B471, Pricing_Rules!C:C&lt;=E471, Pricing_Rules!D:D&gt;=E471), 1)
   + INDEX(FILTER(Pricing_Rules!F:F, Pricing_Rules!A:A=A471, Pricing_Rules!B:B=B471, Pricing_Rules!C:C"&amp;"&lt;=E471, Pricing_Rules!D:D&gt;=E471), 1)
 )
 * (1 + IFERROR( INDEX(Config!D:D, MATCH(A471, Config!A:A, 0)), 0 )),
"""")
"),5.8999999999999995)</f>
        <v>5.9</v>
      </c>
      <c r="K471" s="19">
        <f t="shared" si="3"/>
        <v>-5.9</v>
      </c>
      <c r="L471" s="20" t="str">
        <f t="shared" si="4"/>
        <v/>
      </c>
    </row>
    <row r="472" ht="15.75" customHeight="1">
      <c r="A472" s="9" t="s">
        <v>9</v>
      </c>
      <c r="B472" s="12" t="str">
        <f t="array" ref="B472">XLOOKUP(C472, Channel_Listings!C:C, Channel_Listings!B:B)
</f>
        <v>Apparel_Tshirts</v>
      </c>
      <c r="C472" s="22" t="s">
        <v>686</v>
      </c>
      <c r="D472" s="14" t="str">
        <f t="array" ref="D472">XLOOKUP(C472, Channel_Listings!C:C, Channel_Listings!D:D)
</f>
        <v>TSHIRT-COTTONROUND-CORALGREEN-M</v>
      </c>
      <c r="E472" s="15"/>
      <c r="F472" s="16">
        <f t="array" ref="F472">IFERROR(
  VALUE( INDEX(Product_Master!$I:$I,
               MATCH( INDEX(Pack_Master!$B:$B, MATCH($D472, Pack_Master!$A:$A, 0)),
                      Product_Master!$B:$B, 0)
  )) 
  * VALUE( INDEX(Pack_Master!$C:$C, MATCH($D472, Pack_Master!$A:$A, 0)) )
  + VALUE( INDEX(Pack_Master!$D:$D, MATCH($D472, Pack_Master!$A:$A, 0)) ),
"")
</f>
        <v>0</v>
      </c>
      <c r="G472" s="17">
        <f t="array" ref="G472">IFERROR(
 ( INDEX(Pack_Master!E:E, MATCH($D472, Pack_Master!A:A, 0))
   * INDEX(Pack_Master!F:F, MATCH($D472, Pack_Master!A:A, 0))
   * INDEX(Pack_Master!G:G, MATCH($D472, Pack_Master!A:A, 0))
 ) / INDEX(Config!C:C, MATCH($A472, Config!A:A, 0)),
"")
</f>
        <v>0</v>
      </c>
      <c r="H472" s="17">
        <f t="array" ref="H472">MAX( INDEX(Pack_Master!H:H, MATCH($D472, Pack_Master!A:A, 0)),
      IFERROR(G472, 0) )
</f>
        <v>0</v>
      </c>
      <c r="I472" s="18" t="str">
        <f>IFERROR(__xludf.DUMMYFUNCTION("IFERROR(
 INDEX(
   FILTER(Shipping_Rate_Card!B:F, Shipping_Rate_Card!A:A=$A472),
   MATCH($H472, FILTER(Shipping_Rate_Card!B:B, Shipping_Rate_Card!A:A=$A472), 1),
   IF( INDEX(Config!B:B, MATCH($A472, Config!A:A, 0))=""Local"", 2,
     IF( INDEX(Config!B"&amp;":B, MATCH($A472, Config!A:A, 0))=""Regional"", 3, 4 )
   )
 ),
"""")
"),"")</f>
        <v/>
      </c>
      <c r="J472" s="16">
        <f>IFERROR(__xludf.DUMMYFUNCTION("IFERROR(
 ( E472 * INDEX(FILTER(Pricing_Rules!E:E, Pricing_Rules!A:A=A472, Pricing_Rules!B:B=B472, Pricing_Rules!C:C&lt;=E472, Pricing_Rules!D:D&gt;=E472), 1)
   + INDEX(FILTER(Pricing_Rules!F:F, Pricing_Rules!A:A=A472, Pricing_Rules!B:B=B472, Pricing_Rules!C:C"&amp;"&lt;=E472, Pricing_Rules!D:D&gt;=E472), 1)
 )
 * (1 + IFERROR( INDEX(Config!D:D, MATCH(A472, Config!A:A, 0)), 0 )),
"""")
"),5.8999999999999995)</f>
        <v>5.9</v>
      </c>
      <c r="K472" s="19">
        <f t="shared" si="3"/>
        <v>-5.9</v>
      </c>
      <c r="L472" s="20" t="str">
        <f t="shared" si="4"/>
        <v/>
      </c>
    </row>
    <row r="473" ht="15.75" customHeight="1">
      <c r="A473" s="9" t="s">
        <v>9</v>
      </c>
      <c r="B473" s="12" t="str">
        <f t="array" ref="B473">XLOOKUP(C473, Channel_Listings!C:C, Channel_Listings!B:B)
</f>
        <v>Apparel_Tshirts</v>
      </c>
      <c r="C473" s="23" t="s">
        <v>688</v>
      </c>
      <c r="D473" s="14" t="str">
        <f t="array" ref="D473">XLOOKUP(C473, Channel_Listings!C:C, Channel_Listings!D:D)
</f>
        <v>TSHIRT-COTTONROUND-CORALGREEN-XL</v>
      </c>
      <c r="E473" s="15"/>
      <c r="F473" s="16">
        <f t="array" ref="F473">IFERROR(
  VALUE( INDEX(Product_Master!$I:$I,
               MATCH( INDEX(Pack_Master!$B:$B, MATCH($D473, Pack_Master!$A:$A, 0)),
                      Product_Master!$B:$B, 0)
  )) 
  * VALUE( INDEX(Pack_Master!$C:$C, MATCH($D473, Pack_Master!$A:$A, 0)) )
  + VALUE( INDEX(Pack_Master!$D:$D, MATCH($D473, Pack_Master!$A:$A, 0)) ),
"")
</f>
        <v>0</v>
      </c>
      <c r="G473" s="17">
        <f t="array" ref="G473">IFERROR(
 ( INDEX(Pack_Master!E:E, MATCH($D473, Pack_Master!A:A, 0))
   * INDEX(Pack_Master!F:F, MATCH($D473, Pack_Master!A:A, 0))
   * INDEX(Pack_Master!G:G, MATCH($D473, Pack_Master!A:A, 0))
 ) / INDEX(Config!C:C, MATCH($A473, Config!A:A, 0)),
"")
</f>
        <v>0</v>
      </c>
      <c r="H473" s="17">
        <f t="array" ref="H473">MAX( INDEX(Pack_Master!H:H, MATCH($D473, Pack_Master!A:A, 0)),
      IFERROR(G473, 0) )
</f>
        <v>0</v>
      </c>
      <c r="I473" s="18" t="str">
        <f>IFERROR(__xludf.DUMMYFUNCTION("IFERROR(
 INDEX(
   FILTER(Shipping_Rate_Card!B:F, Shipping_Rate_Card!A:A=$A473),
   MATCH($H473, FILTER(Shipping_Rate_Card!B:B, Shipping_Rate_Card!A:A=$A473), 1),
   IF( INDEX(Config!B:B, MATCH($A473, Config!A:A, 0))=""Local"", 2,
     IF( INDEX(Config!B"&amp;":B, MATCH($A473, Config!A:A, 0))=""Regional"", 3, 4 )
   )
 ),
"""")
"),"")</f>
        <v/>
      </c>
      <c r="J473" s="16">
        <f>IFERROR(__xludf.DUMMYFUNCTION("IFERROR(
 ( E473 * INDEX(FILTER(Pricing_Rules!E:E, Pricing_Rules!A:A=A473, Pricing_Rules!B:B=B473, Pricing_Rules!C:C&lt;=E473, Pricing_Rules!D:D&gt;=E473), 1)
   + INDEX(FILTER(Pricing_Rules!F:F, Pricing_Rules!A:A=A473, Pricing_Rules!B:B=B473, Pricing_Rules!C:C"&amp;"&lt;=E473, Pricing_Rules!D:D&gt;=E473), 1)
 )
 * (1 + IFERROR( INDEX(Config!D:D, MATCH(A473, Config!A:A, 0)), 0 )),
"""")
"),5.8999999999999995)</f>
        <v>5.9</v>
      </c>
      <c r="K473" s="19">
        <f t="shared" si="3"/>
        <v>-5.9</v>
      </c>
      <c r="L473" s="20" t="str">
        <f t="shared" si="4"/>
        <v/>
      </c>
    </row>
    <row r="474" ht="15.75" customHeight="1">
      <c r="A474" s="9" t="s">
        <v>9</v>
      </c>
      <c r="B474" s="12" t="str">
        <f t="array" ref="B474">XLOOKUP(C474, Channel_Listings!C:C, Channel_Listings!B:B)
</f>
        <v>Apparel_Tshirts</v>
      </c>
      <c r="C474" s="22" t="s">
        <v>690</v>
      </c>
      <c r="D474" s="14" t="str">
        <f t="array" ref="D474">XLOOKUP(C474, Channel_Listings!C:C, Channel_Listings!D:D)
</f>
        <v>TSHIRT-COTTONROUND-CORALGREEN-XXL</v>
      </c>
      <c r="E474" s="15"/>
      <c r="F474" s="16">
        <f t="array" ref="F474">IFERROR(
  VALUE( INDEX(Product_Master!$I:$I,
               MATCH( INDEX(Pack_Master!$B:$B, MATCH($D474, Pack_Master!$A:$A, 0)),
                      Product_Master!$B:$B, 0)
  )) 
  * VALUE( INDEX(Pack_Master!$C:$C, MATCH($D474, Pack_Master!$A:$A, 0)) )
  + VALUE( INDEX(Pack_Master!$D:$D, MATCH($D474, Pack_Master!$A:$A, 0)) ),
"")
</f>
        <v>0</v>
      </c>
      <c r="G474" s="17">
        <f t="array" ref="G474">IFERROR(
 ( INDEX(Pack_Master!E:E, MATCH($D474, Pack_Master!A:A, 0))
   * INDEX(Pack_Master!F:F, MATCH($D474, Pack_Master!A:A, 0))
   * INDEX(Pack_Master!G:G, MATCH($D474, Pack_Master!A:A, 0))
 ) / INDEX(Config!C:C, MATCH($A474, Config!A:A, 0)),
"")
</f>
        <v>0</v>
      </c>
      <c r="H474" s="17">
        <f t="array" ref="H474">MAX( INDEX(Pack_Master!H:H, MATCH($D474, Pack_Master!A:A, 0)),
      IFERROR(G474, 0) )
</f>
        <v>0</v>
      </c>
      <c r="I474" s="18" t="str">
        <f>IFERROR(__xludf.DUMMYFUNCTION("IFERROR(
 INDEX(
   FILTER(Shipping_Rate_Card!B:F, Shipping_Rate_Card!A:A=$A474),
   MATCH($H474, FILTER(Shipping_Rate_Card!B:B, Shipping_Rate_Card!A:A=$A474), 1),
   IF( INDEX(Config!B:B, MATCH($A474, Config!A:A, 0))=""Local"", 2,
     IF( INDEX(Config!B"&amp;":B, MATCH($A474, Config!A:A, 0))=""Regional"", 3, 4 )
   )
 ),
"""")
"),"")</f>
        <v/>
      </c>
      <c r="J474" s="16">
        <f>IFERROR(__xludf.DUMMYFUNCTION("IFERROR(
 ( E474 * INDEX(FILTER(Pricing_Rules!E:E, Pricing_Rules!A:A=A474, Pricing_Rules!B:B=B474, Pricing_Rules!C:C&lt;=E474, Pricing_Rules!D:D&gt;=E474), 1)
   + INDEX(FILTER(Pricing_Rules!F:F, Pricing_Rules!A:A=A474, Pricing_Rules!B:B=B474, Pricing_Rules!C:C"&amp;"&lt;=E474, Pricing_Rules!D:D&gt;=E474), 1)
 )
 * (1 + IFERROR( INDEX(Config!D:D, MATCH(A474, Config!A:A, 0)), 0 )),
"""")
"),5.8999999999999995)</f>
        <v>5.9</v>
      </c>
      <c r="K474" s="19">
        <f t="shared" si="3"/>
        <v>-5.9</v>
      </c>
      <c r="L474" s="20" t="str">
        <f t="shared" si="4"/>
        <v/>
      </c>
    </row>
    <row r="475" ht="15.75" customHeight="1">
      <c r="A475" s="9" t="s">
        <v>9</v>
      </c>
      <c r="B475" s="12" t="str">
        <f t="array" ref="B475">XLOOKUP(C475, Channel_Listings!C:C, Channel_Listings!B:B)
</f>
        <v>Apparel_Tshirts</v>
      </c>
      <c r="C475" s="22" t="s">
        <v>692</v>
      </c>
      <c r="D475" s="14" t="str">
        <f t="array" ref="D475">XLOOKUP(C475, Channel_Listings!C:C, Channel_Listings!D:D)
</f>
        <v>TSHIRT-COTTONROUND-DARKGREEN-2XL</v>
      </c>
      <c r="E475" s="15"/>
      <c r="F475" s="16">
        <f t="array" ref="F475">IFERROR(
  VALUE( INDEX(Product_Master!$I:$I,
               MATCH( INDEX(Pack_Master!$B:$B, MATCH($D475, Pack_Master!$A:$A, 0)),
                      Product_Master!$B:$B, 0)
  )) 
  * VALUE( INDEX(Pack_Master!$C:$C, MATCH($D475, Pack_Master!$A:$A, 0)) )
  + VALUE( INDEX(Pack_Master!$D:$D, MATCH($D475, Pack_Master!$A:$A, 0)) ),
"")
</f>
        <v>0</v>
      </c>
      <c r="G475" s="17">
        <f t="array" ref="G475">IFERROR(
 ( INDEX(Pack_Master!E:E, MATCH($D475, Pack_Master!A:A, 0))
   * INDEX(Pack_Master!F:F, MATCH($D475, Pack_Master!A:A, 0))
   * INDEX(Pack_Master!G:G, MATCH($D475, Pack_Master!A:A, 0))
 ) / INDEX(Config!C:C, MATCH($A475, Config!A:A, 0)),
"")
</f>
        <v>0</v>
      </c>
      <c r="H475" s="17">
        <f t="array" ref="H475">MAX( INDEX(Pack_Master!H:H, MATCH($D475, Pack_Master!A:A, 0)),
      IFERROR(G475, 0) )
</f>
        <v>0</v>
      </c>
      <c r="I475" s="18" t="str">
        <f>IFERROR(__xludf.DUMMYFUNCTION("IFERROR(
 INDEX(
   FILTER(Shipping_Rate_Card!B:F, Shipping_Rate_Card!A:A=$A475),
   MATCH($H475, FILTER(Shipping_Rate_Card!B:B, Shipping_Rate_Card!A:A=$A475), 1),
   IF( INDEX(Config!B:B, MATCH($A475, Config!A:A, 0))=""Local"", 2,
     IF( INDEX(Config!B"&amp;":B, MATCH($A475, Config!A:A, 0))=""Regional"", 3, 4 )
   )
 ),
"""")
"),"")</f>
        <v/>
      </c>
      <c r="J475" s="16">
        <f>IFERROR(__xludf.DUMMYFUNCTION("IFERROR(
 ( E475 * INDEX(FILTER(Pricing_Rules!E:E, Pricing_Rules!A:A=A475, Pricing_Rules!B:B=B475, Pricing_Rules!C:C&lt;=E475, Pricing_Rules!D:D&gt;=E475), 1)
   + INDEX(FILTER(Pricing_Rules!F:F, Pricing_Rules!A:A=A475, Pricing_Rules!B:B=B475, Pricing_Rules!C:C"&amp;"&lt;=E475, Pricing_Rules!D:D&gt;=E475), 1)
 )
 * (1 + IFERROR( INDEX(Config!D:D, MATCH(A475, Config!A:A, 0)), 0 )),
"""")
"),5.8999999999999995)</f>
        <v>5.9</v>
      </c>
      <c r="K475" s="19">
        <f t="shared" si="3"/>
        <v>-5.9</v>
      </c>
      <c r="L475" s="20" t="str">
        <f t="shared" si="4"/>
        <v/>
      </c>
    </row>
    <row r="476" ht="15.75" customHeight="1">
      <c r="A476" s="9" t="s">
        <v>9</v>
      </c>
      <c r="B476" s="12" t="str">
        <f t="array" ref="B476">XLOOKUP(C476, Channel_Listings!C:C, Channel_Listings!B:B)
</f>
        <v>Apparel_Tshirts</v>
      </c>
      <c r="C476" s="22" t="s">
        <v>694</v>
      </c>
      <c r="D476" s="14" t="str">
        <f t="array" ref="D476">XLOOKUP(C476, Channel_Listings!C:C, Channel_Listings!D:D)
</f>
        <v>TSHIRT-COTTONROUND-DARKGREEN-L</v>
      </c>
      <c r="E476" s="15"/>
      <c r="F476" s="16">
        <f t="array" ref="F476">IFERROR(
  VALUE( INDEX(Product_Master!$I:$I,
               MATCH( INDEX(Pack_Master!$B:$B, MATCH($D476, Pack_Master!$A:$A, 0)),
                      Product_Master!$B:$B, 0)
  )) 
  * VALUE( INDEX(Pack_Master!$C:$C, MATCH($D476, Pack_Master!$A:$A, 0)) )
  + VALUE( INDEX(Pack_Master!$D:$D, MATCH($D476, Pack_Master!$A:$A, 0)) ),
"")
</f>
        <v>0</v>
      </c>
      <c r="G476" s="17">
        <f t="array" ref="G476">IFERROR(
 ( INDEX(Pack_Master!E:E, MATCH($D476, Pack_Master!A:A, 0))
   * INDEX(Pack_Master!F:F, MATCH($D476, Pack_Master!A:A, 0))
   * INDEX(Pack_Master!G:G, MATCH($D476, Pack_Master!A:A, 0))
 ) / INDEX(Config!C:C, MATCH($A476, Config!A:A, 0)),
"")
</f>
        <v>0</v>
      </c>
      <c r="H476" s="17">
        <f t="array" ref="H476">MAX( INDEX(Pack_Master!H:H, MATCH($D476, Pack_Master!A:A, 0)),
      IFERROR(G476, 0) )
</f>
        <v>0</v>
      </c>
      <c r="I476" s="18" t="str">
        <f>IFERROR(__xludf.DUMMYFUNCTION("IFERROR(
 INDEX(
   FILTER(Shipping_Rate_Card!B:F, Shipping_Rate_Card!A:A=$A476),
   MATCH($H476, FILTER(Shipping_Rate_Card!B:B, Shipping_Rate_Card!A:A=$A476), 1),
   IF( INDEX(Config!B:B, MATCH($A476, Config!A:A, 0))=""Local"", 2,
     IF( INDEX(Config!B"&amp;":B, MATCH($A476, Config!A:A, 0))=""Regional"", 3, 4 )
   )
 ),
"""")
"),"")</f>
        <v/>
      </c>
      <c r="J476" s="16">
        <f>IFERROR(__xludf.DUMMYFUNCTION("IFERROR(
 ( E476 * INDEX(FILTER(Pricing_Rules!E:E, Pricing_Rules!A:A=A476, Pricing_Rules!B:B=B476, Pricing_Rules!C:C&lt;=E476, Pricing_Rules!D:D&gt;=E476), 1)
   + INDEX(FILTER(Pricing_Rules!F:F, Pricing_Rules!A:A=A476, Pricing_Rules!B:B=B476, Pricing_Rules!C:C"&amp;"&lt;=E476, Pricing_Rules!D:D&gt;=E476), 1)
 )
 * (1 + IFERROR( INDEX(Config!D:D, MATCH(A476, Config!A:A, 0)), 0 )),
"""")
"),5.8999999999999995)</f>
        <v>5.9</v>
      </c>
      <c r="K476" s="19">
        <f t="shared" si="3"/>
        <v>-5.9</v>
      </c>
      <c r="L476" s="20" t="str">
        <f t="shared" si="4"/>
        <v/>
      </c>
    </row>
    <row r="477" ht="15.75" customHeight="1">
      <c r="A477" s="9" t="s">
        <v>9</v>
      </c>
      <c r="B477" s="12" t="str">
        <f t="array" ref="B477">XLOOKUP(C477, Channel_Listings!C:C, Channel_Listings!B:B)
</f>
        <v>Apparel_Tshirts</v>
      </c>
      <c r="C477" s="22" t="s">
        <v>696</v>
      </c>
      <c r="D477" s="14" t="str">
        <f t="array" ref="D477">XLOOKUP(C477, Channel_Listings!C:C, Channel_Listings!D:D)
</f>
        <v>TSHIRT-COTTONROUND-DARKGREEN-M</v>
      </c>
      <c r="E477" s="15"/>
      <c r="F477" s="16">
        <f t="array" ref="F477">IFERROR(
  VALUE( INDEX(Product_Master!$I:$I,
               MATCH( INDEX(Pack_Master!$B:$B, MATCH($D477, Pack_Master!$A:$A, 0)),
                      Product_Master!$B:$B, 0)
  )) 
  * VALUE( INDEX(Pack_Master!$C:$C, MATCH($D477, Pack_Master!$A:$A, 0)) )
  + VALUE( INDEX(Pack_Master!$D:$D, MATCH($D477, Pack_Master!$A:$A, 0)) ),
"")
</f>
        <v>0</v>
      </c>
      <c r="G477" s="17">
        <f t="array" ref="G477">IFERROR(
 ( INDEX(Pack_Master!E:E, MATCH($D477, Pack_Master!A:A, 0))
   * INDEX(Pack_Master!F:F, MATCH($D477, Pack_Master!A:A, 0))
   * INDEX(Pack_Master!G:G, MATCH($D477, Pack_Master!A:A, 0))
 ) / INDEX(Config!C:C, MATCH($A477, Config!A:A, 0)),
"")
</f>
        <v>0</v>
      </c>
      <c r="H477" s="17">
        <f t="array" ref="H477">MAX( INDEX(Pack_Master!H:H, MATCH($D477, Pack_Master!A:A, 0)),
      IFERROR(G477, 0) )
</f>
        <v>0</v>
      </c>
      <c r="I477" s="18" t="str">
        <f>IFERROR(__xludf.DUMMYFUNCTION("IFERROR(
 INDEX(
   FILTER(Shipping_Rate_Card!B:F, Shipping_Rate_Card!A:A=$A477),
   MATCH($H477, FILTER(Shipping_Rate_Card!B:B, Shipping_Rate_Card!A:A=$A477), 1),
   IF( INDEX(Config!B:B, MATCH($A477, Config!A:A, 0))=""Local"", 2,
     IF( INDEX(Config!B"&amp;":B, MATCH($A477, Config!A:A, 0))=""Regional"", 3, 4 )
   )
 ),
"""")
"),"")</f>
        <v/>
      </c>
      <c r="J477" s="16">
        <f>IFERROR(__xludf.DUMMYFUNCTION("IFERROR(
 ( E477 * INDEX(FILTER(Pricing_Rules!E:E, Pricing_Rules!A:A=A477, Pricing_Rules!B:B=B477, Pricing_Rules!C:C&lt;=E477, Pricing_Rules!D:D&gt;=E477), 1)
   + INDEX(FILTER(Pricing_Rules!F:F, Pricing_Rules!A:A=A477, Pricing_Rules!B:B=B477, Pricing_Rules!C:C"&amp;"&lt;=E477, Pricing_Rules!D:D&gt;=E477), 1)
 )
 * (1 + IFERROR( INDEX(Config!D:D, MATCH(A477, Config!A:A, 0)), 0 )),
"""")
"),5.8999999999999995)</f>
        <v>5.9</v>
      </c>
      <c r="K477" s="19">
        <f t="shared" si="3"/>
        <v>-5.9</v>
      </c>
      <c r="L477" s="20" t="str">
        <f t="shared" si="4"/>
        <v/>
      </c>
    </row>
    <row r="478" ht="15.75" customHeight="1">
      <c r="A478" s="9" t="s">
        <v>9</v>
      </c>
      <c r="B478" s="12" t="str">
        <f t="array" ref="B478">XLOOKUP(C478, Channel_Listings!C:C, Channel_Listings!B:B)
</f>
        <v>Apparel_Tshirts</v>
      </c>
      <c r="C478" s="22" t="s">
        <v>698</v>
      </c>
      <c r="D478" s="14" t="str">
        <f t="array" ref="D478">XLOOKUP(C478, Channel_Listings!C:C, Channel_Listings!D:D)
</f>
        <v>TSHIRT-COTTONROUND-DARKGREEN-XL</v>
      </c>
      <c r="E478" s="15"/>
      <c r="F478" s="16">
        <f t="array" ref="F478">IFERROR(
  VALUE( INDEX(Product_Master!$I:$I,
               MATCH( INDEX(Pack_Master!$B:$B, MATCH($D478, Pack_Master!$A:$A, 0)),
                      Product_Master!$B:$B, 0)
  )) 
  * VALUE( INDEX(Pack_Master!$C:$C, MATCH($D478, Pack_Master!$A:$A, 0)) )
  + VALUE( INDEX(Pack_Master!$D:$D, MATCH($D478, Pack_Master!$A:$A, 0)) ),
"")
</f>
        <v>0</v>
      </c>
      <c r="G478" s="17">
        <f t="array" ref="G478">IFERROR(
 ( INDEX(Pack_Master!E:E, MATCH($D478, Pack_Master!A:A, 0))
   * INDEX(Pack_Master!F:F, MATCH($D478, Pack_Master!A:A, 0))
   * INDEX(Pack_Master!G:G, MATCH($D478, Pack_Master!A:A, 0))
 ) / INDEX(Config!C:C, MATCH($A478, Config!A:A, 0)),
"")
</f>
        <v>0</v>
      </c>
      <c r="H478" s="17">
        <f t="array" ref="H478">MAX( INDEX(Pack_Master!H:H, MATCH($D478, Pack_Master!A:A, 0)),
      IFERROR(G478, 0) )
</f>
        <v>0</v>
      </c>
      <c r="I478" s="18" t="str">
        <f>IFERROR(__xludf.DUMMYFUNCTION("IFERROR(
 INDEX(
   FILTER(Shipping_Rate_Card!B:F, Shipping_Rate_Card!A:A=$A478),
   MATCH($H478, FILTER(Shipping_Rate_Card!B:B, Shipping_Rate_Card!A:A=$A478), 1),
   IF( INDEX(Config!B:B, MATCH($A478, Config!A:A, 0))=""Local"", 2,
     IF( INDEX(Config!B"&amp;":B, MATCH($A478, Config!A:A, 0))=""Regional"", 3, 4 )
   )
 ),
"""")
"),"")</f>
        <v/>
      </c>
      <c r="J478" s="16">
        <f>IFERROR(__xludf.DUMMYFUNCTION("IFERROR(
 ( E478 * INDEX(FILTER(Pricing_Rules!E:E, Pricing_Rules!A:A=A478, Pricing_Rules!B:B=B478, Pricing_Rules!C:C&lt;=E478, Pricing_Rules!D:D&gt;=E478), 1)
   + INDEX(FILTER(Pricing_Rules!F:F, Pricing_Rules!A:A=A478, Pricing_Rules!B:B=B478, Pricing_Rules!C:C"&amp;"&lt;=E478, Pricing_Rules!D:D&gt;=E478), 1)
 )
 * (1 + IFERROR( INDEX(Config!D:D, MATCH(A478, Config!A:A, 0)), 0 )),
"""")
"),5.8999999999999995)</f>
        <v>5.9</v>
      </c>
      <c r="K478" s="19">
        <f t="shared" si="3"/>
        <v>-5.9</v>
      </c>
      <c r="L478" s="20" t="str">
        <f t="shared" si="4"/>
        <v/>
      </c>
    </row>
    <row r="479" ht="15.75" customHeight="1">
      <c r="A479" s="9" t="s">
        <v>9</v>
      </c>
      <c r="B479" s="12" t="str">
        <f t="array" ref="B479">XLOOKUP(C479, Channel_Listings!C:C, Channel_Listings!B:B)
</f>
        <v>Apparel_Tshirts</v>
      </c>
      <c r="C479" s="22" t="s">
        <v>700</v>
      </c>
      <c r="D479" s="14" t="str">
        <f t="array" ref="D479">XLOOKUP(C479, Channel_Listings!C:C, Channel_Listings!D:D)
</f>
        <v>TSHIRT-COTTONROUND-GREY-2XL</v>
      </c>
      <c r="E479" s="15"/>
      <c r="F479" s="16">
        <f t="array" ref="F479">IFERROR(
  VALUE( INDEX(Product_Master!$I:$I,
               MATCH( INDEX(Pack_Master!$B:$B, MATCH($D479, Pack_Master!$A:$A, 0)),
                      Product_Master!$B:$B, 0)
  )) 
  * VALUE( INDEX(Pack_Master!$C:$C, MATCH($D479, Pack_Master!$A:$A, 0)) )
  + VALUE( INDEX(Pack_Master!$D:$D, MATCH($D479, Pack_Master!$A:$A, 0)) ),
"")
</f>
        <v>0</v>
      </c>
      <c r="G479" s="17">
        <f t="array" ref="G479">IFERROR(
 ( INDEX(Pack_Master!E:E, MATCH($D479, Pack_Master!A:A, 0))
   * INDEX(Pack_Master!F:F, MATCH($D479, Pack_Master!A:A, 0))
   * INDEX(Pack_Master!G:G, MATCH($D479, Pack_Master!A:A, 0))
 ) / INDEX(Config!C:C, MATCH($A479, Config!A:A, 0)),
"")
</f>
        <v>0</v>
      </c>
      <c r="H479" s="17">
        <f t="array" ref="H479">MAX( INDEX(Pack_Master!H:H, MATCH($D479, Pack_Master!A:A, 0)),
      IFERROR(G479, 0) )
</f>
        <v>0</v>
      </c>
      <c r="I479" s="18" t="str">
        <f>IFERROR(__xludf.DUMMYFUNCTION("IFERROR(
 INDEX(
   FILTER(Shipping_Rate_Card!B:F, Shipping_Rate_Card!A:A=$A479),
   MATCH($H479, FILTER(Shipping_Rate_Card!B:B, Shipping_Rate_Card!A:A=$A479), 1),
   IF( INDEX(Config!B:B, MATCH($A479, Config!A:A, 0))=""Local"", 2,
     IF( INDEX(Config!B"&amp;":B, MATCH($A479, Config!A:A, 0))=""Regional"", 3, 4 )
   )
 ),
"""")
"),"")</f>
        <v/>
      </c>
      <c r="J479" s="16">
        <f>IFERROR(__xludf.DUMMYFUNCTION("IFERROR(
 ( E479 * INDEX(FILTER(Pricing_Rules!E:E, Pricing_Rules!A:A=A479, Pricing_Rules!B:B=B479, Pricing_Rules!C:C&lt;=E479, Pricing_Rules!D:D&gt;=E479), 1)
   + INDEX(FILTER(Pricing_Rules!F:F, Pricing_Rules!A:A=A479, Pricing_Rules!B:B=B479, Pricing_Rules!C:C"&amp;"&lt;=E479, Pricing_Rules!D:D&gt;=E479), 1)
 )
 * (1 + IFERROR( INDEX(Config!D:D, MATCH(A479, Config!A:A, 0)), 0 )),
"""")
"),5.8999999999999995)</f>
        <v>5.9</v>
      </c>
      <c r="K479" s="19">
        <f t="shared" si="3"/>
        <v>-5.9</v>
      </c>
      <c r="L479" s="20" t="str">
        <f t="shared" si="4"/>
        <v/>
      </c>
    </row>
    <row r="480" ht="15.75" customHeight="1">
      <c r="A480" s="9" t="s">
        <v>9</v>
      </c>
      <c r="B480" s="12" t="str">
        <f t="array" ref="B480">XLOOKUP(C480, Channel_Listings!C:C, Channel_Listings!B:B)
</f>
        <v>Apparel_Tshirts</v>
      </c>
      <c r="C480" s="22" t="s">
        <v>702</v>
      </c>
      <c r="D480" s="14" t="str">
        <f t="array" ref="D480">XLOOKUP(C480, Channel_Listings!C:C, Channel_Listings!D:D)
</f>
        <v>TSHIRT-COTTONROUND-GREY-L</v>
      </c>
      <c r="E480" s="15"/>
      <c r="F480" s="16">
        <f t="array" ref="F480">IFERROR(
  VALUE( INDEX(Product_Master!$I:$I,
               MATCH( INDEX(Pack_Master!$B:$B, MATCH($D480, Pack_Master!$A:$A, 0)),
                      Product_Master!$B:$B, 0)
  )) 
  * VALUE( INDEX(Pack_Master!$C:$C, MATCH($D480, Pack_Master!$A:$A, 0)) )
  + VALUE( INDEX(Pack_Master!$D:$D, MATCH($D480, Pack_Master!$A:$A, 0)) ),
"")
</f>
        <v>0</v>
      </c>
      <c r="G480" s="17">
        <f t="array" ref="G480">IFERROR(
 ( INDEX(Pack_Master!E:E, MATCH($D480, Pack_Master!A:A, 0))
   * INDEX(Pack_Master!F:F, MATCH($D480, Pack_Master!A:A, 0))
   * INDEX(Pack_Master!G:G, MATCH($D480, Pack_Master!A:A, 0))
 ) / INDEX(Config!C:C, MATCH($A480, Config!A:A, 0)),
"")
</f>
        <v>0</v>
      </c>
      <c r="H480" s="17">
        <f t="array" ref="H480">MAX( INDEX(Pack_Master!H:H, MATCH($D480, Pack_Master!A:A, 0)),
      IFERROR(G480, 0) )
</f>
        <v>0</v>
      </c>
      <c r="I480" s="18" t="str">
        <f>IFERROR(__xludf.DUMMYFUNCTION("IFERROR(
 INDEX(
   FILTER(Shipping_Rate_Card!B:F, Shipping_Rate_Card!A:A=$A480),
   MATCH($H480, FILTER(Shipping_Rate_Card!B:B, Shipping_Rate_Card!A:A=$A480), 1),
   IF( INDEX(Config!B:B, MATCH($A480, Config!A:A, 0))=""Local"", 2,
     IF( INDEX(Config!B"&amp;":B, MATCH($A480, Config!A:A, 0))=""Regional"", 3, 4 )
   )
 ),
"""")
"),"")</f>
        <v/>
      </c>
      <c r="J480" s="16">
        <f>IFERROR(__xludf.DUMMYFUNCTION("IFERROR(
 ( E480 * INDEX(FILTER(Pricing_Rules!E:E, Pricing_Rules!A:A=A480, Pricing_Rules!B:B=B480, Pricing_Rules!C:C&lt;=E480, Pricing_Rules!D:D&gt;=E480), 1)
   + INDEX(FILTER(Pricing_Rules!F:F, Pricing_Rules!A:A=A480, Pricing_Rules!B:B=B480, Pricing_Rules!C:C"&amp;"&lt;=E480, Pricing_Rules!D:D&gt;=E480), 1)
 )
 * (1 + IFERROR( INDEX(Config!D:D, MATCH(A480, Config!A:A, 0)), 0 )),
"""")
"),5.8999999999999995)</f>
        <v>5.9</v>
      </c>
      <c r="K480" s="19">
        <f t="shared" si="3"/>
        <v>-5.9</v>
      </c>
      <c r="L480" s="20" t="str">
        <f t="shared" si="4"/>
        <v/>
      </c>
    </row>
    <row r="481" ht="15.75" customHeight="1">
      <c r="A481" s="9" t="s">
        <v>9</v>
      </c>
      <c r="B481" s="12" t="str">
        <f t="array" ref="B481">XLOOKUP(C481, Channel_Listings!C:C, Channel_Listings!B:B)
</f>
        <v>Apparel_Tshirts</v>
      </c>
      <c r="C481" s="22" t="s">
        <v>704</v>
      </c>
      <c r="D481" s="14" t="str">
        <f t="array" ref="D481">XLOOKUP(C481, Channel_Listings!C:C, Channel_Listings!D:D)
</f>
        <v>TSHIRT-COTTONROUND-GREY-M</v>
      </c>
      <c r="E481" s="15"/>
      <c r="F481" s="16">
        <f t="array" ref="F481">IFERROR(
  VALUE( INDEX(Product_Master!$I:$I,
               MATCH( INDEX(Pack_Master!$B:$B, MATCH($D481, Pack_Master!$A:$A, 0)),
                      Product_Master!$B:$B, 0)
  )) 
  * VALUE( INDEX(Pack_Master!$C:$C, MATCH($D481, Pack_Master!$A:$A, 0)) )
  + VALUE( INDEX(Pack_Master!$D:$D, MATCH($D481, Pack_Master!$A:$A, 0)) ),
"")
</f>
        <v>0</v>
      </c>
      <c r="G481" s="17">
        <f t="array" ref="G481">IFERROR(
 ( INDEX(Pack_Master!E:E, MATCH($D481, Pack_Master!A:A, 0))
   * INDEX(Pack_Master!F:F, MATCH($D481, Pack_Master!A:A, 0))
   * INDEX(Pack_Master!G:G, MATCH($D481, Pack_Master!A:A, 0))
 ) / INDEX(Config!C:C, MATCH($A481, Config!A:A, 0)),
"")
</f>
        <v>0</v>
      </c>
      <c r="H481" s="17">
        <f t="array" ref="H481">MAX( INDEX(Pack_Master!H:H, MATCH($D481, Pack_Master!A:A, 0)),
      IFERROR(G481, 0) )
</f>
        <v>0</v>
      </c>
      <c r="I481" s="18" t="str">
        <f>IFERROR(__xludf.DUMMYFUNCTION("IFERROR(
 INDEX(
   FILTER(Shipping_Rate_Card!B:F, Shipping_Rate_Card!A:A=$A481),
   MATCH($H481, FILTER(Shipping_Rate_Card!B:B, Shipping_Rate_Card!A:A=$A481), 1),
   IF( INDEX(Config!B:B, MATCH($A481, Config!A:A, 0))=""Local"", 2,
     IF( INDEX(Config!B"&amp;":B, MATCH($A481, Config!A:A, 0))=""Regional"", 3, 4 )
   )
 ),
"""")
"),"")</f>
        <v/>
      </c>
      <c r="J481" s="16">
        <f>IFERROR(__xludf.DUMMYFUNCTION("IFERROR(
 ( E481 * INDEX(FILTER(Pricing_Rules!E:E, Pricing_Rules!A:A=A481, Pricing_Rules!B:B=B481, Pricing_Rules!C:C&lt;=E481, Pricing_Rules!D:D&gt;=E481), 1)
   + INDEX(FILTER(Pricing_Rules!F:F, Pricing_Rules!A:A=A481, Pricing_Rules!B:B=B481, Pricing_Rules!C:C"&amp;"&lt;=E481, Pricing_Rules!D:D&gt;=E481), 1)
 )
 * (1 + IFERROR( INDEX(Config!D:D, MATCH(A481, Config!A:A, 0)), 0 )),
"""")
"),5.8999999999999995)</f>
        <v>5.9</v>
      </c>
      <c r="K481" s="19">
        <f t="shared" si="3"/>
        <v>-5.9</v>
      </c>
      <c r="L481" s="20" t="str">
        <f t="shared" si="4"/>
        <v/>
      </c>
    </row>
    <row r="482" ht="15.75" customHeight="1">
      <c r="A482" s="9" t="s">
        <v>9</v>
      </c>
      <c r="B482" s="12" t="str">
        <f t="array" ref="B482">XLOOKUP(C482, Channel_Listings!C:C, Channel_Listings!B:B)
</f>
        <v>Apparel_Tshirts</v>
      </c>
      <c r="C482" s="22" t="s">
        <v>706</v>
      </c>
      <c r="D482" s="14" t="str">
        <f t="array" ref="D482">XLOOKUP(C482, Channel_Listings!C:C, Channel_Listings!D:D)
</f>
        <v>TSHIRT-COTTONROUND-GREY-XL</v>
      </c>
      <c r="E482" s="15"/>
      <c r="F482" s="16">
        <f t="array" ref="F482">IFERROR(
  VALUE( INDEX(Product_Master!$I:$I,
               MATCH( INDEX(Pack_Master!$B:$B, MATCH($D482, Pack_Master!$A:$A, 0)),
                      Product_Master!$B:$B, 0)
  )) 
  * VALUE( INDEX(Pack_Master!$C:$C, MATCH($D482, Pack_Master!$A:$A, 0)) )
  + VALUE( INDEX(Pack_Master!$D:$D, MATCH($D482, Pack_Master!$A:$A, 0)) ),
"")
</f>
        <v>0</v>
      </c>
      <c r="G482" s="17">
        <f t="array" ref="G482">IFERROR(
 ( INDEX(Pack_Master!E:E, MATCH($D482, Pack_Master!A:A, 0))
   * INDEX(Pack_Master!F:F, MATCH($D482, Pack_Master!A:A, 0))
   * INDEX(Pack_Master!G:G, MATCH($D482, Pack_Master!A:A, 0))
 ) / INDEX(Config!C:C, MATCH($A482, Config!A:A, 0)),
"")
</f>
        <v>0</v>
      </c>
      <c r="H482" s="17">
        <f t="array" ref="H482">MAX( INDEX(Pack_Master!H:H, MATCH($D482, Pack_Master!A:A, 0)),
      IFERROR(G482, 0) )
</f>
        <v>0</v>
      </c>
      <c r="I482" s="18" t="str">
        <f>IFERROR(__xludf.DUMMYFUNCTION("IFERROR(
 INDEX(
   FILTER(Shipping_Rate_Card!B:F, Shipping_Rate_Card!A:A=$A482),
   MATCH($H482, FILTER(Shipping_Rate_Card!B:B, Shipping_Rate_Card!A:A=$A482), 1),
   IF( INDEX(Config!B:B, MATCH($A482, Config!A:A, 0))=""Local"", 2,
     IF( INDEX(Config!B"&amp;":B, MATCH($A482, Config!A:A, 0))=""Regional"", 3, 4 )
   )
 ),
"""")
"),"")</f>
        <v/>
      </c>
      <c r="J482" s="16">
        <f>IFERROR(__xludf.DUMMYFUNCTION("IFERROR(
 ( E482 * INDEX(FILTER(Pricing_Rules!E:E, Pricing_Rules!A:A=A482, Pricing_Rules!B:B=B482, Pricing_Rules!C:C&lt;=E482, Pricing_Rules!D:D&gt;=E482), 1)
   + INDEX(FILTER(Pricing_Rules!F:F, Pricing_Rules!A:A=A482, Pricing_Rules!B:B=B482, Pricing_Rules!C:C"&amp;"&lt;=E482, Pricing_Rules!D:D&gt;=E482), 1)
 )
 * (1 + IFERROR( INDEX(Config!D:D, MATCH(A482, Config!A:A, 0)), 0 )),
"""")
"),5.8999999999999995)</f>
        <v>5.9</v>
      </c>
      <c r="K482" s="19">
        <f t="shared" si="3"/>
        <v>-5.9</v>
      </c>
      <c r="L482" s="20" t="str">
        <f t="shared" si="4"/>
        <v/>
      </c>
    </row>
    <row r="483" ht="15.75" customHeight="1">
      <c r="A483" s="9" t="s">
        <v>9</v>
      </c>
      <c r="B483" s="12" t="str">
        <f t="array" ref="B483">XLOOKUP(C483, Channel_Listings!C:C, Channel_Listings!B:B)
</f>
        <v>Apparel_Tshirts</v>
      </c>
      <c r="C483" s="22" t="s">
        <v>708</v>
      </c>
      <c r="D483" s="14" t="str">
        <f t="array" ref="D483">XLOOKUP(C483, Channel_Listings!C:C, Channel_Listings!D:D)
</f>
        <v>TSHIRT-COTTONROUND-LIGHTGREEN-2XL</v>
      </c>
      <c r="E483" s="15"/>
      <c r="F483" s="16">
        <f t="array" ref="F483">IFERROR(
  VALUE( INDEX(Product_Master!$I:$I,
               MATCH( INDEX(Pack_Master!$B:$B, MATCH($D483, Pack_Master!$A:$A, 0)),
                      Product_Master!$B:$B, 0)
  )) 
  * VALUE( INDEX(Pack_Master!$C:$C, MATCH($D483, Pack_Master!$A:$A, 0)) )
  + VALUE( INDEX(Pack_Master!$D:$D, MATCH($D483, Pack_Master!$A:$A, 0)) ),
"")
</f>
        <v>0</v>
      </c>
      <c r="G483" s="17">
        <f t="array" ref="G483">IFERROR(
 ( INDEX(Pack_Master!E:E, MATCH($D483, Pack_Master!A:A, 0))
   * INDEX(Pack_Master!F:F, MATCH($D483, Pack_Master!A:A, 0))
   * INDEX(Pack_Master!G:G, MATCH($D483, Pack_Master!A:A, 0))
 ) / INDEX(Config!C:C, MATCH($A483, Config!A:A, 0)),
"")
</f>
        <v>0</v>
      </c>
      <c r="H483" s="17">
        <f t="array" ref="H483">MAX( INDEX(Pack_Master!H:H, MATCH($D483, Pack_Master!A:A, 0)),
      IFERROR(G483, 0) )
</f>
        <v>0</v>
      </c>
      <c r="I483" s="18" t="str">
        <f>IFERROR(__xludf.DUMMYFUNCTION("IFERROR(
 INDEX(
   FILTER(Shipping_Rate_Card!B:F, Shipping_Rate_Card!A:A=$A483),
   MATCH($H483, FILTER(Shipping_Rate_Card!B:B, Shipping_Rate_Card!A:A=$A483), 1),
   IF( INDEX(Config!B:B, MATCH($A483, Config!A:A, 0))=""Local"", 2,
     IF( INDEX(Config!B"&amp;":B, MATCH($A483, Config!A:A, 0))=""Regional"", 3, 4 )
   )
 ),
"""")
"),"")</f>
        <v/>
      </c>
      <c r="J483" s="16">
        <f>IFERROR(__xludf.DUMMYFUNCTION("IFERROR(
 ( E483 * INDEX(FILTER(Pricing_Rules!E:E, Pricing_Rules!A:A=A483, Pricing_Rules!B:B=B483, Pricing_Rules!C:C&lt;=E483, Pricing_Rules!D:D&gt;=E483), 1)
   + INDEX(FILTER(Pricing_Rules!F:F, Pricing_Rules!A:A=A483, Pricing_Rules!B:B=B483, Pricing_Rules!C:C"&amp;"&lt;=E483, Pricing_Rules!D:D&gt;=E483), 1)
 )
 * (1 + IFERROR( INDEX(Config!D:D, MATCH(A483, Config!A:A, 0)), 0 )),
"""")
"),5.8999999999999995)</f>
        <v>5.9</v>
      </c>
      <c r="K483" s="19">
        <f t="shared" si="3"/>
        <v>-5.9</v>
      </c>
      <c r="L483" s="20" t="str">
        <f t="shared" si="4"/>
        <v/>
      </c>
    </row>
    <row r="484" ht="15.75" customHeight="1">
      <c r="A484" s="9" t="s">
        <v>9</v>
      </c>
      <c r="B484" s="12" t="str">
        <f t="array" ref="B484">XLOOKUP(C484, Channel_Listings!C:C, Channel_Listings!B:B)
</f>
        <v>Apparel_Tshirts</v>
      </c>
      <c r="C484" s="22" t="s">
        <v>710</v>
      </c>
      <c r="D484" s="14" t="str">
        <f t="array" ref="D484">XLOOKUP(C484, Channel_Listings!C:C, Channel_Listings!D:D)
</f>
        <v>TSHIRT-COTTONROUND-LIGHTGREEN-L</v>
      </c>
      <c r="E484" s="15"/>
      <c r="F484" s="16">
        <f t="array" ref="F484">IFERROR(
  VALUE( INDEX(Product_Master!$I:$I,
               MATCH( INDEX(Pack_Master!$B:$B, MATCH($D484, Pack_Master!$A:$A, 0)),
                      Product_Master!$B:$B, 0)
  )) 
  * VALUE( INDEX(Pack_Master!$C:$C, MATCH($D484, Pack_Master!$A:$A, 0)) )
  + VALUE( INDEX(Pack_Master!$D:$D, MATCH($D484, Pack_Master!$A:$A, 0)) ),
"")
</f>
        <v>0</v>
      </c>
      <c r="G484" s="17">
        <f t="array" ref="G484">IFERROR(
 ( INDEX(Pack_Master!E:E, MATCH($D484, Pack_Master!A:A, 0))
   * INDEX(Pack_Master!F:F, MATCH($D484, Pack_Master!A:A, 0))
   * INDEX(Pack_Master!G:G, MATCH($D484, Pack_Master!A:A, 0))
 ) / INDEX(Config!C:C, MATCH($A484, Config!A:A, 0)),
"")
</f>
        <v>0</v>
      </c>
      <c r="H484" s="17">
        <f t="array" ref="H484">MAX( INDEX(Pack_Master!H:H, MATCH($D484, Pack_Master!A:A, 0)),
      IFERROR(G484, 0) )
</f>
        <v>0</v>
      </c>
      <c r="I484" s="18" t="str">
        <f>IFERROR(__xludf.DUMMYFUNCTION("IFERROR(
 INDEX(
   FILTER(Shipping_Rate_Card!B:F, Shipping_Rate_Card!A:A=$A484),
   MATCH($H484, FILTER(Shipping_Rate_Card!B:B, Shipping_Rate_Card!A:A=$A484), 1),
   IF( INDEX(Config!B:B, MATCH($A484, Config!A:A, 0))=""Local"", 2,
     IF( INDEX(Config!B"&amp;":B, MATCH($A484, Config!A:A, 0))=""Regional"", 3, 4 )
   )
 ),
"""")
"),"")</f>
        <v/>
      </c>
      <c r="J484" s="16">
        <f>IFERROR(__xludf.DUMMYFUNCTION("IFERROR(
 ( E484 * INDEX(FILTER(Pricing_Rules!E:E, Pricing_Rules!A:A=A484, Pricing_Rules!B:B=B484, Pricing_Rules!C:C&lt;=E484, Pricing_Rules!D:D&gt;=E484), 1)
   + INDEX(FILTER(Pricing_Rules!F:F, Pricing_Rules!A:A=A484, Pricing_Rules!B:B=B484, Pricing_Rules!C:C"&amp;"&lt;=E484, Pricing_Rules!D:D&gt;=E484), 1)
 )
 * (1 + IFERROR( INDEX(Config!D:D, MATCH(A484, Config!A:A, 0)), 0 )),
"""")
"),5.8999999999999995)</f>
        <v>5.9</v>
      </c>
      <c r="K484" s="19">
        <f t="shared" si="3"/>
        <v>-5.9</v>
      </c>
      <c r="L484" s="20" t="str">
        <f t="shared" si="4"/>
        <v/>
      </c>
    </row>
    <row r="485" ht="15.75" customHeight="1">
      <c r="A485" s="9" t="s">
        <v>9</v>
      </c>
      <c r="B485" s="12" t="str">
        <f t="array" ref="B485">XLOOKUP(C485, Channel_Listings!C:C, Channel_Listings!B:B)
</f>
        <v>Apparel_Tshirts</v>
      </c>
      <c r="C485" s="22" t="s">
        <v>712</v>
      </c>
      <c r="D485" s="14" t="str">
        <f t="array" ref="D485">XLOOKUP(C485, Channel_Listings!C:C, Channel_Listings!D:D)
</f>
        <v>TSHIRT-COTTONROUND-LIGHTGREEN-M</v>
      </c>
      <c r="E485" s="15"/>
      <c r="F485" s="16">
        <f t="array" ref="F485">IFERROR(
  VALUE( INDEX(Product_Master!$I:$I,
               MATCH( INDEX(Pack_Master!$B:$B, MATCH($D485, Pack_Master!$A:$A, 0)),
                      Product_Master!$B:$B, 0)
  )) 
  * VALUE( INDEX(Pack_Master!$C:$C, MATCH($D485, Pack_Master!$A:$A, 0)) )
  + VALUE( INDEX(Pack_Master!$D:$D, MATCH($D485, Pack_Master!$A:$A, 0)) ),
"")
</f>
        <v>0</v>
      </c>
      <c r="G485" s="17">
        <f t="array" ref="G485">IFERROR(
 ( INDEX(Pack_Master!E:E, MATCH($D485, Pack_Master!A:A, 0))
   * INDEX(Pack_Master!F:F, MATCH($D485, Pack_Master!A:A, 0))
   * INDEX(Pack_Master!G:G, MATCH($D485, Pack_Master!A:A, 0))
 ) / INDEX(Config!C:C, MATCH($A485, Config!A:A, 0)),
"")
</f>
        <v>0</v>
      </c>
      <c r="H485" s="17">
        <f t="array" ref="H485">MAX( INDEX(Pack_Master!H:H, MATCH($D485, Pack_Master!A:A, 0)),
      IFERROR(G485, 0) )
</f>
        <v>0</v>
      </c>
      <c r="I485" s="18" t="str">
        <f>IFERROR(__xludf.DUMMYFUNCTION("IFERROR(
 INDEX(
   FILTER(Shipping_Rate_Card!B:F, Shipping_Rate_Card!A:A=$A485),
   MATCH($H485, FILTER(Shipping_Rate_Card!B:B, Shipping_Rate_Card!A:A=$A485), 1),
   IF( INDEX(Config!B:B, MATCH($A485, Config!A:A, 0))=""Local"", 2,
     IF( INDEX(Config!B"&amp;":B, MATCH($A485, Config!A:A, 0))=""Regional"", 3, 4 )
   )
 ),
"""")
"),"")</f>
        <v/>
      </c>
      <c r="J485" s="16">
        <f>IFERROR(__xludf.DUMMYFUNCTION("IFERROR(
 ( E485 * INDEX(FILTER(Pricing_Rules!E:E, Pricing_Rules!A:A=A485, Pricing_Rules!B:B=B485, Pricing_Rules!C:C&lt;=E485, Pricing_Rules!D:D&gt;=E485), 1)
   + INDEX(FILTER(Pricing_Rules!F:F, Pricing_Rules!A:A=A485, Pricing_Rules!B:B=B485, Pricing_Rules!C:C"&amp;"&lt;=E485, Pricing_Rules!D:D&gt;=E485), 1)
 )
 * (1 + IFERROR( INDEX(Config!D:D, MATCH(A485, Config!A:A, 0)), 0 )),
"""")
"),5.8999999999999995)</f>
        <v>5.9</v>
      </c>
      <c r="K485" s="19">
        <f t="shared" si="3"/>
        <v>-5.9</v>
      </c>
      <c r="L485" s="20" t="str">
        <f t="shared" si="4"/>
        <v/>
      </c>
    </row>
    <row r="486" ht="15.75" customHeight="1">
      <c r="A486" s="9" t="s">
        <v>9</v>
      </c>
      <c r="B486" s="12" t="str">
        <f t="array" ref="B486">XLOOKUP(C486, Channel_Listings!C:C, Channel_Listings!B:B)
</f>
        <v>Apparel_Tshirts</v>
      </c>
      <c r="C486" s="22" t="s">
        <v>714</v>
      </c>
      <c r="D486" s="14" t="str">
        <f t="array" ref="D486">XLOOKUP(C486, Channel_Listings!C:C, Channel_Listings!D:D)
</f>
        <v>TSHIRT-COTTONROUND-LIGHTGREEN-XL</v>
      </c>
      <c r="E486" s="15"/>
      <c r="F486" s="16">
        <f t="array" ref="F486">IFERROR(
  VALUE( INDEX(Product_Master!$I:$I,
               MATCH( INDEX(Pack_Master!$B:$B, MATCH($D486, Pack_Master!$A:$A, 0)),
                      Product_Master!$B:$B, 0)
  )) 
  * VALUE( INDEX(Pack_Master!$C:$C, MATCH($D486, Pack_Master!$A:$A, 0)) )
  + VALUE( INDEX(Pack_Master!$D:$D, MATCH($D486, Pack_Master!$A:$A, 0)) ),
"")
</f>
        <v>0</v>
      </c>
      <c r="G486" s="17">
        <f t="array" ref="G486">IFERROR(
 ( INDEX(Pack_Master!E:E, MATCH($D486, Pack_Master!A:A, 0))
   * INDEX(Pack_Master!F:F, MATCH($D486, Pack_Master!A:A, 0))
   * INDEX(Pack_Master!G:G, MATCH($D486, Pack_Master!A:A, 0))
 ) / INDEX(Config!C:C, MATCH($A486, Config!A:A, 0)),
"")
</f>
        <v>0</v>
      </c>
      <c r="H486" s="17">
        <f t="array" ref="H486">MAX( INDEX(Pack_Master!H:H, MATCH($D486, Pack_Master!A:A, 0)),
      IFERROR(G486, 0) )
</f>
        <v>0</v>
      </c>
      <c r="I486" s="18" t="str">
        <f>IFERROR(__xludf.DUMMYFUNCTION("IFERROR(
 INDEX(
   FILTER(Shipping_Rate_Card!B:F, Shipping_Rate_Card!A:A=$A486),
   MATCH($H486, FILTER(Shipping_Rate_Card!B:B, Shipping_Rate_Card!A:A=$A486), 1),
   IF( INDEX(Config!B:B, MATCH($A486, Config!A:A, 0))=""Local"", 2,
     IF( INDEX(Config!B"&amp;":B, MATCH($A486, Config!A:A, 0))=""Regional"", 3, 4 )
   )
 ),
"""")
"),"")</f>
        <v/>
      </c>
      <c r="J486" s="16">
        <f>IFERROR(__xludf.DUMMYFUNCTION("IFERROR(
 ( E486 * INDEX(FILTER(Pricing_Rules!E:E, Pricing_Rules!A:A=A486, Pricing_Rules!B:B=B486, Pricing_Rules!C:C&lt;=E486, Pricing_Rules!D:D&gt;=E486), 1)
   + INDEX(FILTER(Pricing_Rules!F:F, Pricing_Rules!A:A=A486, Pricing_Rules!B:B=B486, Pricing_Rules!C:C"&amp;"&lt;=E486, Pricing_Rules!D:D&gt;=E486), 1)
 )
 * (1 + IFERROR( INDEX(Config!D:D, MATCH(A486, Config!A:A, 0)), 0 )),
"""")
"),5.8999999999999995)</f>
        <v>5.9</v>
      </c>
      <c r="K486" s="19">
        <f t="shared" si="3"/>
        <v>-5.9</v>
      </c>
      <c r="L486" s="20" t="str">
        <f t="shared" si="4"/>
        <v/>
      </c>
    </row>
    <row r="487" ht="15.75" customHeight="1">
      <c r="A487" s="9" t="s">
        <v>9</v>
      </c>
      <c r="B487" s="12" t="str">
        <f t="array" ref="B487">XLOOKUP(C487, Channel_Listings!C:C, Channel_Listings!B:B)
</f>
        <v>Apparel_Tshirts</v>
      </c>
      <c r="C487" s="22" t="s">
        <v>716</v>
      </c>
      <c r="D487" s="14" t="str">
        <f t="array" ref="D487">XLOOKUP(C487, Channel_Listings!C:C, Channel_Listings!D:D)
</f>
        <v>TSHIRT-COTTONROUND-MAROON-L</v>
      </c>
      <c r="E487" s="15"/>
      <c r="F487" s="16">
        <f t="array" ref="F487">IFERROR(
  VALUE( INDEX(Product_Master!$I:$I,
               MATCH( INDEX(Pack_Master!$B:$B, MATCH($D487, Pack_Master!$A:$A, 0)),
                      Product_Master!$B:$B, 0)
  )) 
  * VALUE( INDEX(Pack_Master!$C:$C, MATCH($D487, Pack_Master!$A:$A, 0)) )
  + VALUE( INDEX(Pack_Master!$D:$D, MATCH($D487, Pack_Master!$A:$A, 0)) ),
"")
</f>
        <v>0</v>
      </c>
      <c r="G487" s="17">
        <f t="array" ref="G487">IFERROR(
 ( INDEX(Pack_Master!E:E, MATCH($D487, Pack_Master!A:A, 0))
   * INDEX(Pack_Master!F:F, MATCH($D487, Pack_Master!A:A, 0))
   * INDEX(Pack_Master!G:G, MATCH($D487, Pack_Master!A:A, 0))
 ) / INDEX(Config!C:C, MATCH($A487, Config!A:A, 0)),
"")
</f>
        <v>0</v>
      </c>
      <c r="H487" s="17">
        <f t="array" ref="H487">MAX( INDEX(Pack_Master!H:H, MATCH($D487, Pack_Master!A:A, 0)),
      IFERROR(G487, 0) )
</f>
        <v>0</v>
      </c>
      <c r="I487" s="18" t="str">
        <f>IFERROR(__xludf.DUMMYFUNCTION("IFERROR(
 INDEX(
   FILTER(Shipping_Rate_Card!B:F, Shipping_Rate_Card!A:A=$A487),
   MATCH($H487, FILTER(Shipping_Rate_Card!B:B, Shipping_Rate_Card!A:A=$A487), 1),
   IF( INDEX(Config!B:B, MATCH($A487, Config!A:A, 0))=""Local"", 2,
     IF( INDEX(Config!B"&amp;":B, MATCH($A487, Config!A:A, 0))=""Regional"", 3, 4 )
   )
 ),
"""")
"),"")</f>
        <v/>
      </c>
      <c r="J487" s="16">
        <f>IFERROR(__xludf.DUMMYFUNCTION("IFERROR(
 ( E487 * INDEX(FILTER(Pricing_Rules!E:E, Pricing_Rules!A:A=A487, Pricing_Rules!B:B=B487, Pricing_Rules!C:C&lt;=E487, Pricing_Rules!D:D&gt;=E487), 1)
   + INDEX(FILTER(Pricing_Rules!F:F, Pricing_Rules!A:A=A487, Pricing_Rules!B:B=B487, Pricing_Rules!C:C"&amp;"&lt;=E487, Pricing_Rules!D:D&gt;=E487), 1)
 )
 * (1 + IFERROR( INDEX(Config!D:D, MATCH(A487, Config!A:A, 0)), 0 )),
"""")
"),5.8999999999999995)</f>
        <v>5.9</v>
      </c>
      <c r="K487" s="19">
        <f t="shared" si="3"/>
        <v>-5.9</v>
      </c>
      <c r="L487" s="20" t="str">
        <f t="shared" si="4"/>
        <v/>
      </c>
    </row>
    <row r="488" ht="15.75" customHeight="1">
      <c r="A488" s="9" t="s">
        <v>9</v>
      </c>
      <c r="B488" s="12" t="str">
        <f t="array" ref="B488">XLOOKUP(C488, Channel_Listings!C:C, Channel_Listings!B:B)
</f>
        <v>Apparel_Tshirts</v>
      </c>
      <c r="C488" s="22" t="s">
        <v>719</v>
      </c>
      <c r="D488" s="14" t="str">
        <f t="array" ref="D488">XLOOKUP(C488, Channel_Listings!C:C, Channel_Listings!D:D)
</f>
        <v>TSHIRT-COTTONROUND-MAROON-M</v>
      </c>
      <c r="E488" s="15"/>
      <c r="F488" s="16">
        <f t="array" ref="F488">IFERROR(
  VALUE( INDEX(Product_Master!$I:$I,
               MATCH( INDEX(Pack_Master!$B:$B, MATCH($D488, Pack_Master!$A:$A, 0)),
                      Product_Master!$B:$B, 0)
  )) 
  * VALUE( INDEX(Pack_Master!$C:$C, MATCH($D488, Pack_Master!$A:$A, 0)) )
  + VALUE( INDEX(Pack_Master!$D:$D, MATCH($D488, Pack_Master!$A:$A, 0)) ),
"")
</f>
        <v>0</v>
      </c>
      <c r="G488" s="17">
        <f t="array" ref="G488">IFERROR(
 ( INDEX(Pack_Master!E:E, MATCH($D488, Pack_Master!A:A, 0))
   * INDEX(Pack_Master!F:F, MATCH($D488, Pack_Master!A:A, 0))
   * INDEX(Pack_Master!G:G, MATCH($D488, Pack_Master!A:A, 0))
 ) / INDEX(Config!C:C, MATCH($A488, Config!A:A, 0)),
"")
</f>
        <v>0</v>
      </c>
      <c r="H488" s="17">
        <f t="array" ref="H488">MAX( INDEX(Pack_Master!H:H, MATCH($D488, Pack_Master!A:A, 0)),
      IFERROR(G488, 0) )
</f>
        <v>0</v>
      </c>
      <c r="I488" s="18" t="str">
        <f>IFERROR(__xludf.DUMMYFUNCTION("IFERROR(
 INDEX(
   FILTER(Shipping_Rate_Card!B:F, Shipping_Rate_Card!A:A=$A488),
   MATCH($H488, FILTER(Shipping_Rate_Card!B:B, Shipping_Rate_Card!A:A=$A488), 1),
   IF( INDEX(Config!B:B, MATCH($A488, Config!A:A, 0))=""Local"", 2,
     IF( INDEX(Config!B"&amp;":B, MATCH($A488, Config!A:A, 0))=""Regional"", 3, 4 )
   )
 ),
"""")
"),"")</f>
        <v/>
      </c>
      <c r="J488" s="16">
        <f>IFERROR(__xludf.DUMMYFUNCTION("IFERROR(
 ( E488 * INDEX(FILTER(Pricing_Rules!E:E, Pricing_Rules!A:A=A488, Pricing_Rules!B:B=B488, Pricing_Rules!C:C&lt;=E488, Pricing_Rules!D:D&gt;=E488), 1)
   + INDEX(FILTER(Pricing_Rules!F:F, Pricing_Rules!A:A=A488, Pricing_Rules!B:B=B488, Pricing_Rules!C:C"&amp;"&lt;=E488, Pricing_Rules!D:D&gt;=E488), 1)
 )
 * (1 + IFERROR( INDEX(Config!D:D, MATCH(A488, Config!A:A, 0)), 0 )),
"""")
"),5.8999999999999995)</f>
        <v>5.9</v>
      </c>
      <c r="K488" s="19">
        <f t="shared" si="3"/>
        <v>-5.9</v>
      </c>
      <c r="L488" s="20" t="str">
        <f t="shared" si="4"/>
        <v/>
      </c>
    </row>
    <row r="489" ht="15.75" customHeight="1">
      <c r="A489" s="9" t="s">
        <v>9</v>
      </c>
      <c r="B489" s="12" t="str">
        <f t="array" ref="B489">XLOOKUP(C489, Channel_Listings!C:C, Channel_Listings!B:B)
</f>
        <v>Apparel_Tshirts</v>
      </c>
      <c r="C489" s="22" t="s">
        <v>722</v>
      </c>
      <c r="D489" s="14" t="str">
        <f t="array" ref="D489">XLOOKUP(C489, Channel_Listings!C:C, Channel_Listings!D:D)
</f>
        <v>TSHIRT-COTTONROUND-MAROON-XL</v>
      </c>
      <c r="E489" s="15"/>
      <c r="F489" s="16">
        <f t="array" ref="F489">IFERROR(
  VALUE( INDEX(Product_Master!$I:$I,
               MATCH( INDEX(Pack_Master!$B:$B, MATCH($D489, Pack_Master!$A:$A, 0)),
                      Product_Master!$B:$B, 0)
  )) 
  * VALUE( INDEX(Pack_Master!$C:$C, MATCH($D489, Pack_Master!$A:$A, 0)) )
  + VALUE( INDEX(Pack_Master!$D:$D, MATCH($D489, Pack_Master!$A:$A, 0)) ),
"")
</f>
        <v>0</v>
      </c>
      <c r="G489" s="17">
        <f t="array" ref="G489">IFERROR(
 ( INDEX(Pack_Master!E:E, MATCH($D489, Pack_Master!A:A, 0))
   * INDEX(Pack_Master!F:F, MATCH($D489, Pack_Master!A:A, 0))
   * INDEX(Pack_Master!G:G, MATCH($D489, Pack_Master!A:A, 0))
 ) / INDEX(Config!C:C, MATCH($A489, Config!A:A, 0)),
"")
</f>
        <v>0</v>
      </c>
      <c r="H489" s="17">
        <f t="array" ref="H489">MAX( INDEX(Pack_Master!H:H, MATCH($D489, Pack_Master!A:A, 0)),
      IFERROR(G489, 0) )
</f>
        <v>0</v>
      </c>
      <c r="I489" s="18" t="str">
        <f>IFERROR(__xludf.DUMMYFUNCTION("IFERROR(
 INDEX(
   FILTER(Shipping_Rate_Card!B:F, Shipping_Rate_Card!A:A=$A489),
   MATCH($H489, FILTER(Shipping_Rate_Card!B:B, Shipping_Rate_Card!A:A=$A489), 1),
   IF( INDEX(Config!B:B, MATCH($A489, Config!A:A, 0))=""Local"", 2,
     IF( INDEX(Config!B"&amp;":B, MATCH($A489, Config!A:A, 0))=""Regional"", 3, 4 )
   )
 ),
"""")
"),"")</f>
        <v/>
      </c>
      <c r="J489" s="16">
        <f>IFERROR(__xludf.DUMMYFUNCTION("IFERROR(
 ( E489 * INDEX(FILTER(Pricing_Rules!E:E, Pricing_Rules!A:A=A489, Pricing_Rules!B:B=B489, Pricing_Rules!C:C&lt;=E489, Pricing_Rules!D:D&gt;=E489), 1)
   + INDEX(FILTER(Pricing_Rules!F:F, Pricing_Rules!A:A=A489, Pricing_Rules!B:B=B489, Pricing_Rules!C:C"&amp;"&lt;=E489, Pricing_Rules!D:D&gt;=E489), 1)
 )
 * (1 + IFERROR( INDEX(Config!D:D, MATCH(A489, Config!A:A, 0)), 0 )),
"""")
"),5.8999999999999995)</f>
        <v>5.9</v>
      </c>
      <c r="K489" s="19">
        <f t="shared" si="3"/>
        <v>-5.9</v>
      </c>
      <c r="L489" s="20" t="str">
        <f t="shared" si="4"/>
        <v/>
      </c>
    </row>
    <row r="490" ht="15.75" customHeight="1">
      <c r="A490" s="9" t="s">
        <v>9</v>
      </c>
      <c r="B490" s="12" t="str">
        <f t="array" ref="B490">XLOOKUP(C490, Channel_Listings!C:C, Channel_Listings!B:B)
</f>
        <v>Apparel_Tshirts</v>
      </c>
      <c r="C490" s="22" t="s">
        <v>725</v>
      </c>
      <c r="D490" s="14" t="str">
        <f t="array" ref="D490">XLOOKUP(C490, Channel_Listings!C:C, Channel_Listings!D:D)
</f>
        <v>TSHIRT-COTTONROUND-MAROON-XXL</v>
      </c>
      <c r="E490" s="15"/>
      <c r="F490" s="16">
        <f t="array" ref="F490">IFERROR(
  VALUE( INDEX(Product_Master!$I:$I,
               MATCH( INDEX(Pack_Master!$B:$B, MATCH($D490, Pack_Master!$A:$A, 0)),
                      Product_Master!$B:$B, 0)
  )) 
  * VALUE( INDEX(Pack_Master!$C:$C, MATCH($D490, Pack_Master!$A:$A, 0)) )
  + VALUE( INDEX(Pack_Master!$D:$D, MATCH($D490, Pack_Master!$A:$A, 0)) ),
"")
</f>
        <v>0</v>
      </c>
      <c r="G490" s="17">
        <f t="array" ref="G490">IFERROR(
 ( INDEX(Pack_Master!E:E, MATCH($D490, Pack_Master!A:A, 0))
   * INDEX(Pack_Master!F:F, MATCH($D490, Pack_Master!A:A, 0))
   * INDEX(Pack_Master!G:G, MATCH($D490, Pack_Master!A:A, 0))
 ) / INDEX(Config!C:C, MATCH($A490, Config!A:A, 0)),
"")
</f>
        <v>0</v>
      </c>
      <c r="H490" s="17">
        <f t="array" ref="H490">MAX( INDEX(Pack_Master!H:H, MATCH($D490, Pack_Master!A:A, 0)),
      IFERROR(G490, 0) )
</f>
        <v>0</v>
      </c>
      <c r="I490" s="18" t="str">
        <f>IFERROR(__xludf.DUMMYFUNCTION("IFERROR(
 INDEX(
   FILTER(Shipping_Rate_Card!B:F, Shipping_Rate_Card!A:A=$A490),
   MATCH($H490, FILTER(Shipping_Rate_Card!B:B, Shipping_Rate_Card!A:A=$A490), 1),
   IF( INDEX(Config!B:B, MATCH($A490, Config!A:A, 0))=""Local"", 2,
     IF( INDEX(Config!B"&amp;":B, MATCH($A490, Config!A:A, 0))=""Regional"", 3, 4 )
   )
 ),
"""")
"),"")</f>
        <v/>
      </c>
      <c r="J490" s="16">
        <f>IFERROR(__xludf.DUMMYFUNCTION("IFERROR(
 ( E490 * INDEX(FILTER(Pricing_Rules!E:E, Pricing_Rules!A:A=A490, Pricing_Rules!B:B=B490, Pricing_Rules!C:C&lt;=E490, Pricing_Rules!D:D&gt;=E490), 1)
   + INDEX(FILTER(Pricing_Rules!F:F, Pricing_Rules!A:A=A490, Pricing_Rules!B:B=B490, Pricing_Rules!C:C"&amp;"&lt;=E490, Pricing_Rules!D:D&gt;=E490), 1)
 )
 * (1 + IFERROR( INDEX(Config!D:D, MATCH(A490, Config!A:A, 0)), 0 )),
"""")
"),5.8999999999999995)</f>
        <v>5.9</v>
      </c>
      <c r="K490" s="19">
        <f t="shared" si="3"/>
        <v>-5.9</v>
      </c>
      <c r="L490" s="20" t="str">
        <f t="shared" si="4"/>
        <v/>
      </c>
    </row>
    <row r="491" ht="15.75" customHeight="1">
      <c r="A491" s="9" t="s">
        <v>9</v>
      </c>
      <c r="B491" s="12" t="str">
        <f t="array" ref="B491">XLOOKUP(C491, Channel_Listings!C:C, Channel_Listings!B:B)
</f>
        <v>Apparel_Tshirts</v>
      </c>
      <c r="C491" s="22" t="s">
        <v>728</v>
      </c>
      <c r="D491" s="14" t="str">
        <f t="array" ref="D491">XLOOKUP(C491, Channel_Listings!C:C, Channel_Listings!D:D)
</f>
        <v>TSHIRT-COTTONROUND-MELANGGREY-L</v>
      </c>
      <c r="E491" s="15"/>
      <c r="F491" s="16">
        <f t="array" ref="F491">IFERROR(
  VALUE( INDEX(Product_Master!$I:$I,
               MATCH( INDEX(Pack_Master!$B:$B, MATCH($D491, Pack_Master!$A:$A, 0)),
                      Product_Master!$B:$B, 0)
  )) 
  * VALUE( INDEX(Pack_Master!$C:$C, MATCH($D491, Pack_Master!$A:$A, 0)) )
  + VALUE( INDEX(Pack_Master!$D:$D, MATCH($D491, Pack_Master!$A:$A, 0)) ),
"")
</f>
        <v>0</v>
      </c>
      <c r="G491" s="17">
        <f t="array" ref="G491">IFERROR(
 ( INDEX(Pack_Master!E:E, MATCH($D491, Pack_Master!A:A, 0))
   * INDEX(Pack_Master!F:F, MATCH($D491, Pack_Master!A:A, 0))
   * INDEX(Pack_Master!G:G, MATCH($D491, Pack_Master!A:A, 0))
 ) / INDEX(Config!C:C, MATCH($A491, Config!A:A, 0)),
"")
</f>
        <v>0</v>
      </c>
      <c r="H491" s="17">
        <f t="array" ref="H491">MAX( INDEX(Pack_Master!H:H, MATCH($D491, Pack_Master!A:A, 0)),
      IFERROR(G491, 0) )
</f>
        <v>0</v>
      </c>
      <c r="I491" s="18" t="str">
        <f>IFERROR(__xludf.DUMMYFUNCTION("IFERROR(
 INDEX(
   FILTER(Shipping_Rate_Card!B:F, Shipping_Rate_Card!A:A=$A491),
   MATCH($H491, FILTER(Shipping_Rate_Card!B:B, Shipping_Rate_Card!A:A=$A491), 1),
   IF( INDEX(Config!B:B, MATCH($A491, Config!A:A, 0))=""Local"", 2,
     IF( INDEX(Config!B"&amp;":B, MATCH($A491, Config!A:A, 0))=""Regional"", 3, 4 )
   )
 ),
"""")
"),"")</f>
        <v/>
      </c>
      <c r="J491" s="16">
        <f>IFERROR(__xludf.DUMMYFUNCTION("IFERROR(
 ( E491 * INDEX(FILTER(Pricing_Rules!E:E, Pricing_Rules!A:A=A491, Pricing_Rules!B:B=B491, Pricing_Rules!C:C&lt;=E491, Pricing_Rules!D:D&gt;=E491), 1)
   + INDEX(FILTER(Pricing_Rules!F:F, Pricing_Rules!A:A=A491, Pricing_Rules!B:B=B491, Pricing_Rules!C:C"&amp;"&lt;=E491, Pricing_Rules!D:D&gt;=E491), 1)
 )
 * (1 + IFERROR( INDEX(Config!D:D, MATCH(A491, Config!A:A, 0)), 0 )),
"""")
"),5.8999999999999995)</f>
        <v>5.9</v>
      </c>
      <c r="K491" s="19">
        <f t="shared" si="3"/>
        <v>-5.9</v>
      </c>
      <c r="L491" s="20" t="str">
        <f t="shared" si="4"/>
        <v/>
      </c>
    </row>
    <row r="492" ht="15.75" customHeight="1">
      <c r="A492" s="9" t="s">
        <v>9</v>
      </c>
      <c r="B492" s="12" t="str">
        <f t="array" ref="B492">XLOOKUP(C492, Channel_Listings!C:C, Channel_Listings!B:B)
</f>
        <v>Apparel_Tshirts</v>
      </c>
      <c r="C492" s="22" t="s">
        <v>731</v>
      </c>
      <c r="D492" s="14" t="str">
        <f t="array" ref="D492">XLOOKUP(C492, Channel_Listings!C:C, Channel_Listings!D:D)
</f>
        <v>TSHIRT-COTTONROUND-MELANGGREY-M</v>
      </c>
      <c r="E492" s="15"/>
      <c r="F492" s="16">
        <f t="array" ref="F492">IFERROR(
  VALUE( INDEX(Product_Master!$I:$I,
               MATCH( INDEX(Pack_Master!$B:$B, MATCH($D492, Pack_Master!$A:$A, 0)),
                      Product_Master!$B:$B, 0)
  )) 
  * VALUE( INDEX(Pack_Master!$C:$C, MATCH($D492, Pack_Master!$A:$A, 0)) )
  + VALUE( INDEX(Pack_Master!$D:$D, MATCH($D492, Pack_Master!$A:$A, 0)) ),
"")
</f>
        <v>0</v>
      </c>
      <c r="G492" s="17">
        <f t="array" ref="G492">IFERROR(
 ( INDEX(Pack_Master!E:E, MATCH($D492, Pack_Master!A:A, 0))
   * INDEX(Pack_Master!F:F, MATCH($D492, Pack_Master!A:A, 0))
   * INDEX(Pack_Master!G:G, MATCH($D492, Pack_Master!A:A, 0))
 ) / INDEX(Config!C:C, MATCH($A492, Config!A:A, 0)),
"")
</f>
        <v>0</v>
      </c>
      <c r="H492" s="17">
        <f t="array" ref="H492">MAX( INDEX(Pack_Master!H:H, MATCH($D492, Pack_Master!A:A, 0)),
      IFERROR(G492, 0) )
</f>
        <v>0</v>
      </c>
      <c r="I492" s="18" t="str">
        <f>IFERROR(__xludf.DUMMYFUNCTION("IFERROR(
 INDEX(
   FILTER(Shipping_Rate_Card!B:F, Shipping_Rate_Card!A:A=$A492),
   MATCH($H492, FILTER(Shipping_Rate_Card!B:B, Shipping_Rate_Card!A:A=$A492), 1),
   IF( INDEX(Config!B:B, MATCH($A492, Config!A:A, 0))=""Local"", 2,
     IF( INDEX(Config!B"&amp;":B, MATCH($A492, Config!A:A, 0))=""Regional"", 3, 4 )
   )
 ),
"""")
"),"")</f>
        <v/>
      </c>
      <c r="J492" s="16">
        <f>IFERROR(__xludf.DUMMYFUNCTION("IFERROR(
 ( E492 * INDEX(FILTER(Pricing_Rules!E:E, Pricing_Rules!A:A=A492, Pricing_Rules!B:B=B492, Pricing_Rules!C:C&lt;=E492, Pricing_Rules!D:D&gt;=E492), 1)
   + INDEX(FILTER(Pricing_Rules!F:F, Pricing_Rules!A:A=A492, Pricing_Rules!B:B=B492, Pricing_Rules!C:C"&amp;"&lt;=E492, Pricing_Rules!D:D&gt;=E492), 1)
 )
 * (1 + IFERROR( INDEX(Config!D:D, MATCH(A492, Config!A:A, 0)), 0 )),
"""")
"),5.8999999999999995)</f>
        <v>5.9</v>
      </c>
      <c r="K492" s="19">
        <f t="shared" si="3"/>
        <v>-5.9</v>
      </c>
      <c r="L492" s="20" t="str">
        <f t="shared" si="4"/>
        <v/>
      </c>
    </row>
    <row r="493" ht="15.75" customHeight="1">
      <c r="A493" s="9" t="s">
        <v>9</v>
      </c>
      <c r="B493" s="12" t="str">
        <f t="array" ref="B493">XLOOKUP(C493, Channel_Listings!C:C, Channel_Listings!B:B)
</f>
        <v>Apparel_Tshirts</v>
      </c>
      <c r="C493" s="22" t="s">
        <v>734</v>
      </c>
      <c r="D493" s="14" t="str">
        <f t="array" ref="D493">XLOOKUP(C493, Channel_Listings!C:C, Channel_Listings!D:D)
</f>
        <v>TSHIRT-COTTONROUND-MELANGGREY-XL</v>
      </c>
      <c r="E493" s="15"/>
      <c r="F493" s="16">
        <f t="array" ref="F493">IFERROR(
  VALUE( INDEX(Product_Master!$I:$I,
               MATCH( INDEX(Pack_Master!$B:$B, MATCH($D493, Pack_Master!$A:$A, 0)),
                      Product_Master!$B:$B, 0)
  )) 
  * VALUE( INDEX(Pack_Master!$C:$C, MATCH($D493, Pack_Master!$A:$A, 0)) )
  + VALUE( INDEX(Pack_Master!$D:$D, MATCH($D493, Pack_Master!$A:$A, 0)) ),
"")
</f>
        <v>0</v>
      </c>
      <c r="G493" s="17">
        <f t="array" ref="G493">IFERROR(
 ( INDEX(Pack_Master!E:E, MATCH($D493, Pack_Master!A:A, 0))
   * INDEX(Pack_Master!F:F, MATCH($D493, Pack_Master!A:A, 0))
   * INDEX(Pack_Master!G:G, MATCH($D493, Pack_Master!A:A, 0))
 ) / INDEX(Config!C:C, MATCH($A493, Config!A:A, 0)),
"")
</f>
        <v>0</v>
      </c>
      <c r="H493" s="17">
        <f t="array" ref="H493">MAX( INDEX(Pack_Master!H:H, MATCH($D493, Pack_Master!A:A, 0)),
      IFERROR(G493, 0) )
</f>
        <v>0</v>
      </c>
      <c r="I493" s="18" t="str">
        <f>IFERROR(__xludf.DUMMYFUNCTION("IFERROR(
 INDEX(
   FILTER(Shipping_Rate_Card!B:F, Shipping_Rate_Card!A:A=$A493),
   MATCH($H493, FILTER(Shipping_Rate_Card!B:B, Shipping_Rate_Card!A:A=$A493), 1),
   IF( INDEX(Config!B:B, MATCH($A493, Config!A:A, 0))=""Local"", 2,
     IF( INDEX(Config!B"&amp;":B, MATCH($A493, Config!A:A, 0))=""Regional"", 3, 4 )
   )
 ),
"""")
"),"")</f>
        <v/>
      </c>
      <c r="J493" s="16">
        <f>IFERROR(__xludf.DUMMYFUNCTION("IFERROR(
 ( E493 * INDEX(FILTER(Pricing_Rules!E:E, Pricing_Rules!A:A=A493, Pricing_Rules!B:B=B493, Pricing_Rules!C:C&lt;=E493, Pricing_Rules!D:D&gt;=E493), 1)
   + INDEX(FILTER(Pricing_Rules!F:F, Pricing_Rules!A:A=A493, Pricing_Rules!B:B=B493, Pricing_Rules!C:C"&amp;"&lt;=E493, Pricing_Rules!D:D&gt;=E493), 1)
 )
 * (1 + IFERROR( INDEX(Config!D:D, MATCH(A493, Config!A:A, 0)), 0 )),
"""")
"),5.8999999999999995)</f>
        <v>5.9</v>
      </c>
      <c r="K493" s="19">
        <f t="shared" si="3"/>
        <v>-5.9</v>
      </c>
      <c r="L493" s="20" t="str">
        <f t="shared" si="4"/>
        <v/>
      </c>
    </row>
    <row r="494" ht="15.75" customHeight="1">
      <c r="A494" s="9" t="s">
        <v>9</v>
      </c>
      <c r="B494" s="12" t="str">
        <f t="array" ref="B494">XLOOKUP(C494, Channel_Listings!C:C, Channel_Listings!B:B)
</f>
        <v>Apparel_Tshirts</v>
      </c>
      <c r="C494" s="22" t="s">
        <v>737</v>
      </c>
      <c r="D494" s="14" t="str">
        <f t="array" ref="D494">XLOOKUP(C494, Channel_Listings!C:C, Channel_Listings!D:D)
</f>
        <v>TSHIRT-COTTONROUND-MELANGGREY-XXL</v>
      </c>
      <c r="E494" s="15"/>
      <c r="F494" s="16">
        <f t="array" ref="F494">IFERROR(
  VALUE( INDEX(Product_Master!$I:$I,
               MATCH( INDEX(Pack_Master!$B:$B, MATCH($D494, Pack_Master!$A:$A, 0)),
                      Product_Master!$B:$B, 0)
  )) 
  * VALUE( INDEX(Pack_Master!$C:$C, MATCH($D494, Pack_Master!$A:$A, 0)) )
  + VALUE( INDEX(Pack_Master!$D:$D, MATCH($D494, Pack_Master!$A:$A, 0)) ),
"")
</f>
        <v>0</v>
      </c>
      <c r="G494" s="17">
        <f t="array" ref="G494">IFERROR(
 ( INDEX(Pack_Master!E:E, MATCH($D494, Pack_Master!A:A, 0))
   * INDEX(Pack_Master!F:F, MATCH($D494, Pack_Master!A:A, 0))
   * INDEX(Pack_Master!G:G, MATCH($D494, Pack_Master!A:A, 0))
 ) / INDEX(Config!C:C, MATCH($A494, Config!A:A, 0)),
"")
</f>
        <v>0</v>
      </c>
      <c r="H494" s="17">
        <f t="array" ref="H494">MAX( INDEX(Pack_Master!H:H, MATCH($D494, Pack_Master!A:A, 0)),
      IFERROR(G494, 0) )
</f>
        <v>0</v>
      </c>
      <c r="I494" s="18" t="str">
        <f>IFERROR(__xludf.DUMMYFUNCTION("IFERROR(
 INDEX(
   FILTER(Shipping_Rate_Card!B:F, Shipping_Rate_Card!A:A=$A494),
   MATCH($H494, FILTER(Shipping_Rate_Card!B:B, Shipping_Rate_Card!A:A=$A494), 1),
   IF( INDEX(Config!B:B, MATCH($A494, Config!A:A, 0))=""Local"", 2,
     IF( INDEX(Config!B"&amp;":B, MATCH($A494, Config!A:A, 0))=""Regional"", 3, 4 )
   )
 ),
"""")
"),"")</f>
        <v/>
      </c>
      <c r="J494" s="16">
        <f>IFERROR(__xludf.DUMMYFUNCTION("IFERROR(
 ( E494 * INDEX(FILTER(Pricing_Rules!E:E, Pricing_Rules!A:A=A494, Pricing_Rules!B:B=B494, Pricing_Rules!C:C&lt;=E494, Pricing_Rules!D:D&gt;=E494), 1)
   + INDEX(FILTER(Pricing_Rules!F:F, Pricing_Rules!A:A=A494, Pricing_Rules!B:B=B494, Pricing_Rules!C:C"&amp;"&lt;=E494, Pricing_Rules!D:D&gt;=E494), 1)
 )
 * (1 + IFERROR( INDEX(Config!D:D, MATCH(A494, Config!A:A, 0)), 0 )),
"""")
"),5.8999999999999995)</f>
        <v>5.9</v>
      </c>
      <c r="K494" s="19">
        <f t="shared" si="3"/>
        <v>-5.9</v>
      </c>
      <c r="L494" s="20" t="str">
        <f t="shared" si="4"/>
        <v/>
      </c>
    </row>
    <row r="495" ht="15.75" customHeight="1">
      <c r="A495" s="9" t="s">
        <v>9</v>
      </c>
      <c r="B495" s="12" t="str">
        <f t="array" ref="B495">XLOOKUP(C495, Channel_Listings!C:C, Channel_Listings!B:B)
</f>
        <v>Apparel_Tshirts</v>
      </c>
      <c r="C495" s="22" t="s">
        <v>740</v>
      </c>
      <c r="D495" s="14" t="str">
        <f t="array" ref="D495">XLOOKUP(C495, Channel_Listings!C:C, Channel_Listings!D:D)
</f>
        <v>TSHIRT-COTTONROUND-MUSTARDYELLOW-2XL</v>
      </c>
      <c r="E495" s="15"/>
      <c r="F495" s="16">
        <f t="array" ref="F495">IFERROR(
  VALUE( INDEX(Product_Master!$I:$I,
               MATCH( INDEX(Pack_Master!$B:$B, MATCH($D495, Pack_Master!$A:$A, 0)),
                      Product_Master!$B:$B, 0)
  )) 
  * VALUE( INDEX(Pack_Master!$C:$C, MATCH($D495, Pack_Master!$A:$A, 0)) )
  + VALUE( INDEX(Pack_Master!$D:$D, MATCH($D495, Pack_Master!$A:$A, 0)) ),
"")
</f>
        <v>0</v>
      </c>
      <c r="G495" s="17">
        <f t="array" ref="G495">IFERROR(
 ( INDEX(Pack_Master!E:E, MATCH($D495, Pack_Master!A:A, 0))
   * INDEX(Pack_Master!F:F, MATCH($D495, Pack_Master!A:A, 0))
   * INDEX(Pack_Master!G:G, MATCH($D495, Pack_Master!A:A, 0))
 ) / INDEX(Config!C:C, MATCH($A495, Config!A:A, 0)),
"")
</f>
        <v>0</v>
      </c>
      <c r="H495" s="17">
        <f t="array" ref="H495">MAX( INDEX(Pack_Master!H:H, MATCH($D495, Pack_Master!A:A, 0)),
      IFERROR(G495, 0) )
</f>
        <v>0</v>
      </c>
      <c r="I495" s="18" t="str">
        <f>IFERROR(__xludf.DUMMYFUNCTION("IFERROR(
 INDEX(
   FILTER(Shipping_Rate_Card!B:F, Shipping_Rate_Card!A:A=$A495),
   MATCH($H495, FILTER(Shipping_Rate_Card!B:B, Shipping_Rate_Card!A:A=$A495), 1),
   IF( INDEX(Config!B:B, MATCH($A495, Config!A:A, 0))=""Local"", 2,
     IF( INDEX(Config!B"&amp;":B, MATCH($A495, Config!A:A, 0))=""Regional"", 3, 4 )
   )
 ),
"""")
"),"")</f>
        <v/>
      </c>
      <c r="J495" s="16">
        <f>IFERROR(__xludf.DUMMYFUNCTION("IFERROR(
 ( E495 * INDEX(FILTER(Pricing_Rules!E:E, Pricing_Rules!A:A=A495, Pricing_Rules!B:B=B495, Pricing_Rules!C:C&lt;=E495, Pricing_Rules!D:D&gt;=E495), 1)
   + INDEX(FILTER(Pricing_Rules!F:F, Pricing_Rules!A:A=A495, Pricing_Rules!B:B=B495, Pricing_Rules!C:C"&amp;"&lt;=E495, Pricing_Rules!D:D&gt;=E495), 1)
 )
 * (1 + IFERROR( INDEX(Config!D:D, MATCH(A495, Config!A:A, 0)), 0 )),
"""")
"),5.8999999999999995)</f>
        <v>5.9</v>
      </c>
      <c r="K495" s="19">
        <f t="shared" si="3"/>
        <v>-5.9</v>
      </c>
      <c r="L495" s="20" t="str">
        <f t="shared" si="4"/>
        <v/>
      </c>
    </row>
    <row r="496" ht="15.75" customHeight="1">
      <c r="A496" s="9" t="s">
        <v>9</v>
      </c>
      <c r="B496" s="12" t="str">
        <f t="array" ref="B496">XLOOKUP(C496, Channel_Listings!C:C, Channel_Listings!B:B)
</f>
        <v>Apparel_Tshirts</v>
      </c>
      <c r="C496" s="22" t="s">
        <v>742</v>
      </c>
      <c r="D496" s="14" t="str">
        <f t="array" ref="D496">XLOOKUP(C496, Channel_Listings!C:C, Channel_Listings!D:D)
</f>
        <v>TSHIRT-COTTONROUND-MUSTARDYELLOW-L</v>
      </c>
      <c r="E496" s="15"/>
      <c r="F496" s="16">
        <f t="array" ref="F496">IFERROR(
  VALUE( INDEX(Product_Master!$I:$I,
               MATCH( INDEX(Pack_Master!$B:$B, MATCH($D496, Pack_Master!$A:$A, 0)),
                      Product_Master!$B:$B, 0)
  )) 
  * VALUE( INDEX(Pack_Master!$C:$C, MATCH($D496, Pack_Master!$A:$A, 0)) )
  + VALUE( INDEX(Pack_Master!$D:$D, MATCH($D496, Pack_Master!$A:$A, 0)) ),
"")
</f>
        <v>0</v>
      </c>
      <c r="G496" s="17">
        <f t="array" ref="G496">IFERROR(
 ( INDEX(Pack_Master!E:E, MATCH($D496, Pack_Master!A:A, 0))
   * INDEX(Pack_Master!F:F, MATCH($D496, Pack_Master!A:A, 0))
   * INDEX(Pack_Master!G:G, MATCH($D496, Pack_Master!A:A, 0))
 ) / INDEX(Config!C:C, MATCH($A496, Config!A:A, 0)),
"")
</f>
        <v>0</v>
      </c>
      <c r="H496" s="17">
        <f t="array" ref="H496">MAX( INDEX(Pack_Master!H:H, MATCH($D496, Pack_Master!A:A, 0)),
      IFERROR(G496, 0) )
</f>
        <v>0</v>
      </c>
      <c r="I496" s="18" t="str">
        <f>IFERROR(__xludf.DUMMYFUNCTION("IFERROR(
 INDEX(
   FILTER(Shipping_Rate_Card!B:F, Shipping_Rate_Card!A:A=$A496),
   MATCH($H496, FILTER(Shipping_Rate_Card!B:B, Shipping_Rate_Card!A:A=$A496), 1),
   IF( INDEX(Config!B:B, MATCH($A496, Config!A:A, 0))=""Local"", 2,
     IF( INDEX(Config!B"&amp;":B, MATCH($A496, Config!A:A, 0))=""Regional"", 3, 4 )
   )
 ),
"""")
"),"")</f>
        <v/>
      </c>
      <c r="J496" s="16">
        <f>IFERROR(__xludf.DUMMYFUNCTION("IFERROR(
 ( E496 * INDEX(FILTER(Pricing_Rules!E:E, Pricing_Rules!A:A=A496, Pricing_Rules!B:B=B496, Pricing_Rules!C:C&lt;=E496, Pricing_Rules!D:D&gt;=E496), 1)
   + INDEX(FILTER(Pricing_Rules!F:F, Pricing_Rules!A:A=A496, Pricing_Rules!B:B=B496, Pricing_Rules!C:C"&amp;"&lt;=E496, Pricing_Rules!D:D&gt;=E496), 1)
 )
 * (1 + IFERROR( INDEX(Config!D:D, MATCH(A496, Config!A:A, 0)), 0 )),
"""")
"),5.8999999999999995)</f>
        <v>5.9</v>
      </c>
      <c r="K496" s="19">
        <f t="shared" si="3"/>
        <v>-5.9</v>
      </c>
      <c r="L496" s="20" t="str">
        <f t="shared" si="4"/>
        <v/>
      </c>
    </row>
    <row r="497" ht="15.75" customHeight="1">
      <c r="A497" s="9" t="s">
        <v>9</v>
      </c>
      <c r="B497" s="12" t="str">
        <f t="array" ref="B497">XLOOKUP(C497, Channel_Listings!C:C, Channel_Listings!B:B)
</f>
        <v>Apparel_Tshirts</v>
      </c>
      <c r="C497" s="22" t="s">
        <v>744</v>
      </c>
      <c r="D497" s="14" t="str">
        <f t="array" ref="D497">XLOOKUP(C497, Channel_Listings!C:C, Channel_Listings!D:D)
</f>
        <v>TSHIRT-COTTONROUND-MUSTARDYELLOW-M</v>
      </c>
      <c r="E497" s="15"/>
      <c r="F497" s="16">
        <f t="array" ref="F497">IFERROR(
  VALUE( INDEX(Product_Master!$I:$I,
               MATCH( INDEX(Pack_Master!$B:$B, MATCH($D497, Pack_Master!$A:$A, 0)),
                      Product_Master!$B:$B, 0)
  )) 
  * VALUE( INDEX(Pack_Master!$C:$C, MATCH($D497, Pack_Master!$A:$A, 0)) )
  + VALUE( INDEX(Pack_Master!$D:$D, MATCH($D497, Pack_Master!$A:$A, 0)) ),
"")
</f>
        <v>0</v>
      </c>
      <c r="G497" s="17">
        <f t="array" ref="G497">IFERROR(
 ( INDEX(Pack_Master!E:E, MATCH($D497, Pack_Master!A:A, 0))
   * INDEX(Pack_Master!F:F, MATCH($D497, Pack_Master!A:A, 0))
   * INDEX(Pack_Master!G:G, MATCH($D497, Pack_Master!A:A, 0))
 ) / INDEX(Config!C:C, MATCH($A497, Config!A:A, 0)),
"")
</f>
        <v>0</v>
      </c>
      <c r="H497" s="17">
        <f t="array" ref="H497">MAX( INDEX(Pack_Master!H:H, MATCH($D497, Pack_Master!A:A, 0)),
      IFERROR(G497, 0) )
</f>
        <v>0</v>
      </c>
      <c r="I497" s="18" t="str">
        <f>IFERROR(__xludf.DUMMYFUNCTION("IFERROR(
 INDEX(
   FILTER(Shipping_Rate_Card!B:F, Shipping_Rate_Card!A:A=$A497),
   MATCH($H497, FILTER(Shipping_Rate_Card!B:B, Shipping_Rate_Card!A:A=$A497), 1),
   IF( INDEX(Config!B:B, MATCH($A497, Config!A:A, 0))=""Local"", 2,
     IF( INDEX(Config!B"&amp;":B, MATCH($A497, Config!A:A, 0))=""Regional"", 3, 4 )
   )
 ),
"""")
"),"")</f>
        <v/>
      </c>
      <c r="J497" s="16">
        <f>IFERROR(__xludf.DUMMYFUNCTION("IFERROR(
 ( E497 * INDEX(FILTER(Pricing_Rules!E:E, Pricing_Rules!A:A=A497, Pricing_Rules!B:B=B497, Pricing_Rules!C:C&lt;=E497, Pricing_Rules!D:D&gt;=E497), 1)
   + INDEX(FILTER(Pricing_Rules!F:F, Pricing_Rules!A:A=A497, Pricing_Rules!B:B=B497, Pricing_Rules!C:C"&amp;"&lt;=E497, Pricing_Rules!D:D&gt;=E497), 1)
 )
 * (1 + IFERROR( INDEX(Config!D:D, MATCH(A497, Config!A:A, 0)), 0 )),
"""")
"),5.8999999999999995)</f>
        <v>5.9</v>
      </c>
      <c r="K497" s="19">
        <f t="shared" si="3"/>
        <v>-5.9</v>
      </c>
      <c r="L497" s="20" t="str">
        <f t="shared" si="4"/>
        <v/>
      </c>
    </row>
    <row r="498" ht="15.75" customHeight="1">
      <c r="A498" s="9" t="s">
        <v>9</v>
      </c>
      <c r="B498" s="12" t="str">
        <f t="array" ref="B498">XLOOKUP(C498, Channel_Listings!C:C, Channel_Listings!B:B)
</f>
        <v>Apparel_Tshirts</v>
      </c>
      <c r="C498" s="22" t="s">
        <v>746</v>
      </c>
      <c r="D498" s="14" t="str">
        <f t="array" ref="D498">XLOOKUP(C498, Channel_Listings!C:C, Channel_Listings!D:D)
</f>
        <v>TSHIRT-COTTONROUND-MUSTARDYELLOW-XL</v>
      </c>
      <c r="E498" s="15"/>
      <c r="F498" s="16">
        <f t="array" ref="F498">IFERROR(
  VALUE( INDEX(Product_Master!$I:$I,
               MATCH( INDEX(Pack_Master!$B:$B, MATCH($D498, Pack_Master!$A:$A, 0)),
                      Product_Master!$B:$B, 0)
  )) 
  * VALUE( INDEX(Pack_Master!$C:$C, MATCH($D498, Pack_Master!$A:$A, 0)) )
  + VALUE( INDEX(Pack_Master!$D:$D, MATCH($D498, Pack_Master!$A:$A, 0)) ),
"")
</f>
        <v>0</v>
      </c>
      <c r="G498" s="17">
        <f t="array" ref="G498">IFERROR(
 ( INDEX(Pack_Master!E:E, MATCH($D498, Pack_Master!A:A, 0))
   * INDEX(Pack_Master!F:F, MATCH($D498, Pack_Master!A:A, 0))
   * INDEX(Pack_Master!G:G, MATCH($D498, Pack_Master!A:A, 0))
 ) / INDEX(Config!C:C, MATCH($A498, Config!A:A, 0)),
"")
</f>
        <v>0</v>
      </c>
      <c r="H498" s="17">
        <f t="array" ref="H498">MAX( INDEX(Pack_Master!H:H, MATCH($D498, Pack_Master!A:A, 0)),
      IFERROR(G498, 0) )
</f>
        <v>0</v>
      </c>
      <c r="I498" s="18" t="str">
        <f>IFERROR(__xludf.DUMMYFUNCTION("IFERROR(
 INDEX(
   FILTER(Shipping_Rate_Card!B:F, Shipping_Rate_Card!A:A=$A498),
   MATCH($H498, FILTER(Shipping_Rate_Card!B:B, Shipping_Rate_Card!A:A=$A498), 1),
   IF( INDEX(Config!B:B, MATCH($A498, Config!A:A, 0))=""Local"", 2,
     IF( INDEX(Config!B"&amp;":B, MATCH($A498, Config!A:A, 0))=""Regional"", 3, 4 )
   )
 ),
"""")
"),"")</f>
        <v/>
      </c>
      <c r="J498" s="16">
        <f>IFERROR(__xludf.DUMMYFUNCTION("IFERROR(
 ( E498 * INDEX(FILTER(Pricing_Rules!E:E, Pricing_Rules!A:A=A498, Pricing_Rules!B:B=B498, Pricing_Rules!C:C&lt;=E498, Pricing_Rules!D:D&gt;=E498), 1)
   + INDEX(FILTER(Pricing_Rules!F:F, Pricing_Rules!A:A=A498, Pricing_Rules!B:B=B498, Pricing_Rules!C:C"&amp;"&lt;=E498, Pricing_Rules!D:D&gt;=E498), 1)
 )
 * (1 + IFERROR( INDEX(Config!D:D, MATCH(A498, Config!A:A, 0)), 0 )),
"""")
"),5.8999999999999995)</f>
        <v>5.9</v>
      </c>
      <c r="K498" s="19">
        <f t="shared" si="3"/>
        <v>-5.9</v>
      </c>
      <c r="L498" s="20" t="str">
        <f t="shared" si="4"/>
        <v/>
      </c>
    </row>
    <row r="499" ht="15.75" customHeight="1">
      <c r="A499" s="9" t="s">
        <v>9</v>
      </c>
      <c r="B499" s="12" t="str">
        <f t="array" ref="B499">XLOOKUP(C499, Channel_Listings!C:C, Channel_Listings!B:B)
</f>
        <v>Apparel_Tshirts</v>
      </c>
      <c r="C499" s="22" t="s">
        <v>748</v>
      </c>
      <c r="D499" s="14" t="str">
        <f t="array" ref="D499">XLOOKUP(C499, Channel_Listings!C:C, Channel_Listings!D:D)
</f>
        <v>TSHIRT-COTTONROUND-NAVYBLUE-2XL</v>
      </c>
      <c r="E499" s="15"/>
      <c r="F499" s="16">
        <f t="array" ref="F499">IFERROR(
  VALUE( INDEX(Product_Master!$I:$I,
               MATCH( INDEX(Pack_Master!$B:$B, MATCH($D499, Pack_Master!$A:$A, 0)),
                      Product_Master!$B:$B, 0)
  )) 
  * VALUE( INDEX(Pack_Master!$C:$C, MATCH($D499, Pack_Master!$A:$A, 0)) )
  + VALUE( INDEX(Pack_Master!$D:$D, MATCH($D499, Pack_Master!$A:$A, 0)) ),
"")
</f>
        <v>0</v>
      </c>
      <c r="G499" s="17">
        <f t="array" ref="G499">IFERROR(
 ( INDEX(Pack_Master!E:E, MATCH($D499, Pack_Master!A:A, 0))
   * INDEX(Pack_Master!F:F, MATCH($D499, Pack_Master!A:A, 0))
   * INDEX(Pack_Master!G:G, MATCH($D499, Pack_Master!A:A, 0))
 ) / INDEX(Config!C:C, MATCH($A499, Config!A:A, 0)),
"")
</f>
        <v>0</v>
      </c>
      <c r="H499" s="17">
        <f t="array" ref="H499">MAX( INDEX(Pack_Master!H:H, MATCH($D499, Pack_Master!A:A, 0)),
      IFERROR(G499, 0) )
</f>
        <v>0</v>
      </c>
      <c r="I499" s="18" t="str">
        <f>IFERROR(__xludf.DUMMYFUNCTION("IFERROR(
 INDEX(
   FILTER(Shipping_Rate_Card!B:F, Shipping_Rate_Card!A:A=$A499),
   MATCH($H499, FILTER(Shipping_Rate_Card!B:B, Shipping_Rate_Card!A:A=$A499), 1),
   IF( INDEX(Config!B:B, MATCH($A499, Config!A:A, 0))=""Local"", 2,
     IF( INDEX(Config!B"&amp;":B, MATCH($A499, Config!A:A, 0))=""Regional"", 3, 4 )
   )
 ),
"""")
"),"")</f>
        <v/>
      </c>
      <c r="J499" s="16">
        <f>IFERROR(__xludf.DUMMYFUNCTION("IFERROR(
 ( E499 * INDEX(FILTER(Pricing_Rules!E:E, Pricing_Rules!A:A=A499, Pricing_Rules!B:B=B499, Pricing_Rules!C:C&lt;=E499, Pricing_Rules!D:D&gt;=E499), 1)
   + INDEX(FILTER(Pricing_Rules!F:F, Pricing_Rules!A:A=A499, Pricing_Rules!B:B=B499, Pricing_Rules!C:C"&amp;"&lt;=E499, Pricing_Rules!D:D&gt;=E499), 1)
 )
 * (1 + IFERROR( INDEX(Config!D:D, MATCH(A499, Config!A:A, 0)), 0 )),
"""")
"),5.8999999999999995)</f>
        <v>5.9</v>
      </c>
      <c r="K499" s="19">
        <f t="shared" si="3"/>
        <v>-5.9</v>
      </c>
      <c r="L499" s="20" t="str">
        <f t="shared" si="4"/>
        <v/>
      </c>
    </row>
    <row r="500" ht="15.75" customHeight="1">
      <c r="A500" s="9" t="s">
        <v>9</v>
      </c>
      <c r="B500" s="12" t="str">
        <f t="array" ref="B500">XLOOKUP(C500, Channel_Listings!C:C, Channel_Listings!B:B)
</f>
        <v>Apparel_Tshirts</v>
      </c>
      <c r="C500" s="22" t="s">
        <v>750</v>
      </c>
      <c r="D500" s="14" t="str">
        <f t="array" ref="D500">XLOOKUP(C500, Channel_Listings!C:C, Channel_Listings!D:D)
</f>
        <v>TSHIRT-COTTONROUND-NAVYBLUE-L</v>
      </c>
      <c r="E500" s="15"/>
      <c r="F500" s="16">
        <f t="array" ref="F500">IFERROR(
  VALUE( INDEX(Product_Master!$I:$I,
               MATCH( INDEX(Pack_Master!$B:$B, MATCH($D500, Pack_Master!$A:$A, 0)),
                      Product_Master!$B:$B, 0)
  )) 
  * VALUE( INDEX(Pack_Master!$C:$C, MATCH($D500, Pack_Master!$A:$A, 0)) )
  + VALUE( INDEX(Pack_Master!$D:$D, MATCH($D500, Pack_Master!$A:$A, 0)) ),
"")
</f>
        <v>0</v>
      </c>
      <c r="G500" s="17">
        <f t="array" ref="G500">IFERROR(
 ( INDEX(Pack_Master!E:E, MATCH($D500, Pack_Master!A:A, 0))
   * INDEX(Pack_Master!F:F, MATCH($D500, Pack_Master!A:A, 0))
   * INDEX(Pack_Master!G:G, MATCH($D500, Pack_Master!A:A, 0))
 ) / INDEX(Config!C:C, MATCH($A500, Config!A:A, 0)),
"")
</f>
        <v>0</v>
      </c>
      <c r="H500" s="17">
        <f t="array" ref="H500">MAX( INDEX(Pack_Master!H:H, MATCH($D500, Pack_Master!A:A, 0)),
      IFERROR(G500, 0) )
</f>
        <v>0</v>
      </c>
      <c r="I500" s="18" t="str">
        <f>IFERROR(__xludf.DUMMYFUNCTION("IFERROR(
 INDEX(
   FILTER(Shipping_Rate_Card!B:F, Shipping_Rate_Card!A:A=$A500),
   MATCH($H500, FILTER(Shipping_Rate_Card!B:B, Shipping_Rate_Card!A:A=$A500), 1),
   IF( INDEX(Config!B:B, MATCH($A500, Config!A:A, 0))=""Local"", 2,
     IF( INDEX(Config!B"&amp;":B, MATCH($A500, Config!A:A, 0))=""Regional"", 3, 4 )
   )
 ),
"""")
"),"")</f>
        <v/>
      </c>
      <c r="J500" s="16">
        <f>IFERROR(__xludf.DUMMYFUNCTION("IFERROR(
 ( E500 * INDEX(FILTER(Pricing_Rules!E:E, Pricing_Rules!A:A=A500, Pricing_Rules!B:B=B500, Pricing_Rules!C:C&lt;=E500, Pricing_Rules!D:D&gt;=E500), 1)
   + INDEX(FILTER(Pricing_Rules!F:F, Pricing_Rules!A:A=A500, Pricing_Rules!B:B=B500, Pricing_Rules!C:C"&amp;"&lt;=E500, Pricing_Rules!D:D&gt;=E500), 1)
 )
 * (1 + IFERROR( INDEX(Config!D:D, MATCH(A500, Config!A:A, 0)), 0 )),
"""")
"),5.8999999999999995)</f>
        <v>5.9</v>
      </c>
      <c r="K500" s="19">
        <f t="shared" si="3"/>
        <v>-5.9</v>
      </c>
      <c r="L500" s="20" t="str">
        <f t="shared" si="4"/>
        <v/>
      </c>
    </row>
    <row r="501" ht="15.75" customHeight="1">
      <c r="A501" s="9" t="s">
        <v>9</v>
      </c>
      <c r="B501" s="12" t="str">
        <f t="array" ref="B501">XLOOKUP(C501, Channel_Listings!C:C, Channel_Listings!B:B)
</f>
        <v>Apparel_Tshirts</v>
      </c>
      <c r="C501" s="22" t="s">
        <v>752</v>
      </c>
      <c r="D501" s="14" t="str">
        <f t="array" ref="D501">XLOOKUP(C501, Channel_Listings!C:C, Channel_Listings!D:D)
</f>
        <v>TSHIRT-COTTONROUND-NAVYBLUE-M</v>
      </c>
      <c r="E501" s="15"/>
      <c r="F501" s="16">
        <f t="array" ref="F501">IFERROR(
  VALUE( INDEX(Product_Master!$I:$I,
               MATCH( INDEX(Pack_Master!$B:$B, MATCH($D501, Pack_Master!$A:$A, 0)),
                      Product_Master!$B:$B, 0)
  )) 
  * VALUE( INDEX(Pack_Master!$C:$C, MATCH($D501, Pack_Master!$A:$A, 0)) )
  + VALUE( INDEX(Pack_Master!$D:$D, MATCH($D501, Pack_Master!$A:$A, 0)) ),
"")
</f>
        <v>0</v>
      </c>
      <c r="G501" s="17">
        <f t="array" ref="G501">IFERROR(
 ( INDEX(Pack_Master!E:E, MATCH($D501, Pack_Master!A:A, 0))
   * INDEX(Pack_Master!F:F, MATCH($D501, Pack_Master!A:A, 0))
   * INDEX(Pack_Master!G:G, MATCH($D501, Pack_Master!A:A, 0))
 ) / INDEX(Config!C:C, MATCH($A501, Config!A:A, 0)),
"")
</f>
        <v>0</v>
      </c>
      <c r="H501" s="17">
        <f t="array" ref="H501">MAX( INDEX(Pack_Master!H:H, MATCH($D501, Pack_Master!A:A, 0)),
      IFERROR(G501, 0) )
</f>
        <v>0</v>
      </c>
      <c r="I501" s="18" t="str">
        <f>IFERROR(__xludf.DUMMYFUNCTION("IFERROR(
 INDEX(
   FILTER(Shipping_Rate_Card!B:F, Shipping_Rate_Card!A:A=$A501),
   MATCH($H501, FILTER(Shipping_Rate_Card!B:B, Shipping_Rate_Card!A:A=$A501), 1),
   IF( INDEX(Config!B:B, MATCH($A501, Config!A:A, 0))=""Local"", 2,
     IF( INDEX(Config!B"&amp;":B, MATCH($A501, Config!A:A, 0))=""Regional"", 3, 4 )
   )
 ),
"""")
"),"")</f>
        <v/>
      </c>
      <c r="J501" s="16">
        <f>IFERROR(__xludf.DUMMYFUNCTION("IFERROR(
 ( E501 * INDEX(FILTER(Pricing_Rules!E:E, Pricing_Rules!A:A=A501, Pricing_Rules!B:B=B501, Pricing_Rules!C:C&lt;=E501, Pricing_Rules!D:D&gt;=E501), 1)
   + INDEX(FILTER(Pricing_Rules!F:F, Pricing_Rules!A:A=A501, Pricing_Rules!B:B=B501, Pricing_Rules!C:C"&amp;"&lt;=E501, Pricing_Rules!D:D&gt;=E501), 1)
 )
 * (1 + IFERROR( INDEX(Config!D:D, MATCH(A501, Config!A:A, 0)), 0 )),
"""")
"),5.8999999999999995)</f>
        <v>5.9</v>
      </c>
      <c r="K501" s="19">
        <f t="shared" si="3"/>
        <v>-5.9</v>
      </c>
      <c r="L501" s="20" t="str">
        <f t="shared" si="4"/>
        <v/>
      </c>
    </row>
    <row r="502" ht="15.75" customHeight="1">
      <c r="A502" s="9" t="s">
        <v>9</v>
      </c>
      <c r="B502" s="12" t="str">
        <f t="array" ref="B502">XLOOKUP(C502, Channel_Listings!C:C, Channel_Listings!B:B)
</f>
        <v>Apparel_Tshirts</v>
      </c>
      <c r="C502" s="22" t="s">
        <v>754</v>
      </c>
      <c r="D502" s="14" t="str">
        <f t="array" ref="D502">XLOOKUP(C502, Channel_Listings!C:C, Channel_Listings!D:D)
</f>
        <v>TSHIRT-COTTONROUND-NAVYBLUE-XL</v>
      </c>
      <c r="E502" s="15"/>
      <c r="F502" s="16">
        <f t="array" ref="F502">IFERROR(
  VALUE( INDEX(Product_Master!$I:$I,
               MATCH( INDEX(Pack_Master!$B:$B, MATCH($D502, Pack_Master!$A:$A, 0)),
                      Product_Master!$B:$B, 0)
  )) 
  * VALUE( INDEX(Pack_Master!$C:$C, MATCH($D502, Pack_Master!$A:$A, 0)) )
  + VALUE( INDEX(Pack_Master!$D:$D, MATCH($D502, Pack_Master!$A:$A, 0)) ),
"")
</f>
        <v>0</v>
      </c>
      <c r="G502" s="17">
        <f t="array" ref="G502">IFERROR(
 ( INDEX(Pack_Master!E:E, MATCH($D502, Pack_Master!A:A, 0))
   * INDEX(Pack_Master!F:F, MATCH($D502, Pack_Master!A:A, 0))
   * INDEX(Pack_Master!G:G, MATCH($D502, Pack_Master!A:A, 0))
 ) / INDEX(Config!C:C, MATCH($A502, Config!A:A, 0)),
"")
</f>
        <v>0</v>
      </c>
      <c r="H502" s="17">
        <f t="array" ref="H502">MAX( INDEX(Pack_Master!H:H, MATCH($D502, Pack_Master!A:A, 0)),
      IFERROR(G502, 0) )
</f>
        <v>0</v>
      </c>
      <c r="I502" s="18" t="str">
        <f>IFERROR(__xludf.DUMMYFUNCTION("IFERROR(
 INDEX(
   FILTER(Shipping_Rate_Card!B:F, Shipping_Rate_Card!A:A=$A502),
   MATCH($H502, FILTER(Shipping_Rate_Card!B:B, Shipping_Rate_Card!A:A=$A502), 1),
   IF( INDEX(Config!B:B, MATCH($A502, Config!A:A, 0))=""Local"", 2,
     IF( INDEX(Config!B"&amp;":B, MATCH($A502, Config!A:A, 0))=""Regional"", 3, 4 )
   )
 ),
"""")
"),"")</f>
        <v/>
      </c>
      <c r="J502" s="16">
        <f>IFERROR(__xludf.DUMMYFUNCTION("IFERROR(
 ( E502 * INDEX(FILTER(Pricing_Rules!E:E, Pricing_Rules!A:A=A502, Pricing_Rules!B:B=B502, Pricing_Rules!C:C&lt;=E502, Pricing_Rules!D:D&gt;=E502), 1)
   + INDEX(FILTER(Pricing_Rules!F:F, Pricing_Rules!A:A=A502, Pricing_Rules!B:B=B502, Pricing_Rules!C:C"&amp;"&lt;=E502, Pricing_Rules!D:D&gt;=E502), 1)
 )
 * (1 + IFERROR( INDEX(Config!D:D, MATCH(A502, Config!A:A, 0)), 0 )),
"""")
"),5.8999999999999995)</f>
        <v>5.9</v>
      </c>
      <c r="K502" s="19">
        <f t="shared" si="3"/>
        <v>-5.9</v>
      </c>
      <c r="L502" s="20" t="str">
        <f t="shared" si="4"/>
        <v/>
      </c>
    </row>
    <row r="503" ht="15.75" customHeight="1">
      <c r="A503" s="9" t="s">
        <v>9</v>
      </c>
      <c r="B503" s="12" t="str">
        <f t="array" ref="B503">XLOOKUP(C503, Channel_Listings!C:C, Channel_Listings!B:B)
</f>
        <v>Apparel_Tshirts</v>
      </c>
      <c r="C503" s="22" t="s">
        <v>756</v>
      </c>
      <c r="D503" s="14" t="str">
        <f t="array" ref="D503">XLOOKUP(C503, Channel_Listings!C:C, Channel_Listings!D:D)
</f>
        <v>TSHIRT-COTTONROUND-OCCEANBLUE-L</v>
      </c>
      <c r="E503" s="15"/>
      <c r="F503" s="16">
        <f t="array" ref="F503">IFERROR(
  VALUE( INDEX(Product_Master!$I:$I,
               MATCH( INDEX(Pack_Master!$B:$B, MATCH($D503, Pack_Master!$A:$A, 0)),
                      Product_Master!$B:$B, 0)
  )) 
  * VALUE( INDEX(Pack_Master!$C:$C, MATCH($D503, Pack_Master!$A:$A, 0)) )
  + VALUE( INDEX(Pack_Master!$D:$D, MATCH($D503, Pack_Master!$A:$A, 0)) ),
"")
</f>
        <v>0</v>
      </c>
      <c r="G503" s="17">
        <f t="array" ref="G503">IFERROR(
 ( INDEX(Pack_Master!E:E, MATCH($D503, Pack_Master!A:A, 0))
   * INDEX(Pack_Master!F:F, MATCH($D503, Pack_Master!A:A, 0))
   * INDEX(Pack_Master!G:G, MATCH($D503, Pack_Master!A:A, 0))
 ) / INDEX(Config!C:C, MATCH($A503, Config!A:A, 0)),
"")
</f>
        <v>0</v>
      </c>
      <c r="H503" s="17">
        <f t="array" ref="H503">MAX( INDEX(Pack_Master!H:H, MATCH($D503, Pack_Master!A:A, 0)),
      IFERROR(G503, 0) )
</f>
        <v>0</v>
      </c>
      <c r="I503" s="18" t="str">
        <f>IFERROR(__xludf.DUMMYFUNCTION("IFERROR(
 INDEX(
   FILTER(Shipping_Rate_Card!B:F, Shipping_Rate_Card!A:A=$A503),
   MATCH($H503, FILTER(Shipping_Rate_Card!B:B, Shipping_Rate_Card!A:A=$A503), 1),
   IF( INDEX(Config!B:B, MATCH($A503, Config!A:A, 0))=""Local"", 2,
     IF( INDEX(Config!B"&amp;":B, MATCH($A503, Config!A:A, 0))=""Regional"", 3, 4 )
   )
 ),
"""")
"),"")</f>
        <v/>
      </c>
      <c r="J503" s="16">
        <f>IFERROR(__xludf.DUMMYFUNCTION("IFERROR(
 ( E503 * INDEX(FILTER(Pricing_Rules!E:E, Pricing_Rules!A:A=A503, Pricing_Rules!B:B=B503, Pricing_Rules!C:C&lt;=E503, Pricing_Rules!D:D&gt;=E503), 1)
   + INDEX(FILTER(Pricing_Rules!F:F, Pricing_Rules!A:A=A503, Pricing_Rules!B:B=B503, Pricing_Rules!C:C"&amp;"&lt;=E503, Pricing_Rules!D:D&gt;=E503), 1)
 )
 * (1 + IFERROR( INDEX(Config!D:D, MATCH(A503, Config!A:A, 0)), 0 )),
"""")
"),5.8999999999999995)</f>
        <v>5.9</v>
      </c>
      <c r="K503" s="19">
        <f t="shared" si="3"/>
        <v>-5.9</v>
      </c>
      <c r="L503" s="20" t="str">
        <f t="shared" si="4"/>
        <v/>
      </c>
    </row>
    <row r="504" ht="15.75" customHeight="1">
      <c r="A504" s="9" t="s">
        <v>9</v>
      </c>
      <c r="B504" s="12" t="str">
        <f t="array" ref="B504">XLOOKUP(C504, Channel_Listings!C:C, Channel_Listings!B:B)
</f>
        <v>Apparel_Tshirts</v>
      </c>
      <c r="C504" s="22" t="s">
        <v>759</v>
      </c>
      <c r="D504" s="14" t="str">
        <f t="array" ref="D504">XLOOKUP(C504, Channel_Listings!C:C, Channel_Listings!D:D)
</f>
        <v>TSHIRT-COTTONROUND-OCCEANBLUE-M</v>
      </c>
      <c r="E504" s="15"/>
      <c r="F504" s="16">
        <f t="array" ref="F504">IFERROR(
  VALUE( INDEX(Product_Master!$I:$I,
               MATCH( INDEX(Pack_Master!$B:$B, MATCH($D504, Pack_Master!$A:$A, 0)),
                      Product_Master!$B:$B, 0)
  )) 
  * VALUE( INDEX(Pack_Master!$C:$C, MATCH($D504, Pack_Master!$A:$A, 0)) )
  + VALUE( INDEX(Pack_Master!$D:$D, MATCH($D504, Pack_Master!$A:$A, 0)) ),
"")
</f>
        <v>0</v>
      </c>
      <c r="G504" s="17">
        <f t="array" ref="G504">IFERROR(
 ( INDEX(Pack_Master!E:E, MATCH($D504, Pack_Master!A:A, 0))
   * INDEX(Pack_Master!F:F, MATCH($D504, Pack_Master!A:A, 0))
   * INDEX(Pack_Master!G:G, MATCH($D504, Pack_Master!A:A, 0))
 ) / INDEX(Config!C:C, MATCH($A504, Config!A:A, 0)),
"")
</f>
        <v>0</v>
      </c>
      <c r="H504" s="17">
        <f t="array" ref="H504">MAX( INDEX(Pack_Master!H:H, MATCH($D504, Pack_Master!A:A, 0)),
      IFERROR(G504, 0) )
</f>
        <v>0</v>
      </c>
      <c r="I504" s="18" t="str">
        <f>IFERROR(__xludf.DUMMYFUNCTION("IFERROR(
 INDEX(
   FILTER(Shipping_Rate_Card!B:F, Shipping_Rate_Card!A:A=$A504),
   MATCH($H504, FILTER(Shipping_Rate_Card!B:B, Shipping_Rate_Card!A:A=$A504), 1),
   IF( INDEX(Config!B:B, MATCH($A504, Config!A:A, 0))=""Local"", 2,
     IF( INDEX(Config!B"&amp;":B, MATCH($A504, Config!A:A, 0))=""Regional"", 3, 4 )
   )
 ),
"""")
"),"")</f>
        <v/>
      </c>
      <c r="J504" s="16">
        <f>IFERROR(__xludf.DUMMYFUNCTION("IFERROR(
 ( E504 * INDEX(FILTER(Pricing_Rules!E:E, Pricing_Rules!A:A=A504, Pricing_Rules!B:B=B504, Pricing_Rules!C:C&lt;=E504, Pricing_Rules!D:D&gt;=E504), 1)
   + INDEX(FILTER(Pricing_Rules!F:F, Pricing_Rules!A:A=A504, Pricing_Rules!B:B=B504, Pricing_Rules!C:C"&amp;"&lt;=E504, Pricing_Rules!D:D&gt;=E504), 1)
 )
 * (1 + IFERROR( INDEX(Config!D:D, MATCH(A504, Config!A:A, 0)), 0 )),
"""")
"),5.8999999999999995)</f>
        <v>5.9</v>
      </c>
      <c r="K504" s="19">
        <f t="shared" si="3"/>
        <v>-5.9</v>
      </c>
      <c r="L504" s="20" t="str">
        <f t="shared" si="4"/>
        <v/>
      </c>
    </row>
    <row r="505" ht="15.75" customHeight="1">
      <c r="A505" s="9" t="s">
        <v>9</v>
      </c>
      <c r="B505" s="12" t="str">
        <f t="array" ref="B505">XLOOKUP(C505, Channel_Listings!C:C, Channel_Listings!B:B)
</f>
        <v>Apparel_Tshirts</v>
      </c>
      <c r="C505" s="22" t="s">
        <v>762</v>
      </c>
      <c r="D505" s="14" t="str">
        <f t="array" ref="D505">XLOOKUP(C505, Channel_Listings!C:C, Channel_Listings!D:D)
</f>
        <v>TSHIRT-COTTONROUND-OCCEANBLUE-XL</v>
      </c>
      <c r="E505" s="15"/>
      <c r="F505" s="16">
        <f t="array" ref="F505">IFERROR(
  VALUE( INDEX(Product_Master!$I:$I,
               MATCH( INDEX(Pack_Master!$B:$B, MATCH($D505, Pack_Master!$A:$A, 0)),
                      Product_Master!$B:$B, 0)
  )) 
  * VALUE( INDEX(Pack_Master!$C:$C, MATCH($D505, Pack_Master!$A:$A, 0)) )
  + VALUE( INDEX(Pack_Master!$D:$D, MATCH($D505, Pack_Master!$A:$A, 0)) ),
"")
</f>
        <v>0</v>
      </c>
      <c r="G505" s="17">
        <f t="array" ref="G505">IFERROR(
 ( INDEX(Pack_Master!E:E, MATCH($D505, Pack_Master!A:A, 0))
   * INDEX(Pack_Master!F:F, MATCH($D505, Pack_Master!A:A, 0))
   * INDEX(Pack_Master!G:G, MATCH($D505, Pack_Master!A:A, 0))
 ) / INDEX(Config!C:C, MATCH($A505, Config!A:A, 0)),
"")
</f>
        <v>0</v>
      </c>
      <c r="H505" s="17">
        <f t="array" ref="H505">MAX( INDEX(Pack_Master!H:H, MATCH($D505, Pack_Master!A:A, 0)),
      IFERROR(G505, 0) )
</f>
        <v>0</v>
      </c>
      <c r="I505" s="18" t="str">
        <f>IFERROR(__xludf.DUMMYFUNCTION("IFERROR(
 INDEX(
   FILTER(Shipping_Rate_Card!B:F, Shipping_Rate_Card!A:A=$A505),
   MATCH($H505, FILTER(Shipping_Rate_Card!B:B, Shipping_Rate_Card!A:A=$A505), 1),
   IF( INDEX(Config!B:B, MATCH($A505, Config!A:A, 0))=""Local"", 2,
     IF( INDEX(Config!B"&amp;":B, MATCH($A505, Config!A:A, 0))=""Regional"", 3, 4 )
   )
 ),
"""")
"),"")</f>
        <v/>
      </c>
      <c r="J505" s="16">
        <f>IFERROR(__xludf.DUMMYFUNCTION("IFERROR(
 ( E505 * INDEX(FILTER(Pricing_Rules!E:E, Pricing_Rules!A:A=A505, Pricing_Rules!B:B=B505, Pricing_Rules!C:C&lt;=E505, Pricing_Rules!D:D&gt;=E505), 1)
   + INDEX(FILTER(Pricing_Rules!F:F, Pricing_Rules!A:A=A505, Pricing_Rules!B:B=B505, Pricing_Rules!C:C"&amp;"&lt;=E505, Pricing_Rules!D:D&gt;=E505), 1)
 )
 * (1 + IFERROR( INDEX(Config!D:D, MATCH(A505, Config!A:A, 0)), 0 )),
"""")
"),5.8999999999999995)</f>
        <v>5.9</v>
      </c>
      <c r="K505" s="19">
        <f t="shared" si="3"/>
        <v>-5.9</v>
      </c>
      <c r="L505" s="20" t="str">
        <f t="shared" si="4"/>
        <v/>
      </c>
    </row>
    <row r="506" ht="15.75" customHeight="1">
      <c r="A506" s="9" t="s">
        <v>9</v>
      </c>
      <c r="B506" s="12" t="str">
        <f t="array" ref="B506">XLOOKUP(C506, Channel_Listings!C:C, Channel_Listings!B:B)
</f>
        <v>Apparel_Tshirts</v>
      </c>
      <c r="C506" s="22" t="s">
        <v>765</v>
      </c>
      <c r="D506" s="14" t="str">
        <f t="array" ref="D506">XLOOKUP(C506, Channel_Listings!C:C, Channel_Listings!D:D)
</f>
        <v>TSHIRT-COTTONROUND-OCCEANBLUE-XXL</v>
      </c>
      <c r="E506" s="15"/>
      <c r="F506" s="16">
        <f t="array" ref="F506">IFERROR(
  VALUE( INDEX(Product_Master!$I:$I,
               MATCH( INDEX(Pack_Master!$B:$B, MATCH($D506, Pack_Master!$A:$A, 0)),
                      Product_Master!$B:$B, 0)
  )) 
  * VALUE( INDEX(Pack_Master!$C:$C, MATCH($D506, Pack_Master!$A:$A, 0)) )
  + VALUE( INDEX(Pack_Master!$D:$D, MATCH($D506, Pack_Master!$A:$A, 0)) ),
"")
</f>
        <v>0</v>
      </c>
      <c r="G506" s="17">
        <f t="array" ref="G506">IFERROR(
 ( INDEX(Pack_Master!E:E, MATCH($D506, Pack_Master!A:A, 0))
   * INDEX(Pack_Master!F:F, MATCH($D506, Pack_Master!A:A, 0))
   * INDEX(Pack_Master!G:G, MATCH($D506, Pack_Master!A:A, 0))
 ) / INDEX(Config!C:C, MATCH($A506, Config!A:A, 0)),
"")
</f>
        <v>0</v>
      </c>
      <c r="H506" s="17">
        <f t="array" ref="H506">MAX( INDEX(Pack_Master!H:H, MATCH($D506, Pack_Master!A:A, 0)),
      IFERROR(G506, 0) )
</f>
        <v>0</v>
      </c>
      <c r="I506" s="18" t="str">
        <f>IFERROR(__xludf.DUMMYFUNCTION("IFERROR(
 INDEX(
   FILTER(Shipping_Rate_Card!B:F, Shipping_Rate_Card!A:A=$A506),
   MATCH($H506, FILTER(Shipping_Rate_Card!B:B, Shipping_Rate_Card!A:A=$A506), 1),
   IF( INDEX(Config!B:B, MATCH($A506, Config!A:A, 0))=""Local"", 2,
     IF( INDEX(Config!B"&amp;":B, MATCH($A506, Config!A:A, 0))=""Regional"", 3, 4 )
   )
 ),
"""")
"),"")</f>
        <v/>
      </c>
      <c r="J506" s="16">
        <f>IFERROR(__xludf.DUMMYFUNCTION("IFERROR(
 ( E506 * INDEX(FILTER(Pricing_Rules!E:E, Pricing_Rules!A:A=A506, Pricing_Rules!B:B=B506, Pricing_Rules!C:C&lt;=E506, Pricing_Rules!D:D&gt;=E506), 1)
   + INDEX(FILTER(Pricing_Rules!F:F, Pricing_Rules!A:A=A506, Pricing_Rules!B:B=B506, Pricing_Rules!C:C"&amp;"&lt;=E506, Pricing_Rules!D:D&gt;=E506), 1)
 )
 * (1 + IFERROR( INDEX(Config!D:D, MATCH(A506, Config!A:A, 0)), 0 )),
"""")
"),5.8999999999999995)</f>
        <v>5.9</v>
      </c>
      <c r="K506" s="19">
        <f t="shared" si="3"/>
        <v>-5.9</v>
      </c>
      <c r="L506" s="20" t="str">
        <f t="shared" si="4"/>
        <v/>
      </c>
    </row>
    <row r="507" ht="15.75" customHeight="1">
      <c r="A507" s="9" t="s">
        <v>9</v>
      </c>
      <c r="B507" s="12" t="str">
        <f t="array" ref="B507">XLOOKUP(C507, Channel_Listings!C:C, Channel_Listings!B:B)
</f>
        <v>Apparel_Tshirts</v>
      </c>
      <c r="C507" s="22" t="s">
        <v>768</v>
      </c>
      <c r="D507" s="14" t="str">
        <f t="array" ref="D507">XLOOKUP(C507, Channel_Listings!C:C, Channel_Listings!D:D)
</f>
        <v>TSHIRT-COTTONROUND-OLIVEGREEN-L</v>
      </c>
      <c r="E507" s="15">
        <v>499.0</v>
      </c>
      <c r="F507" s="16">
        <f t="array" ref="F507">IFERROR(
  VALUE( INDEX(Product_Master!$I:$I,
               MATCH( INDEX(Pack_Master!$B:$B, MATCH($D507, Pack_Master!$A:$A, 0)),
                      Product_Master!$B:$B, 0)
  )) 
  * VALUE( INDEX(Pack_Master!$C:$C, MATCH($D507, Pack_Master!$A:$A, 0)) )
  + VALUE( INDEX(Pack_Master!$D:$D, MATCH($D507, Pack_Master!$A:$A, 0)) ),
"")
</f>
        <v>0</v>
      </c>
      <c r="G507" s="17">
        <f t="array" ref="G507">IFERROR(
 ( INDEX(Pack_Master!E:E, MATCH($D507, Pack_Master!A:A, 0))
   * INDEX(Pack_Master!F:F, MATCH($D507, Pack_Master!A:A, 0))
   * INDEX(Pack_Master!G:G, MATCH($D507, Pack_Master!A:A, 0))
 ) / INDEX(Config!C:C, MATCH($A507, Config!A:A, 0)),
"")
</f>
        <v>0</v>
      </c>
      <c r="H507" s="17">
        <f t="array" ref="H507">MAX( INDEX(Pack_Master!H:H, MATCH($D507, Pack_Master!A:A, 0)),
      IFERROR(G507, 0) )
</f>
        <v>0</v>
      </c>
      <c r="I507" s="18" t="str">
        <f>IFERROR(__xludf.DUMMYFUNCTION("IFERROR(
 INDEX(
   FILTER(Shipping_Rate_Card!B:F, Shipping_Rate_Card!A:A=$A507),
   MATCH($H507, FILTER(Shipping_Rate_Card!B:B, Shipping_Rate_Card!A:A=$A507), 1),
   IF( INDEX(Config!B:B, MATCH($A507, Config!A:A, 0))=""Local"", 2,
     IF( INDEX(Config!B"&amp;":B, MATCH($A507, Config!A:A, 0))=""Regional"", 3, 4 )
   )
 ),
"""")
"),"")</f>
        <v/>
      </c>
      <c r="J507" s="16">
        <f>IFERROR(__xludf.DUMMYFUNCTION("IFERROR(
 ( E507 * INDEX(FILTER(Pricing_Rules!E:E, Pricing_Rules!A:A=A507, Pricing_Rules!B:B=B507, Pricing_Rules!C:C&lt;=E507, Pricing_Rules!D:D&gt;=E507), 1)
   + INDEX(FILTER(Pricing_Rules!F:F, Pricing_Rules!A:A=A507, Pricing_Rules!B:B=B507, Pricing_Rules!C:C"&amp;"&lt;=E507, Pricing_Rules!D:D&gt;=E507), 1)
 )
 * (1 + IFERROR( INDEX(Config!D:D, MATCH(A507, Config!A:A, 0)), 0 )),
"""")
"),90.7066)</f>
        <v>90.7066</v>
      </c>
      <c r="K507" s="19">
        <f t="shared" si="3"/>
        <v>408.2934</v>
      </c>
      <c r="L507" s="20">
        <f t="shared" si="4"/>
        <v>0.8182232465</v>
      </c>
    </row>
    <row r="508" ht="15.75" customHeight="1">
      <c r="A508" s="9" t="s">
        <v>9</v>
      </c>
      <c r="B508" s="12" t="str">
        <f t="array" ref="B508">XLOOKUP(C508, Channel_Listings!C:C, Channel_Listings!B:B)
</f>
        <v>Apparel_Tshirts</v>
      </c>
      <c r="C508" s="22" t="s">
        <v>771</v>
      </c>
      <c r="D508" s="14" t="str">
        <f t="array" ref="D508">XLOOKUP(C508, Channel_Listings!C:C, Channel_Listings!D:D)
</f>
        <v>TSHIRT-COTTONROUND-OLIVEGREEN-M</v>
      </c>
      <c r="E508" s="15">
        <v>499.0</v>
      </c>
      <c r="F508" s="16">
        <f t="array" ref="F508">IFERROR(
  VALUE( INDEX(Product_Master!$I:$I,
               MATCH( INDEX(Pack_Master!$B:$B, MATCH($D508, Pack_Master!$A:$A, 0)),
                      Product_Master!$B:$B, 0)
  )) 
  * VALUE( INDEX(Pack_Master!$C:$C, MATCH($D508, Pack_Master!$A:$A, 0)) )
  + VALUE( INDEX(Pack_Master!$D:$D, MATCH($D508, Pack_Master!$A:$A, 0)) ),
"")
</f>
        <v>0</v>
      </c>
      <c r="G508" s="17">
        <f t="array" ref="G508">IFERROR(
 ( INDEX(Pack_Master!E:E, MATCH($D508, Pack_Master!A:A, 0))
   * INDEX(Pack_Master!F:F, MATCH($D508, Pack_Master!A:A, 0))
   * INDEX(Pack_Master!G:G, MATCH($D508, Pack_Master!A:A, 0))
 ) / INDEX(Config!C:C, MATCH($A508, Config!A:A, 0)),
"")
</f>
        <v>0</v>
      </c>
      <c r="H508" s="17">
        <f t="array" ref="H508">MAX( INDEX(Pack_Master!H:H, MATCH($D508, Pack_Master!A:A, 0)),
      IFERROR(G508, 0) )
</f>
        <v>0</v>
      </c>
      <c r="I508" s="18" t="str">
        <f>IFERROR(__xludf.DUMMYFUNCTION("IFERROR(
 INDEX(
   FILTER(Shipping_Rate_Card!B:F, Shipping_Rate_Card!A:A=$A508),
   MATCH($H508, FILTER(Shipping_Rate_Card!B:B, Shipping_Rate_Card!A:A=$A508), 1),
   IF( INDEX(Config!B:B, MATCH($A508, Config!A:A, 0))=""Local"", 2,
     IF( INDEX(Config!B"&amp;":B, MATCH($A508, Config!A:A, 0))=""Regional"", 3, 4 )
   )
 ),
"""")
"),"")</f>
        <v/>
      </c>
      <c r="J508" s="16">
        <f>IFERROR(__xludf.DUMMYFUNCTION("IFERROR(
 ( E508 * INDEX(FILTER(Pricing_Rules!E:E, Pricing_Rules!A:A=A508, Pricing_Rules!B:B=B508, Pricing_Rules!C:C&lt;=E508, Pricing_Rules!D:D&gt;=E508), 1)
   + INDEX(FILTER(Pricing_Rules!F:F, Pricing_Rules!A:A=A508, Pricing_Rules!B:B=B508, Pricing_Rules!C:C"&amp;"&lt;=E508, Pricing_Rules!D:D&gt;=E508), 1)
 )
 * (1 + IFERROR( INDEX(Config!D:D, MATCH(A508, Config!A:A, 0)), 0 )),
"""")
"),90.7066)</f>
        <v>90.7066</v>
      </c>
      <c r="K508" s="19">
        <f t="shared" si="3"/>
        <v>408.2934</v>
      </c>
      <c r="L508" s="20">
        <f t="shared" si="4"/>
        <v>0.8182232465</v>
      </c>
    </row>
    <row r="509" ht="15.75" customHeight="1">
      <c r="A509" s="9" t="s">
        <v>9</v>
      </c>
      <c r="B509" s="12" t="str">
        <f t="array" ref="B509">XLOOKUP(C509, Channel_Listings!C:C, Channel_Listings!B:B)
</f>
        <v>Apparel_Tshirts</v>
      </c>
      <c r="C509" s="22" t="s">
        <v>774</v>
      </c>
      <c r="D509" s="14" t="str">
        <f t="array" ref="D509">XLOOKUP(C509, Channel_Listings!C:C, Channel_Listings!D:D)
</f>
        <v>TSHIRT-COTTONROUND-OLIVEGREEN-XL</v>
      </c>
      <c r="E509" s="15">
        <v>499.0</v>
      </c>
      <c r="F509" s="16">
        <f t="array" ref="F509">IFERROR(
  VALUE( INDEX(Product_Master!$I:$I,
               MATCH( INDEX(Pack_Master!$B:$B, MATCH($D509, Pack_Master!$A:$A, 0)),
                      Product_Master!$B:$B, 0)
  )) 
  * VALUE( INDEX(Pack_Master!$C:$C, MATCH($D509, Pack_Master!$A:$A, 0)) )
  + VALUE( INDEX(Pack_Master!$D:$D, MATCH($D509, Pack_Master!$A:$A, 0)) ),
"")
</f>
        <v>0</v>
      </c>
      <c r="G509" s="17">
        <f t="array" ref="G509">IFERROR(
 ( INDEX(Pack_Master!E:E, MATCH($D509, Pack_Master!A:A, 0))
   * INDEX(Pack_Master!F:F, MATCH($D509, Pack_Master!A:A, 0))
   * INDEX(Pack_Master!G:G, MATCH($D509, Pack_Master!A:A, 0))
 ) / INDEX(Config!C:C, MATCH($A509, Config!A:A, 0)),
"")
</f>
        <v>0</v>
      </c>
      <c r="H509" s="17">
        <f t="array" ref="H509">MAX( INDEX(Pack_Master!H:H, MATCH($D509, Pack_Master!A:A, 0)),
      IFERROR(G509, 0) )
</f>
        <v>0</v>
      </c>
      <c r="I509" s="18" t="str">
        <f>IFERROR(__xludf.DUMMYFUNCTION("IFERROR(
 INDEX(
   FILTER(Shipping_Rate_Card!B:F, Shipping_Rate_Card!A:A=$A509),
   MATCH($H509, FILTER(Shipping_Rate_Card!B:B, Shipping_Rate_Card!A:A=$A509), 1),
   IF( INDEX(Config!B:B, MATCH($A509, Config!A:A, 0))=""Local"", 2,
     IF( INDEX(Config!B"&amp;":B, MATCH($A509, Config!A:A, 0))=""Regional"", 3, 4 )
   )
 ),
"""")
"),"")</f>
        <v/>
      </c>
      <c r="J509" s="16">
        <f>IFERROR(__xludf.DUMMYFUNCTION("IFERROR(
 ( E509 * INDEX(FILTER(Pricing_Rules!E:E, Pricing_Rules!A:A=A509, Pricing_Rules!B:B=B509, Pricing_Rules!C:C&lt;=E509, Pricing_Rules!D:D&gt;=E509), 1)
   + INDEX(FILTER(Pricing_Rules!F:F, Pricing_Rules!A:A=A509, Pricing_Rules!B:B=B509, Pricing_Rules!C:C"&amp;"&lt;=E509, Pricing_Rules!D:D&gt;=E509), 1)
 )
 * (1 + IFERROR( INDEX(Config!D:D, MATCH(A509, Config!A:A, 0)), 0 )),
"""")
"),90.7066)</f>
        <v>90.7066</v>
      </c>
      <c r="K509" s="19">
        <f t="shared" si="3"/>
        <v>408.2934</v>
      </c>
      <c r="L509" s="20">
        <f t="shared" si="4"/>
        <v>0.8182232465</v>
      </c>
    </row>
    <row r="510" ht="15.75" customHeight="1">
      <c r="A510" s="9" t="s">
        <v>9</v>
      </c>
      <c r="B510" s="12" t="str">
        <f t="array" ref="B510">XLOOKUP(C510, Channel_Listings!C:C, Channel_Listings!B:B)
</f>
        <v>Apparel_Tshirts</v>
      </c>
      <c r="C510" s="22" t="s">
        <v>777</v>
      </c>
      <c r="D510" s="14" t="str">
        <f t="array" ref="D510">XLOOKUP(C510, Channel_Listings!C:C, Channel_Listings!D:D)
</f>
        <v>TSHIRT-COTTONROUND-OLIVEGREEN-XXL</v>
      </c>
      <c r="E510" s="15">
        <v>499.0</v>
      </c>
      <c r="F510" s="16">
        <f t="array" ref="F510">IFERROR(
  VALUE( INDEX(Product_Master!$I:$I,
               MATCH( INDEX(Pack_Master!$B:$B, MATCH($D510, Pack_Master!$A:$A, 0)),
                      Product_Master!$B:$B, 0)
  )) 
  * VALUE( INDEX(Pack_Master!$C:$C, MATCH($D510, Pack_Master!$A:$A, 0)) )
  + VALUE( INDEX(Pack_Master!$D:$D, MATCH($D510, Pack_Master!$A:$A, 0)) ),
"")
</f>
        <v>0</v>
      </c>
      <c r="G510" s="17">
        <f t="array" ref="G510">IFERROR(
 ( INDEX(Pack_Master!E:E, MATCH($D510, Pack_Master!A:A, 0))
   * INDEX(Pack_Master!F:F, MATCH($D510, Pack_Master!A:A, 0))
   * INDEX(Pack_Master!G:G, MATCH($D510, Pack_Master!A:A, 0))
 ) / INDEX(Config!C:C, MATCH($A510, Config!A:A, 0)),
"")
</f>
        <v>0</v>
      </c>
      <c r="H510" s="17">
        <f t="array" ref="H510">MAX( INDEX(Pack_Master!H:H, MATCH($D510, Pack_Master!A:A, 0)),
      IFERROR(G510, 0) )
</f>
        <v>0</v>
      </c>
      <c r="I510" s="18" t="str">
        <f>IFERROR(__xludf.DUMMYFUNCTION("IFERROR(
 INDEX(
   FILTER(Shipping_Rate_Card!B:F, Shipping_Rate_Card!A:A=$A510),
   MATCH($H510, FILTER(Shipping_Rate_Card!B:B, Shipping_Rate_Card!A:A=$A510), 1),
   IF( INDEX(Config!B:B, MATCH($A510, Config!A:A, 0))=""Local"", 2,
     IF( INDEX(Config!B"&amp;":B, MATCH($A510, Config!A:A, 0))=""Regional"", 3, 4 )
   )
 ),
"""")
"),"")</f>
        <v/>
      </c>
      <c r="J510" s="16">
        <f>IFERROR(__xludf.DUMMYFUNCTION("IFERROR(
 ( E510 * INDEX(FILTER(Pricing_Rules!E:E, Pricing_Rules!A:A=A510, Pricing_Rules!B:B=B510, Pricing_Rules!C:C&lt;=E510, Pricing_Rules!D:D&gt;=E510), 1)
   + INDEX(FILTER(Pricing_Rules!F:F, Pricing_Rules!A:A=A510, Pricing_Rules!B:B=B510, Pricing_Rules!C:C"&amp;"&lt;=E510, Pricing_Rules!D:D&gt;=E510), 1)
 )
 * (1 + IFERROR( INDEX(Config!D:D, MATCH(A510, Config!A:A, 0)), 0 )),
"""")
"),90.7066)</f>
        <v>90.7066</v>
      </c>
      <c r="K510" s="19">
        <f t="shared" si="3"/>
        <v>408.2934</v>
      </c>
      <c r="L510" s="20">
        <f t="shared" si="4"/>
        <v>0.8182232465</v>
      </c>
    </row>
    <row r="511" ht="15.75" customHeight="1">
      <c r="A511" s="9" t="s">
        <v>9</v>
      </c>
      <c r="B511" s="12" t="str">
        <f t="array" ref="B511">XLOOKUP(C511, Channel_Listings!C:C, Channel_Listings!B:B)
</f>
        <v>Apparel_Tshirts</v>
      </c>
      <c r="C511" s="22" t="s">
        <v>780</v>
      </c>
      <c r="D511" s="14" t="str">
        <f t="array" ref="D511">XLOOKUP(C511, Channel_Listings!C:C, Channel_Listings!D:D)
</f>
        <v>TSHIRT-COTTONROUND-SKYBLUE-2XL</v>
      </c>
      <c r="E511" s="15">
        <v>499.0</v>
      </c>
      <c r="F511" s="16">
        <f t="array" ref="F511">IFERROR(
  VALUE( INDEX(Product_Master!$I:$I,
               MATCH( INDEX(Pack_Master!$B:$B, MATCH($D511, Pack_Master!$A:$A, 0)),
                      Product_Master!$B:$B, 0)
  )) 
  * VALUE( INDEX(Pack_Master!$C:$C, MATCH($D511, Pack_Master!$A:$A, 0)) )
  + VALUE( INDEX(Pack_Master!$D:$D, MATCH($D511, Pack_Master!$A:$A, 0)) ),
"")
</f>
        <v>0</v>
      </c>
      <c r="G511" s="17">
        <f t="array" ref="G511">IFERROR(
 ( INDEX(Pack_Master!E:E, MATCH($D511, Pack_Master!A:A, 0))
   * INDEX(Pack_Master!F:F, MATCH($D511, Pack_Master!A:A, 0))
   * INDEX(Pack_Master!G:G, MATCH($D511, Pack_Master!A:A, 0))
 ) / INDEX(Config!C:C, MATCH($A511, Config!A:A, 0)),
"")
</f>
        <v>0</v>
      </c>
      <c r="H511" s="17">
        <f t="array" ref="H511">MAX( INDEX(Pack_Master!H:H, MATCH($D511, Pack_Master!A:A, 0)),
      IFERROR(G511, 0) )
</f>
        <v>0</v>
      </c>
      <c r="I511" s="18" t="str">
        <f>IFERROR(__xludf.DUMMYFUNCTION("IFERROR(
 INDEX(
   FILTER(Shipping_Rate_Card!B:F, Shipping_Rate_Card!A:A=$A511),
   MATCH($H511, FILTER(Shipping_Rate_Card!B:B, Shipping_Rate_Card!A:A=$A511), 1),
   IF( INDEX(Config!B:B, MATCH($A511, Config!A:A, 0))=""Local"", 2,
     IF( INDEX(Config!B"&amp;":B, MATCH($A511, Config!A:A, 0))=""Regional"", 3, 4 )
   )
 ),
"""")
"),"")</f>
        <v/>
      </c>
      <c r="J511" s="16">
        <f>IFERROR(__xludf.DUMMYFUNCTION("IFERROR(
 ( E511 * INDEX(FILTER(Pricing_Rules!E:E, Pricing_Rules!A:A=A511, Pricing_Rules!B:B=B511, Pricing_Rules!C:C&lt;=E511, Pricing_Rules!D:D&gt;=E511), 1)
   + INDEX(FILTER(Pricing_Rules!F:F, Pricing_Rules!A:A=A511, Pricing_Rules!B:B=B511, Pricing_Rules!C:C"&amp;"&lt;=E511, Pricing_Rules!D:D&gt;=E511), 1)
 )
 * (1 + IFERROR( INDEX(Config!D:D, MATCH(A511, Config!A:A, 0)), 0 )),
"""")
"),90.7066)</f>
        <v>90.7066</v>
      </c>
      <c r="K511" s="19">
        <f t="shared" si="3"/>
        <v>408.2934</v>
      </c>
      <c r="L511" s="20">
        <f t="shared" si="4"/>
        <v>0.8182232465</v>
      </c>
    </row>
    <row r="512" ht="15.75" customHeight="1">
      <c r="A512" s="9" t="s">
        <v>9</v>
      </c>
      <c r="B512" s="12" t="str">
        <f t="array" ref="B512">XLOOKUP(C512, Channel_Listings!C:C, Channel_Listings!B:B)
</f>
        <v>Apparel_Tshirts</v>
      </c>
      <c r="C512" s="22" t="s">
        <v>782</v>
      </c>
      <c r="D512" s="14" t="str">
        <f t="array" ref="D512">XLOOKUP(C512, Channel_Listings!C:C, Channel_Listings!D:D)
</f>
        <v>TSHIRT-COTTONROUND-SKYBLUE-L</v>
      </c>
      <c r="E512" s="15">
        <v>499.0</v>
      </c>
      <c r="F512" s="16">
        <f t="array" ref="F512">IFERROR(
  VALUE( INDEX(Product_Master!$I:$I,
               MATCH( INDEX(Pack_Master!$B:$B, MATCH($D512, Pack_Master!$A:$A, 0)),
                      Product_Master!$B:$B, 0)
  )) 
  * VALUE( INDEX(Pack_Master!$C:$C, MATCH($D512, Pack_Master!$A:$A, 0)) )
  + VALUE( INDEX(Pack_Master!$D:$D, MATCH($D512, Pack_Master!$A:$A, 0)) ),
"")
</f>
        <v>0</v>
      </c>
      <c r="G512" s="17">
        <f t="array" ref="G512">IFERROR(
 ( INDEX(Pack_Master!E:E, MATCH($D512, Pack_Master!A:A, 0))
   * INDEX(Pack_Master!F:F, MATCH($D512, Pack_Master!A:A, 0))
   * INDEX(Pack_Master!G:G, MATCH($D512, Pack_Master!A:A, 0))
 ) / INDEX(Config!C:C, MATCH($A512, Config!A:A, 0)),
"")
</f>
        <v>0</v>
      </c>
      <c r="H512" s="17">
        <f t="array" ref="H512">MAX( INDEX(Pack_Master!H:H, MATCH($D512, Pack_Master!A:A, 0)),
      IFERROR(G512, 0) )
</f>
        <v>0</v>
      </c>
      <c r="I512" s="18" t="str">
        <f>IFERROR(__xludf.DUMMYFUNCTION("IFERROR(
 INDEX(
   FILTER(Shipping_Rate_Card!B:F, Shipping_Rate_Card!A:A=$A512),
   MATCH($H512, FILTER(Shipping_Rate_Card!B:B, Shipping_Rate_Card!A:A=$A512), 1),
   IF( INDEX(Config!B:B, MATCH($A512, Config!A:A, 0))=""Local"", 2,
     IF( INDEX(Config!B"&amp;":B, MATCH($A512, Config!A:A, 0))=""Regional"", 3, 4 )
   )
 ),
"""")
"),"")</f>
        <v/>
      </c>
      <c r="J512" s="16">
        <f>IFERROR(__xludf.DUMMYFUNCTION("IFERROR(
 ( E512 * INDEX(FILTER(Pricing_Rules!E:E, Pricing_Rules!A:A=A512, Pricing_Rules!B:B=B512, Pricing_Rules!C:C&lt;=E512, Pricing_Rules!D:D&gt;=E512), 1)
   + INDEX(FILTER(Pricing_Rules!F:F, Pricing_Rules!A:A=A512, Pricing_Rules!B:B=B512, Pricing_Rules!C:C"&amp;"&lt;=E512, Pricing_Rules!D:D&gt;=E512), 1)
 )
 * (1 + IFERROR( INDEX(Config!D:D, MATCH(A512, Config!A:A, 0)), 0 )),
"""")
"),90.7066)</f>
        <v>90.7066</v>
      </c>
      <c r="K512" s="19">
        <f t="shared" si="3"/>
        <v>408.2934</v>
      </c>
      <c r="L512" s="20">
        <f t="shared" si="4"/>
        <v>0.8182232465</v>
      </c>
    </row>
    <row r="513" ht="15.75" customHeight="1">
      <c r="A513" s="9" t="s">
        <v>9</v>
      </c>
      <c r="B513" s="12" t="str">
        <f t="array" ref="B513">XLOOKUP(C513, Channel_Listings!C:C, Channel_Listings!B:B)
</f>
        <v>Apparel_Tshirts</v>
      </c>
      <c r="C513" s="22" t="s">
        <v>784</v>
      </c>
      <c r="D513" s="14" t="str">
        <f t="array" ref="D513">XLOOKUP(C513, Channel_Listings!C:C, Channel_Listings!D:D)
</f>
        <v>TSHIRT-COTTONROUND-SKYBLUE-M</v>
      </c>
      <c r="E513" s="15">
        <v>499.0</v>
      </c>
      <c r="F513" s="16">
        <f t="array" ref="F513">IFERROR(
  VALUE( INDEX(Product_Master!$I:$I,
               MATCH( INDEX(Pack_Master!$B:$B, MATCH($D513, Pack_Master!$A:$A, 0)),
                      Product_Master!$B:$B, 0)
  )) 
  * VALUE( INDEX(Pack_Master!$C:$C, MATCH($D513, Pack_Master!$A:$A, 0)) )
  + VALUE( INDEX(Pack_Master!$D:$D, MATCH($D513, Pack_Master!$A:$A, 0)) ),
"")
</f>
        <v>0</v>
      </c>
      <c r="G513" s="17">
        <f t="array" ref="G513">IFERROR(
 ( INDEX(Pack_Master!E:E, MATCH($D513, Pack_Master!A:A, 0))
   * INDEX(Pack_Master!F:F, MATCH($D513, Pack_Master!A:A, 0))
   * INDEX(Pack_Master!G:G, MATCH($D513, Pack_Master!A:A, 0))
 ) / INDEX(Config!C:C, MATCH($A513, Config!A:A, 0)),
"")
</f>
        <v>0</v>
      </c>
      <c r="H513" s="17">
        <f t="array" ref="H513">MAX( INDEX(Pack_Master!H:H, MATCH($D513, Pack_Master!A:A, 0)),
      IFERROR(G513, 0) )
</f>
        <v>0</v>
      </c>
      <c r="I513" s="18" t="str">
        <f>IFERROR(__xludf.DUMMYFUNCTION("IFERROR(
 INDEX(
   FILTER(Shipping_Rate_Card!B:F, Shipping_Rate_Card!A:A=$A513),
   MATCH($H513, FILTER(Shipping_Rate_Card!B:B, Shipping_Rate_Card!A:A=$A513), 1),
   IF( INDEX(Config!B:B, MATCH($A513, Config!A:A, 0))=""Local"", 2,
     IF( INDEX(Config!B"&amp;":B, MATCH($A513, Config!A:A, 0))=""Regional"", 3, 4 )
   )
 ),
"""")
"),"")</f>
        <v/>
      </c>
      <c r="J513" s="16">
        <f>IFERROR(__xludf.DUMMYFUNCTION("IFERROR(
 ( E513 * INDEX(FILTER(Pricing_Rules!E:E, Pricing_Rules!A:A=A513, Pricing_Rules!B:B=B513, Pricing_Rules!C:C&lt;=E513, Pricing_Rules!D:D&gt;=E513), 1)
   + INDEX(FILTER(Pricing_Rules!F:F, Pricing_Rules!A:A=A513, Pricing_Rules!B:B=B513, Pricing_Rules!C:C"&amp;"&lt;=E513, Pricing_Rules!D:D&gt;=E513), 1)
 )
 * (1 + IFERROR( INDEX(Config!D:D, MATCH(A513, Config!A:A, 0)), 0 )),
"""")
"),90.7066)</f>
        <v>90.7066</v>
      </c>
      <c r="K513" s="19">
        <f t="shared" si="3"/>
        <v>408.2934</v>
      </c>
      <c r="L513" s="20">
        <f t="shared" si="4"/>
        <v>0.8182232465</v>
      </c>
    </row>
    <row r="514" ht="15.75" customHeight="1">
      <c r="A514" s="9" t="s">
        <v>9</v>
      </c>
      <c r="B514" s="12" t="str">
        <f t="array" ref="B514">XLOOKUP(C514, Channel_Listings!C:C, Channel_Listings!B:B)
</f>
        <v>Apparel_Tshirts</v>
      </c>
      <c r="C514" s="22" t="s">
        <v>786</v>
      </c>
      <c r="D514" s="14" t="str">
        <f t="array" ref="D514">XLOOKUP(C514, Channel_Listings!C:C, Channel_Listings!D:D)
</f>
        <v>TSHIRT-COTTONROUND-SKYBLUE-XL</v>
      </c>
      <c r="E514" s="15">
        <v>499.0</v>
      </c>
      <c r="F514" s="16">
        <f t="array" ref="F514">IFERROR(
  VALUE( INDEX(Product_Master!$I:$I,
               MATCH( INDEX(Pack_Master!$B:$B, MATCH($D514, Pack_Master!$A:$A, 0)),
                      Product_Master!$B:$B, 0)
  )) 
  * VALUE( INDEX(Pack_Master!$C:$C, MATCH($D514, Pack_Master!$A:$A, 0)) )
  + VALUE( INDEX(Pack_Master!$D:$D, MATCH($D514, Pack_Master!$A:$A, 0)) ),
"")
</f>
        <v>0</v>
      </c>
      <c r="G514" s="17">
        <f t="array" ref="G514">IFERROR(
 ( INDEX(Pack_Master!E:E, MATCH($D514, Pack_Master!A:A, 0))
   * INDEX(Pack_Master!F:F, MATCH($D514, Pack_Master!A:A, 0))
   * INDEX(Pack_Master!G:G, MATCH($D514, Pack_Master!A:A, 0))
 ) / INDEX(Config!C:C, MATCH($A514, Config!A:A, 0)),
"")
</f>
        <v>0</v>
      </c>
      <c r="H514" s="17">
        <f t="array" ref="H514">MAX( INDEX(Pack_Master!H:H, MATCH($D514, Pack_Master!A:A, 0)),
      IFERROR(G514, 0) )
</f>
        <v>0</v>
      </c>
      <c r="I514" s="18" t="str">
        <f>IFERROR(__xludf.DUMMYFUNCTION("IFERROR(
 INDEX(
   FILTER(Shipping_Rate_Card!B:F, Shipping_Rate_Card!A:A=$A514),
   MATCH($H514, FILTER(Shipping_Rate_Card!B:B, Shipping_Rate_Card!A:A=$A514), 1),
   IF( INDEX(Config!B:B, MATCH($A514, Config!A:A, 0))=""Local"", 2,
     IF( INDEX(Config!B"&amp;":B, MATCH($A514, Config!A:A, 0))=""Regional"", 3, 4 )
   )
 ),
"""")
"),"")</f>
        <v/>
      </c>
      <c r="J514" s="16">
        <f>IFERROR(__xludf.DUMMYFUNCTION("IFERROR(
 ( E514 * INDEX(FILTER(Pricing_Rules!E:E, Pricing_Rules!A:A=A514, Pricing_Rules!B:B=B514, Pricing_Rules!C:C&lt;=E514, Pricing_Rules!D:D&gt;=E514), 1)
   + INDEX(FILTER(Pricing_Rules!F:F, Pricing_Rules!A:A=A514, Pricing_Rules!B:B=B514, Pricing_Rules!C:C"&amp;"&lt;=E514, Pricing_Rules!D:D&gt;=E514), 1)
 )
 * (1 + IFERROR( INDEX(Config!D:D, MATCH(A514, Config!A:A, 0)), 0 )),
"""")
"),90.7066)</f>
        <v>90.7066</v>
      </c>
      <c r="K514" s="19">
        <f t="shared" si="3"/>
        <v>408.2934</v>
      </c>
      <c r="L514" s="20">
        <f t="shared" si="4"/>
        <v>0.8182232465</v>
      </c>
    </row>
    <row r="515" ht="15.75" customHeight="1">
      <c r="A515" s="9" t="s">
        <v>9</v>
      </c>
      <c r="B515" s="12" t="str">
        <f t="array" ref="B515">XLOOKUP(C515, Channel_Listings!C:C, Channel_Listings!B:B)
</f>
        <v>Apparel_Tshirts</v>
      </c>
      <c r="C515" s="22" t="s">
        <v>788</v>
      </c>
      <c r="D515" s="14" t="str">
        <f t="array" ref="D515">XLOOKUP(C515, Channel_Listings!C:C, Channel_Listings!D:D)
</f>
        <v>TSHIRT-COTTONROUND-WHITE-2XL</v>
      </c>
      <c r="E515" s="15">
        <v>499.0</v>
      </c>
      <c r="F515" s="16">
        <f t="array" ref="F515">IFERROR(
  VALUE( INDEX(Product_Master!$I:$I,
               MATCH( INDEX(Pack_Master!$B:$B, MATCH($D515, Pack_Master!$A:$A, 0)),
                      Product_Master!$B:$B, 0)
  )) 
  * VALUE( INDEX(Pack_Master!$C:$C, MATCH($D515, Pack_Master!$A:$A, 0)) )
  + VALUE( INDEX(Pack_Master!$D:$D, MATCH($D515, Pack_Master!$A:$A, 0)) ),
"")
</f>
        <v>0</v>
      </c>
      <c r="G515" s="17">
        <f t="array" ref="G515">IFERROR(
 ( INDEX(Pack_Master!E:E, MATCH($D515, Pack_Master!A:A, 0))
   * INDEX(Pack_Master!F:F, MATCH($D515, Pack_Master!A:A, 0))
   * INDEX(Pack_Master!G:G, MATCH($D515, Pack_Master!A:A, 0))
 ) / INDEX(Config!C:C, MATCH($A515, Config!A:A, 0)),
"")
</f>
        <v>0</v>
      </c>
      <c r="H515" s="17">
        <f t="array" ref="H515">MAX( INDEX(Pack_Master!H:H, MATCH($D515, Pack_Master!A:A, 0)),
      IFERROR(G515, 0) )
</f>
        <v>0</v>
      </c>
      <c r="I515" s="18" t="str">
        <f>IFERROR(__xludf.DUMMYFUNCTION("IFERROR(
 INDEX(
   FILTER(Shipping_Rate_Card!B:F, Shipping_Rate_Card!A:A=$A515),
   MATCH($H515, FILTER(Shipping_Rate_Card!B:B, Shipping_Rate_Card!A:A=$A515), 1),
   IF( INDEX(Config!B:B, MATCH($A515, Config!A:A, 0))=""Local"", 2,
     IF( INDEX(Config!B"&amp;":B, MATCH($A515, Config!A:A, 0))=""Regional"", 3, 4 )
   )
 ),
"""")
"),"")</f>
        <v/>
      </c>
      <c r="J515" s="16">
        <f>IFERROR(__xludf.DUMMYFUNCTION("IFERROR(
 ( E515 * INDEX(FILTER(Pricing_Rules!E:E, Pricing_Rules!A:A=A515, Pricing_Rules!B:B=B515, Pricing_Rules!C:C&lt;=E515, Pricing_Rules!D:D&gt;=E515), 1)
   + INDEX(FILTER(Pricing_Rules!F:F, Pricing_Rules!A:A=A515, Pricing_Rules!B:B=B515, Pricing_Rules!C:C"&amp;"&lt;=E515, Pricing_Rules!D:D&gt;=E515), 1)
 )
 * (1 + IFERROR( INDEX(Config!D:D, MATCH(A515, Config!A:A, 0)), 0 )),
"""")
"),90.7066)</f>
        <v>90.7066</v>
      </c>
      <c r="K515" s="19">
        <f t="shared" si="3"/>
        <v>408.2934</v>
      </c>
      <c r="L515" s="20">
        <f t="shared" si="4"/>
        <v>0.8182232465</v>
      </c>
    </row>
    <row r="516" ht="15.75" customHeight="1">
      <c r="A516" s="9" t="s">
        <v>9</v>
      </c>
      <c r="B516" s="12" t="str">
        <f t="array" ref="B516">XLOOKUP(C516, Channel_Listings!C:C, Channel_Listings!B:B)
</f>
        <v>Apparel_Tshirts</v>
      </c>
      <c r="C516" s="22" t="s">
        <v>790</v>
      </c>
      <c r="D516" s="14" t="str">
        <f t="array" ref="D516">XLOOKUP(C516, Channel_Listings!C:C, Channel_Listings!D:D)
</f>
        <v>TSHIRT-COTTONROUND-WHITE-2XL.0</v>
      </c>
      <c r="E516" s="15"/>
      <c r="F516" s="16">
        <f t="array" ref="F516">IFERROR(
  VALUE( INDEX(Product_Master!$I:$I,
               MATCH( INDEX(Pack_Master!$B:$B, MATCH($D516, Pack_Master!$A:$A, 0)),
                      Product_Master!$B:$B, 0)
  )) 
  * VALUE( INDEX(Pack_Master!$C:$C, MATCH($D516, Pack_Master!$A:$A, 0)) )
  + VALUE( INDEX(Pack_Master!$D:$D, MATCH($D516, Pack_Master!$A:$A, 0)) ),
"")
</f>
        <v>0</v>
      </c>
      <c r="G516" s="17">
        <f t="array" ref="G516">IFERROR(
 ( INDEX(Pack_Master!E:E, MATCH($D516, Pack_Master!A:A, 0))
   * INDEX(Pack_Master!F:F, MATCH($D516, Pack_Master!A:A, 0))
   * INDEX(Pack_Master!G:G, MATCH($D516, Pack_Master!A:A, 0))
 ) / INDEX(Config!C:C, MATCH($A516, Config!A:A, 0)),
"")
</f>
        <v>0</v>
      </c>
      <c r="H516" s="17">
        <f t="array" ref="H516">MAX( INDEX(Pack_Master!H:H, MATCH($D516, Pack_Master!A:A, 0)),
      IFERROR(G516, 0) )
</f>
        <v>0</v>
      </c>
      <c r="I516" s="18" t="str">
        <f>IFERROR(__xludf.DUMMYFUNCTION("IFERROR(
 INDEX(
   FILTER(Shipping_Rate_Card!B:F, Shipping_Rate_Card!A:A=$A516),
   MATCH($H516, FILTER(Shipping_Rate_Card!B:B, Shipping_Rate_Card!A:A=$A516), 1),
   IF( INDEX(Config!B:B, MATCH($A516, Config!A:A, 0))=""Local"", 2,
     IF( INDEX(Config!B"&amp;":B, MATCH($A516, Config!A:A, 0))=""Regional"", 3, 4 )
   )
 ),
"""")
"),"")</f>
        <v/>
      </c>
      <c r="J516" s="16">
        <f>IFERROR(__xludf.DUMMYFUNCTION("IFERROR(
 ( E516 * INDEX(FILTER(Pricing_Rules!E:E, Pricing_Rules!A:A=A516, Pricing_Rules!B:B=B516, Pricing_Rules!C:C&lt;=E516, Pricing_Rules!D:D&gt;=E516), 1)
   + INDEX(FILTER(Pricing_Rules!F:F, Pricing_Rules!A:A=A516, Pricing_Rules!B:B=B516, Pricing_Rules!C:C"&amp;"&lt;=E516, Pricing_Rules!D:D&gt;=E516), 1)
 )
 * (1 + IFERROR( INDEX(Config!D:D, MATCH(A516, Config!A:A, 0)), 0 )),
"""")
"),5.8999999999999995)</f>
        <v>5.9</v>
      </c>
      <c r="K516" s="19">
        <f t="shared" si="3"/>
        <v>-5.9</v>
      </c>
      <c r="L516" s="20" t="str">
        <f t="shared" si="4"/>
        <v/>
      </c>
    </row>
    <row r="517" ht="15.75" customHeight="1">
      <c r="A517" s="9" t="s">
        <v>9</v>
      </c>
      <c r="B517" s="12" t="str">
        <f t="array" ref="B517">XLOOKUP(C517, Channel_Listings!C:C, Channel_Listings!B:B)
</f>
        <v>Apparel_Tshirts</v>
      </c>
      <c r="C517" s="22" t="s">
        <v>792</v>
      </c>
      <c r="D517" s="14" t="str">
        <f t="array" ref="D517">XLOOKUP(C517, Channel_Listings!C:C, Channel_Listings!D:D)
</f>
        <v>TSHIRT-COTTONROUND-WHITE-L</v>
      </c>
      <c r="E517" s="15"/>
      <c r="F517" s="16">
        <f t="array" ref="F517">IFERROR(
  VALUE( INDEX(Product_Master!$I:$I,
               MATCH( INDEX(Pack_Master!$B:$B, MATCH($D517, Pack_Master!$A:$A, 0)),
                      Product_Master!$B:$B, 0)
  )) 
  * VALUE( INDEX(Pack_Master!$C:$C, MATCH($D517, Pack_Master!$A:$A, 0)) )
  + VALUE( INDEX(Pack_Master!$D:$D, MATCH($D517, Pack_Master!$A:$A, 0)) ),
"")
</f>
        <v>0</v>
      </c>
      <c r="G517" s="17">
        <f t="array" ref="G517">IFERROR(
 ( INDEX(Pack_Master!E:E, MATCH($D517, Pack_Master!A:A, 0))
   * INDEX(Pack_Master!F:F, MATCH($D517, Pack_Master!A:A, 0))
   * INDEX(Pack_Master!G:G, MATCH($D517, Pack_Master!A:A, 0))
 ) / INDEX(Config!C:C, MATCH($A517, Config!A:A, 0)),
"")
</f>
        <v>0</v>
      </c>
      <c r="H517" s="17">
        <f t="array" ref="H517">MAX( INDEX(Pack_Master!H:H, MATCH($D517, Pack_Master!A:A, 0)),
      IFERROR(G517, 0) )
</f>
        <v>0</v>
      </c>
      <c r="I517" s="18" t="str">
        <f>IFERROR(__xludf.DUMMYFUNCTION("IFERROR(
 INDEX(
   FILTER(Shipping_Rate_Card!B:F, Shipping_Rate_Card!A:A=$A517),
   MATCH($H517, FILTER(Shipping_Rate_Card!B:B, Shipping_Rate_Card!A:A=$A517), 1),
   IF( INDEX(Config!B:B, MATCH($A517, Config!A:A, 0))=""Local"", 2,
     IF( INDEX(Config!B"&amp;":B, MATCH($A517, Config!A:A, 0))=""Regional"", 3, 4 )
   )
 ),
"""")
"),"")</f>
        <v/>
      </c>
      <c r="J517" s="16">
        <f>IFERROR(__xludf.DUMMYFUNCTION("IFERROR(
 ( E517 * INDEX(FILTER(Pricing_Rules!E:E, Pricing_Rules!A:A=A517, Pricing_Rules!B:B=B517, Pricing_Rules!C:C&lt;=E517, Pricing_Rules!D:D&gt;=E517), 1)
   + INDEX(FILTER(Pricing_Rules!F:F, Pricing_Rules!A:A=A517, Pricing_Rules!B:B=B517, Pricing_Rules!C:C"&amp;"&lt;=E517, Pricing_Rules!D:D&gt;=E517), 1)
 )
 * (1 + IFERROR( INDEX(Config!D:D, MATCH(A517, Config!A:A, 0)), 0 )),
"""")
"),5.8999999999999995)</f>
        <v>5.9</v>
      </c>
      <c r="K517" s="19">
        <f t="shared" si="3"/>
        <v>-5.9</v>
      </c>
      <c r="L517" s="20" t="str">
        <f t="shared" si="4"/>
        <v/>
      </c>
    </row>
    <row r="518" ht="15.75" customHeight="1">
      <c r="A518" s="9" t="s">
        <v>9</v>
      </c>
      <c r="B518" s="12" t="str">
        <f t="array" ref="B518">XLOOKUP(C518, Channel_Listings!C:C, Channel_Listings!B:B)
</f>
        <v>Apparel_Tshirts</v>
      </c>
      <c r="C518" s="22" t="s">
        <v>794</v>
      </c>
      <c r="D518" s="14" t="str">
        <f t="array" ref="D518">XLOOKUP(C518, Channel_Listings!C:C, Channel_Listings!D:D)
</f>
        <v>TSHIRT-COTTONROUND-WHITE-M</v>
      </c>
      <c r="E518" s="15"/>
      <c r="F518" s="16">
        <f t="array" ref="F518">IFERROR(
  VALUE( INDEX(Product_Master!$I:$I,
               MATCH( INDEX(Pack_Master!$B:$B, MATCH($D518, Pack_Master!$A:$A, 0)),
                      Product_Master!$B:$B, 0)
  )) 
  * VALUE( INDEX(Pack_Master!$C:$C, MATCH($D518, Pack_Master!$A:$A, 0)) )
  + VALUE( INDEX(Pack_Master!$D:$D, MATCH($D518, Pack_Master!$A:$A, 0)) ),
"")
</f>
        <v>0</v>
      </c>
      <c r="G518" s="17">
        <f t="array" ref="G518">IFERROR(
 ( INDEX(Pack_Master!E:E, MATCH($D518, Pack_Master!A:A, 0))
   * INDEX(Pack_Master!F:F, MATCH($D518, Pack_Master!A:A, 0))
   * INDEX(Pack_Master!G:G, MATCH($D518, Pack_Master!A:A, 0))
 ) / INDEX(Config!C:C, MATCH($A518, Config!A:A, 0)),
"")
</f>
        <v>0</v>
      </c>
      <c r="H518" s="17">
        <f t="array" ref="H518">MAX( INDEX(Pack_Master!H:H, MATCH($D518, Pack_Master!A:A, 0)),
      IFERROR(G518, 0) )
</f>
        <v>0</v>
      </c>
      <c r="I518" s="18" t="str">
        <f>IFERROR(__xludf.DUMMYFUNCTION("IFERROR(
 INDEX(
   FILTER(Shipping_Rate_Card!B:F, Shipping_Rate_Card!A:A=$A518),
   MATCH($H518, FILTER(Shipping_Rate_Card!B:B, Shipping_Rate_Card!A:A=$A518), 1),
   IF( INDEX(Config!B:B, MATCH($A518, Config!A:A, 0))=""Local"", 2,
     IF( INDEX(Config!B"&amp;":B, MATCH($A518, Config!A:A, 0))=""Regional"", 3, 4 )
   )
 ),
"""")
"),"")</f>
        <v/>
      </c>
      <c r="J518" s="16">
        <f>IFERROR(__xludf.DUMMYFUNCTION("IFERROR(
 ( E518 * INDEX(FILTER(Pricing_Rules!E:E, Pricing_Rules!A:A=A518, Pricing_Rules!B:B=B518, Pricing_Rules!C:C&lt;=E518, Pricing_Rules!D:D&gt;=E518), 1)
   + INDEX(FILTER(Pricing_Rules!F:F, Pricing_Rules!A:A=A518, Pricing_Rules!B:B=B518, Pricing_Rules!C:C"&amp;"&lt;=E518, Pricing_Rules!D:D&gt;=E518), 1)
 )
 * (1 + IFERROR( INDEX(Config!D:D, MATCH(A518, Config!A:A, 0)), 0 )),
"""")
"),5.8999999999999995)</f>
        <v>5.9</v>
      </c>
      <c r="K518" s="19">
        <f t="shared" si="3"/>
        <v>-5.9</v>
      </c>
      <c r="L518" s="20" t="str">
        <f t="shared" si="4"/>
        <v/>
      </c>
    </row>
    <row r="519" ht="15.75" customHeight="1">
      <c r="A519" s="9" t="s">
        <v>9</v>
      </c>
      <c r="B519" s="12" t="str">
        <f t="array" ref="B519">XLOOKUP(C519, Channel_Listings!C:C, Channel_Listings!B:B)
</f>
        <v>Apparel_Tshirts</v>
      </c>
      <c r="C519" s="22" t="s">
        <v>796</v>
      </c>
      <c r="D519" s="14" t="str">
        <f t="array" ref="D519">XLOOKUP(C519, Channel_Listings!C:C, Channel_Listings!D:D)
</f>
        <v>TSHIRT-COTTONROUND-WHITE-XL</v>
      </c>
      <c r="E519" s="15"/>
      <c r="F519" s="16">
        <f t="array" ref="F519">IFERROR(
  VALUE( INDEX(Product_Master!$I:$I,
               MATCH( INDEX(Pack_Master!$B:$B, MATCH($D519, Pack_Master!$A:$A, 0)),
                      Product_Master!$B:$B, 0)
  )) 
  * VALUE( INDEX(Pack_Master!$C:$C, MATCH($D519, Pack_Master!$A:$A, 0)) )
  + VALUE( INDEX(Pack_Master!$D:$D, MATCH($D519, Pack_Master!$A:$A, 0)) ),
"")
</f>
        <v>0</v>
      </c>
      <c r="G519" s="17">
        <f t="array" ref="G519">IFERROR(
 ( INDEX(Pack_Master!E:E, MATCH($D519, Pack_Master!A:A, 0))
   * INDEX(Pack_Master!F:F, MATCH($D519, Pack_Master!A:A, 0))
   * INDEX(Pack_Master!G:G, MATCH($D519, Pack_Master!A:A, 0))
 ) / INDEX(Config!C:C, MATCH($A519, Config!A:A, 0)),
"")
</f>
        <v>0</v>
      </c>
      <c r="H519" s="17">
        <f t="array" ref="H519">MAX( INDEX(Pack_Master!H:H, MATCH($D519, Pack_Master!A:A, 0)),
      IFERROR(G519, 0) )
</f>
        <v>0</v>
      </c>
      <c r="I519" s="18" t="str">
        <f>IFERROR(__xludf.DUMMYFUNCTION("IFERROR(
 INDEX(
   FILTER(Shipping_Rate_Card!B:F, Shipping_Rate_Card!A:A=$A519),
   MATCH($H519, FILTER(Shipping_Rate_Card!B:B, Shipping_Rate_Card!A:A=$A519), 1),
   IF( INDEX(Config!B:B, MATCH($A519, Config!A:A, 0))=""Local"", 2,
     IF( INDEX(Config!B"&amp;":B, MATCH($A519, Config!A:A, 0))=""Regional"", 3, 4 )
   )
 ),
"""")
"),"")</f>
        <v/>
      </c>
      <c r="J519" s="16">
        <f>IFERROR(__xludf.DUMMYFUNCTION("IFERROR(
 ( E519 * INDEX(FILTER(Pricing_Rules!E:E, Pricing_Rules!A:A=A519, Pricing_Rules!B:B=B519, Pricing_Rules!C:C&lt;=E519, Pricing_Rules!D:D&gt;=E519), 1)
   + INDEX(FILTER(Pricing_Rules!F:F, Pricing_Rules!A:A=A519, Pricing_Rules!B:B=B519, Pricing_Rules!C:C"&amp;"&lt;=E519, Pricing_Rules!D:D&gt;=E519), 1)
 )
 * (1 + IFERROR( INDEX(Config!D:D, MATCH(A519, Config!A:A, 0)), 0 )),
"""")
"),5.8999999999999995)</f>
        <v>5.9</v>
      </c>
      <c r="K519" s="19">
        <f t="shared" si="3"/>
        <v>-5.9</v>
      </c>
      <c r="L519" s="20" t="str">
        <f t="shared" si="4"/>
        <v/>
      </c>
    </row>
    <row r="520" ht="15.75" customHeight="1">
      <c r="A520" s="9" t="s">
        <v>9</v>
      </c>
      <c r="B520" s="12" t="str">
        <f t="array" ref="B520">XLOOKUP(C520, Channel_Listings!C:C, Channel_Listings!B:B)
</f>
        <v>Automotive_FaceMasks</v>
      </c>
      <c r="C520" s="22" t="s">
        <v>798</v>
      </c>
      <c r="D520" s="14" t="str">
        <f t="array" ref="D520">XLOOKUP(C520, Channel_Listings!C:C, Channel_Listings!D:D)
</f>
        <v>MASK-HALF-BLACK-PK1</v>
      </c>
      <c r="E520" s="15"/>
      <c r="F520" s="16">
        <f t="array" ref="F520">IFERROR(
  VALUE( INDEX(Product_Master!$I:$I,
               MATCH( INDEX(Pack_Master!$B:$B, MATCH($D520, Pack_Master!$A:$A, 0)),
                      Product_Master!$B:$B, 0)
  )) 
  * VALUE( INDEX(Pack_Master!$C:$C, MATCH($D520, Pack_Master!$A:$A, 0)) )
  + VALUE( INDEX(Pack_Master!$D:$D, MATCH($D520, Pack_Master!$A:$A, 0)) ),
"")
</f>
        <v>0</v>
      </c>
      <c r="G520" s="17">
        <f t="array" ref="G520">IFERROR(
 ( INDEX(Pack_Master!E:E, MATCH($D520, Pack_Master!A:A, 0))
   * INDEX(Pack_Master!F:F, MATCH($D520, Pack_Master!A:A, 0))
   * INDEX(Pack_Master!G:G, MATCH($D520, Pack_Master!A:A, 0))
 ) / INDEX(Config!C:C, MATCH($A520, Config!A:A, 0)),
"")
</f>
        <v>0</v>
      </c>
      <c r="H520" s="17">
        <f t="array" ref="H520">MAX( INDEX(Pack_Master!H:H, MATCH($D520, Pack_Master!A:A, 0)),
      IFERROR(G520, 0) )
</f>
        <v>0</v>
      </c>
      <c r="I520" s="18" t="str">
        <f>IFERROR(__xludf.DUMMYFUNCTION("IFERROR(
 INDEX(
   FILTER(Shipping_Rate_Card!B:F, Shipping_Rate_Card!A:A=$A520),
   MATCH($H520, FILTER(Shipping_Rate_Card!B:B, Shipping_Rate_Card!A:A=$A520), 1),
   IF( INDEX(Config!B:B, MATCH($A520, Config!A:A, 0))=""Local"", 2,
     IF( INDEX(Config!B"&amp;":B, MATCH($A520, Config!A:A, 0))=""Regional"", 3, 4 )
   )
 ),
"""")
"),"")</f>
        <v/>
      </c>
      <c r="J520" s="16">
        <f>IFERROR(__xludf.DUMMYFUNCTION("IFERROR(
 ( E520 * INDEX(FILTER(Pricing_Rules!E:E, Pricing_Rules!A:A=A520, Pricing_Rules!B:B=B520, Pricing_Rules!C:C&lt;=E520, Pricing_Rules!D:D&gt;=E520), 1)
   + INDEX(FILTER(Pricing_Rules!F:F, Pricing_Rules!A:A=A520, Pricing_Rules!B:B=B520, Pricing_Rules!C:C"&amp;"&lt;=E520, Pricing_Rules!D:D&gt;=E520), 1)
 )
 * (1 + IFERROR( INDEX(Config!D:D, MATCH(A520, Config!A:A, 0)), 0 )),
"""")
"),5.8999999999999995)</f>
        <v>5.9</v>
      </c>
      <c r="K520" s="19">
        <f t="shared" si="3"/>
        <v>-5.9</v>
      </c>
      <c r="L520" s="20" t="str">
        <f t="shared" si="4"/>
        <v/>
      </c>
    </row>
    <row r="521" ht="15.75" customHeight="1">
      <c r="A521" s="9" t="s">
        <v>9</v>
      </c>
      <c r="B521" s="12" t="str">
        <f t="array" ref="B521">XLOOKUP(C521, Channel_Listings!C:C, Channel_Listings!B:B)
</f>
        <v>Automotive_FaceMasks</v>
      </c>
      <c r="C521" s="22" t="s">
        <v>799</v>
      </c>
      <c r="D521" s="14" t="str">
        <f t="array" ref="D521">XLOOKUP(C521, Channel_Listings!C:C, Channel_Listings!D:D)
</f>
        <v>MASK-HALF-BLUE-PK1</v>
      </c>
      <c r="E521" s="15"/>
      <c r="F521" s="16">
        <f t="array" ref="F521">IFERROR(
  VALUE( INDEX(Product_Master!$I:$I,
               MATCH( INDEX(Pack_Master!$B:$B, MATCH($D521, Pack_Master!$A:$A, 0)),
                      Product_Master!$B:$B, 0)
  )) 
  * VALUE( INDEX(Pack_Master!$C:$C, MATCH($D521, Pack_Master!$A:$A, 0)) )
  + VALUE( INDEX(Pack_Master!$D:$D, MATCH($D521, Pack_Master!$A:$A, 0)) ),
"")
</f>
        <v>0</v>
      </c>
      <c r="G521" s="17">
        <f t="array" ref="G521">IFERROR(
 ( INDEX(Pack_Master!E:E, MATCH($D521, Pack_Master!A:A, 0))
   * INDEX(Pack_Master!F:F, MATCH($D521, Pack_Master!A:A, 0))
   * INDEX(Pack_Master!G:G, MATCH($D521, Pack_Master!A:A, 0))
 ) / INDEX(Config!C:C, MATCH($A521, Config!A:A, 0)),
"")
</f>
        <v>0</v>
      </c>
      <c r="H521" s="17">
        <f t="array" ref="H521">MAX( INDEX(Pack_Master!H:H, MATCH($D521, Pack_Master!A:A, 0)),
      IFERROR(G521, 0) )
</f>
        <v>0</v>
      </c>
      <c r="I521" s="18" t="str">
        <f>IFERROR(__xludf.DUMMYFUNCTION("IFERROR(
 INDEX(
   FILTER(Shipping_Rate_Card!B:F, Shipping_Rate_Card!A:A=$A521),
   MATCH($H521, FILTER(Shipping_Rate_Card!B:B, Shipping_Rate_Card!A:A=$A521), 1),
   IF( INDEX(Config!B:B, MATCH($A521, Config!A:A, 0))=""Local"", 2,
     IF( INDEX(Config!B"&amp;":B, MATCH($A521, Config!A:A, 0))=""Regional"", 3, 4 )
   )
 ),
"""")
"),"")</f>
        <v/>
      </c>
      <c r="J521" s="16">
        <f>IFERROR(__xludf.DUMMYFUNCTION("IFERROR(
 ( E521 * INDEX(FILTER(Pricing_Rules!E:E, Pricing_Rules!A:A=A521, Pricing_Rules!B:B=B521, Pricing_Rules!C:C&lt;=E521, Pricing_Rules!D:D&gt;=E521), 1)
   + INDEX(FILTER(Pricing_Rules!F:F, Pricing_Rules!A:A=A521, Pricing_Rules!B:B=B521, Pricing_Rules!C:C"&amp;"&lt;=E521, Pricing_Rules!D:D&gt;=E521), 1)
 )
 * (1 + IFERROR( INDEX(Config!D:D, MATCH(A521, Config!A:A, 0)), 0 )),
"""")
"),5.8999999999999995)</f>
        <v>5.9</v>
      </c>
      <c r="K521" s="19">
        <f t="shared" si="3"/>
        <v>-5.9</v>
      </c>
      <c r="L521" s="20" t="str">
        <f t="shared" si="4"/>
        <v/>
      </c>
    </row>
    <row r="522" ht="15.75" customHeight="1">
      <c r="A522" s="9" t="s">
        <v>9</v>
      </c>
      <c r="B522" s="12" t="str">
        <f t="array" ref="B522">XLOOKUP(C522, Channel_Listings!C:C, Channel_Listings!B:B)
</f>
        <v>Apparel_Accessories_Winter</v>
      </c>
      <c r="C522" s="22" t="s">
        <v>800</v>
      </c>
      <c r="D522" s="14" t="str">
        <f t="array" ref="D522">XLOOKUP(C522, Channel_Listings!C:C, Channel_Listings!D:D)
</f>
        <v>MUFFLER-COMP-BEIGE</v>
      </c>
      <c r="E522" s="15"/>
      <c r="F522" s="16">
        <f t="array" ref="F522">IFERROR(
  VALUE( INDEX(Product_Master!$I:$I,
               MATCH( INDEX(Pack_Master!$B:$B, MATCH($D522, Pack_Master!$A:$A, 0)),
                      Product_Master!$B:$B, 0)
  )) 
  * VALUE( INDEX(Pack_Master!$C:$C, MATCH($D522, Pack_Master!$A:$A, 0)) )
  + VALUE( INDEX(Pack_Master!$D:$D, MATCH($D522, Pack_Master!$A:$A, 0)) ),
"")
</f>
        <v>0</v>
      </c>
      <c r="G522" s="17">
        <f t="array" ref="G522">IFERROR(
 ( INDEX(Pack_Master!E:E, MATCH($D522, Pack_Master!A:A, 0))
   * INDEX(Pack_Master!F:F, MATCH($D522, Pack_Master!A:A, 0))
   * INDEX(Pack_Master!G:G, MATCH($D522, Pack_Master!A:A, 0))
 ) / INDEX(Config!C:C, MATCH($A522, Config!A:A, 0)),
"")
</f>
        <v>0</v>
      </c>
      <c r="H522" s="17">
        <f t="array" ref="H522">MAX( INDEX(Pack_Master!H:H, MATCH($D522, Pack_Master!A:A, 0)),
      IFERROR(G522, 0) )
</f>
        <v>0</v>
      </c>
      <c r="I522" s="18" t="str">
        <f>IFERROR(__xludf.DUMMYFUNCTION("IFERROR(
 INDEX(
   FILTER(Shipping_Rate_Card!B:F, Shipping_Rate_Card!A:A=$A522),
   MATCH($H522, FILTER(Shipping_Rate_Card!B:B, Shipping_Rate_Card!A:A=$A522), 1),
   IF( INDEX(Config!B:B, MATCH($A522, Config!A:A, 0))=""Local"", 2,
     IF( INDEX(Config!B"&amp;":B, MATCH($A522, Config!A:A, 0))=""Regional"", 3, 4 )
   )
 ),
"""")
"),"")</f>
        <v/>
      </c>
      <c r="J522" s="16">
        <f>IFERROR(__xludf.DUMMYFUNCTION("IFERROR(
 ( E522 * INDEX(FILTER(Pricing_Rules!E:E, Pricing_Rules!A:A=A522, Pricing_Rules!B:B=B522, Pricing_Rules!C:C&lt;=E522, Pricing_Rules!D:D&gt;=E522), 1)
   + INDEX(FILTER(Pricing_Rules!F:F, Pricing_Rules!A:A=A522, Pricing_Rules!B:B=B522, Pricing_Rules!C:C"&amp;"&lt;=E522, Pricing_Rules!D:D&gt;=E522), 1)
 )
 * (1 + IFERROR( INDEX(Config!D:D, MATCH(A522, Config!A:A, 0)), 0 )),
"""")
"),5.8999999999999995)</f>
        <v>5.9</v>
      </c>
      <c r="K522" s="19">
        <f t="shared" si="3"/>
        <v>-5.9</v>
      </c>
      <c r="L522" s="20" t="str">
        <f t="shared" si="4"/>
        <v/>
      </c>
    </row>
    <row r="523" ht="15.75" customHeight="1">
      <c r="A523" s="9" t="s">
        <v>9</v>
      </c>
      <c r="B523" s="12" t="str">
        <f t="array" ref="B523">XLOOKUP(C523, Channel_Listings!C:C, Channel_Listings!B:B)
</f>
        <v>Apparel_Accessories_Winter</v>
      </c>
      <c r="C523" s="22" t="s">
        <v>802</v>
      </c>
      <c r="D523" s="14" t="str">
        <f t="array" ref="D523">XLOOKUP(C523, Channel_Listings!C:C, Channel_Listings!D:D)
</f>
        <v>MUFFLER-COMP-GREY</v>
      </c>
      <c r="E523" s="15"/>
      <c r="F523" s="16">
        <f t="array" ref="F523">IFERROR(
  VALUE( INDEX(Product_Master!$I:$I,
               MATCH( INDEX(Pack_Master!$B:$B, MATCH($D523, Pack_Master!$A:$A, 0)),
                      Product_Master!$B:$B, 0)
  )) 
  * VALUE( INDEX(Pack_Master!$C:$C, MATCH($D523, Pack_Master!$A:$A, 0)) )
  + VALUE( INDEX(Pack_Master!$D:$D, MATCH($D523, Pack_Master!$A:$A, 0)) ),
"")
</f>
        <v>0</v>
      </c>
      <c r="G523" s="17">
        <f t="array" ref="G523">IFERROR(
 ( INDEX(Pack_Master!E:E, MATCH($D523, Pack_Master!A:A, 0))
   * INDEX(Pack_Master!F:F, MATCH($D523, Pack_Master!A:A, 0))
   * INDEX(Pack_Master!G:G, MATCH($D523, Pack_Master!A:A, 0))
 ) / INDEX(Config!C:C, MATCH($A523, Config!A:A, 0)),
"")
</f>
        <v>0</v>
      </c>
      <c r="H523" s="17">
        <f t="array" ref="H523">MAX( INDEX(Pack_Master!H:H, MATCH($D523, Pack_Master!A:A, 0)),
      IFERROR(G523, 0) )
</f>
        <v>0</v>
      </c>
      <c r="I523" s="18" t="str">
        <f>IFERROR(__xludf.DUMMYFUNCTION("IFERROR(
 INDEX(
   FILTER(Shipping_Rate_Card!B:F, Shipping_Rate_Card!A:A=$A523),
   MATCH($H523, FILTER(Shipping_Rate_Card!B:B, Shipping_Rate_Card!A:A=$A523), 1),
   IF( INDEX(Config!B:B, MATCH($A523, Config!A:A, 0))=""Local"", 2,
     IF( INDEX(Config!B"&amp;":B, MATCH($A523, Config!A:A, 0))=""Regional"", 3, 4 )
   )
 ),
"""")
"),"")</f>
        <v/>
      </c>
      <c r="J523" s="16">
        <f>IFERROR(__xludf.DUMMYFUNCTION("IFERROR(
 ( E523 * INDEX(FILTER(Pricing_Rules!E:E, Pricing_Rules!A:A=A523, Pricing_Rules!B:B=B523, Pricing_Rules!C:C&lt;=E523, Pricing_Rules!D:D&gt;=E523), 1)
   + INDEX(FILTER(Pricing_Rules!F:F, Pricing_Rules!A:A=A523, Pricing_Rules!B:B=B523, Pricing_Rules!C:C"&amp;"&lt;=E523, Pricing_Rules!D:D&gt;=E523), 1)
 )
 * (1 + IFERROR( INDEX(Config!D:D, MATCH(A523, Config!A:A, 0)), 0 )),
"""")
"),5.8999999999999995)</f>
        <v>5.9</v>
      </c>
      <c r="K523" s="19">
        <f t="shared" si="3"/>
        <v>-5.9</v>
      </c>
      <c r="L523" s="20" t="str">
        <f t="shared" si="4"/>
        <v/>
      </c>
    </row>
    <row r="524" ht="15.75" customHeight="1">
      <c r="A524" s="9" t="s">
        <v>9</v>
      </c>
      <c r="B524" s="12" t="str">
        <f t="array" ref="B524">XLOOKUP(C524, Channel_Listings!C:C, Channel_Listings!B:B)
</f>
        <v>Apparel_Accessories_Winter</v>
      </c>
      <c r="C524" s="22" t="s">
        <v>804</v>
      </c>
      <c r="D524" s="14" t="str">
        <f t="array" ref="D524">XLOOKUP(C524, Channel_Listings!C:C, Channel_Listings!D:D)
</f>
        <v>MUFFLER-PLAIN-BLACK</v>
      </c>
      <c r="E524" s="15"/>
      <c r="F524" s="16">
        <f t="array" ref="F524">IFERROR(
  VALUE( INDEX(Product_Master!$I:$I,
               MATCH( INDEX(Pack_Master!$B:$B, MATCH($D524, Pack_Master!$A:$A, 0)),
                      Product_Master!$B:$B, 0)
  )) 
  * VALUE( INDEX(Pack_Master!$C:$C, MATCH($D524, Pack_Master!$A:$A, 0)) )
  + VALUE( INDEX(Pack_Master!$D:$D, MATCH($D524, Pack_Master!$A:$A, 0)) ),
"")
</f>
        <v>0</v>
      </c>
      <c r="G524" s="17">
        <f t="array" ref="G524">IFERROR(
 ( INDEX(Pack_Master!E:E, MATCH($D524, Pack_Master!A:A, 0))
   * INDEX(Pack_Master!F:F, MATCH($D524, Pack_Master!A:A, 0))
   * INDEX(Pack_Master!G:G, MATCH($D524, Pack_Master!A:A, 0))
 ) / INDEX(Config!C:C, MATCH($A524, Config!A:A, 0)),
"")
</f>
        <v>0</v>
      </c>
      <c r="H524" s="17">
        <f t="array" ref="H524">MAX( INDEX(Pack_Master!H:H, MATCH($D524, Pack_Master!A:A, 0)),
      IFERROR(G524, 0) )
</f>
        <v>0</v>
      </c>
      <c r="I524" s="18" t="str">
        <f>IFERROR(__xludf.DUMMYFUNCTION("IFERROR(
 INDEX(
   FILTER(Shipping_Rate_Card!B:F, Shipping_Rate_Card!A:A=$A524),
   MATCH($H524, FILTER(Shipping_Rate_Card!B:B, Shipping_Rate_Card!A:A=$A524), 1),
   IF( INDEX(Config!B:B, MATCH($A524, Config!A:A, 0))=""Local"", 2,
     IF( INDEX(Config!B"&amp;":B, MATCH($A524, Config!A:A, 0))=""Regional"", 3, 4 )
   )
 ),
"""")
"),"")</f>
        <v/>
      </c>
      <c r="J524" s="16">
        <f>IFERROR(__xludf.DUMMYFUNCTION("IFERROR(
 ( E524 * INDEX(FILTER(Pricing_Rules!E:E, Pricing_Rules!A:A=A524, Pricing_Rules!B:B=B524, Pricing_Rules!C:C&lt;=E524, Pricing_Rules!D:D&gt;=E524), 1)
   + INDEX(FILTER(Pricing_Rules!F:F, Pricing_Rules!A:A=A524, Pricing_Rules!B:B=B524, Pricing_Rules!C:C"&amp;"&lt;=E524, Pricing_Rules!D:D&gt;=E524), 1)
 )
 * (1 + IFERROR( INDEX(Config!D:D, MATCH(A524, Config!A:A, 0)), 0 )),
"""")
"),5.8999999999999995)</f>
        <v>5.9</v>
      </c>
      <c r="K524" s="19">
        <f t="shared" si="3"/>
        <v>-5.9</v>
      </c>
      <c r="L524" s="20" t="str">
        <f t="shared" si="4"/>
        <v/>
      </c>
    </row>
    <row r="525" ht="15.75" customHeight="1">
      <c r="A525" s="9" t="s">
        <v>9</v>
      </c>
      <c r="B525" s="12" t="str">
        <f t="array" ref="B525">XLOOKUP(C525, Channel_Listings!C:C, Channel_Listings!B:B)
</f>
        <v>Apparel_Accessories_Winter</v>
      </c>
      <c r="C525" s="22" t="s">
        <v>805</v>
      </c>
      <c r="D525" s="14" t="str">
        <f t="array" ref="D525">XLOOKUP(C525, Channel_Listings!C:C, Channel_Listings!D:D)
</f>
        <v>MUFFLER-STRIPE-BROWN-BLACK</v>
      </c>
      <c r="E525" s="15"/>
      <c r="F525" s="16">
        <f t="array" ref="F525">IFERROR(
  VALUE( INDEX(Product_Master!$I:$I,
               MATCH( INDEX(Pack_Master!$B:$B, MATCH($D525, Pack_Master!$A:$A, 0)),
                      Product_Master!$B:$B, 0)
  )) 
  * VALUE( INDEX(Pack_Master!$C:$C, MATCH($D525, Pack_Master!$A:$A, 0)) )
  + VALUE( INDEX(Pack_Master!$D:$D, MATCH($D525, Pack_Master!$A:$A, 0)) ),
"")
</f>
        <v>0</v>
      </c>
      <c r="G525" s="17">
        <f t="array" ref="G525">IFERROR(
 ( INDEX(Pack_Master!E:E, MATCH($D525, Pack_Master!A:A, 0))
   * INDEX(Pack_Master!F:F, MATCH($D525, Pack_Master!A:A, 0))
   * INDEX(Pack_Master!G:G, MATCH($D525, Pack_Master!A:A, 0))
 ) / INDEX(Config!C:C, MATCH($A525, Config!A:A, 0)),
"")
</f>
        <v>0</v>
      </c>
      <c r="H525" s="17">
        <f t="array" ref="H525">MAX( INDEX(Pack_Master!H:H, MATCH($D525, Pack_Master!A:A, 0)),
      IFERROR(G525, 0) )
</f>
        <v>0</v>
      </c>
      <c r="I525" s="18" t="str">
        <f>IFERROR(__xludf.DUMMYFUNCTION("IFERROR(
 INDEX(
   FILTER(Shipping_Rate_Card!B:F, Shipping_Rate_Card!A:A=$A525),
   MATCH($H525, FILTER(Shipping_Rate_Card!B:B, Shipping_Rate_Card!A:A=$A525), 1),
   IF( INDEX(Config!B:B, MATCH($A525, Config!A:A, 0))=""Local"", 2,
     IF( INDEX(Config!B"&amp;":B, MATCH($A525, Config!A:A, 0))=""Regional"", 3, 4 )
   )
 ),
"""")
"),"")</f>
        <v/>
      </c>
      <c r="J525" s="16">
        <f>IFERROR(__xludf.DUMMYFUNCTION("IFERROR(
 ( E525 * INDEX(FILTER(Pricing_Rules!E:E, Pricing_Rules!A:A=A525, Pricing_Rules!B:B=B525, Pricing_Rules!C:C&lt;=E525, Pricing_Rules!D:D&gt;=E525), 1)
   + INDEX(FILTER(Pricing_Rules!F:F, Pricing_Rules!A:A=A525, Pricing_Rules!B:B=B525, Pricing_Rules!C:C"&amp;"&lt;=E525, Pricing_Rules!D:D&gt;=E525), 1)
 )
 * (1 + IFERROR( INDEX(Config!D:D, MATCH(A525, Config!A:A, 0)), 0 )),
"""")
"),5.8999999999999995)</f>
        <v>5.9</v>
      </c>
      <c r="K525" s="19">
        <f t="shared" si="3"/>
        <v>-5.9</v>
      </c>
      <c r="L525" s="20" t="str">
        <f t="shared" si="4"/>
        <v/>
      </c>
    </row>
    <row r="526" ht="15.75" customHeight="1">
      <c r="A526" s="9" t="s">
        <v>9</v>
      </c>
      <c r="B526" s="12" t="str">
        <f t="array" ref="B526">XLOOKUP(C526, Channel_Listings!C:C, Channel_Listings!B:B)
</f>
        <v>Apparel_Accessories_Winter</v>
      </c>
      <c r="C526" s="22" t="s">
        <v>806</v>
      </c>
      <c r="D526" s="14" t="str">
        <f t="array" ref="D526">XLOOKUP(C526, Channel_Listings!C:C, Channel_Listings!D:D)
</f>
        <v>MUFFLER-STRIPE-MAROON-BLACK</v>
      </c>
      <c r="E526" s="15"/>
      <c r="F526" s="16">
        <f t="array" ref="F526">IFERROR(
  VALUE( INDEX(Product_Master!$I:$I,
               MATCH( INDEX(Pack_Master!$B:$B, MATCH($D526, Pack_Master!$A:$A, 0)),
                      Product_Master!$B:$B, 0)
  )) 
  * VALUE( INDEX(Pack_Master!$C:$C, MATCH($D526, Pack_Master!$A:$A, 0)) )
  + VALUE( INDEX(Pack_Master!$D:$D, MATCH($D526, Pack_Master!$A:$A, 0)) ),
"")
</f>
        <v>0</v>
      </c>
      <c r="G526" s="17">
        <f t="array" ref="G526">IFERROR(
 ( INDEX(Pack_Master!E:E, MATCH($D526, Pack_Master!A:A, 0))
   * INDEX(Pack_Master!F:F, MATCH($D526, Pack_Master!A:A, 0))
   * INDEX(Pack_Master!G:G, MATCH($D526, Pack_Master!A:A, 0))
 ) / INDEX(Config!C:C, MATCH($A526, Config!A:A, 0)),
"")
</f>
        <v>0</v>
      </c>
      <c r="H526" s="17">
        <f t="array" ref="H526">MAX( INDEX(Pack_Master!H:H, MATCH($D526, Pack_Master!A:A, 0)),
      IFERROR(G526, 0) )
</f>
        <v>0</v>
      </c>
      <c r="I526" s="18" t="str">
        <f>IFERROR(__xludf.DUMMYFUNCTION("IFERROR(
 INDEX(
   FILTER(Shipping_Rate_Card!B:F, Shipping_Rate_Card!A:A=$A526),
   MATCH($H526, FILTER(Shipping_Rate_Card!B:B, Shipping_Rate_Card!A:A=$A526), 1),
   IF( INDEX(Config!B:B, MATCH($A526, Config!A:A, 0))=""Local"", 2,
     IF( INDEX(Config!B"&amp;":B, MATCH($A526, Config!A:A, 0))=""Regional"", 3, 4 )
   )
 ),
"""")
"),"")</f>
        <v/>
      </c>
      <c r="J526" s="16">
        <f>IFERROR(__xludf.DUMMYFUNCTION("IFERROR(
 ( E526 * INDEX(FILTER(Pricing_Rules!E:E, Pricing_Rules!A:A=A526, Pricing_Rules!B:B=B526, Pricing_Rules!C:C&lt;=E526, Pricing_Rules!D:D&gt;=E526), 1)
   + INDEX(FILTER(Pricing_Rules!F:F, Pricing_Rules!A:A=A526, Pricing_Rules!B:B=B526, Pricing_Rules!C:C"&amp;"&lt;=E526, Pricing_Rules!D:D&gt;=E526), 1)
 )
 * (1 + IFERROR( INDEX(Config!D:D, MATCH(A526, Config!A:A, 0)), 0 )),
"""")
"),5.8999999999999995)</f>
        <v>5.9</v>
      </c>
      <c r="K526" s="19">
        <f t="shared" si="3"/>
        <v>-5.9</v>
      </c>
      <c r="L526" s="20" t="str">
        <f t="shared" si="4"/>
        <v/>
      </c>
    </row>
    <row r="527" ht="15.75" customHeight="1">
      <c r="A527" s="9" t="s">
        <v>9</v>
      </c>
      <c r="B527" s="12" t="str">
        <f t="array" ref="B527">XLOOKUP(C527, Channel_Listings!C:C, Channel_Listings!B:B)
</f>
        <v>Garden_Planters</v>
      </c>
      <c r="C527" s="23" t="s">
        <v>807</v>
      </c>
      <c r="D527" s="14" t="str">
        <f t="array" ref="D527">XLOOKUP(C527, Channel_Listings!C:C, Channel_Listings!D:D)
</f>
        <v>PLANTER-BLACK-BLOSSOM10-PK2</v>
      </c>
      <c r="E527" s="15"/>
      <c r="F527" s="16">
        <f t="array" ref="F527">IFERROR(
  VALUE( INDEX(Product_Master!$I:$I,
               MATCH( INDEX(Pack_Master!$B:$B, MATCH($D527, Pack_Master!$A:$A, 0)),
                      Product_Master!$B:$B, 0)
  )) 
  * VALUE( INDEX(Pack_Master!$C:$C, MATCH($D527, Pack_Master!$A:$A, 0)) )
  + VALUE( INDEX(Pack_Master!$D:$D, MATCH($D527, Pack_Master!$A:$A, 0)) ),
"")
</f>
        <v>0</v>
      </c>
      <c r="G527" s="17">
        <f t="array" ref="G527">IFERROR(
 ( INDEX(Pack_Master!E:E, MATCH($D527, Pack_Master!A:A, 0))
   * INDEX(Pack_Master!F:F, MATCH($D527, Pack_Master!A:A, 0))
   * INDEX(Pack_Master!G:G, MATCH($D527, Pack_Master!A:A, 0))
 ) / INDEX(Config!C:C, MATCH($A527, Config!A:A, 0)),
"")
</f>
        <v>0</v>
      </c>
      <c r="H527" s="17">
        <f t="array" ref="H527">MAX( INDEX(Pack_Master!H:H, MATCH($D527, Pack_Master!A:A, 0)),
      IFERROR(G527, 0) )
</f>
        <v>0</v>
      </c>
      <c r="I527" s="18" t="str">
        <f>IFERROR(__xludf.DUMMYFUNCTION("IFERROR(
 INDEX(
   FILTER(Shipping_Rate_Card!B:F, Shipping_Rate_Card!A:A=$A527),
   MATCH($H527, FILTER(Shipping_Rate_Card!B:B, Shipping_Rate_Card!A:A=$A527), 1),
   IF( INDEX(Config!B:B, MATCH($A527, Config!A:A, 0))=""Local"", 2,
     IF( INDEX(Config!B"&amp;":B, MATCH($A527, Config!A:A, 0))=""Regional"", 3, 4 )
   )
 ),
"""")
"),"")</f>
        <v/>
      </c>
      <c r="J527" s="16">
        <f>IFERROR(__xludf.DUMMYFUNCTION("IFERROR(
 ( E527 * INDEX(FILTER(Pricing_Rules!E:E, Pricing_Rules!A:A=A527, Pricing_Rules!B:B=B527, Pricing_Rules!C:C&lt;=E527, Pricing_Rules!D:D&gt;=E527), 1)
   + INDEX(FILTER(Pricing_Rules!F:F, Pricing_Rules!A:A=A527, Pricing_Rules!B:B=B527, Pricing_Rules!C:C"&amp;"&lt;=E527, Pricing_Rules!D:D&gt;=E527), 1)
 )
 * (1 + IFERROR( INDEX(Config!D:D, MATCH(A527, Config!A:A, 0)), 0 )),
"""")
"),5.8999999999999995)</f>
        <v>5.9</v>
      </c>
      <c r="K527" s="19">
        <f t="shared" si="3"/>
        <v>-5.9</v>
      </c>
      <c r="L527" s="20" t="str">
        <f t="shared" si="4"/>
        <v/>
      </c>
    </row>
    <row r="528" ht="15.75" customHeight="1">
      <c r="A528" s="9" t="s">
        <v>9</v>
      </c>
      <c r="B528" s="12" t="str">
        <f t="array" ref="B528">XLOOKUP(C528, Channel_Listings!C:C, Channel_Listings!B:B)
</f>
        <v>Garden_Planters</v>
      </c>
      <c r="C528" s="23" t="s">
        <v>810</v>
      </c>
      <c r="D528" s="14" t="str">
        <f t="array" ref="D528">XLOOKUP(C528, Channel_Listings!C:C, Channel_Listings!D:D)
</f>
        <v>PLANTER-BLACK-BLOSSOM10-PK6</v>
      </c>
      <c r="E528" s="15"/>
      <c r="F528" s="16">
        <f t="array" ref="F528">IFERROR(
  VALUE( INDEX(Product_Master!$I:$I,
               MATCH( INDEX(Pack_Master!$B:$B, MATCH($D528, Pack_Master!$A:$A, 0)),
                      Product_Master!$B:$B, 0)
  )) 
  * VALUE( INDEX(Pack_Master!$C:$C, MATCH($D528, Pack_Master!$A:$A, 0)) )
  + VALUE( INDEX(Pack_Master!$D:$D, MATCH($D528, Pack_Master!$A:$A, 0)) ),
"")
</f>
        <v>0</v>
      </c>
      <c r="G528" s="17">
        <f t="array" ref="G528">IFERROR(
 ( INDEX(Pack_Master!E:E, MATCH($D528, Pack_Master!A:A, 0))
   * INDEX(Pack_Master!F:F, MATCH($D528, Pack_Master!A:A, 0))
   * INDEX(Pack_Master!G:G, MATCH($D528, Pack_Master!A:A, 0))
 ) / INDEX(Config!C:C, MATCH($A528, Config!A:A, 0)),
"")
</f>
        <v>0</v>
      </c>
      <c r="H528" s="17">
        <f t="array" ref="H528">MAX( INDEX(Pack_Master!H:H, MATCH($D528, Pack_Master!A:A, 0)),
      IFERROR(G528, 0) )
</f>
        <v>0</v>
      </c>
      <c r="I528" s="18" t="str">
        <f>IFERROR(__xludf.DUMMYFUNCTION("IFERROR(
 INDEX(
   FILTER(Shipping_Rate_Card!B:F, Shipping_Rate_Card!A:A=$A528),
   MATCH($H528, FILTER(Shipping_Rate_Card!B:B, Shipping_Rate_Card!A:A=$A528), 1),
   IF( INDEX(Config!B:B, MATCH($A528, Config!A:A, 0))=""Local"", 2,
     IF( INDEX(Config!B"&amp;":B, MATCH($A528, Config!A:A, 0))=""Regional"", 3, 4 )
   )
 ),
"""")
"),"")</f>
        <v/>
      </c>
      <c r="J528" s="16">
        <f>IFERROR(__xludf.DUMMYFUNCTION("IFERROR(
 ( E528 * INDEX(FILTER(Pricing_Rules!E:E, Pricing_Rules!A:A=A528, Pricing_Rules!B:B=B528, Pricing_Rules!C:C&lt;=E528, Pricing_Rules!D:D&gt;=E528), 1)
   + INDEX(FILTER(Pricing_Rules!F:F, Pricing_Rules!A:A=A528, Pricing_Rules!B:B=B528, Pricing_Rules!C:C"&amp;"&lt;=E528, Pricing_Rules!D:D&gt;=E528), 1)
 )
 * (1 + IFERROR( INDEX(Config!D:D, MATCH(A528, Config!A:A, 0)), 0 )),
"""")
"),5.8999999999999995)</f>
        <v>5.9</v>
      </c>
      <c r="K528" s="19">
        <f t="shared" si="3"/>
        <v>-5.9</v>
      </c>
      <c r="L528" s="20" t="str">
        <f t="shared" si="4"/>
        <v/>
      </c>
    </row>
    <row r="529" ht="15.75" customHeight="1">
      <c r="A529" s="9" t="s">
        <v>9</v>
      </c>
      <c r="B529" s="12" t="str">
        <f t="array" ref="B529">XLOOKUP(C529, Channel_Listings!C:C, Channel_Listings!B:B)
</f>
        <v>Garden_Planters</v>
      </c>
      <c r="C529" s="23" t="s">
        <v>813</v>
      </c>
      <c r="D529" s="14" t="str">
        <f t="array" ref="D529">XLOOKUP(C529, Channel_Listings!C:C, Channel_Listings!D:D)
</f>
        <v>PLANTER-BROWN-HEXA7-PK2</v>
      </c>
      <c r="E529" s="15"/>
      <c r="F529" s="16">
        <f t="array" ref="F529">IFERROR(
  VALUE( INDEX(Product_Master!$I:$I,
               MATCH( INDEX(Pack_Master!$B:$B, MATCH($D529, Pack_Master!$A:$A, 0)),
                      Product_Master!$B:$B, 0)
  )) 
  * VALUE( INDEX(Pack_Master!$C:$C, MATCH($D529, Pack_Master!$A:$A, 0)) )
  + VALUE( INDEX(Pack_Master!$D:$D, MATCH($D529, Pack_Master!$A:$A, 0)) ),
"")
</f>
        <v>0</v>
      </c>
      <c r="G529" s="17">
        <f t="array" ref="G529">IFERROR(
 ( INDEX(Pack_Master!E:E, MATCH($D529, Pack_Master!A:A, 0))
   * INDEX(Pack_Master!F:F, MATCH($D529, Pack_Master!A:A, 0))
   * INDEX(Pack_Master!G:G, MATCH($D529, Pack_Master!A:A, 0))
 ) / INDEX(Config!C:C, MATCH($A529, Config!A:A, 0)),
"")
</f>
        <v>0</v>
      </c>
      <c r="H529" s="17">
        <f t="array" ref="H529">MAX( INDEX(Pack_Master!H:H, MATCH($D529, Pack_Master!A:A, 0)),
      IFERROR(G529, 0) )
</f>
        <v>0</v>
      </c>
      <c r="I529" s="18" t="str">
        <f>IFERROR(__xludf.DUMMYFUNCTION("IFERROR(
 INDEX(
   FILTER(Shipping_Rate_Card!B:F, Shipping_Rate_Card!A:A=$A529),
   MATCH($H529, FILTER(Shipping_Rate_Card!B:B, Shipping_Rate_Card!A:A=$A529), 1),
   IF( INDEX(Config!B:B, MATCH($A529, Config!A:A, 0))=""Local"", 2,
     IF( INDEX(Config!B"&amp;":B, MATCH($A529, Config!A:A, 0))=""Regional"", 3, 4 )
   )
 ),
"""")
"),"")</f>
        <v/>
      </c>
      <c r="J529" s="16">
        <f>IFERROR(__xludf.DUMMYFUNCTION("IFERROR(
 ( E529 * INDEX(FILTER(Pricing_Rules!E:E, Pricing_Rules!A:A=A529, Pricing_Rules!B:B=B529, Pricing_Rules!C:C&lt;=E529, Pricing_Rules!D:D&gt;=E529), 1)
   + INDEX(FILTER(Pricing_Rules!F:F, Pricing_Rules!A:A=A529, Pricing_Rules!B:B=B529, Pricing_Rules!C:C"&amp;"&lt;=E529, Pricing_Rules!D:D&gt;=E529), 1)
 )
 * (1 + IFERROR( INDEX(Config!D:D, MATCH(A529, Config!A:A, 0)), 0 )),
"""")
"),5.8999999999999995)</f>
        <v>5.9</v>
      </c>
      <c r="K529" s="19">
        <f t="shared" si="3"/>
        <v>-5.9</v>
      </c>
      <c r="L529" s="20" t="str">
        <f t="shared" si="4"/>
        <v/>
      </c>
    </row>
    <row r="530" ht="15.75" customHeight="1">
      <c r="A530" s="9" t="s">
        <v>9</v>
      </c>
      <c r="B530" s="12" t="str">
        <f t="array" ref="B530">XLOOKUP(C530, Channel_Listings!C:C, Channel_Listings!B:B)
</f>
        <v>Garden_Planters</v>
      </c>
      <c r="C530" s="23" t="s">
        <v>816</v>
      </c>
      <c r="D530" s="14" t="str">
        <f t="array" ref="D530">XLOOKUP(C530, Channel_Listings!C:C, Channel_Listings!D:D)
</f>
        <v>PLANTER-BROWN-HEXA7-PK6</v>
      </c>
      <c r="E530" s="15"/>
      <c r="F530" s="16">
        <f t="array" ref="F530">IFERROR(
  VALUE( INDEX(Product_Master!$I:$I,
               MATCH( INDEX(Pack_Master!$B:$B, MATCH($D530, Pack_Master!$A:$A, 0)),
                      Product_Master!$B:$B, 0)
  )) 
  * VALUE( INDEX(Pack_Master!$C:$C, MATCH($D530, Pack_Master!$A:$A, 0)) )
  + VALUE( INDEX(Pack_Master!$D:$D, MATCH($D530, Pack_Master!$A:$A, 0)) ),
"")
</f>
        <v>0</v>
      </c>
      <c r="G530" s="17">
        <f t="array" ref="G530">IFERROR(
 ( INDEX(Pack_Master!E:E, MATCH($D530, Pack_Master!A:A, 0))
   * INDEX(Pack_Master!F:F, MATCH($D530, Pack_Master!A:A, 0))
   * INDEX(Pack_Master!G:G, MATCH($D530, Pack_Master!A:A, 0))
 ) / INDEX(Config!C:C, MATCH($A530, Config!A:A, 0)),
"")
</f>
        <v>0</v>
      </c>
      <c r="H530" s="17">
        <f t="array" ref="H530">MAX( INDEX(Pack_Master!H:H, MATCH($D530, Pack_Master!A:A, 0)),
      IFERROR(G530, 0) )
</f>
        <v>0</v>
      </c>
      <c r="I530" s="18" t="str">
        <f>IFERROR(__xludf.DUMMYFUNCTION("IFERROR(
 INDEX(
   FILTER(Shipping_Rate_Card!B:F, Shipping_Rate_Card!A:A=$A530),
   MATCH($H530, FILTER(Shipping_Rate_Card!B:B, Shipping_Rate_Card!A:A=$A530), 1),
   IF( INDEX(Config!B:B, MATCH($A530, Config!A:A, 0))=""Local"", 2,
     IF( INDEX(Config!B"&amp;":B, MATCH($A530, Config!A:A, 0))=""Regional"", 3, 4 )
   )
 ),
"""")
"),"")</f>
        <v/>
      </c>
      <c r="J530" s="16">
        <f>IFERROR(__xludf.DUMMYFUNCTION("IFERROR(
 ( E530 * INDEX(FILTER(Pricing_Rules!E:E, Pricing_Rules!A:A=A530, Pricing_Rules!B:B=B530, Pricing_Rules!C:C&lt;=E530, Pricing_Rules!D:D&gt;=E530), 1)
   + INDEX(FILTER(Pricing_Rules!F:F, Pricing_Rules!A:A=A530, Pricing_Rules!B:B=B530, Pricing_Rules!C:C"&amp;"&lt;=E530, Pricing_Rules!D:D&gt;=E530), 1)
 )
 * (1 + IFERROR( INDEX(Config!D:D, MATCH(A530, Config!A:A, 0)), 0 )),
"""")
"),5.8999999999999995)</f>
        <v>5.9</v>
      </c>
      <c r="K530" s="19">
        <f t="shared" si="3"/>
        <v>-5.9</v>
      </c>
      <c r="L530" s="20" t="str">
        <f t="shared" si="4"/>
        <v/>
      </c>
    </row>
    <row r="531" ht="15.75" customHeight="1">
      <c r="A531" s="9" t="s">
        <v>9</v>
      </c>
      <c r="B531" s="12" t="str">
        <f t="array" ref="B531">XLOOKUP(C531, Channel_Listings!C:C, Channel_Listings!B:B)
</f>
        <v>Garden_Planters</v>
      </c>
      <c r="C531" s="23" t="s">
        <v>819</v>
      </c>
      <c r="D531" s="14" t="str">
        <f t="array" ref="D531">XLOOKUP(C531, Channel_Listings!C:C, Channel_Listings!D:D)
</f>
        <v>PLANTER-BROWN-HEXA9-PK2</v>
      </c>
      <c r="E531" s="15"/>
      <c r="F531" s="16">
        <f t="array" ref="F531">IFERROR(
  VALUE( INDEX(Product_Master!$I:$I,
               MATCH( INDEX(Pack_Master!$B:$B, MATCH($D531, Pack_Master!$A:$A, 0)),
                      Product_Master!$B:$B, 0)
  )) 
  * VALUE( INDEX(Pack_Master!$C:$C, MATCH($D531, Pack_Master!$A:$A, 0)) )
  + VALUE( INDEX(Pack_Master!$D:$D, MATCH($D531, Pack_Master!$A:$A, 0)) ),
"")
</f>
        <v>0</v>
      </c>
      <c r="G531" s="17">
        <f t="array" ref="G531">IFERROR(
 ( INDEX(Pack_Master!E:E, MATCH($D531, Pack_Master!A:A, 0))
   * INDEX(Pack_Master!F:F, MATCH($D531, Pack_Master!A:A, 0))
   * INDEX(Pack_Master!G:G, MATCH($D531, Pack_Master!A:A, 0))
 ) / INDEX(Config!C:C, MATCH($A531, Config!A:A, 0)),
"")
</f>
        <v>0</v>
      </c>
      <c r="H531" s="17">
        <f t="array" ref="H531">MAX( INDEX(Pack_Master!H:H, MATCH($D531, Pack_Master!A:A, 0)),
      IFERROR(G531, 0) )
</f>
        <v>0</v>
      </c>
      <c r="I531" s="18" t="str">
        <f>IFERROR(__xludf.DUMMYFUNCTION("IFERROR(
 INDEX(
   FILTER(Shipping_Rate_Card!B:F, Shipping_Rate_Card!A:A=$A531),
   MATCH($H531, FILTER(Shipping_Rate_Card!B:B, Shipping_Rate_Card!A:A=$A531), 1),
   IF( INDEX(Config!B:B, MATCH($A531, Config!A:A, 0))=""Local"", 2,
     IF( INDEX(Config!B"&amp;":B, MATCH($A531, Config!A:A, 0))=""Regional"", 3, 4 )
   )
 ),
"""")
"),"")</f>
        <v/>
      </c>
      <c r="J531" s="16">
        <f>IFERROR(__xludf.DUMMYFUNCTION("IFERROR(
 ( E531 * INDEX(FILTER(Pricing_Rules!E:E, Pricing_Rules!A:A=A531, Pricing_Rules!B:B=B531, Pricing_Rules!C:C&lt;=E531, Pricing_Rules!D:D&gt;=E531), 1)
   + INDEX(FILTER(Pricing_Rules!F:F, Pricing_Rules!A:A=A531, Pricing_Rules!B:B=B531, Pricing_Rules!C:C"&amp;"&lt;=E531, Pricing_Rules!D:D&gt;=E531), 1)
 )
 * (1 + IFERROR( INDEX(Config!D:D, MATCH(A531, Config!A:A, 0)), 0 )),
"""")
"),5.8999999999999995)</f>
        <v>5.9</v>
      </c>
      <c r="K531" s="19">
        <f t="shared" si="3"/>
        <v>-5.9</v>
      </c>
      <c r="L531" s="20" t="str">
        <f t="shared" si="4"/>
        <v/>
      </c>
    </row>
    <row r="532" ht="15.75" customHeight="1">
      <c r="A532" s="9" t="s">
        <v>9</v>
      </c>
      <c r="B532" s="12" t="str">
        <f t="array" ref="B532">XLOOKUP(C532, Channel_Listings!C:C, Channel_Listings!B:B)
</f>
        <v>Garden_Planters</v>
      </c>
      <c r="C532" s="23" t="s">
        <v>822</v>
      </c>
      <c r="D532" s="14" t="str">
        <f t="array" ref="D532">XLOOKUP(C532, Channel_Listings!C:C, Channel_Listings!D:D)
</f>
        <v>PLANTER-BROWN-HEXA9-PK6</v>
      </c>
      <c r="E532" s="15"/>
      <c r="F532" s="16">
        <f t="array" ref="F532">IFERROR(
  VALUE( INDEX(Product_Master!$I:$I,
               MATCH( INDEX(Pack_Master!$B:$B, MATCH($D532, Pack_Master!$A:$A, 0)),
                      Product_Master!$B:$B, 0)
  )) 
  * VALUE( INDEX(Pack_Master!$C:$C, MATCH($D532, Pack_Master!$A:$A, 0)) )
  + VALUE( INDEX(Pack_Master!$D:$D, MATCH($D532, Pack_Master!$A:$A, 0)) ),
"")
</f>
        <v>0</v>
      </c>
      <c r="G532" s="17">
        <f t="array" ref="G532">IFERROR(
 ( INDEX(Pack_Master!E:E, MATCH($D532, Pack_Master!A:A, 0))
   * INDEX(Pack_Master!F:F, MATCH($D532, Pack_Master!A:A, 0))
   * INDEX(Pack_Master!G:G, MATCH($D532, Pack_Master!A:A, 0))
 ) / INDEX(Config!C:C, MATCH($A532, Config!A:A, 0)),
"")
</f>
        <v>0</v>
      </c>
      <c r="H532" s="17">
        <f t="array" ref="H532">MAX( INDEX(Pack_Master!H:H, MATCH($D532, Pack_Master!A:A, 0)),
      IFERROR(G532, 0) )
</f>
        <v>0</v>
      </c>
      <c r="I532" s="18" t="str">
        <f>IFERROR(__xludf.DUMMYFUNCTION("IFERROR(
 INDEX(
   FILTER(Shipping_Rate_Card!B:F, Shipping_Rate_Card!A:A=$A532),
   MATCH($H532, FILTER(Shipping_Rate_Card!B:B, Shipping_Rate_Card!A:A=$A532), 1),
   IF( INDEX(Config!B:B, MATCH($A532, Config!A:A, 0))=""Local"", 2,
     IF( INDEX(Config!B"&amp;":B, MATCH($A532, Config!A:A, 0))=""Regional"", 3, 4 )
   )
 ),
"""")
"),"")</f>
        <v/>
      </c>
      <c r="J532" s="16">
        <f>IFERROR(__xludf.DUMMYFUNCTION("IFERROR(
 ( E532 * INDEX(FILTER(Pricing_Rules!E:E, Pricing_Rules!A:A=A532, Pricing_Rules!B:B=B532, Pricing_Rules!C:C&lt;=E532, Pricing_Rules!D:D&gt;=E532), 1)
   + INDEX(FILTER(Pricing_Rules!F:F, Pricing_Rules!A:A=A532, Pricing_Rules!B:B=B532, Pricing_Rules!C:C"&amp;"&lt;=E532, Pricing_Rules!D:D&gt;=E532), 1)
 )
 * (1 + IFERROR( INDEX(Config!D:D, MATCH(A532, Config!A:A, 0)), 0 )),
"""")
"),5.8999999999999995)</f>
        <v>5.9</v>
      </c>
      <c r="K532" s="19">
        <f t="shared" si="3"/>
        <v>-5.9</v>
      </c>
      <c r="L532" s="20" t="str">
        <f t="shared" si="4"/>
        <v/>
      </c>
    </row>
    <row r="533" ht="15.75" customHeight="1">
      <c r="A533" s="9" t="s">
        <v>9</v>
      </c>
      <c r="B533" s="12" t="str">
        <f t="array" ref="B533">XLOOKUP(C533, Channel_Listings!C:C, Channel_Listings!B:B)
</f>
        <v>Garden_Planters</v>
      </c>
      <c r="C533" s="23" t="s">
        <v>825</v>
      </c>
      <c r="D533" s="14" t="str">
        <f t="array" ref="D533">XLOOKUP(C533, Channel_Listings!C:C, Channel_Listings!D:D)
</f>
        <v>PLANTER-BROWN-PLATE-NP10-PK16</v>
      </c>
      <c r="E533" s="15"/>
      <c r="F533" s="16">
        <f t="array" ref="F533">IFERROR(
  VALUE( INDEX(Product_Master!$I:$I,
               MATCH( INDEX(Pack_Master!$B:$B, MATCH($D533, Pack_Master!$A:$A, 0)),
                      Product_Master!$B:$B, 0)
  )) 
  * VALUE( INDEX(Pack_Master!$C:$C, MATCH($D533, Pack_Master!$A:$A, 0)) )
  + VALUE( INDEX(Pack_Master!$D:$D, MATCH($D533, Pack_Master!$A:$A, 0)) ),
"")
</f>
        <v>293.44</v>
      </c>
      <c r="G533" s="17">
        <f t="array" ref="G533">IFERROR(
 ( INDEX(Pack_Master!E:E, MATCH($D533, Pack_Master!A:A, 0))
   * INDEX(Pack_Master!F:F, MATCH($D533, Pack_Master!A:A, 0))
   * INDEX(Pack_Master!G:G, MATCH($D533, Pack_Master!A:A, 0))
 ) / INDEX(Config!C:C, MATCH($A533, Config!A:A, 0)),
"")
</f>
        <v>0</v>
      </c>
      <c r="H533" s="17">
        <f t="array" ref="H533">MAX( INDEX(Pack_Master!H:H, MATCH($D533, Pack_Master!A:A, 0)),
      IFERROR(G533, 0) )
</f>
        <v>0</v>
      </c>
      <c r="I533" s="18" t="str">
        <f>IFERROR(__xludf.DUMMYFUNCTION("IFERROR(
 INDEX(
   FILTER(Shipping_Rate_Card!B:F, Shipping_Rate_Card!A:A=$A533),
   MATCH($H533, FILTER(Shipping_Rate_Card!B:B, Shipping_Rate_Card!A:A=$A533), 1),
   IF( INDEX(Config!B:B, MATCH($A533, Config!A:A, 0))=""Local"", 2,
     IF( INDEX(Config!B"&amp;":B, MATCH($A533, Config!A:A, 0))=""Regional"", 3, 4 )
   )
 ),
"""")
"),"")</f>
        <v/>
      </c>
      <c r="J533" s="16">
        <f>IFERROR(__xludf.DUMMYFUNCTION("IFERROR(
 ( E533 * INDEX(FILTER(Pricing_Rules!E:E, Pricing_Rules!A:A=A533, Pricing_Rules!B:B=B533, Pricing_Rules!C:C&lt;=E533, Pricing_Rules!D:D&gt;=E533), 1)
   + INDEX(FILTER(Pricing_Rules!F:F, Pricing_Rules!A:A=A533, Pricing_Rules!B:B=B533, Pricing_Rules!C:C"&amp;"&lt;=E533, Pricing_Rules!D:D&gt;=E533), 1)
 )
 * (1 + IFERROR( INDEX(Config!D:D, MATCH(A533, Config!A:A, 0)), 0 )),
"""")
"),5.8999999999999995)</f>
        <v>5.9</v>
      </c>
      <c r="K533" s="19">
        <f t="shared" si="3"/>
        <v>-299.34</v>
      </c>
      <c r="L533" s="20" t="str">
        <f t="shared" si="4"/>
        <v/>
      </c>
    </row>
    <row r="534" ht="15.75" customHeight="1">
      <c r="A534" s="9" t="s">
        <v>9</v>
      </c>
      <c r="B534" s="12" t="str">
        <f t="array" ref="B534">XLOOKUP(C534, Channel_Listings!C:C, Channel_Listings!B:B)
</f>
        <v>Garden_Planters</v>
      </c>
      <c r="C534" s="23" t="s">
        <v>827</v>
      </c>
      <c r="D534" s="14" t="str">
        <f t="array" ref="D534">XLOOKUP(C534, Channel_Listings!C:C, Channel_Listings!D:D)
</f>
        <v>PLANTER-BROWN-PLATE-NP10-PK4</v>
      </c>
      <c r="E534" s="15"/>
      <c r="F534" s="16">
        <f t="array" ref="F534">IFERROR(
  VALUE( INDEX(Product_Master!$I:$I,
               MATCH( INDEX(Pack_Master!$B:$B, MATCH($D534, Pack_Master!$A:$A, 0)),
                      Product_Master!$B:$B, 0)
  )) 
  * VALUE( INDEX(Pack_Master!$C:$C, MATCH($D534, Pack_Master!$A:$A, 0)) )
  + VALUE( INDEX(Pack_Master!$D:$D, MATCH($D534, Pack_Master!$A:$A, 0)) ),
"")
</f>
        <v>73.36</v>
      </c>
      <c r="G534" s="17">
        <f t="array" ref="G534">IFERROR(
 ( INDEX(Pack_Master!E:E, MATCH($D534, Pack_Master!A:A, 0))
   * INDEX(Pack_Master!F:F, MATCH($D534, Pack_Master!A:A, 0))
   * INDEX(Pack_Master!G:G, MATCH($D534, Pack_Master!A:A, 0))
 ) / INDEX(Config!C:C, MATCH($A534, Config!A:A, 0)),
"")
</f>
        <v>0</v>
      </c>
      <c r="H534" s="17">
        <f t="array" ref="H534">MAX( INDEX(Pack_Master!H:H, MATCH($D534, Pack_Master!A:A, 0)),
      IFERROR(G534, 0) )
</f>
        <v>0</v>
      </c>
      <c r="I534" s="18" t="str">
        <f>IFERROR(__xludf.DUMMYFUNCTION("IFERROR(
 INDEX(
   FILTER(Shipping_Rate_Card!B:F, Shipping_Rate_Card!A:A=$A534),
   MATCH($H534, FILTER(Shipping_Rate_Card!B:B, Shipping_Rate_Card!A:A=$A534), 1),
   IF( INDEX(Config!B:B, MATCH($A534, Config!A:A, 0))=""Local"", 2,
     IF( INDEX(Config!B"&amp;":B, MATCH($A534, Config!A:A, 0))=""Regional"", 3, 4 )
   )
 ),
"""")
"),"")</f>
        <v/>
      </c>
      <c r="J534" s="16">
        <f>IFERROR(__xludf.DUMMYFUNCTION("IFERROR(
 ( E534 * INDEX(FILTER(Pricing_Rules!E:E, Pricing_Rules!A:A=A534, Pricing_Rules!B:B=B534, Pricing_Rules!C:C&lt;=E534, Pricing_Rules!D:D&gt;=E534), 1)
   + INDEX(FILTER(Pricing_Rules!F:F, Pricing_Rules!A:A=A534, Pricing_Rules!B:B=B534, Pricing_Rules!C:C"&amp;"&lt;=E534, Pricing_Rules!D:D&gt;=E534), 1)
 )
 * (1 + IFERROR( INDEX(Config!D:D, MATCH(A534, Config!A:A, 0)), 0 )),
"""")
"),5.8999999999999995)</f>
        <v>5.9</v>
      </c>
      <c r="K534" s="19">
        <f t="shared" si="3"/>
        <v>-79.26</v>
      </c>
      <c r="L534" s="20" t="str">
        <f t="shared" si="4"/>
        <v/>
      </c>
    </row>
    <row r="535" ht="15.75" customHeight="1">
      <c r="A535" s="9" t="s">
        <v>9</v>
      </c>
      <c r="B535" s="12" t="str">
        <f t="array" ref="B535">XLOOKUP(C535, Channel_Listings!C:C, Channel_Listings!B:B)
</f>
        <v>Garden_Planters</v>
      </c>
      <c r="C535" s="23" t="s">
        <v>829</v>
      </c>
      <c r="D535" s="14" t="str">
        <f t="array" ref="D535">XLOOKUP(C535, Channel_Listings!C:C, Channel_Listings!D:D)
</f>
        <v>PLANTER-BROWN-PLATE-NP10-PK8</v>
      </c>
      <c r="E535" s="15"/>
      <c r="F535" s="16">
        <f t="array" ref="F535">IFERROR(
  VALUE( INDEX(Product_Master!$I:$I,
               MATCH( INDEX(Pack_Master!$B:$B, MATCH($D535, Pack_Master!$A:$A, 0)),
                      Product_Master!$B:$B, 0)
  )) 
  * VALUE( INDEX(Pack_Master!$C:$C, MATCH($D535, Pack_Master!$A:$A, 0)) )
  + VALUE( INDEX(Pack_Master!$D:$D, MATCH($D535, Pack_Master!$A:$A, 0)) ),
"")
</f>
        <v>146.72</v>
      </c>
      <c r="G535" s="17">
        <f t="array" ref="G535">IFERROR(
 ( INDEX(Pack_Master!E:E, MATCH($D535, Pack_Master!A:A, 0))
   * INDEX(Pack_Master!F:F, MATCH($D535, Pack_Master!A:A, 0))
   * INDEX(Pack_Master!G:G, MATCH($D535, Pack_Master!A:A, 0))
 ) / INDEX(Config!C:C, MATCH($A535, Config!A:A, 0)),
"")
</f>
        <v>0</v>
      </c>
      <c r="H535" s="17">
        <f t="array" ref="H535">MAX( INDEX(Pack_Master!H:H, MATCH($D535, Pack_Master!A:A, 0)),
      IFERROR(G535, 0) )
</f>
        <v>0</v>
      </c>
      <c r="I535" s="18" t="str">
        <f>IFERROR(__xludf.DUMMYFUNCTION("IFERROR(
 INDEX(
   FILTER(Shipping_Rate_Card!B:F, Shipping_Rate_Card!A:A=$A535),
   MATCH($H535, FILTER(Shipping_Rate_Card!B:B, Shipping_Rate_Card!A:A=$A535), 1),
   IF( INDEX(Config!B:B, MATCH($A535, Config!A:A, 0))=""Local"", 2,
     IF( INDEX(Config!B"&amp;":B, MATCH($A535, Config!A:A, 0))=""Regional"", 3, 4 )
   )
 ),
"""")
"),"")</f>
        <v/>
      </c>
      <c r="J535" s="16">
        <f>IFERROR(__xludf.DUMMYFUNCTION("IFERROR(
 ( E535 * INDEX(FILTER(Pricing_Rules!E:E, Pricing_Rules!A:A=A535, Pricing_Rules!B:B=B535, Pricing_Rules!C:C&lt;=E535, Pricing_Rules!D:D&gt;=E535), 1)
   + INDEX(FILTER(Pricing_Rules!F:F, Pricing_Rules!A:A=A535, Pricing_Rules!B:B=B535, Pricing_Rules!C:C"&amp;"&lt;=E535, Pricing_Rules!D:D&gt;=E535), 1)
 )
 * (1 + IFERROR( INDEX(Config!D:D, MATCH(A535, Config!A:A, 0)), 0 )),
"""")
"),5.8999999999999995)</f>
        <v>5.9</v>
      </c>
      <c r="K535" s="19">
        <f t="shared" si="3"/>
        <v>-152.62</v>
      </c>
      <c r="L535" s="20" t="str">
        <f t="shared" si="4"/>
        <v/>
      </c>
    </row>
    <row r="536" ht="15.75" customHeight="1">
      <c r="A536" s="9" t="s">
        <v>9</v>
      </c>
      <c r="B536" s="12" t="str">
        <f t="array" ref="B536">XLOOKUP(C536, Channel_Listings!C:C, Channel_Listings!B:B)
</f>
        <v>Garden_Planters</v>
      </c>
      <c r="C536" s="23" t="s">
        <v>831</v>
      </c>
      <c r="D536" s="14" t="str">
        <f t="array" ref="D536">XLOOKUP(C536, Channel_Listings!C:C, Channel_Listings!D:D)
</f>
        <v>PLANTER-BROWN-PLATE-NP7-PK16</v>
      </c>
      <c r="E536" s="15"/>
      <c r="F536" s="16">
        <f t="array" ref="F536">IFERROR(
  VALUE( INDEX(Product_Master!$I:$I,
               MATCH( INDEX(Pack_Master!$B:$B, MATCH($D536, Pack_Master!$A:$A, 0)),
                      Product_Master!$B:$B, 0)
  )) 
  * VALUE( INDEX(Pack_Master!$C:$C, MATCH($D536, Pack_Master!$A:$A, 0)) )
  + VALUE( INDEX(Pack_Master!$D:$D, MATCH($D536, Pack_Master!$A:$A, 0)) ),
"")
</f>
        <v>180.16</v>
      </c>
      <c r="G536" s="17">
        <f t="array" ref="G536">IFERROR(
 ( INDEX(Pack_Master!E:E, MATCH($D536, Pack_Master!A:A, 0))
   * INDEX(Pack_Master!F:F, MATCH($D536, Pack_Master!A:A, 0))
   * INDEX(Pack_Master!G:G, MATCH($D536, Pack_Master!A:A, 0))
 ) / INDEX(Config!C:C, MATCH($A536, Config!A:A, 0)),
"")
</f>
        <v>0</v>
      </c>
      <c r="H536" s="17">
        <f t="array" ref="H536">MAX( INDEX(Pack_Master!H:H, MATCH($D536, Pack_Master!A:A, 0)),
      IFERROR(G536, 0) )
</f>
        <v>0</v>
      </c>
      <c r="I536" s="18" t="str">
        <f>IFERROR(__xludf.DUMMYFUNCTION("IFERROR(
 INDEX(
   FILTER(Shipping_Rate_Card!B:F, Shipping_Rate_Card!A:A=$A536),
   MATCH($H536, FILTER(Shipping_Rate_Card!B:B, Shipping_Rate_Card!A:A=$A536), 1),
   IF( INDEX(Config!B:B, MATCH($A536, Config!A:A, 0))=""Local"", 2,
     IF( INDEX(Config!B"&amp;":B, MATCH($A536, Config!A:A, 0))=""Regional"", 3, 4 )
   )
 ),
"""")
"),"")</f>
        <v/>
      </c>
      <c r="J536" s="16">
        <f>IFERROR(__xludf.DUMMYFUNCTION("IFERROR(
 ( E536 * INDEX(FILTER(Pricing_Rules!E:E, Pricing_Rules!A:A=A536, Pricing_Rules!B:B=B536, Pricing_Rules!C:C&lt;=E536, Pricing_Rules!D:D&gt;=E536), 1)
   + INDEX(FILTER(Pricing_Rules!F:F, Pricing_Rules!A:A=A536, Pricing_Rules!B:B=B536, Pricing_Rules!C:C"&amp;"&lt;=E536, Pricing_Rules!D:D&gt;=E536), 1)
 )
 * (1 + IFERROR( INDEX(Config!D:D, MATCH(A536, Config!A:A, 0)), 0 )),
"""")
"),5.8999999999999995)</f>
        <v>5.9</v>
      </c>
      <c r="K536" s="19">
        <f t="shared" si="3"/>
        <v>-186.06</v>
      </c>
      <c r="L536" s="20" t="str">
        <f t="shared" si="4"/>
        <v/>
      </c>
    </row>
    <row r="537" ht="15.75" customHeight="1">
      <c r="A537" s="9" t="s">
        <v>9</v>
      </c>
      <c r="B537" s="12" t="str">
        <f t="array" ref="B537">XLOOKUP(C537, Channel_Listings!C:C, Channel_Listings!B:B)
</f>
        <v>Garden_Planters</v>
      </c>
      <c r="C537" s="23" t="s">
        <v>833</v>
      </c>
      <c r="D537" s="14" t="str">
        <f t="array" ref="D537">XLOOKUP(C537, Channel_Listings!C:C, Channel_Listings!D:D)
</f>
        <v>PLANTER-BROWN-PLATE-NP7-PK4</v>
      </c>
      <c r="E537" s="15"/>
      <c r="F537" s="16">
        <f t="array" ref="F537">IFERROR(
  VALUE( INDEX(Product_Master!$I:$I,
               MATCH( INDEX(Pack_Master!$B:$B, MATCH($D537, Pack_Master!$A:$A, 0)),
                      Product_Master!$B:$B, 0)
  )) 
  * VALUE( INDEX(Pack_Master!$C:$C, MATCH($D537, Pack_Master!$A:$A, 0)) )
  + VALUE( INDEX(Pack_Master!$D:$D, MATCH($D537, Pack_Master!$A:$A, 0)) ),
"")
</f>
        <v>45.04</v>
      </c>
      <c r="G537" s="17">
        <f t="array" ref="G537">IFERROR(
 ( INDEX(Pack_Master!E:E, MATCH($D537, Pack_Master!A:A, 0))
   * INDEX(Pack_Master!F:F, MATCH($D537, Pack_Master!A:A, 0))
   * INDEX(Pack_Master!G:G, MATCH($D537, Pack_Master!A:A, 0))
 ) / INDEX(Config!C:C, MATCH($A537, Config!A:A, 0)),
"")
</f>
        <v>0</v>
      </c>
      <c r="H537" s="17">
        <f t="array" ref="H537">MAX( INDEX(Pack_Master!H:H, MATCH($D537, Pack_Master!A:A, 0)),
      IFERROR(G537, 0) )
</f>
        <v>0</v>
      </c>
      <c r="I537" s="18" t="str">
        <f>IFERROR(__xludf.DUMMYFUNCTION("IFERROR(
 INDEX(
   FILTER(Shipping_Rate_Card!B:F, Shipping_Rate_Card!A:A=$A537),
   MATCH($H537, FILTER(Shipping_Rate_Card!B:B, Shipping_Rate_Card!A:A=$A537), 1),
   IF( INDEX(Config!B:B, MATCH($A537, Config!A:A, 0))=""Local"", 2,
     IF( INDEX(Config!B"&amp;":B, MATCH($A537, Config!A:A, 0))=""Regional"", 3, 4 )
   )
 ),
"""")
"),"")</f>
        <v/>
      </c>
      <c r="J537" s="16">
        <f>IFERROR(__xludf.DUMMYFUNCTION("IFERROR(
 ( E537 * INDEX(FILTER(Pricing_Rules!E:E, Pricing_Rules!A:A=A537, Pricing_Rules!B:B=B537, Pricing_Rules!C:C&lt;=E537, Pricing_Rules!D:D&gt;=E537), 1)
   + INDEX(FILTER(Pricing_Rules!F:F, Pricing_Rules!A:A=A537, Pricing_Rules!B:B=B537, Pricing_Rules!C:C"&amp;"&lt;=E537, Pricing_Rules!D:D&gt;=E537), 1)
 )
 * (1 + IFERROR( INDEX(Config!D:D, MATCH(A537, Config!A:A, 0)), 0 )),
"""")
"),5.8999999999999995)</f>
        <v>5.9</v>
      </c>
      <c r="K537" s="19">
        <f t="shared" si="3"/>
        <v>-50.94</v>
      </c>
      <c r="L537" s="20" t="str">
        <f t="shared" si="4"/>
        <v/>
      </c>
    </row>
    <row r="538" ht="15.75" customHeight="1">
      <c r="A538" s="9" t="s">
        <v>9</v>
      </c>
      <c r="B538" s="12" t="str">
        <f t="array" ref="B538">XLOOKUP(C538, Channel_Listings!C:C, Channel_Listings!B:B)
</f>
        <v>Garden_Planters</v>
      </c>
      <c r="C538" s="23" t="s">
        <v>836</v>
      </c>
      <c r="D538" s="14" t="str">
        <f t="array" ref="D538">XLOOKUP(C538, Channel_Listings!C:C, Channel_Listings!D:D)
</f>
        <v>PLANTER-BROWN-PLATE-NP7-PK8</v>
      </c>
      <c r="E538" s="15"/>
      <c r="F538" s="16">
        <f t="array" ref="F538">IFERROR(
  VALUE( INDEX(Product_Master!$I:$I,
               MATCH( INDEX(Pack_Master!$B:$B, MATCH($D538, Pack_Master!$A:$A, 0)),
                      Product_Master!$B:$B, 0)
  )) 
  * VALUE( INDEX(Pack_Master!$C:$C, MATCH($D538, Pack_Master!$A:$A, 0)) )
  + VALUE( INDEX(Pack_Master!$D:$D, MATCH($D538, Pack_Master!$A:$A, 0)) ),
"")
</f>
        <v>90.08</v>
      </c>
      <c r="G538" s="17">
        <f t="array" ref="G538">IFERROR(
 ( INDEX(Pack_Master!E:E, MATCH($D538, Pack_Master!A:A, 0))
   * INDEX(Pack_Master!F:F, MATCH($D538, Pack_Master!A:A, 0))
   * INDEX(Pack_Master!G:G, MATCH($D538, Pack_Master!A:A, 0))
 ) / INDEX(Config!C:C, MATCH($A538, Config!A:A, 0)),
"")
</f>
        <v>0</v>
      </c>
      <c r="H538" s="17">
        <f t="array" ref="H538">MAX( INDEX(Pack_Master!H:H, MATCH($D538, Pack_Master!A:A, 0)),
      IFERROR(G538, 0) )
</f>
        <v>0</v>
      </c>
      <c r="I538" s="18" t="str">
        <f>IFERROR(__xludf.DUMMYFUNCTION("IFERROR(
 INDEX(
   FILTER(Shipping_Rate_Card!B:F, Shipping_Rate_Card!A:A=$A538),
   MATCH($H538, FILTER(Shipping_Rate_Card!B:B, Shipping_Rate_Card!A:A=$A538), 1),
   IF( INDEX(Config!B:B, MATCH($A538, Config!A:A, 0))=""Local"", 2,
     IF( INDEX(Config!B"&amp;":B, MATCH($A538, Config!A:A, 0))=""Regional"", 3, 4 )
   )
 ),
"""")
"),"")</f>
        <v/>
      </c>
      <c r="J538" s="16">
        <f>IFERROR(__xludf.DUMMYFUNCTION("IFERROR(
 ( E538 * INDEX(FILTER(Pricing_Rules!E:E, Pricing_Rules!A:A=A538, Pricing_Rules!B:B=B538, Pricing_Rules!C:C&lt;=E538, Pricing_Rules!D:D&gt;=E538), 1)
   + INDEX(FILTER(Pricing_Rules!F:F, Pricing_Rules!A:A=A538, Pricing_Rules!B:B=B538, Pricing_Rules!C:C"&amp;"&lt;=E538, Pricing_Rules!D:D&gt;=E538), 1)
 )
 * (1 + IFERROR( INDEX(Config!D:D, MATCH(A538, Config!A:A, 0)), 0 )),
"""")
"),5.8999999999999995)</f>
        <v>5.9</v>
      </c>
      <c r="K538" s="19">
        <f t="shared" si="3"/>
        <v>-95.98</v>
      </c>
      <c r="L538" s="20" t="str">
        <f t="shared" si="4"/>
        <v/>
      </c>
    </row>
    <row r="539" ht="15.75" customHeight="1">
      <c r="A539" s="9" t="s">
        <v>9</v>
      </c>
      <c r="B539" s="12" t="str">
        <f t="array" ref="B539">XLOOKUP(C539, Channel_Listings!C:C, Channel_Listings!B:B)
</f>
        <v>Garden_Planters</v>
      </c>
      <c r="C539" s="23" t="s">
        <v>838</v>
      </c>
      <c r="D539" s="14" t="str">
        <f t="array" ref="D539">XLOOKUP(C539, Channel_Listings!C:C, Channel_Listings!D:D)
</f>
        <v>PLANTER-BROWN-PLATE-NP8-PK16</v>
      </c>
      <c r="E539" s="15"/>
      <c r="F539" s="16">
        <f t="array" ref="F539">IFERROR(
  VALUE( INDEX(Product_Master!$I:$I,
               MATCH( INDEX(Pack_Master!$B:$B, MATCH($D539, Pack_Master!$A:$A, 0)),
                      Product_Master!$B:$B, 0)
  )) 
  * VALUE( INDEX(Pack_Master!$C:$C, MATCH($D539, Pack_Master!$A:$A, 0)) )
  + VALUE( INDEX(Pack_Master!$D:$D, MATCH($D539, Pack_Master!$A:$A, 0)) ),
"")
</f>
        <v>199.04</v>
      </c>
      <c r="G539" s="17">
        <f t="array" ref="G539">IFERROR(
 ( INDEX(Pack_Master!E:E, MATCH($D539, Pack_Master!A:A, 0))
   * INDEX(Pack_Master!F:F, MATCH($D539, Pack_Master!A:A, 0))
   * INDEX(Pack_Master!G:G, MATCH($D539, Pack_Master!A:A, 0))
 ) / INDEX(Config!C:C, MATCH($A539, Config!A:A, 0)),
"")
</f>
        <v>0</v>
      </c>
      <c r="H539" s="17">
        <f t="array" ref="H539">MAX( INDEX(Pack_Master!H:H, MATCH($D539, Pack_Master!A:A, 0)),
      IFERROR(G539, 0) )
</f>
        <v>0</v>
      </c>
      <c r="I539" s="18" t="str">
        <f>IFERROR(__xludf.DUMMYFUNCTION("IFERROR(
 INDEX(
   FILTER(Shipping_Rate_Card!B:F, Shipping_Rate_Card!A:A=$A539),
   MATCH($H539, FILTER(Shipping_Rate_Card!B:B, Shipping_Rate_Card!A:A=$A539), 1),
   IF( INDEX(Config!B:B, MATCH($A539, Config!A:A, 0))=""Local"", 2,
     IF( INDEX(Config!B"&amp;":B, MATCH($A539, Config!A:A, 0))=""Regional"", 3, 4 )
   )
 ),
"""")
"),"")</f>
        <v/>
      </c>
      <c r="J539" s="16">
        <f>IFERROR(__xludf.DUMMYFUNCTION("IFERROR(
 ( E539 * INDEX(FILTER(Pricing_Rules!E:E, Pricing_Rules!A:A=A539, Pricing_Rules!B:B=B539, Pricing_Rules!C:C&lt;=E539, Pricing_Rules!D:D&gt;=E539), 1)
   + INDEX(FILTER(Pricing_Rules!F:F, Pricing_Rules!A:A=A539, Pricing_Rules!B:B=B539, Pricing_Rules!C:C"&amp;"&lt;=E539, Pricing_Rules!D:D&gt;=E539), 1)
 )
 * (1 + IFERROR( INDEX(Config!D:D, MATCH(A539, Config!A:A, 0)), 0 )),
"""")
"),5.8999999999999995)</f>
        <v>5.9</v>
      </c>
      <c r="K539" s="19">
        <f t="shared" si="3"/>
        <v>-204.94</v>
      </c>
      <c r="L539" s="20" t="str">
        <f t="shared" si="4"/>
        <v/>
      </c>
    </row>
    <row r="540" ht="15.75" customHeight="1">
      <c r="A540" s="9" t="s">
        <v>9</v>
      </c>
      <c r="B540" s="12" t="str">
        <f t="array" ref="B540">XLOOKUP(C540, Channel_Listings!C:C, Channel_Listings!B:B)
</f>
        <v>Garden_Planters</v>
      </c>
      <c r="C540" s="23" t="s">
        <v>840</v>
      </c>
      <c r="D540" s="14" t="str">
        <f t="array" ref="D540">XLOOKUP(C540, Channel_Listings!C:C, Channel_Listings!D:D)
</f>
        <v>PLANTER-BROWN-PLATE-NP8-PK4</v>
      </c>
      <c r="E540" s="15"/>
      <c r="F540" s="16">
        <f t="array" ref="F540">IFERROR(
  VALUE( INDEX(Product_Master!$I:$I,
               MATCH( INDEX(Pack_Master!$B:$B, MATCH($D540, Pack_Master!$A:$A, 0)),
                      Product_Master!$B:$B, 0)
  )) 
  * VALUE( INDEX(Pack_Master!$C:$C, MATCH($D540, Pack_Master!$A:$A, 0)) )
  + VALUE( INDEX(Pack_Master!$D:$D, MATCH($D540, Pack_Master!$A:$A, 0)) ),
"")
</f>
        <v>49.76</v>
      </c>
      <c r="G540" s="17">
        <f t="array" ref="G540">IFERROR(
 ( INDEX(Pack_Master!E:E, MATCH($D540, Pack_Master!A:A, 0))
   * INDEX(Pack_Master!F:F, MATCH($D540, Pack_Master!A:A, 0))
   * INDEX(Pack_Master!G:G, MATCH($D540, Pack_Master!A:A, 0))
 ) / INDEX(Config!C:C, MATCH($A540, Config!A:A, 0)),
"")
</f>
        <v>0</v>
      </c>
      <c r="H540" s="17">
        <f t="array" ref="H540">MAX( INDEX(Pack_Master!H:H, MATCH($D540, Pack_Master!A:A, 0)),
      IFERROR(G540, 0) )
</f>
        <v>0</v>
      </c>
      <c r="I540" s="18" t="str">
        <f>IFERROR(__xludf.DUMMYFUNCTION("IFERROR(
 INDEX(
   FILTER(Shipping_Rate_Card!B:F, Shipping_Rate_Card!A:A=$A540),
   MATCH($H540, FILTER(Shipping_Rate_Card!B:B, Shipping_Rate_Card!A:A=$A540), 1),
   IF( INDEX(Config!B:B, MATCH($A540, Config!A:A, 0))=""Local"", 2,
     IF( INDEX(Config!B"&amp;":B, MATCH($A540, Config!A:A, 0))=""Regional"", 3, 4 )
   )
 ),
"""")
"),"")</f>
        <v/>
      </c>
      <c r="J540" s="16">
        <f>IFERROR(__xludf.DUMMYFUNCTION("IFERROR(
 ( E540 * INDEX(FILTER(Pricing_Rules!E:E, Pricing_Rules!A:A=A540, Pricing_Rules!B:B=B540, Pricing_Rules!C:C&lt;=E540, Pricing_Rules!D:D&gt;=E540), 1)
   + INDEX(FILTER(Pricing_Rules!F:F, Pricing_Rules!A:A=A540, Pricing_Rules!B:B=B540, Pricing_Rules!C:C"&amp;"&lt;=E540, Pricing_Rules!D:D&gt;=E540), 1)
 )
 * (1 + IFERROR( INDEX(Config!D:D, MATCH(A540, Config!A:A, 0)), 0 )),
"""")
"),5.8999999999999995)</f>
        <v>5.9</v>
      </c>
      <c r="K540" s="19">
        <f t="shared" si="3"/>
        <v>-55.66</v>
      </c>
      <c r="L540" s="20" t="str">
        <f t="shared" si="4"/>
        <v/>
      </c>
    </row>
    <row r="541" ht="15.75" customHeight="1">
      <c r="A541" s="9" t="s">
        <v>9</v>
      </c>
      <c r="B541" s="12" t="str">
        <f t="array" ref="B541">XLOOKUP(C541, Channel_Listings!C:C, Channel_Listings!B:B)
</f>
        <v>Garden_Planters</v>
      </c>
      <c r="C541" s="23" t="s">
        <v>842</v>
      </c>
      <c r="D541" s="14" t="str">
        <f t="array" ref="D541">XLOOKUP(C541, Channel_Listings!C:C, Channel_Listings!D:D)
</f>
        <v>PLANTER-BROWN-PLATE-NP8-PK8</v>
      </c>
      <c r="E541" s="15"/>
      <c r="F541" s="16">
        <f t="array" ref="F541">IFERROR(
  VALUE( INDEX(Product_Master!$I:$I,
               MATCH( INDEX(Pack_Master!$B:$B, MATCH($D541, Pack_Master!$A:$A, 0)),
                      Product_Master!$B:$B, 0)
  )) 
  * VALUE( INDEX(Pack_Master!$C:$C, MATCH($D541, Pack_Master!$A:$A, 0)) )
  + VALUE( INDEX(Pack_Master!$D:$D, MATCH($D541, Pack_Master!$A:$A, 0)) ),
"")
</f>
        <v>99.52</v>
      </c>
      <c r="G541" s="17">
        <f t="array" ref="G541">IFERROR(
 ( INDEX(Pack_Master!E:E, MATCH($D541, Pack_Master!A:A, 0))
   * INDEX(Pack_Master!F:F, MATCH($D541, Pack_Master!A:A, 0))
   * INDEX(Pack_Master!G:G, MATCH($D541, Pack_Master!A:A, 0))
 ) / INDEX(Config!C:C, MATCH($A541, Config!A:A, 0)),
"")
</f>
        <v>0</v>
      </c>
      <c r="H541" s="17">
        <f t="array" ref="H541">MAX( INDEX(Pack_Master!H:H, MATCH($D541, Pack_Master!A:A, 0)),
      IFERROR(G541, 0) )
</f>
        <v>0</v>
      </c>
      <c r="I541" s="18" t="str">
        <f>IFERROR(__xludf.DUMMYFUNCTION("IFERROR(
 INDEX(
   FILTER(Shipping_Rate_Card!B:F, Shipping_Rate_Card!A:A=$A541),
   MATCH($H541, FILTER(Shipping_Rate_Card!B:B, Shipping_Rate_Card!A:A=$A541), 1),
   IF( INDEX(Config!B:B, MATCH($A541, Config!A:A, 0))=""Local"", 2,
     IF( INDEX(Config!B"&amp;":B, MATCH($A541, Config!A:A, 0))=""Regional"", 3, 4 )
   )
 ),
"""")
"),"")</f>
        <v/>
      </c>
      <c r="J541" s="16">
        <f>IFERROR(__xludf.DUMMYFUNCTION("IFERROR(
 ( E541 * INDEX(FILTER(Pricing_Rules!E:E, Pricing_Rules!A:A=A541, Pricing_Rules!B:B=B541, Pricing_Rules!C:C&lt;=E541, Pricing_Rules!D:D&gt;=E541), 1)
   + INDEX(FILTER(Pricing_Rules!F:F, Pricing_Rules!A:A=A541, Pricing_Rules!B:B=B541, Pricing_Rules!C:C"&amp;"&lt;=E541, Pricing_Rules!D:D&gt;=E541), 1)
 )
 * (1 + IFERROR( INDEX(Config!D:D, MATCH(A541, Config!A:A, 0)), 0 )),
"""")
"),5.8999999999999995)</f>
        <v>5.9</v>
      </c>
      <c r="K541" s="19">
        <f t="shared" si="3"/>
        <v>-105.42</v>
      </c>
      <c r="L541" s="20" t="str">
        <f t="shared" si="4"/>
        <v/>
      </c>
    </row>
    <row r="542" ht="15.75" customHeight="1">
      <c r="A542" s="9" t="s">
        <v>9</v>
      </c>
      <c r="B542" s="12" t="str">
        <f t="array" ref="B542">XLOOKUP(C542, Channel_Listings!C:C, Channel_Listings!B:B)
</f>
        <v>Garden_Planters</v>
      </c>
      <c r="C542" s="22" t="s">
        <v>844</v>
      </c>
      <c r="D542" s="14" t="str">
        <f t="array" ref="D542">XLOOKUP(C542, Channel_Listings!C:C, Channel_Listings!D:D)
</f>
        <v>PLANTER-BROWN-RECTANGLE-ORCHID12-PK1</v>
      </c>
      <c r="E542" s="15"/>
      <c r="F542" s="16">
        <f t="array" ref="F542">IFERROR(
  VALUE( INDEX(Product_Master!$I:$I,
               MATCH( INDEX(Pack_Master!$B:$B, MATCH($D542, Pack_Master!$A:$A, 0)),
                      Product_Master!$B:$B, 0)
  )) 
  * VALUE( INDEX(Pack_Master!$C:$C, MATCH($D542, Pack_Master!$A:$A, 0)) )
  + VALUE( INDEX(Pack_Master!$D:$D, MATCH($D542, Pack_Master!$A:$A, 0)) ),
"")
</f>
        <v>38.49</v>
      </c>
      <c r="G542" s="17">
        <f t="array" ref="G542">IFERROR(
 ( INDEX(Pack_Master!E:E, MATCH($D542, Pack_Master!A:A, 0))
   * INDEX(Pack_Master!F:F, MATCH($D542, Pack_Master!A:A, 0))
   * INDEX(Pack_Master!G:G, MATCH($D542, Pack_Master!A:A, 0))
 ) / INDEX(Config!C:C, MATCH($A542, Config!A:A, 0)),
"")
</f>
        <v>0</v>
      </c>
      <c r="H542" s="17">
        <f t="array" ref="H542">MAX( INDEX(Pack_Master!H:H, MATCH($D542, Pack_Master!A:A, 0)),
      IFERROR(G542, 0) )
</f>
        <v>0</v>
      </c>
      <c r="I542" s="18" t="str">
        <f>IFERROR(__xludf.DUMMYFUNCTION("IFERROR(
 INDEX(
   FILTER(Shipping_Rate_Card!B:F, Shipping_Rate_Card!A:A=$A542),
   MATCH($H542, FILTER(Shipping_Rate_Card!B:B, Shipping_Rate_Card!A:A=$A542), 1),
   IF( INDEX(Config!B:B, MATCH($A542, Config!A:A, 0))=""Local"", 2,
     IF( INDEX(Config!B"&amp;":B, MATCH($A542, Config!A:A, 0))=""Regional"", 3, 4 )
   )
 ),
"""")
"),"")</f>
        <v/>
      </c>
      <c r="J542" s="16">
        <f>IFERROR(__xludf.DUMMYFUNCTION("IFERROR(
 ( E542 * INDEX(FILTER(Pricing_Rules!E:E, Pricing_Rules!A:A=A542, Pricing_Rules!B:B=B542, Pricing_Rules!C:C&lt;=E542, Pricing_Rules!D:D&gt;=E542), 1)
   + INDEX(FILTER(Pricing_Rules!F:F, Pricing_Rules!A:A=A542, Pricing_Rules!B:B=B542, Pricing_Rules!C:C"&amp;"&lt;=E542, Pricing_Rules!D:D&gt;=E542), 1)
 )
 * (1 + IFERROR( INDEX(Config!D:D, MATCH(A542, Config!A:A, 0)), 0 )),
"""")
"),5.8999999999999995)</f>
        <v>5.9</v>
      </c>
      <c r="K542" s="19">
        <f t="shared" si="3"/>
        <v>-44.39</v>
      </c>
      <c r="L542" s="20" t="str">
        <f t="shared" si="4"/>
        <v/>
      </c>
    </row>
    <row r="543" ht="15.75" customHeight="1">
      <c r="A543" s="9" t="s">
        <v>9</v>
      </c>
      <c r="B543" s="12" t="str">
        <f t="array" ref="B543">XLOOKUP(C543, Channel_Listings!C:C, Channel_Listings!B:B)
</f>
        <v>Garden_Planters</v>
      </c>
      <c r="C543" s="23" t="s">
        <v>846</v>
      </c>
      <c r="D543" s="14" t="str">
        <f t="array" ref="D543">XLOOKUP(C543, Channel_Listings!C:C, Channel_Listings!D:D)
</f>
        <v>PLANTER-BROWN-RECTANGLE-ORCHID12-PK2</v>
      </c>
      <c r="E543" s="15"/>
      <c r="F543" s="16">
        <f t="array" ref="F543">IFERROR(
  VALUE( INDEX(Product_Master!$I:$I,
               MATCH( INDEX(Pack_Master!$B:$B, MATCH($D543, Pack_Master!$A:$A, 0)),
                      Product_Master!$B:$B, 0)
  )) 
  * VALUE( INDEX(Pack_Master!$C:$C, MATCH($D543, Pack_Master!$A:$A, 0)) )
  + VALUE( INDEX(Pack_Master!$D:$D, MATCH($D543, Pack_Master!$A:$A, 0)) ),
"")
</f>
        <v>76.98</v>
      </c>
      <c r="G543" s="17">
        <f t="array" ref="G543">IFERROR(
 ( INDEX(Pack_Master!E:E, MATCH($D543, Pack_Master!A:A, 0))
   * INDEX(Pack_Master!F:F, MATCH($D543, Pack_Master!A:A, 0))
   * INDEX(Pack_Master!G:G, MATCH($D543, Pack_Master!A:A, 0))
 ) / INDEX(Config!C:C, MATCH($A543, Config!A:A, 0)),
"")
</f>
        <v>0</v>
      </c>
      <c r="H543" s="17">
        <f t="array" ref="H543">MAX( INDEX(Pack_Master!H:H, MATCH($D543, Pack_Master!A:A, 0)),
      IFERROR(G543, 0) )
</f>
        <v>0</v>
      </c>
      <c r="I543" s="18" t="str">
        <f>IFERROR(__xludf.DUMMYFUNCTION("IFERROR(
 INDEX(
   FILTER(Shipping_Rate_Card!B:F, Shipping_Rate_Card!A:A=$A543),
   MATCH($H543, FILTER(Shipping_Rate_Card!B:B, Shipping_Rate_Card!A:A=$A543), 1),
   IF( INDEX(Config!B:B, MATCH($A543, Config!A:A, 0))=""Local"", 2,
     IF( INDEX(Config!B"&amp;":B, MATCH($A543, Config!A:A, 0))=""Regional"", 3, 4 )
   )
 ),
"""")
"),"")</f>
        <v/>
      </c>
      <c r="J543" s="16">
        <f>IFERROR(__xludf.DUMMYFUNCTION("IFERROR(
 ( E543 * INDEX(FILTER(Pricing_Rules!E:E, Pricing_Rules!A:A=A543, Pricing_Rules!B:B=B543, Pricing_Rules!C:C&lt;=E543, Pricing_Rules!D:D&gt;=E543), 1)
   + INDEX(FILTER(Pricing_Rules!F:F, Pricing_Rules!A:A=A543, Pricing_Rules!B:B=B543, Pricing_Rules!C:C"&amp;"&lt;=E543, Pricing_Rules!D:D&gt;=E543), 1)
 )
 * (1 + IFERROR( INDEX(Config!D:D, MATCH(A543, Config!A:A, 0)), 0 )),
"""")
"),5.8999999999999995)</f>
        <v>5.9</v>
      </c>
      <c r="K543" s="19">
        <f t="shared" si="3"/>
        <v>-82.88</v>
      </c>
      <c r="L543" s="20" t="str">
        <f t="shared" si="4"/>
        <v/>
      </c>
    </row>
    <row r="544" ht="15.75" customHeight="1">
      <c r="A544" s="9" t="s">
        <v>9</v>
      </c>
      <c r="B544" s="12" t="str">
        <f t="array" ref="B544">XLOOKUP(C544, Channel_Listings!C:C, Channel_Listings!B:B)
</f>
        <v>Garden_Planters</v>
      </c>
      <c r="C544" s="23" t="s">
        <v>849</v>
      </c>
      <c r="D544" s="14" t="str">
        <f t="array" ref="D544">XLOOKUP(C544, Channel_Listings!C:C, Channel_Listings!D:D)
</f>
        <v>PLANTER-BROWN-RECTANGLE-ORCHID12-PK4</v>
      </c>
      <c r="E544" s="15"/>
      <c r="F544" s="16">
        <f t="array" ref="F544">IFERROR(
  VALUE( INDEX(Product_Master!$I:$I,
               MATCH( INDEX(Pack_Master!$B:$B, MATCH($D544, Pack_Master!$A:$A, 0)),
                      Product_Master!$B:$B, 0)
  )) 
  * VALUE( INDEX(Pack_Master!$C:$C, MATCH($D544, Pack_Master!$A:$A, 0)) )
  + VALUE( INDEX(Pack_Master!$D:$D, MATCH($D544, Pack_Master!$A:$A, 0)) ),
"")
</f>
        <v>153.96</v>
      </c>
      <c r="G544" s="17">
        <f t="array" ref="G544">IFERROR(
 ( INDEX(Pack_Master!E:E, MATCH($D544, Pack_Master!A:A, 0))
   * INDEX(Pack_Master!F:F, MATCH($D544, Pack_Master!A:A, 0))
   * INDEX(Pack_Master!G:G, MATCH($D544, Pack_Master!A:A, 0))
 ) / INDEX(Config!C:C, MATCH($A544, Config!A:A, 0)),
"")
</f>
        <v>0</v>
      </c>
      <c r="H544" s="17">
        <f t="array" ref="H544">MAX( INDEX(Pack_Master!H:H, MATCH($D544, Pack_Master!A:A, 0)),
      IFERROR(G544, 0) )
</f>
        <v>0</v>
      </c>
      <c r="I544" s="18" t="str">
        <f>IFERROR(__xludf.DUMMYFUNCTION("IFERROR(
 INDEX(
   FILTER(Shipping_Rate_Card!B:F, Shipping_Rate_Card!A:A=$A544),
   MATCH($H544, FILTER(Shipping_Rate_Card!B:B, Shipping_Rate_Card!A:A=$A544), 1),
   IF( INDEX(Config!B:B, MATCH($A544, Config!A:A, 0))=""Local"", 2,
     IF( INDEX(Config!B"&amp;":B, MATCH($A544, Config!A:A, 0))=""Regional"", 3, 4 )
   )
 ),
"""")
"),"")</f>
        <v/>
      </c>
      <c r="J544" s="16">
        <f>IFERROR(__xludf.DUMMYFUNCTION("IFERROR(
 ( E544 * INDEX(FILTER(Pricing_Rules!E:E, Pricing_Rules!A:A=A544, Pricing_Rules!B:B=B544, Pricing_Rules!C:C&lt;=E544, Pricing_Rules!D:D&gt;=E544), 1)
   + INDEX(FILTER(Pricing_Rules!F:F, Pricing_Rules!A:A=A544, Pricing_Rules!B:B=B544, Pricing_Rules!C:C"&amp;"&lt;=E544, Pricing_Rules!D:D&gt;=E544), 1)
 )
 * (1 + IFERROR( INDEX(Config!D:D, MATCH(A544, Config!A:A, 0)), 0 )),
"""")
"),5.8999999999999995)</f>
        <v>5.9</v>
      </c>
      <c r="K544" s="19">
        <f t="shared" si="3"/>
        <v>-159.86</v>
      </c>
      <c r="L544" s="20" t="str">
        <f t="shared" si="4"/>
        <v/>
      </c>
    </row>
    <row r="545" ht="15.75" customHeight="1">
      <c r="A545" s="9" t="s">
        <v>9</v>
      </c>
      <c r="B545" s="12" t="str">
        <f t="array" ref="B545">XLOOKUP(C545, Channel_Listings!C:C, Channel_Listings!B:B)
</f>
        <v>Garden_Planters</v>
      </c>
      <c r="C545" s="23" t="s">
        <v>851</v>
      </c>
      <c r="D545" s="14" t="str">
        <f t="array" ref="D545">XLOOKUP(C545, Channel_Listings!C:C, Channel_Listings!D:D)
</f>
        <v>PLANTER-BROWN-RECTANGLE-ORCHID12-PK8</v>
      </c>
      <c r="E545" s="15"/>
      <c r="F545" s="16">
        <f t="array" ref="F545">IFERROR(
  VALUE( INDEX(Product_Master!$I:$I,
               MATCH( INDEX(Pack_Master!$B:$B, MATCH($D545, Pack_Master!$A:$A, 0)),
                      Product_Master!$B:$B, 0)
  )) 
  * VALUE( INDEX(Pack_Master!$C:$C, MATCH($D545, Pack_Master!$A:$A, 0)) )
  + VALUE( INDEX(Pack_Master!$D:$D, MATCH($D545, Pack_Master!$A:$A, 0)) ),
"")
</f>
        <v>307.92</v>
      </c>
      <c r="G545" s="17">
        <f t="array" ref="G545">IFERROR(
 ( INDEX(Pack_Master!E:E, MATCH($D545, Pack_Master!A:A, 0))
   * INDEX(Pack_Master!F:F, MATCH($D545, Pack_Master!A:A, 0))
   * INDEX(Pack_Master!G:G, MATCH($D545, Pack_Master!A:A, 0))
 ) / INDEX(Config!C:C, MATCH($A545, Config!A:A, 0)),
"")
</f>
        <v>0</v>
      </c>
      <c r="H545" s="17">
        <f t="array" ref="H545">MAX( INDEX(Pack_Master!H:H, MATCH($D545, Pack_Master!A:A, 0)),
      IFERROR(G545, 0) )
</f>
        <v>0</v>
      </c>
      <c r="I545" s="18" t="str">
        <f>IFERROR(__xludf.DUMMYFUNCTION("IFERROR(
 INDEX(
   FILTER(Shipping_Rate_Card!B:F, Shipping_Rate_Card!A:A=$A545),
   MATCH($H545, FILTER(Shipping_Rate_Card!B:B, Shipping_Rate_Card!A:A=$A545), 1),
   IF( INDEX(Config!B:B, MATCH($A545, Config!A:A, 0))=""Local"", 2,
     IF( INDEX(Config!B"&amp;":B, MATCH($A545, Config!A:A, 0))=""Regional"", 3, 4 )
   )
 ),
"""")
"),"")</f>
        <v/>
      </c>
      <c r="J545" s="16">
        <f>IFERROR(__xludf.DUMMYFUNCTION("IFERROR(
 ( E545 * INDEX(FILTER(Pricing_Rules!E:E, Pricing_Rules!A:A=A545, Pricing_Rules!B:B=B545, Pricing_Rules!C:C&lt;=E545, Pricing_Rules!D:D&gt;=E545), 1)
   + INDEX(FILTER(Pricing_Rules!F:F, Pricing_Rules!A:A=A545, Pricing_Rules!B:B=B545, Pricing_Rules!C:C"&amp;"&lt;=E545, Pricing_Rules!D:D&gt;=E545), 1)
 )
 * (1 + IFERROR( INDEX(Config!D:D, MATCH(A545, Config!A:A, 0)), 0 )),
"""")
"),5.8999999999999995)</f>
        <v>5.9</v>
      </c>
      <c r="K545" s="19">
        <f t="shared" si="3"/>
        <v>-313.82</v>
      </c>
      <c r="L545" s="20" t="str">
        <f t="shared" si="4"/>
        <v/>
      </c>
    </row>
    <row r="546" ht="15.75" customHeight="1">
      <c r="A546" s="9" t="s">
        <v>9</v>
      </c>
      <c r="B546" s="12" t="str">
        <f t="array" ref="B546">XLOOKUP(C546, Channel_Listings!C:C, Channel_Listings!B:B)
</f>
        <v>Garden_Planters</v>
      </c>
      <c r="C546" s="22" t="s">
        <v>853</v>
      </c>
      <c r="D546" s="14" t="str">
        <f t="array" ref="D546">XLOOKUP(C546, Channel_Listings!C:C, Channel_Listings!D:D)
</f>
        <v>PLANTER-BROWN-RECTANGLE-ORCHID18-PK1</v>
      </c>
      <c r="E546" s="15"/>
      <c r="F546" s="16">
        <f t="array" ref="F546">IFERROR(
  VALUE( INDEX(Product_Master!$I:$I,
               MATCH( INDEX(Pack_Master!$B:$B, MATCH($D546, Pack_Master!$A:$A, 0)),
                      Product_Master!$B:$B, 0)
  )) 
  * VALUE( INDEX(Pack_Master!$C:$C, MATCH($D546, Pack_Master!$A:$A, 0)) )
  + VALUE( INDEX(Pack_Master!$D:$D, MATCH($D546, Pack_Master!$A:$A, 0)) ),
"")
</f>
        <v>88</v>
      </c>
      <c r="G546" s="17">
        <f t="array" ref="G546">IFERROR(
 ( INDEX(Pack_Master!E:E, MATCH($D546, Pack_Master!A:A, 0))
   * INDEX(Pack_Master!F:F, MATCH($D546, Pack_Master!A:A, 0))
   * INDEX(Pack_Master!G:G, MATCH($D546, Pack_Master!A:A, 0))
 ) / INDEX(Config!C:C, MATCH($A546, Config!A:A, 0)),
"")
</f>
        <v>0</v>
      </c>
      <c r="H546" s="17">
        <f t="array" ref="H546">MAX( INDEX(Pack_Master!H:H, MATCH($D546, Pack_Master!A:A, 0)),
      IFERROR(G546, 0) )
</f>
        <v>0</v>
      </c>
      <c r="I546" s="18" t="str">
        <f>IFERROR(__xludf.DUMMYFUNCTION("IFERROR(
 INDEX(
   FILTER(Shipping_Rate_Card!B:F, Shipping_Rate_Card!A:A=$A546),
   MATCH($H546, FILTER(Shipping_Rate_Card!B:B, Shipping_Rate_Card!A:A=$A546), 1),
   IF( INDEX(Config!B:B, MATCH($A546, Config!A:A, 0))=""Local"", 2,
     IF( INDEX(Config!B"&amp;":B, MATCH($A546, Config!A:A, 0))=""Regional"", 3, 4 )
   )
 ),
"""")
"),"")</f>
        <v/>
      </c>
      <c r="J546" s="16">
        <f>IFERROR(__xludf.DUMMYFUNCTION("IFERROR(
 ( E546 * INDEX(FILTER(Pricing_Rules!E:E, Pricing_Rules!A:A=A546, Pricing_Rules!B:B=B546, Pricing_Rules!C:C&lt;=E546, Pricing_Rules!D:D&gt;=E546), 1)
   + INDEX(FILTER(Pricing_Rules!F:F, Pricing_Rules!A:A=A546, Pricing_Rules!B:B=B546, Pricing_Rules!C:C"&amp;"&lt;=E546, Pricing_Rules!D:D&gt;=E546), 1)
 )
 * (1 + IFERROR( INDEX(Config!D:D, MATCH(A546, Config!A:A, 0)), 0 )),
"""")
"),5.8999999999999995)</f>
        <v>5.9</v>
      </c>
      <c r="K546" s="19">
        <f t="shared" si="3"/>
        <v>-93.9</v>
      </c>
      <c r="L546" s="20" t="str">
        <f t="shared" si="4"/>
        <v/>
      </c>
    </row>
    <row r="547" ht="15.75" customHeight="1">
      <c r="A547" s="9" t="s">
        <v>9</v>
      </c>
      <c r="B547" s="12" t="str">
        <f t="array" ref="B547">XLOOKUP(C547, Channel_Listings!C:C, Channel_Listings!B:B)
</f>
        <v>Garden_Planters</v>
      </c>
      <c r="C547" s="23" t="s">
        <v>855</v>
      </c>
      <c r="D547" s="14" t="str">
        <f t="array" ref="D547">XLOOKUP(C547, Channel_Listings!C:C, Channel_Listings!D:D)
</f>
        <v>PLANTER-BROWN-RECTANGLE-ORCHID18-PK2</v>
      </c>
      <c r="E547" s="15"/>
      <c r="F547" s="16">
        <f t="array" ref="F547">IFERROR(
  VALUE( INDEX(Product_Master!$I:$I,
               MATCH( INDEX(Pack_Master!$B:$B, MATCH($D547, Pack_Master!$A:$A, 0)),
                      Product_Master!$B:$B, 0)
  )) 
  * VALUE( INDEX(Pack_Master!$C:$C, MATCH($D547, Pack_Master!$A:$A, 0)) )
  + VALUE( INDEX(Pack_Master!$D:$D, MATCH($D547, Pack_Master!$A:$A, 0)) ),
"")
</f>
        <v>176</v>
      </c>
      <c r="G547" s="17">
        <f t="array" ref="G547">IFERROR(
 ( INDEX(Pack_Master!E:E, MATCH($D547, Pack_Master!A:A, 0))
   * INDEX(Pack_Master!F:F, MATCH($D547, Pack_Master!A:A, 0))
   * INDEX(Pack_Master!G:G, MATCH($D547, Pack_Master!A:A, 0))
 ) / INDEX(Config!C:C, MATCH($A547, Config!A:A, 0)),
"")
</f>
        <v>0</v>
      </c>
      <c r="H547" s="17">
        <f t="array" ref="H547">MAX( INDEX(Pack_Master!H:H, MATCH($D547, Pack_Master!A:A, 0)),
      IFERROR(G547, 0) )
</f>
        <v>0</v>
      </c>
      <c r="I547" s="18" t="str">
        <f>IFERROR(__xludf.DUMMYFUNCTION("IFERROR(
 INDEX(
   FILTER(Shipping_Rate_Card!B:F, Shipping_Rate_Card!A:A=$A547),
   MATCH($H547, FILTER(Shipping_Rate_Card!B:B, Shipping_Rate_Card!A:A=$A547), 1),
   IF( INDEX(Config!B:B, MATCH($A547, Config!A:A, 0))=""Local"", 2,
     IF( INDEX(Config!B"&amp;":B, MATCH($A547, Config!A:A, 0))=""Regional"", 3, 4 )
   )
 ),
"""")
"),"")</f>
        <v/>
      </c>
      <c r="J547" s="16">
        <f>IFERROR(__xludf.DUMMYFUNCTION("IFERROR(
 ( E547 * INDEX(FILTER(Pricing_Rules!E:E, Pricing_Rules!A:A=A547, Pricing_Rules!B:B=B547, Pricing_Rules!C:C&lt;=E547, Pricing_Rules!D:D&gt;=E547), 1)
   + INDEX(FILTER(Pricing_Rules!F:F, Pricing_Rules!A:A=A547, Pricing_Rules!B:B=B547, Pricing_Rules!C:C"&amp;"&lt;=E547, Pricing_Rules!D:D&gt;=E547), 1)
 )
 * (1 + IFERROR( INDEX(Config!D:D, MATCH(A547, Config!A:A, 0)), 0 )),
"""")
"),5.8999999999999995)</f>
        <v>5.9</v>
      </c>
      <c r="K547" s="19">
        <f t="shared" si="3"/>
        <v>-181.9</v>
      </c>
      <c r="L547" s="20" t="str">
        <f t="shared" si="4"/>
        <v/>
      </c>
    </row>
    <row r="548" ht="15.75" customHeight="1">
      <c r="A548" s="9" t="s">
        <v>9</v>
      </c>
      <c r="B548" s="12" t="str">
        <f t="array" ref="B548">XLOOKUP(C548, Channel_Listings!C:C, Channel_Listings!B:B)
</f>
        <v>Garden_Planters</v>
      </c>
      <c r="C548" s="23" t="s">
        <v>857</v>
      </c>
      <c r="D548" s="14" t="str">
        <f t="array" ref="D548">XLOOKUP(C548, Channel_Listings!C:C, Channel_Listings!D:D)
</f>
        <v>PLANTER-BROWN-RECTANGLE-ORCHID18-PK4</v>
      </c>
      <c r="E548" s="15"/>
      <c r="F548" s="16">
        <f t="array" ref="F548">IFERROR(
  VALUE( INDEX(Product_Master!$I:$I,
               MATCH( INDEX(Pack_Master!$B:$B, MATCH($D548, Pack_Master!$A:$A, 0)),
                      Product_Master!$B:$B, 0)
  )) 
  * VALUE( INDEX(Pack_Master!$C:$C, MATCH($D548, Pack_Master!$A:$A, 0)) )
  + VALUE( INDEX(Pack_Master!$D:$D, MATCH($D548, Pack_Master!$A:$A, 0)) ),
"")
</f>
        <v>352</v>
      </c>
      <c r="G548" s="17">
        <f t="array" ref="G548">IFERROR(
 ( INDEX(Pack_Master!E:E, MATCH($D548, Pack_Master!A:A, 0))
   * INDEX(Pack_Master!F:F, MATCH($D548, Pack_Master!A:A, 0))
   * INDEX(Pack_Master!G:G, MATCH($D548, Pack_Master!A:A, 0))
 ) / INDEX(Config!C:C, MATCH($A548, Config!A:A, 0)),
"")
</f>
        <v>0</v>
      </c>
      <c r="H548" s="17">
        <f t="array" ref="H548">MAX( INDEX(Pack_Master!H:H, MATCH($D548, Pack_Master!A:A, 0)),
      IFERROR(G548, 0) )
</f>
        <v>0</v>
      </c>
      <c r="I548" s="18" t="str">
        <f>IFERROR(__xludf.DUMMYFUNCTION("IFERROR(
 INDEX(
   FILTER(Shipping_Rate_Card!B:F, Shipping_Rate_Card!A:A=$A548),
   MATCH($H548, FILTER(Shipping_Rate_Card!B:B, Shipping_Rate_Card!A:A=$A548), 1),
   IF( INDEX(Config!B:B, MATCH($A548, Config!A:A, 0))=""Local"", 2,
     IF( INDEX(Config!B"&amp;":B, MATCH($A548, Config!A:A, 0))=""Regional"", 3, 4 )
   )
 ),
"""")
"),"")</f>
        <v/>
      </c>
      <c r="J548" s="16">
        <f>IFERROR(__xludf.DUMMYFUNCTION("IFERROR(
 ( E548 * INDEX(FILTER(Pricing_Rules!E:E, Pricing_Rules!A:A=A548, Pricing_Rules!B:B=B548, Pricing_Rules!C:C&lt;=E548, Pricing_Rules!D:D&gt;=E548), 1)
   + INDEX(FILTER(Pricing_Rules!F:F, Pricing_Rules!A:A=A548, Pricing_Rules!B:B=B548, Pricing_Rules!C:C"&amp;"&lt;=E548, Pricing_Rules!D:D&gt;=E548), 1)
 )
 * (1 + IFERROR( INDEX(Config!D:D, MATCH(A548, Config!A:A, 0)), 0 )),
"""")
"),5.8999999999999995)</f>
        <v>5.9</v>
      </c>
      <c r="K548" s="19">
        <f t="shared" si="3"/>
        <v>-357.9</v>
      </c>
      <c r="L548" s="20" t="str">
        <f t="shared" si="4"/>
        <v/>
      </c>
    </row>
    <row r="549" ht="15.75" customHeight="1">
      <c r="A549" s="9" t="s">
        <v>9</v>
      </c>
      <c r="B549" s="12" t="str">
        <f t="array" ref="B549">XLOOKUP(C549, Channel_Listings!C:C, Channel_Listings!B:B)
</f>
        <v>Garden_Planters</v>
      </c>
      <c r="C549" s="23" t="s">
        <v>859</v>
      </c>
      <c r="D549" s="14" t="str">
        <f t="array" ref="D549">XLOOKUP(C549, Channel_Listings!C:C, Channel_Listings!D:D)
</f>
        <v>PLANTER-BROWN-RECTANGLE-ORCHID18-PK8</v>
      </c>
      <c r="E549" s="15"/>
      <c r="F549" s="16">
        <f t="array" ref="F549">IFERROR(
  VALUE( INDEX(Product_Master!$I:$I,
               MATCH( INDEX(Pack_Master!$B:$B, MATCH($D549, Pack_Master!$A:$A, 0)),
                      Product_Master!$B:$B, 0)
  )) 
  * VALUE( INDEX(Pack_Master!$C:$C, MATCH($D549, Pack_Master!$A:$A, 0)) )
  + VALUE( INDEX(Pack_Master!$D:$D, MATCH($D549, Pack_Master!$A:$A, 0)) ),
"")
</f>
        <v>704</v>
      </c>
      <c r="G549" s="17">
        <f t="array" ref="G549">IFERROR(
 ( INDEX(Pack_Master!E:E, MATCH($D549, Pack_Master!A:A, 0))
   * INDEX(Pack_Master!F:F, MATCH($D549, Pack_Master!A:A, 0))
   * INDEX(Pack_Master!G:G, MATCH($D549, Pack_Master!A:A, 0))
 ) / INDEX(Config!C:C, MATCH($A549, Config!A:A, 0)),
"")
</f>
        <v>0</v>
      </c>
      <c r="H549" s="17">
        <f t="array" ref="H549">MAX( INDEX(Pack_Master!H:H, MATCH($D549, Pack_Master!A:A, 0)),
      IFERROR(G549, 0) )
</f>
        <v>0</v>
      </c>
      <c r="I549" s="18" t="str">
        <f>IFERROR(__xludf.DUMMYFUNCTION("IFERROR(
 INDEX(
   FILTER(Shipping_Rate_Card!B:F, Shipping_Rate_Card!A:A=$A549),
   MATCH($H549, FILTER(Shipping_Rate_Card!B:B, Shipping_Rate_Card!A:A=$A549), 1),
   IF( INDEX(Config!B:B, MATCH($A549, Config!A:A, 0))=""Local"", 2,
     IF( INDEX(Config!B"&amp;":B, MATCH($A549, Config!A:A, 0))=""Regional"", 3, 4 )
   )
 ),
"""")
"),"")</f>
        <v/>
      </c>
      <c r="J549" s="16">
        <f>IFERROR(__xludf.DUMMYFUNCTION("IFERROR(
 ( E549 * INDEX(FILTER(Pricing_Rules!E:E, Pricing_Rules!A:A=A549, Pricing_Rules!B:B=B549, Pricing_Rules!C:C&lt;=E549, Pricing_Rules!D:D&gt;=E549), 1)
   + INDEX(FILTER(Pricing_Rules!F:F, Pricing_Rules!A:A=A549, Pricing_Rules!B:B=B549, Pricing_Rules!C:C"&amp;"&lt;=E549, Pricing_Rules!D:D&gt;=E549), 1)
 )
 * (1 + IFERROR( INDEX(Config!D:D, MATCH(A549, Config!A:A, 0)), 0 )),
"""")
"),5.8999999999999995)</f>
        <v>5.9</v>
      </c>
      <c r="K549" s="19">
        <f t="shared" si="3"/>
        <v>-709.9</v>
      </c>
      <c r="L549" s="20" t="str">
        <f t="shared" si="4"/>
        <v/>
      </c>
    </row>
    <row r="550" ht="15.75" customHeight="1">
      <c r="A550" s="9" t="s">
        <v>9</v>
      </c>
      <c r="B550" s="12" t="str">
        <f t="array" ref="B550">XLOOKUP(C550, Channel_Listings!C:C, Channel_Listings!B:B)
</f>
        <v>Garden_Planters</v>
      </c>
      <c r="C550" s="22" t="s">
        <v>862</v>
      </c>
      <c r="D550" s="14" t="str">
        <f t="array" ref="D550">XLOOKUP(C550, Channel_Listings!C:C, Channel_Listings!D:D)
</f>
        <v>PLANTER-BROWN-RECTANGLE-ORCHID20-PK1</v>
      </c>
      <c r="E550" s="15"/>
      <c r="F550" s="16">
        <f t="array" ref="F550">IFERROR(
  VALUE( INDEX(Product_Master!$I:$I,
               MATCH( INDEX(Pack_Master!$B:$B, MATCH($D550, Pack_Master!$A:$A, 0)),
                      Product_Master!$B:$B, 0)
  )) 
  * VALUE( INDEX(Pack_Master!$C:$C, MATCH($D550, Pack_Master!$A:$A, 0)) )
  + VALUE( INDEX(Pack_Master!$D:$D, MATCH($D550, Pack_Master!$A:$A, 0)) ),
"")
</f>
        <v>153</v>
      </c>
      <c r="G550" s="17">
        <f t="array" ref="G550">IFERROR(
 ( INDEX(Pack_Master!E:E, MATCH($D550, Pack_Master!A:A, 0))
   * INDEX(Pack_Master!F:F, MATCH($D550, Pack_Master!A:A, 0))
   * INDEX(Pack_Master!G:G, MATCH($D550, Pack_Master!A:A, 0))
 ) / INDEX(Config!C:C, MATCH($A550, Config!A:A, 0)),
"")
</f>
        <v>0</v>
      </c>
      <c r="H550" s="17">
        <f t="array" ref="H550">MAX( INDEX(Pack_Master!H:H, MATCH($D550, Pack_Master!A:A, 0)),
      IFERROR(G550, 0) )
</f>
        <v>0</v>
      </c>
      <c r="I550" s="18" t="str">
        <f>IFERROR(__xludf.DUMMYFUNCTION("IFERROR(
 INDEX(
   FILTER(Shipping_Rate_Card!B:F, Shipping_Rate_Card!A:A=$A550),
   MATCH($H550, FILTER(Shipping_Rate_Card!B:B, Shipping_Rate_Card!A:A=$A550), 1),
   IF( INDEX(Config!B:B, MATCH($A550, Config!A:A, 0))=""Local"", 2,
     IF( INDEX(Config!B"&amp;":B, MATCH($A550, Config!A:A, 0))=""Regional"", 3, 4 )
   )
 ),
"""")
"),"")</f>
        <v/>
      </c>
      <c r="J550" s="16">
        <f>IFERROR(__xludf.DUMMYFUNCTION("IFERROR(
 ( E550 * INDEX(FILTER(Pricing_Rules!E:E, Pricing_Rules!A:A=A550, Pricing_Rules!B:B=B550, Pricing_Rules!C:C&lt;=E550, Pricing_Rules!D:D&gt;=E550), 1)
   + INDEX(FILTER(Pricing_Rules!F:F, Pricing_Rules!A:A=A550, Pricing_Rules!B:B=B550, Pricing_Rules!C:C"&amp;"&lt;=E550, Pricing_Rules!D:D&gt;=E550), 1)
 )
 * (1 + IFERROR( INDEX(Config!D:D, MATCH(A550, Config!A:A, 0)), 0 )),
"""")
"),5.8999999999999995)</f>
        <v>5.9</v>
      </c>
      <c r="K550" s="19">
        <f t="shared" si="3"/>
        <v>-158.9</v>
      </c>
      <c r="L550" s="20" t="str">
        <f t="shared" si="4"/>
        <v/>
      </c>
    </row>
    <row r="551" ht="15.75" customHeight="1">
      <c r="A551" s="9" t="s">
        <v>9</v>
      </c>
      <c r="B551" s="12" t="str">
        <f t="array" ref="B551">XLOOKUP(C551, Channel_Listings!C:C, Channel_Listings!B:B)
</f>
        <v>Garden_Planters</v>
      </c>
      <c r="C551" s="23" t="s">
        <v>864</v>
      </c>
      <c r="D551" s="14" t="str">
        <f t="array" ref="D551">XLOOKUP(C551, Channel_Listings!C:C, Channel_Listings!D:D)
</f>
        <v>PLANTER-BROWN-RECTANGLE-ORCHID20-PK2</v>
      </c>
      <c r="E551" s="15"/>
      <c r="F551" s="16">
        <f t="array" ref="F551">IFERROR(
  VALUE( INDEX(Product_Master!$I:$I,
               MATCH( INDEX(Pack_Master!$B:$B, MATCH($D551, Pack_Master!$A:$A, 0)),
                      Product_Master!$B:$B, 0)
  )) 
  * VALUE( INDEX(Pack_Master!$C:$C, MATCH($D551, Pack_Master!$A:$A, 0)) )
  + VALUE( INDEX(Pack_Master!$D:$D, MATCH($D551, Pack_Master!$A:$A, 0)) ),
"")
</f>
        <v>306</v>
      </c>
      <c r="G551" s="17">
        <f t="array" ref="G551">IFERROR(
 ( INDEX(Pack_Master!E:E, MATCH($D551, Pack_Master!A:A, 0))
   * INDEX(Pack_Master!F:F, MATCH($D551, Pack_Master!A:A, 0))
   * INDEX(Pack_Master!G:G, MATCH($D551, Pack_Master!A:A, 0))
 ) / INDEX(Config!C:C, MATCH($A551, Config!A:A, 0)),
"")
</f>
        <v>0</v>
      </c>
      <c r="H551" s="17">
        <f t="array" ref="H551">MAX( INDEX(Pack_Master!H:H, MATCH($D551, Pack_Master!A:A, 0)),
      IFERROR(G551, 0) )
</f>
        <v>0</v>
      </c>
      <c r="I551" s="18" t="str">
        <f>IFERROR(__xludf.DUMMYFUNCTION("IFERROR(
 INDEX(
   FILTER(Shipping_Rate_Card!B:F, Shipping_Rate_Card!A:A=$A551),
   MATCH($H551, FILTER(Shipping_Rate_Card!B:B, Shipping_Rate_Card!A:A=$A551), 1),
   IF( INDEX(Config!B:B, MATCH($A551, Config!A:A, 0))=""Local"", 2,
     IF( INDEX(Config!B"&amp;":B, MATCH($A551, Config!A:A, 0))=""Regional"", 3, 4 )
   )
 ),
"""")
"),"")</f>
        <v/>
      </c>
      <c r="J551" s="16">
        <f>IFERROR(__xludf.DUMMYFUNCTION("IFERROR(
 ( E551 * INDEX(FILTER(Pricing_Rules!E:E, Pricing_Rules!A:A=A551, Pricing_Rules!B:B=B551, Pricing_Rules!C:C&lt;=E551, Pricing_Rules!D:D&gt;=E551), 1)
   + INDEX(FILTER(Pricing_Rules!F:F, Pricing_Rules!A:A=A551, Pricing_Rules!B:B=B551, Pricing_Rules!C:C"&amp;"&lt;=E551, Pricing_Rules!D:D&gt;=E551), 1)
 )
 * (1 + IFERROR( INDEX(Config!D:D, MATCH(A551, Config!A:A, 0)), 0 )),
"""")
"),5.8999999999999995)</f>
        <v>5.9</v>
      </c>
      <c r="K551" s="19">
        <f t="shared" si="3"/>
        <v>-311.9</v>
      </c>
      <c r="L551" s="20" t="str">
        <f t="shared" si="4"/>
        <v/>
      </c>
    </row>
    <row r="552" ht="15.75" customHeight="1">
      <c r="A552" s="9" t="s">
        <v>9</v>
      </c>
      <c r="B552" s="12" t="str">
        <f t="array" ref="B552">XLOOKUP(C552, Channel_Listings!C:C, Channel_Listings!B:B)
</f>
        <v>Garden_Planters</v>
      </c>
      <c r="C552" s="23" t="s">
        <v>866</v>
      </c>
      <c r="D552" s="14" t="str">
        <f t="array" ref="D552">XLOOKUP(C552, Channel_Listings!C:C, Channel_Listings!D:D)
</f>
        <v>PLANTER-BROWN-RECTANGLE-ORCHID20-PK4</v>
      </c>
      <c r="E552" s="15"/>
      <c r="F552" s="16">
        <f t="array" ref="F552">IFERROR(
  VALUE( INDEX(Product_Master!$I:$I,
               MATCH( INDEX(Pack_Master!$B:$B, MATCH($D552, Pack_Master!$A:$A, 0)),
                      Product_Master!$B:$B, 0)
  )) 
  * VALUE( INDEX(Pack_Master!$C:$C, MATCH($D552, Pack_Master!$A:$A, 0)) )
  + VALUE( INDEX(Pack_Master!$D:$D, MATCH($D552, Pack_Master!$A:$A, 0)) ),
"")
</f>
        <v>612</v>
      </c>
      <c r="G552" s="17">
        <f t="array" ref="G552">IFERROR(
 ( INDEX(Pack_Master!E:E, MATCH($D552, Pack_Master!A:A, 0))
   * INDEX(Pack_Master!F:F, MATCH($D552, Pack_Master!A:A, 0))
   * INDEX(Pack_Master!G:G, MATCH($D552, Pack_Master!A:A, 0))
 ) / INDEX(Config!C:C, MATCH($A552, Config!A:A, 0)),
"")
</f>
        <v>0</v>
      </c>
      <c r="H552" s="17">
        <f t="array" ref="H552">MAX( INDEX(Pack_Master!H:H, MATCH($D552, Pack_Master!A:A, 0)),
      IFERROR(G552, 0) )
</f>
        <v>0</v>
      </c>
      <c r="I552" s="18" t="str">
        <f>IFERROR(__xludf.DUMMYFUNCTION("IFERROR(
 INDEX(
   FILTER(Shipping_Rate_Card!B:F, Shipping_Rate_Card!A:A=$A552),
   MATCH($H552, FILTER(Shipping_Rate_Card!B:B, Shipping_Rate_Card!A:A=$A552), 1),
   IF( INDEX(Config!B:B, MATCH($A552, Config!A:A, 0))=""Local"", 2,
     IF( INDEX(Config!B"&amp;":B, MATCH($A552, Config!A:A, 0))=""Regional"", 3, 4 )
   )
 ),
"""")
"),"")</f>
        <v/>
      </c>
      <c r="J552" s="16">
        <f>IFERROR(__xludf.DUMMYFUNCTION("IFERROR(
 ( E552 * INDEX(FILTER(Pricing_Rules!E:E, Pricing_Rules!A:A=A552, Pricing_Rules!B:B=B552, Pricing_Rules!C:C&lt;=E552, Pricing_Rules!D:D&gt;=E552), 1)
   + INDEX(FILTER(Pricing_Rules!F:F, Pricing_Rules!A:A=A552, Pricing_Rules!B:B=B552, Pricing_Rules!C:C"&amp;"&lt;=E552, Pricing_Rules!D:D&gt;=E552), 1)
 )
 * (1 + IFERROR( INDEX(Config!D:D, MATCH(A552, Config!A:A, 0)), 0 )),
"""")
"),5.8999999999999995)</f>
        <v>5.9</v>
      </c>
      <c r="K552" s="19">
        <f t="shared" si="3"/>
        <v>-617.9</v>
      </c>
      <c r="L552" s="20" t="str">
        <f t="shared" si="4"/>
        <v/>
      </c>
    </row>
    <row r="553" ht="15.75" customHeight="1">
      <c r="A553" s="9" t="s">
        <v>9</v>
      </c>
      <c r="B553" s="12" t="str">
        <f t="array" ref="B553">XLOOKUP(C553, Channel_Listings!C:C, Channel_Listings!B:B)
</f>
        <v>Garden_Planters</v>
      </c>
      <c r="C553" s="23" t="s">
        <v>868</v>
      </c>
      <c r="D553" s="14" t="str">
        <f t="array" ref="D553">XLOOKUP(C553, Channel_Listings!C:C, Channel_Listings!D:D)
</f>
        <v>PLANTER-BROWN-RECTANGLE-ORCHID20-PK8</v>
      </c>
      <c r="E553" s="15"/>
      <c r="F553" s="16">
        <f t="array" ref="F553">IFERROR(
  VALUE( INDEX(Product_Master!$I:$I,
               MATCH( INDEX(Pack_Master!$B:$B, MATCH($D553, Pack_Master!$A:$A, 0)),
                      Product_Master!$B:$B, 0)
  )) 
  * VALUE( INDEX(Pack_Master!$C:$C, MATCH($D553, Pack_Master!$A:$A, 0)) )
  + VALUE( INDEX(Pack_Master!$D:$D, MATCH($D553, Pack_Master!$A:$A, 0)) ),
"")
</f>
        <v>1224</v>
      </c>
      <c r="G553" s="17">
        <f t="array" ref="G553">IFERROR(
 ( INDEX(Pack_Master!E:E, MATCH($D553, Pack_Master!A:A, 0))
   * INDEX(Pack_Master!F:F, MATCH($D553, Pack_Master!A:A, 0))
   * INDEX(Pack_Master!G:G, MATCH($D553, Pack_Master!A:A, 0))
 ) / INDEX(Config!C:C, MATCH($A553, Config!A:A, 0)),
"")
</f>
        <v>0</v>
      </c>
      <c r="H553" s="17">
        <f t="array" ref="H553">MAX( INDEX(Pack_Master!H:H, MATCH($D553, Pack_Master!A:A, 0)),
      IFERROR(G553, 0) )
</f>
        <v>0</v>
      </c>
      <c r="I553" s="18" t="str">
        <f>IFERROR(__xludf.DUMMYFUNCTION("IFERROR(
 INDEX(
   FILTER(Shipping_Rate_Card!B:F, Shipping_Rate_Card!A:A=$A553),
   MATCH($H553, FILTER(Shipping_Rate_Card!B:B, Shipping_Rate_Card!A:A=$A553), 1),
   IF( INDEX(Config!B:B, MATCH($A553, Config!A:A, 0))=""Local"", 2,
     IF( INDEX(Config!B"&amp;":B, MATCH($A553, Config!A:A, 0))=""Regional"", 3, 4 )
   )
 ),
"""")
"),"")</f>
        <v/>
      </c>
      <c r="J553" s="16">
        <f>IFERROR(__xludf.DUMMYFUNCTION("IFERROR(
 ( E553 * INDEX(FILTER(Pricing_Rules!E:E, Pricing_Rules!A:A=A553, Pricing_Rules!B:B=B553, Pricing_Rules!C:C&lt;=E553, Pricing_Rules!D:D&gt;=E553), 1)
   + INDEX(FILTER(Pricing_Rules!F:F, Pricing_Rules!A:A=A553, Pricing_Rules!B:B=B553, Pricing_Rules!C:C"&amp;"&lt;=E553, Pricing_Rules!D:D&gt;=E553), 1)
 )
 * (1 + IFERROR( INDEX(Config!D:D, MATCH(A553, Config!A:A, 0)), 0 )),
"""")
"),5.8999999999999995)</f>
        <v>5.9</v>
      </c>
      <c r="K553" s="19">
        <f t="shared" si="3"/>
        <v>-1229.9</v>
      </c>
      <c r="L553" s="20" t="str">
        <f t="shared" si="4"/>
        <v/>
      </c>
    </row>
    <row r="554" ht="15.75" customHeight="1">
      <c r="A554" s="9" t="s">
        <v>9</v>
      </c>
      <c r="B554" s="12" t="str">
        <f t="array" ref="B554">XLOOKUP(C554, Channel_Listings!C:C, Channel_Listings!B:B)
</f>
        <v>Garden_Planters</v>
      </c>
      <c r="C554" s="22" t="s">
        <v>870</v>
      </c>
      <c r="D554" s="14" t="str">
        <f t="array" ref="D554">XLOOKUP(C554, Channel_Listings!C:C, Channel_Listings!D:D)
</f>
        <v>PLANTER-ROUNDORCHID-SAUCER10-PK1</v>
      </c>
      <c r="E554" s="15"/>
      <c r="F554" s="16">
        <f t="array" ref="F554">IFERROR(
  VALUE( INDEX(Product_Master!$I:$I,
               MATCH( INDEX(Pack_Master!$B:$B, MATCH($D554, Pack_Master!$A:$A, 0)),
                      Product_Master!$B:$B, 0)
  )) 
  * VALUE( INDEX(Pack_Master!$C:$C, MATCH($D554, Pack_Master!$A:$A, 0)) )
  + VALUE( INDEX(Pack_Master!$D:$D, MATCH($D554, Pack_Master!$A:$A, 0)) ),
"")
</f>
        <v>86.5</v>
      </c>
      <c r="G554" s="17">
        <f t="array" ref="G554">IFERROR(
 ( INDEX(Pack_Master!E:E, MATCH($D554, Pack_Master!A:A, 0))
   * INDEX(Pack_Master!F:F, MATCH($D554, Pack_Master!A:A, 0))
   * INDEX(Pack_Master!G:G, MATCH($D554, Pack_Master!A:A, 0))
 ) / INDEX(Config!C:C, MATCH($A554, Config!A:A, 0)),
"")
</f>
        <v>2.8392</v>
      </c>
      <c r="H554" s="17">
        <f t="array" ref="H554">MAX( INDEX(Pack_Master!H:H, MATCH($D554, Pack_Master!A:A, 0)),
      IFERROR(G554, 0) )
</f>
        <v>2.8392</v>
      </c>
      <c r="I554" s="18">
        <f>IFERROR(__xludf.DUMMYFUNCTION("IFERROR(
 INDEX(
   FILTER(Shipping_Rate_Card!B:F, Shipping_Rate_Card!A:A=$A554),
   MATCH($H554, FILTER(Shipping_Rate_Card!B:B, Shipping_Rate_Card!A:A=$A554), 1),
   IF( INDEX(Config!B:B, MATCH($A554, Config!A:A, 0))=""Local"", 2,
     IF( INDEX(Config!B"&amp;":B, MATCH($A554, Config!A:A, 0))=""Regional"", 3, 4 )
   )
 ),
"""")
"),155.0)</f>
        <v>155</v>
      </c>
      <c r="J554" s="16">
        <f>IFERROR(__xludf.DUMMYFUNCTION("IFERROR(
 ( E554 * INDEX(FILTER(Pricing_Rules!E:E, Pricing_Rules!A:A=A554, Pricing_Rules!B:B=B554, Pricing_Rules!C:C&lt;=E554, Pricing_Rules!D:D&gt;=E554), 1)
   + INDEX(FILTER(Pricing_Rules!F:F, Pricing_Rules!A:A=A554, Pricing_Rules!B:B=B554, Pricing_Rules!C:C"&amp;"&lt;=E554, Pricing_Rules!D:D&gt;=E554), 1)
 )
 * (1 + IFERROR( INDEX(Config!D:D, MATCH(A554, Config!A:A, 0)), 0 )),
"""")
"),5.8999999999999995)</f>
        <v>5.9</v>
      </c>
      <c r="K554" s="19">
        <f t="shared" si="3"/>
        <v>-247.4</v>
      </c>
      <c r="L554" s="20" t="str">
        <f t="shared" si="4"/>
        <v/>
      </c>
    </row>
    <row r="555" ht="15.75" customHeight="1">
      <c r="A555" s="9" t="s">
        <v>9</v>
      </c>
      <c r="B555" s="12" t="str">
        <f t="array" ref="B555">XLOOKUP(C555, Channel_Listings!C:C, Channel_Listings!B:B)
</f>
        <v>Garden_Planters</v>
      </c>
      <c r="C555" s="22" t="s">
        <v>872</v>
      </c>
      <c r="D555" s="14" t="str">
        <f t="array" ref="D555">XLOOKUP(C555, Channel_Listings!C:C, Channel_Listings!D:D)
</f>
        <v>PLANTER-ROUNDORCHID-SAUCER12-PK1</v>
      </c>
      <c r="E555" s="15"/>
      <c r="F555" s="16">
        <f t="array" ref="F555">IFERROR(
  VALUE( INDEX(Product_Master!$I:$I,
               MATCH( INDEX(Pack_Master!$B:$B, MATCH($D555, Pack_Master!$A:$A, 0)),
                      Product_Master!$B:$B, 0)
  )) 
  * VALUE( INDEX(Pack_Master!$C:$C, MATCH($D555, Pack_Master!$A:$A, 0)) )
  + VALUE( INDEX(Pack_Master!$D:$D, MATCH($D555, Pack_Master!$A:$A, 0)) ),
"")
</f>
        <v>123.5</v>
      </c>
      <c r="G555" s="17">
        <f t="array" ref="G555">IFERROR(
 ( INDEX(Pack_Master!E:E, MATCH($D555, Pack_Master!A:A, 0))
   * INDEX(Pack_Master!F:F, MATCH($D555, Pack_Master!A:A, 0))
   * INDEX(Pack_Master!G:G, MATCH($D555, Pack_Master!A:A, 0))
 ) / INDEX(Config!C:C, MATCH($A555, Config!A:A, 0)),
"")
</f>
        <v>4.9972</v>
      </c>
      <c r="H555" s="17">
        <f t="array" ref="H555">MAX( INDEX(Pack_Master!H:H, MATCH($D555, Pack_Master!A:A, 0)),
      IFERROR(G555, 0) )
</f>
        <v>4.9972</v>
      </c>
      <c r="I555" s="18">
        <f>IFERROR(__xludf.DUMMYFUNCTION("IFERROR(
 INDEX(
   FILTER(Shipping_Rate_Card!B:F, Shipping_Rate_Card!A:A=$A555),
   MATCH($H555, FILTER(Shipping_Rate_Card!B:B, Shipping_Rate_Card!A:A=$A555), 1),
   IF( INDEX(Config!B:B, MATCH($A555, Config!A:A, 0))=""Local"", 2,
     IF( INDEX(Config!B"&amp;":B, MATCH($A555, Config!A:A, 0))=""Regional"", 3, 4 )
   )
 ),
"""")
"),223.0)</f>
        <v>223</v>
      </c>
      <c r="J555" s="16">
        <f>IFERROR(__xludf.DUMMYFUNCTION("IFERROR(
 ( E555 * INDEX(FILTER(Pricing_Rules!E:E, Pricing_Rules!A:A=A555, Pricing_Rules!B:B=B555, Pricing_Rules!C:C&lt;=E555, Pricing_Rules!D:D&gt;=E555), 1)
   + INDEX(FILTER(Pricing_Rules!F:F, Pricing_Rules!A:A=A555, Pricing_Rules!B:B=B555, Pricing_Rules!C:C"&amp;"&lt;=E555, Pricing_Rules!D:D&gt;=E555), 1)
 )
 * (1 + IFERROR( INDEX(Config!D:D, MATCH(A555, Config!A:A, 0)), 0 )),
"""")
"),5.8999999999999995)</f>
        <v>5.9</v>
      </c>
      <c r="K555" s="19">
        <f t="shared" si="3"/>
        <v>-352.4</v>
      </c>
      <c r="L555" s="20" t="str">
        <f t="shared" si="4"/>
        <v/>
      </c>
    </row>
    <row r="556" ht="15.75" customHeight="1">
      <c r="A556" s="9" t="s">
        <v>9</v>
      </c>
      <c r="B556" s="12" t="str">
        <f t="array" ref="B556">XLOOKUP(C556, Channel_Listings!C:C, Channel_Listings!B:B)
</f>
        <v>Garden_Planters</v>
      </c>
      <c r="C556" s="22" t="s">
        <v>874</v>
      </c>
      <c r="D556" s="14" t="str">
        <f t="array" ref="D556">XLOOKUP(C556, Channel_Listings!C:C, Channel_Listings!D:D)
</f>
        <v>PLANTER-ROUNDORCHID-SAUCER8-PK1</v>
      </c>
      <c r="E556" s="15"/>
      <c r="F556" s="16">
        <f t="array" ref="F556">IFERROR(
  VALUE( INDEX(Product_Master!$I:$I,
               MATCH( INDEX(Pack_Master!$B:$B, MATCH($D556, Pack_Master!$A:$A, 0)),
                      Product_Master!$B:$B, 0)
  )) 
  * VALUE( INDEX(Pack_Master!$C:$C, MATCH($D556, Pack_Master!$A:$A, 0)) )
  + VALUE( INDEX(Pack_Master!$D:$D, MATCH($D556, Pack_Master!$A:$A, 0)) ),
"")
</f>
        <v>53.5</v>
      </c>
      <c r="G556" s="17">
        <f t="array" ref="G556">IFERROR(
 ( INDEX(Pack_Master!E:E, MATCH($D556, Pack_Master!A:A, 0))
   * INDEX(Pack_Master!F:F, MATCH($D556, Pack_Master!A:A, 0))
   * INDEX(Pack_Master!G:G, MATCH($D556, Pack_Master!A:A, 0))
 ) / INDEX(Config!C:C, MATCH($A556, Config!A:A, 0)),
"")
</f>
        <v>1.7986</v>
      </c>
      <c r="H556" s="17">
        <f t="array" ref="H556">MAX( INDEX(Pack_Master!H:H, MATCH($D556, Pack_Master!A:A, 0)),
      IFERROR(G556, 0) )
</f>
        <v>1.7986</v>
      </c>
      <c r="I556" s="18">
        <f>IFERROR(__xludf.DUMMYFUNCTION("IFERROR(
 INDEX(
   FILTER(Shipping_Rate_Card!B:F, Shipping_Rate_Card!A:A=$A556),
   MATCH($H556, FILTER(Shipping_Rate_Card!B:B, Shipping_Rate_Card!A:A=$A556), 1),
   IF( INDEX(Config!B:B, MATCH($A556, Config!A:A, 0))=""Local"", 2,
     IF( INDEX(Config!B"&amp;":B, MATCH($A556, Config!A:A, 0))=""Regional"", 3, 4 )
   )
 ),
"""")
"),121.0)</f>
        <v>121</v>
      </c>
      <c r="J556" s="16">
        <f>IFERROR(__xludf.DUMMYFUNCTION("IFERROR(
 ( E556 * INDEX(FILTER(Pricing_Rules!E:E, Pricing_Rules!A:A=A556, Pricing_Rules!B:B=B556, Pricing_Rules!C:C&lt;=E556, Pricing_Rules!D:D&gt;=E556), 1)
   + INDEX(FILTER(Pricing_Rules!F:F, Pricing_Rules!A:A=A556, Pricing_Rules!B:B=B556, Pricing_Rules!C:C"&amp;"&lt;=E556, Pricing_Rules!D:D&gt;=E556), 1)
 )
 * (1 + IFERROR( INDEX(Config!D:D, MATCH(A556, Config!A:A, 0)), 0 )),
"""")
"),5.8999999999999995)</f>
        <v>5.9</v>
      </c>
      <c r="K556" s="19">
        <f t="shared" si="3"/>
        <v>-180.4</v>
      </c>
      <c r="L556" s="20" t="str">
        <f t="shared" si="4"/>
        <v/>
      </c>
    </row>
    <row r="557" ht="15.75" customHeight="1">
      <c r="A557" s="9" t="s">
        <v>9</v>
      </c>
      <c r="B557" s="12" t="str">
        <f t="array" ref="B557">XLOOKUP(C557, Channel_Listings!C:C, Channel_Listings!B:B)
</f>
        <v>Garden_Planters</v>
      </c>
      <c r="C557" s="22" t="s">
        <v>876</v>
      </c>
      <c r="D557" s="14" t="str">
        <f t="array" ref="D557">XLOOKUP(C557, Channel_Listings!C:C, Channel_Listings!D:D)
</f>
        <v>PLANTER-BROWN-ROUND-ROSE10-PK1</v>
      </c>
      <c r="E557" s="15"/>
      <c r="F557" s="16">
        <f t="array" ref="F557">IFERROR(
  VALUE( INDEX(Product_Master!$I:$I,
               MATCH( INDEX(Pack_Master!$B:$B, MATCH($D557, Pack_Master!$A:$A, 0)),
                      Product_Master!$B:$B, 0)
  )) 
  * VALUE( INDEX(Pack_Master!$C:$C, MATCH($D557, Pack_Master!$A:$A, 0)) )
  + VALUE( INDEX(Pack_Master!$D:$D, MATCH($D557, Pack_Master!$A:$A, 0)) ),
"")
</f>
        <v>45</v>
      </c>
      <c r="G557" s="17">
        <f t="array" ref="G557">IFERROR(
 ( INDEX(Pack_Master!E:E, MATCH($D557, Pack_Master!A:A, 0))
   * INDEX(Pack_Master!F:F, MATCH($D557, Pack_Master!A:A, 0))
   * INDEX(Pack_Master!G:G, MATCH($D557, Pack_Master!A:A, 0))
 ) / INDEX(Config!C:C, MATCH($A557, Config!A:A, 0)),
"")
</f>
        <v>0</v>
      </c>
      <c r="H557" s="17">
        <f t="array" ref="H557">MAX( INDEX(Pack_Master!H:H, MATCH($D557, Pack_Master!A:A, 0)),
      IFERROR(G557, 0) )
</f>
        <v>0</v>
      </c>
      <c r="I557" s="18" t="str">
        <f>IFERROR(__xludf.DUMMYFUNCTION("IFERROR(
 INDEX(
   FILTER(Shipping_Rate_Card!B:F, Shipping_Rate_Card!A:A=$A557),
   MATCH($H557, FILTER(Shipping_Rate_Card!B:B, Shipping_Rate_Card!A:A=$A557), 1),
   IF( INDEX(Config!B:B, MATCH($A557, Config!A:A, 0))=""Local"", 2,
     IF( INDEX(Config!B"&amp;":B, MATCH($A557, Config!A:A, 0))=""Regional"", 3, 4 )
   )
 ),
"""")
"),"")</f>
        <v/>
      </c>
      <c r="J557" s="16">
        <f>IFERROR(__xludf.DUMMYFUNCTION("IFERROR(
 ( E557 * INDEX(FILTER(Pricing_Rules!E:E, Pricing_Rules!A:A=A557, Pricing_Rules!B:B=B557, Pricing_Rules!C:C&lt;=E557, Pricing_Rules!D:D&gt;=E557), 1)
   + INDEX(FILTER(Pricing_Rules!F:F, Pricing_Rules!A:A=A557, Pricing_Rules!B:B=B557, Pricing_Rules!C:C"&amp;"&lt;=E557, Pricing_Rules!D:D&gt;=E557), 1)
 )
 * (1 + IFERROR( INDEX(Config!D:D, MATCH(A557, Config!A:A, 0)), 0 )),
"""")
"),5.8999999999999995)</f>
        <v>5.9</v>
      </c>
      <c r="K557" s="19">
        <f t="shared" si="3"/>
        <v>-50.9</v>
      </c>
      <c r="L557" s="20" t="str">
        <f t="shared" si="4"/>
        <v/>
      </c>
    </row>
    <row r="558" ht="15.75" customHeight="1">
      <c r="A558" s="9" t="s">
        <v>9</v>
      </c>
      <c r="B558" s="12" t="str">
        <f t="array" ref="B558">XLOOKUP(C558, Channel_Listings!C:C, Channel_Listings!B:B)
</f>
        <v>Garden_Planters</v>
      </c>
      <c r="C558" s="23" t="s">
        <v>878</v>
      </c>
      <c r="D558" s="14" t="str">
        <f t="array" ref="D558">XLOOKUP(C558, Channel_Listings!C:C, Channel_Listings!D:D)
</f>
        <v>PLANTER-BROWN-ROUND-ROSE10-PK2</v>
      </c>
      <c r="E558" s="15"/>
      <c r="F558" s="16">
        <f t="array" ref="F558">IFERROR(
  VALUE( INDEX(Product_Master!$I:$I,
               MATCH( INDEX(Pack_Master!$B:$B, MATCH($D558, Pack_Master!$A:$A, 0)),
                      Product_Master!$B:$B, 0)
  )) 
  * VALUE( INDEX(Pack_Master!$C:$C, MATCH($D558, Pack_Master!$A:$A, 0)) )
  + VALUE( INDEX(Pack_Master!$D:$D, MATCH($D558, Pack_Master!$A:$A, 0)) ),
"")
</f>
        <v>90</v>
      </c>
      <c r="G558" s="17">
        <f t="array" ref="G558">IFERROR(
 ( INDEX(Pack_Master!E:E, MATCH($D558, Pack_Master!A:A, 0))
   * INDEX(Pack_Master!F:F, MATCH($D558, Pack_Master!A:A, 0))
   * INDEX(Pack_Master!G:G, MATCH($D558, Pack_Master!A:A, 0))
 ) / INDEX(Config!C:C, MATCH($A558, Config!A:A, 0)),
"")
</f>
        <v>0</v>
      </c>
      <c r="H558" s="17">
        <f t="array" ref="H558">MAX( INDEX(Pack_Master!H:H, MATCH($D558, Pack_Master!A:A, 0)),
      IFERROR(G558, 0) )
</f>
        <v>0</v>
      </c>
      <c r="I558" s="18" t="str">
        <f>IFERROR(__xludf.DUMMYFUNCTION("IFERROR(
 INDEX(
   FILTER(Shipping_Rate_Card!B:F, Shipping_Rate_Card!A:A=$A558),
   MATCH($H558, FILTER(Shipping_Rate_Card!B:B, Shipping_Rate_Card!A:A=$A558), 1),
   IF( INDEX(Config!B:B, MATCH($A558, Config!A:A, 0))=""Local"", 2,
     IF( INDEX(Config!B"&amp;":B, MATCH($A558, Config!A:A, 0))=""Regional"", 3, 4 )
   )
 ),
"""")
"),"")</f>
        <v/>
      </c>
      <c r="J558" s="16">
        <f>IFERROR(__xludf.DUMMYFUNCTION("IFERROR(
 ( E558 * INDEX(FILTER(Pricing_Rules!E:E, Pricing_Rules!A:A=A558, Pricing_Rules!B:B=B558, Pricing_Rules!C:C&lt;=E558, Pricing_Rules!D:D&gt;=E558), 1)
   + INDEX(FILTER(Pricing_Rules!F:F, Pricing_Rules!A:A=A558, Pricing_Rules!B:B=B558, Pricing_Rules!C:C"&amp;"&lt;=E558, Pricing_Rules!D:D&gt;=E558), 1)
 )
 * (1 + IFERROR( INDEX(Config!D:D, MATCH(A558, Config!A:A, 0)), 0 )),
"""")
"),5.8999999999999995)</f>
        <v>5.9</v>
      </c>
      <c r="K558" s="19">
        <f t="shared" si="3"/>
        <v>-95.9</v>
      </c>
      <c r="L558" s="20" t="str">
        <f t="shared" si="4"/>
        <v/>
      </c>
    </row>
    <row r="559" ht="15.75" customHeight="1">
      <c r="A559" s="9" t="s">
        <v>9</v>
      </c>
      <c r="B559" s="12" t="str">
        <f t="array" ref="B559">XLOOKUP(C559, Channel_Listings!C:C, Channel_Listings!B:B)
</f>
        <v>Garden_Planters</v>
      </c>
      <c r="C559" s="23" t="s">
        <v>880</v>
      </c>
      <c r="D559" s="14" t="str">
        <f t="array" ref="D559">XLOOKUP(C559, Channel_Listings!C:C, Channel_Listings!D:D)
</f>
        <v>PLANTER-BROWN-ROUND-ROSE10-PK4</v>
      </c>
      <c r="E559" s="15"/>
      <c r="F559" s="16">
        <f t="array" ref="F559">IFERROR(
  VALUE( INDEX(Product_Master!$I:$I,
               MATCH( INDEX(Pack_Master!$B:$B, MATCH($D559, Pack_Master!$A:$A, 0)),
                      Product_Master!$B:$B, 0)
  )) 
  * VALUE( INDEX(Pack_Master!$C:$C, MATCH($D559, Pack_Master!$A:$A, 0)) )
  + VALUE( INDEX(Pack_Master!$D:$D, MATCH($D559, Pack_Master!$A:$A, 0)) ),
"")
</f>
        <v>180</v>
      </c>
      <c r="G559" s="17">
        <f t="array" ref="G559">IFERROR(
 ( INDEX(Pack_Master!E:E, MATCH($D559, Pack_Master!A:A, 0))
   * INDEX(Pack_Master!F:F, MATCH($D559, Pack_Master!A:A, 0))
   * INDEX(Pack_Master!G:G, MATCH($D559, Pack_Master!A:A, 0))
 ) / INDEX(Config!C:C, MATCH($A559, Config!A:A, 0)),
"")
</f>
        <v>0</v>
      </c>
      <c r="H559" s="17">
        <f t="array" ref="H559">MAX( INDEX(Pack_Master!H:H, MATCH($D559, Pack_Master!A:A, 0)),
      IFERROR(G559, 0) )
</f>
        <v>0</v>
      </c>
      <c r="I559" s="18" t="str">
        <f>IFERROR(__xludf.DUMMYFUNCTION("IFERROR(
 INDEX(
   FILTER(Shipping_Rate_Card!B:F, Shipping_Rate_Card!A:A=$A559),
   MATCH($H559, FILTER(Shipping_Rate_Card!B:B, Shipping_Rate_Card!A:A=$A559), 1),
   IF( INDEX(Config!B:B, MATCH($A559, Config!A:A, 0))=""Local"", 2,
     IF( INDEX(Config!B"&amp;":B, MATCH($A559, Config!A:A, 0))=""Regional"", 3, 4 )
   )
 ),
"""")
"),"")</f>
        <v/>
      </c>
      <c r="J559" s="16">
        <f>IFERROR(__xludf.DUMMYFUNCTION("IFERROR(
 ( E559 * INDEX(FILTER(Pricing_Rules!E:E, Pricing_Rules!A:A=A559, Pricing_Rules!B:B=B559, Pricing_Rules!C:C&lt;=E559, Pricing_Rules!D:D&gt;=E559), 1)
   + INDEX(FILTER(Pricing_Rules!F:F, Pricing_Rules!A:A=A559, Pricing_Rules!B:B=B559, Pricing_Rules!C:C"&amp;"&lt;=E559, Pricing_Rules!D:D&gt;=E559), 1)
 )
 * (1 + IFERROR( INDEX(Config!D:D, MATCH(A559, Config!A:A, 0)), 0 )),
"""")
"),5.8999999999999995)</f>
        <v>5.9</v>
      </c>
      <c r="K559" s="19">
        <f t="shared" si="3"/>
        <v>-185.9</v>
      </c>
      <c r="L559" s="20" t="str">
        <f t="shared" si="4"/>
        <v/>
      </c>
    </row>
    <row r="560" ht="15.75" customHeight="1">
      <c r="A560" s="9" t="s">
        <v>9</v>
      </c>
      <c r="B560" s="12" t="str">
        <f t="array" ref="B560">XLOOKUP(C560, Channel_Listings!C:C, Channel_Listings!B:B)
</f>
        <v>Garden_Planters</v>
      </c>
      <c r="C560" s="23" t="s">
        <v>882</v>
      </c>
      <c r="D560" s="14" t="str">
        <f t="array" ref="D560">XLOOKUP(C560, Channel_Listings!C:C, Channel_Listings!D:D)
</f>
        <v>PLANTER-BROWN-ROUND-ROSE10-PK8</v>
      </c>
      <c r="E560" s="15"/>
      <c r="F560" s="16">
        <f t="array" ref="F560">IFERROR(
  VALUE( INDEX(Product_Master!$I:$I,
               MATCH( INDEX(Pack_Master!$B:$B, MATCH($D560, Pack_Master!$A:$A, 0)),
                      Product_Master!$B:$B, 0)
  )) 
  * VALUE( INDEX(Pack_Master!$C:$C, MATCH($D560, Pack_Master!$A:$A, 0)) )
  + VALUE( INDEX(Pack_Master!$D:$D, MATCH($D560, Pack_Master!$A:$A, 0)) ),
"")
</f>
        <v>360</v>
      </c>
      <c r="G560" s="17">
        <f t="array" ref="G560">IFERROR(
 ( INDEX(Pack_Master!E:E, MATCH($D560, Pack_Master!A:A, 0))
   * INDEX(Pack_Master!F:F, MATCH($D560, Pack_Master!A:A, 0))
   * INDEX(Pack_Master!G:G, MATCH($D560, Pack_Master!A:A, 0))
 ) / INDEX(Config!C:C, MATCH($A560, Config!A:A, 0)),
"")
</f>
        <v>0</v>
      </c>
      <c r="H560" s="17">
        <f t="array" ref="H560">MAX( INDEX(Pack_Master!H:H, MATCH($D560, Pack_Master!A:A, 0)),
      IFERROR(G560, 0) )
</f>
        <v>0</v>
      </c>
      <c r="I560" s="18" t="str">
        <f>IFERROR(__xludf.DUMMYFUNCTION("IFERROR(
 INDEX(
   FILTER(Shipping_Rate_Card!B:F, Shipping_Rate_Card!A:A=$A560),
   MATCH($H560, FILTER(Shipping_Rate_Card!B:B, Shipping_Rate_Card!A:A=$A560), 1),
   IF( INDEX(Config!B:B, MATCH($A560, Config!A:A, 0))=""Local"", 2,
     IF( INDEX(Config!B"&amp;":B, MATCH($A560, Config!A:A, 0))=""Regional"", 3, 4 )
   )
 ),
"""")
"),"")</f>
        <v/>
      </c>
      <c r="J560" s="16">
        <f>IFERROR(__xludf.DUMMYFUNCTION("IFERROR(
 ( E560 * INDEX(FILTER(Pricing_Rules!E:E, Pricing_Rules!A:A=A560, Pricing_Rules!B:B=B560, Pricing_Rules!C:C&lt;=E560, Pricing_Rules!D:D&gt;=E560), 1)
   + INDEX(FILTER(Pricing_Rules!F:F, Pricing_Rules!A:A=A560, Pricing_Rules!B:B=B560, Pricing_Rules!C:C"&amp;"&lt;=E560, Pricing_Rules!D:D&gt;=E560), 1)
 )
 * (1 + IFERROR( INDEX(Config!D:D, MATCH(A560, Config!A:A, 0)), 0 )),
"""")
"),5.8999999999999995)</f>
        <v>5.9</v>
      </c>
      <c r="K560" s="19">
        <f t="shared" si="3"/>
        <v>-365.9</v>
      </c>
      <c r="L560" s="20" t="str">
        <f t="shared" si="4"/>
        <v/>
      </c>
    </row>
    <row r="561" ht="15.75" customHeight="1">
      <c r="A561" s="9" t="s">
        <v>9</v>
      </c>
      <c r="B561" s="12" t="str">
        <f t="array" ref="B561">XLOOKUP(C561, Channel_Listings!C:C, Channel_Listings!B:B)
</f>
        <v>Garden_Planters</v>
      </c>
      <c r="C561" s="22" t="s">
        <v>884</v>
      </c>
      <c r="D561" s="14" t="str">
        <f t="array" ref="D561">XLOOKUP(C561, Channel_Listings!C:C, Channel_Listings!D:D)
</f>
        <v>PLANTER-BROWN-ROUND-ROSE12-PK1</v>
      </c>
      <c r="E561" s="15"/>
      <c r="F561" s="16">
        <f t="array" ref="F561">IFERROR(
  VALUE( INDEX(Product_Master!$I:$I,
               MATCH( INDEX(Pack_Master!$B:$B, MATCH($D561, Pack_Master!$A:$A, 0)),
                      Product_Master!$B:$B, 0)
  )) 
  * VALUE( INDEX(Pack_Master!$C:$C, MATCH($D561, Pack_Master!$A:$A, 0)) )
  + VALUE( INDEX(Pack_Master!$D:$D, MATCH($D561, Pack_Master!$A:$A, 0)) ),
"")
</f>
        <v>67.99</v>
      </c>
      <c r="G561" s="17">
        <f t="array" ref="G561">IFERROR(
 ( INDEX(Pack_Master!E:E, MATCH($D561, Pack_Master!A:A, 0))
   * INDEX(Pack_Master!F:F, MATCH($D561, Pack_Master!A:A, 0))
   * INDEX(Pack_Master!G:G, MATCH($D561, Pack_Master!A:A, 0))
 ) / INDEX(Config!C:C, MATCH($A561, Config!A:A, 0)),
"")
</f>
        <v>0</v>
      </c>
      <c r="H561" s="17">
        <f t="array" ref="H561">MAX( INDEX(Pack_Master!H:H, MATCH($D561, Pack_Master!A:A, 0)),
      IFERROR(G561, 0) )
</f>
        <v>0</v>
      </c>
      <c r="I561" s="18" t="str">
        <f>IFERROR(__xludf.DUMMYFUNCTION("IFERROR(
 INDEX(
   FILTER(Shipping_Rate_Card!B:F, Shipping_Rate_Card!A:A=$A561),
   MATCH($H561, FILTER(Shipping_Rate_Card!B:B, Shipping_Rate_Card!A:A=$A561), 1),
   IF( INDEX(Config!B:B, MATCH($A561, Config!A:A, 0))=""Local"", 2,
     IF( INDEX(Config!B"&amp;":B, MATCH($A561, Config!A:A, 0))=""Regional"", 3, 4 )
   )
 ),
"""")
"),"")</f>
        <v/>
      </c>
      <c r="J561" s="16">
        <f>IFERROR(__xludf.DUMMYFUNCTION("IFERROR(
 ( E561 * INDEX(FILTER(Pricing_Rules!E:E, Pricing_Rules!A:A=A561, Pricing_Rules!B:B=B561, Pricing_Rules!C:C&lt;=E561, Pricing_Rules!D:D&gt;=E561), 1)
   + INDEX(FILTER(Pricing_Rules!F:F, Pricing_Rules!A:A=A561, Pricing_Rules!B:B=B561, Pricing_Rules!C:C"&amp;"&lt;=E561, Pricing_Rules!D:D&gt;=E561), 1)
 )
 * (1 + IFERROR( INDEX(Config!D:D, MATCH(A561, Config!A:A, 0)), 0 )),
"""")
"),5.8999999999999995)</f>
        <v>5.9</v>
      </c>
      <c r="K561" s="19">
        <f t="shared" si="3"/>
        <v>-73.89</v>
      </c>
      <c r="L561" s="20" t="str">
        <f t="shared" si="4"/>
        <v/>
      </c>
    </row>
    <row r="562" ht="15.75" customHeight="1">
      <c r="A562" s="9" t="s">
        <v>9</v>
      </c>
      <c r="B562" s="12" t="str">
        <f t="array" ref="B562">XLOOKUP(C562, Channel_Listings!C:C, Channel_Listings!B:B)
</f>
        <v>Garden_Planters</v>
      </c>
      <c r="C562" s="23" t="s">
        <v>886</v>
      </c>
      <c r="D562" s="14" t="str">
        <f t="array" ref="D562">XLOOKUP(C562, Channel_Listings!C:C, Channel_Listings!D:D)
</f>
        <v>PLANTER-BROWN-ROUND-ROSE12-PK2</v>
      </c>
      <c r="E562" s="15"/>
      <c r="F562" s="16">
        <f t="array" ref="F562">IFERROR(
  VALUE( INDEX(Product_Master!$I:$I,
               MATCH( INDEX(Pack_Master!$B:$B, MATCH($D562, Pack_Master!$A:$A, 0)),
                      Product_Master!$B:$B, 0)
  )) 
  * VALUE( INDEX(Pack_Master!$C:$C, MATCH($D562, Pack_Master!$A:$A, 0)) )
  + VALUE( INDEX(Pack_Master!$D:$D, MATCH($D562, Pack_Master!$A:$A, 0)) ),
"")
</f>
        <v>135.98</v>
      </c>
      <c r="G562" s="17">
        <f t="array" ref="G562">IFERROR(
 ( INDEX(Pack_Master!E:E, MATCH($D562, Pack_Master!A:A, 0))
   * INDEX(Pack_Master!F:F, MATCH($D562, Pack_Master!A:A, 0))
   * INDEX(Pack_Master!G:G, MATCH($D562, Pack_Master!A:A, 0))
 ) / INDEX(Config!C:C, MATCH($A562, Config!A:A, 0)),
"")
</f>
        <v>0</v>
      </c>
      <c r="H562" s="17">
        <f t="array" ref="H562">MAX( INDEX(Pack_Master!H:H, MATCH($D562, Pack_Master!A:A, 0)),
      IFERROR(G562, 0) )
</f>
        <v>0</v>
      </c>
      <c r="I562" s="18" t="str">
        <f>IFERROR(__xludf.DUMMYFUNCTION("IFERROR(
 INDEX(
   FILTER(Shipping_Rate_Card!B:F, Shipping_Rate_Card!A:A=$A562),
   MATCH($H562, FILTER(Shipping_Rate_Card!B:B, Shipping_Rate_Card!A:A=$A562), 1),
   IF( INDEX(Config!B:B, MATCH($A562, Config!A:A, 0))=""Local"", 2,
     IF( INDEX(Config!B"&amp;":B, MATCH($A562, Config!A:A, 0))=""Regional"", 3, 4 )
   )
 ),
"""")
"),"")</f>
        <v/>
      </c>
      <c r="J562" s="16">
        <f>IFERROR(__xludf.DUMMYFUNCTION("IFERROR(
 ( E562 * INDEX(FILTER(Pricing_Rules!E:E, Pricing_Rules!A:A=A562, Pricing_Rules!B:B=B562, Pricing_Rules!C:C&lt;=E562, Pricing_Rules!D:D&gt;=E562), 1)
   + INDEX(FILTER(Pricing_Rules!F:F, Pricing_Rules!A:A=A562, Pricing_Rules!B:B=B562, Pricing_Rules!C:C"&amp;"&lt;=E562, Pricing_Rules!D:D&gt;=E562), 1)
 )
 * (1 + IFERROR( INDEX(Config!D:D, MATCH(A562, Config!A:A, 0)), 0 )),
"""")
"),5.8999999999999995)</f>
        <v>5.9</v>
      </c>
      <c r="K562" s="19">
        <f t="shared" si="3"/>
        <v>-141.88</v>
      </c>
      <c r="L562" s="20" t="str">
        <f t="shared" si="4"/>
        <v/>
      </c>
    </row>
    <row r="563" ht="15.75" customHeight="1">
      <c r="A563" s="9" t="s">
        <v>9</v>
      </c>
      <c r="B563" s="12" t="str">
        <f t="array" ref="B563">XLOOKUP(C563, Channel_Listings!C:C, Channel_Listings!B:B)
</f>
        <v>Garden_Planters</v>
      </c>
      <c r="C563" s="23" t="s">
        <v>888</v>
      </c>
      <c r="D563" s="14" t="str">
        <f t="array" ref="D563">XLOOKUP(C563, Channel_Listings!C:C, Channel_Listings!D:D)
</f>
        <v>PLANTER-BROWN-ROUND-ROSE12-PK4</v>
      </c>
      <c r="E563" s="15"/>
      <c r="F563" s="16">
        <f t="array" ref="F563">IFERROR(
  VALUE( INDEX(Product_Master!$I:$I,
               MATCH( INDEX(Pack_Master!$B:$B, MATCH($D563, Pack_Master!$A:$A, 0)),
                      Product_Master!$B:$B, 0)
  )) 
  * VALUE( INDEX(Pack_Master!$C:$C, MATCH($D563, Pack_Master!$A:$A, 0)) )
  + VALUE( INDEX(Pack_Master!$D:$D, MATCH($D563, Pack_Master!$A:$A, 0)) ),
"")
</f>
        <v>271.96</v>
      </c>
      <c r="G563" s="17">
        <f t="array" ref="G563">IFERROR(
 ( INDEX(Pack_Master!E:E, MATCH($D563, Pack_Master!A:A, 0))
   * INDEX(Pack_Master!F:F, MATCH($D563, Pack_Master!A:A, 0))
   * INDEX(Pack_Master!G:G, MATCH($D563, Pack_Master!A:A, 0))
 ) / INDEX(Config!C:C, MATCH($A563, Config!A:A, 0)),
"")
</f>
        <v>0</v>
      </c>
      <c r="H563" s="17">
        <f t="array" ref="H563">MAX( INDEX(Pack_Master!H:H, MATCH($D563, Pack_Master!A:A, 0)),
      IFERROR(G563, 0) )
</f>
        <v>0</v>
      </c>
      <c r="I563" s="18" t="str">
        <f>IFERROR(__xludf.DUMMYFUNCTION("IFERROR(
 INDEX(
   FILTER(Shipping_Rate_Card!B:F, Shipping_Rate_Card!A:A=$A563),
   MATCH($H563, FILTER(Shipping_Rate_Card!B:B, Shipping_Rate_Card!A:A=$A563), 1),
   IF( INDEX(Config!B:B, MATCH($A563, Config!A:A, 0))=""Local"", 2,
     IF( INDEX(Config!B"&amp;":B, MATCH($A563, Config!A:A, 0))=""Regional"", 3, 4 )
   )
 ),
"""")
"),"")</f>
        <v/>
      </c>
      <c r="J563" s="16">
        <f>IFERROR(__xludf.DUMMYFUNCTION("IFERROR(
 ( E563 * INDEX(FILTER(Pricing_Rules!E:E, Pricing_Rules!A:A=A563, Pricing_Rules!B:B=B563, Pricing_Rules!C:C&lt;=E563, Pricing_Rules!D:D&gt;=E563), 1)
   + INDEX(FILTER(Pricing_Rules!F:F, Pricing_Rules!A:A=A563, Pricing_Rules!B:B=B563, Pricing_Rules!C:C"&amp;"&lt;=E563, Pricing_Rules!D:D&gt;=E563), 1)
 )
 * (1 + IFERROR( INDEX(Config!D:D, MATCH(A563, Config!A:A, 0)), 0 )),
"""")
"),5.8999999999999995)</f>
        <v>5.9</v>
      </c>
      <c r="K563" s="19">
        <f t="shared" si="3"/>
        <v>-277.86</v>
      </c>
      <c r="L563" s="20" t="str">
        <f t="shared" si="4"/>
        <v/>
      </c>
    </row>
    <row r="564" ht="15.75" customHeight="1">
      <c r="A564" s="9" t="s">
        <v>9</v>
      </c>
      <c r="B564" s="12" t="str">
        <f t="array" ref="B564">XLOOKUP(C564, Channel_Listings!C:C, Channel_Listings!B:B)
</f>
        <v>Garden_Planters</v>
      </c>
      <c r="C564" s="23" t="s">
        <v>890</v>
      </c>
      <c r="D564" s="14" t="str">
        <f t="array" ref="D564">XLOOKUP(C564, Channel_Listings!C:C, Channel_Listings!D:D)
</f>
        <v>PLANTER-BROWN-ROUND-ROSE12-PK8</v>
      </c>
      <c r="E564" s="15"/>
      <c r="F564" s="16">
        <f t="array" ref="F564">IFERROR(
  VALUE( INDEX(Product_Master!$I:$I,
               MATCH( INDEX(Pack_Master!$B:$B, MATCH($D564, Pack_Master!$A:$A, 0)),
                      Product_Master!$B:$B, 0)
  )) 
  * VALUE( INDEX(Pack_Master!$C:$C, MATCH($D564, Pack_Master!$A:$A, 0)) )
  + VALUE( INDEX(Pack_Master!$D:$D, MATCH($D564, Pack_Master!$A:$A, 0)) ),
"")
</f>
        <v>543.92</v>
      </c>
      <c r="G564" s="17">
        <f t="array" ref="G564">IFERROR(
 ( INDEX(Pack_Master!E:E, MATCH($D564, Pack_Master!A:A, 0))
   * INDEX(Pack_Master!F:F, MATCH($D564, Pack_Master!A:A, 0))
   * INDEX(Pack_Master!G:G, MATCH($D564, Pack_Master!A:A, 0))
 ) / INDEX(Config!C:C, MATCH($A564, Config!A:A, 0)),
"")
</f>
        <v>0</v>
      </c>
      <c r="H564" s="17">
        <f t="array" ref="H564">MAX( INDEX(Pack_Master!H:H, MATCH($D564, Pack_Master!A:A, 0)),
      IFERROR(G564, 0) )
</f>
        <v>0</v>
      </c>
      <c r="I564" s="18" t="str">
        <f>IFERROR(__xludf.DUMMYFUNCTION("IFERROR(
 INDEX(
   FILTER(Shipping_Rate_Card!B:F, Shipping_Rate_Card!A:A=$A564),
   MATCH($H564, FILTER(Shipping_Rate_Card!B:B, Shipping_Rate_Card!A:A=$A564), 1),
   IF( INDEX(Config!B:B, MATCH($A564, Config!A:A, 0))=""Local"", 2,
     IF( INDEX(Config!B"&amp;":B, MATCH($A564, Config!A:A, 0))=""Regional"", 3, 4 )
   )
 ),
"""")
"),"")</f>
        <v/>
      </c>
      <c r="J564" s="16">
        <f>IFERROR(__xludf.DUMMYFUNCTION("IFERROR(
 ( E564 * INDEX(FILTER(Pricing_Rules!E:E, Pricing_Rules!A:A=A564, Pricing_Rules!B:B=B564, Pricing_Rules!C:C&lt;=E564, Pricing_Rules!D:D&gt;=E564), 1)
   + INDEX(FILTER(Pricing_Rules!F:F, Pricing_Rules!A:A=A564, Pricing_Rules!B:B=B564, Pricing_Rules!C:C"&amp;"&lt;=E564, Pricing_Rules!D:D&gt;=E564), 1)
 )
 * (1 + IFERROR( INDEX(Config!D:D, MATCH(A564, Config!A:A, 0)), 0 )),
"""")
"),5.8999999999999995)</f>
        <v>5.9</v>
      </c>
      <c r="K564" s="19">
        <f t="shared" si="3"/>
        <v>-549.82</v>
      </c>
      <c r="L564" s="20" t="str">
        <f t="shared" si="4"/>
        <v/>
      </c>
    </row>
    <row r="565" ht="15.75" customHeight="1">
      <c r="A565" s="9" t="s">
        <v>9</v>
      </c>
      <c r="B565" s="12" t="str">
        <f t="array" ref="B565">XLOOKUP(C565, Channel_Listings!C:C, Channel_Listings!B:B)
</f>
        <v>Garden_Planters</v>
      </c>
      <c r="C565" s="22" t="s">
        <v>892</v>
      </c>
      <c r="D565" s="14" t="str">
        <f t="array" ref="D565">XLOOKUP(C565, Channel_Listings!C:C, Channel_Listings!D:D)
</f>
        <v>PLANTER-BROWN-ROUND-ROSE8-PK1</v>
      </c>
      <c r="E565" s="15"/>
      <c r="F565" s="16">
        <f t="array" ref="F565">IFERROR(
  VALUE( INDEX(Product_Master!$I:$I,
               MATCH( INDEX(Pack_Master!$B:$B, MATCH($D565, Pack_Master!$A:$A, 0)),
                      Product_Master!$B:$B, 0)
  )) 
  * VALUE( INDEX(Pack_Master!$C:$C, MATCH($D565, Pack_Master!$A:$A, 0)) )
  + VALUE( INDEX(Pack_Master!$D:$D, MATCH($D565, Pack_Master!$A:$A, 0)) ),
"")
</f>
        <v>26</v>
      </c>
      <c r="G565" s="17">
        <f t="array" ref="G565">IFERROR(
 ( INDEX(Pack_Master!E:E, MATCH($D565, Pack_Master!A:A, 0))
   * INDEX(Pack_Master!F:F, MATCH($D565, Pack_Master!A:A, 0))
   * INDEX(Pack_Master!G:G, MATCH($D565, Pack_Master!A:A, 0))
 ) / INDEX(Config!C:C, MATCH($A565, Config!A:A, 0)),
"")
</f>
        <v>0</v>
      </c>
      <c r="H565" s="17">
        <f t="array" ref="H565">MAX( INDEX(Pack_Master!H:H, MATCH($D565, Pack_Master!A:A, 0)),
      IFERROR(G565, 0) )
</f>
        <v>0</v>
      </c>
      <c r="I565" s="18" t="str">
        <f>IFERROR(__xludf.DUMMYFUNCTION("IFERROR(
 INDEX(
   FILTER(Shipping_Rate_Card!B:F, Shipping_Rate_Card!A:A=$A565),
   MATCH($H565, FILTER(Shipping_Rate_Card!B:B, Shipping_Rate_Card!A:A=$A565), 1),
   IF( INDEX(Config!B:B, MATCH($A565, Config!A:A, 0))=""Local"", 2,
     IF( INDEX(Config!B"&amp;":B, MATCH($A565, Config!A:A, 0))=""Regional"", 3, 4 )
   )
 ),
"""")
"),"")</f>
        <v/>
      </c>
      <c r="J565" s="16">
        <f>IFERROR(__xludf.DUMMYFUNCTION("IFERROR(
 ( E565 * INDEX(FILTER(Pricing_Rules!E:E, Pricing_Rules!A:A=A565, Pricing_Rules!B:B=B565, Pricing_Rules!C:C&lt;=E565, Pricing_Rules!D:D&gt;=E565), 1)
   + INDEX(FILTER(Pricing_Rules!F:F, Pricing_Rules!A:A=A565, Pricing_Rules!B:B=B565, Pricing_Rules!C:C"&amp;"&lt;=E565, Pricing_Rules!D:D&gt;=E565), 1)
 )
 * (1 + IFERROR( INDEX(Config!D:D, MATCH(A565, Config!A:A, 0)), 0 )),
"""")
"),5.8999999999999995)</f>
        <v>5.9</v>
      </c>
      <c r="K565" s="19">
        <f t="shared" si="3"/>
        <v>-31.9</v>
      </c>
      <c r="L565" s="20" t="str">
        <f t="shared" si="4"/>
        <v/>
      </c>
    </row>
    <row r="566" ht="15.75" customHeight="1">
      <c r="A566" s="9" t="s">
        <v>9</v>
      </c>
      <c r="B566" s="12" t="str">
        <f t="array" ref="B566">XLOOKUP(C566, Channel_Listings!C:C, Channel_Listings!B:B)
</f>
        <v>Garden_Planters</v>
      </c>
      <c r="C566" s="23" t="s">
        <v>894</v>
      </c>
      <c r="D566" s="14" t="str">
        <f t="array" ref="D566">XLOOKUP(C566, Channel_Listings!C:C, Channel_Listings!D:D)
</f>
        <v>PLANTER-BROWN-ROUND-ROSE8-PK2</v>
      </c>
      <c r="E566" s="15"/>
      <c r="F566" s="16">
        <f t="array" ref="F566">IFERROR(
  VALUE( INDEX(Product_Master!$I:$I,
               MATCH( INDEX(Pack_Master!$B:$B, MATCH($D566, Pack_Master!$A:$A, 0)),
                      Product_Master!$B:$B, 0)
  )) 
  * VALUE( INDEX(Pack_Master!$C:$C, MATCH($D566, Pack_Master!$A:$A, 0)) )
  + VALUE( INDEX(Pack_Master!$D:$D, MATCH($D566, Pack_Master!$A:$A, 0)) ),
"")
</f>
        <v>52</v>
      </c>
      <c r="G566" s="17">
        <f t="array" ref="G566">IFERROR(
 ( INDEX(Pack_Master!E:E, MATCH($D566, Pack_Master!A:A, 0))
   * INDEX(Pack_Master!F:F, MATCH($D566, Pack_Master!A:A, 0))
   * INDEX(Pack_Master!G:G, MATCH($D566, Pack_Master!A:A, 0))
 ) / INDEX(Config!C:C, MATCH($A566, Config!A:A, 0)),
"")
</f>
        <v>0</v>
      </c>
      <c r="H566" s="17">
        <f t="array" ref="H566">MAX( INDEX(Pack_Master!H:H, MATCH($D566, Pack_Master!A:A, 0)),
      IFERROR(G566, 0) )
</f>
        <v>0</v>
      </c>
      <c r="I566" s="18" t="str">
        <f>IFERROR(__xludf.DUMMYFUNCTION("IFERROR(
 INDEX(
   FILTER(Shipping_Rate_Card!B:F, Shipping_Rate_Card!A:A=$A566),
   MATCH($H566, FILTER(Shipping_Rate_Card!B:B, Shipping_Rate_Card!A:A=$A566), 1),
   IF( INDEX(Config!B:B, MATCH($A566, Config!A:A, 0))=""Local"", 2,
     IF( INDEX(Config!B"&amp;":B, MATCH($A566, Config!A:A, 0))=""Regional"", 3, 4 )
   )
 ),
"""")
"),"")</f>
        <v/>
      </c>
      <c r="J566" s="16">
        <f>IFERROR(__xludf.DUMMYFUNCTION("IFERROR(
 ( E566 * INDEX(FILTER(Pricing_Rules!E:E, Pricing_Rules!A:A=A566, Pricing_Rules!B:B=B566, Pricing_Rules!C:C&lt;=E566, Pricing_Rules!D:D&gt;=E566), 1)
   + INDEX(FILTER(Pricing_Rules!F:F, Pricing_Rules!A:A=A566, Pricing_Rules!B:B=B566, Pricing_Rules!C:C"&amp;"&lt;=E566, Pricing_Rules!D:D&gt;=E566), 1)
 )
 * (1 + IFERROR( INDEX(Config!D:D, MATCH(A566, Config!A:A, 0)), 0 )),
"""")
"),5.8999999999999995)</f>
        <v>5.9</v>
      </c>
      <c r="K566" s="19">
        <f t="shared" si="3"/>
        <v>-57.9</v>
      </c>
      <c r="L566" s="20" t="str">
        <f t="shared" si="4"/>
        <v/>
      </c>
    </row>
    <row r="567" ht="15.75" customHeight="1">
      <c r="A567" s="9" t="s">
        <v>9</v>
      </c>
      <c r="B567" s="12" t="str">
        <f t="array" ref="B567">XLOOKUP(C567, Channel_Listings!C:C, Channel_Listings!B:B)
</f>
        <v>Garden_Planters</v>
      </c>
      <c r="C567" s="23" t="s">
        <v>896</v>
      </c>
      <c r="D567" s="14" t="str">
        <f t="array" ref="D567">XLOOKUP(C567, Channel_Listings!C:C, Channel_Listings!D:D)
</f>
        <v>PLANTER-BROWN-ROUND-ROSE8-PK4</v>
      </c>
      <c r="E567" s="15"/>
      <c r="F567" s="16">
        <f t="array" ref="F567">IFERROR(
  VALUE( INDEX(Product_Master!$I:$I,
               MATCH( INDEX(Pack_Master!$B:$B, MATCH($D567, Pack_Master!$A:$A, 0)),
                      Product_Master!$B:$B, 0)
  )) 
  * VALUE( INDEX(Pack_Master!$C:$C, MATCH($D567, Pack_Master!$A:$A, 0)) )
  + VALUE( INDEX(Pack_Master!$D:$D, MATCH($D567, Pack_Master!$A:$A, 0)) ),
"")
</f>
        <v>104</v>
      </c>
      <c r="G567" s="17">
        <f t="array" ref="G567">IFERROR(
 ( INDEX(Pack_Master!E:E, MATCH($D567, Pack_Master!A:A, 0))
   * INDEX(Pack_Master!F:F, MATCH($D567, Pack_Master!A:A, 0))
   * INDEX(Pack_Master!G:G, MATCH($D567, Pack_Master!A:A, 0))
 ) / INDEX(Config!C:C, MATCH($A567, Config!A:A, 0)),
"")
</f>
        <v>0</v>
      </c>
      <c r="H567" s="17">
        <f t="array" ref="H567">MAX( INDEX(Pack_Master!H:H, MATCH($D567, Pack_Master!A:A, 0)),
      IFERROR(G567, 0) )
</f>
        <v>0</v>
      </c>
      <c r="I567" s="18" t="str">
        <f>IFERROR(__xludf.DUMMYFUNCTION("IFERROR(
 INDEX(
   FILTER(Shipping_Rate_Card!B:F, Shipping_Rate_Card!A:A=$A567),
   MATCH($H567, FILTER(Shipping_Rate_Card!B:B, Shipping_Rate_Card!A:A=$A567), 1),
   IF( INDEX(Config!B:B, MATCH($A567, Config!A:A, 0))=""Local"", 2,
     IF( INDEX(Config!B"&amp;":B, MATCH($A567, Config!A:A, 0))=""Regional"", 3, 4 )
   )
 ),
"""")
"),"")</f>
        <v/>
      </c>
      <c r="J567" s="16">
        <f>IFERROR(__xludf.DUMMYFUNCTION("IFERROR(
 ( E567 * INDEX(FILTER(Pricing_Rules!E:E, Pricing_Rules!A:A=A567, Pricing_Rules!B:B=B567, Pricing_Rules!C:C&lt;=E567, Pricing_Rules!D:D&gt;=E567), 1)
   + INDEX(FILTER(Pricing_Rules!F:F, Pricing_Rules!A:A=A567, Pricing_Rules!B:B=B567, Pricing_Rules!C:C"&amp;"&lt;=E567, Pricing_Rules!D:D&gt;=E567), 1)
 )
 * (1 + IFERROR( INDEX(Config!D:D, MATCH(A567, Config!A:A, 0)), 0 )),
"""")
"),5.8999999999999995)</f>
        <v>5.9</v>
      </c>
      <c r="K567" s="19">
        <f t="shared" si="3"/>
        <v>-109.9</v>
      </c>
      <c r="L567" s="20" t="str">
        <f t="shared" si="4"/>
        <v/>
      </c>
    </row>
    <row r="568" ht="15.75" customHeight="1">
      <c r="A568" s="9" t="s">
        <v>9</v>
      </c>
      <c r="B568" s="12" t="str">
        <f t="array" ref="B568">XLOOKUP(C568, Channel_Listings!C:C, Channel_Listings!B:B)
</f>
        <v>Garden_Planters</v>
      </c>
      <c r="C568" s="23" t="s">
        <v>898</v>
      </c>
      <c r="D568" s="14" t="str">
        <f t="array" ref="D568">XLOOKUP(C568, Channel_Listings!C:C, Channel_Listings!D:D)
</f>
        <v>PLANTER-BROWN-ROUND-ROSE8-PK8</v>
      </c>
      <c r="E568" s="15"/>
      <c r="F568" s="16">
        <f t="array" ref="F568">IFERROR(
  VALUE( INDEX(Product_Master!$I:$I,
               MATCH( INDEX(Pack_Master!$B:$B, MATCH($D568, Pack_Master!$A:$A, 0)),
                      Product_Master!$B:$B, 0)
  )) 
  * VALUE( INDEX(Pack_Master!$C:$C, MATCH($D568, Pack_Master!$A:$A, 0)) )
  + VALUE( INDEX(Pack_Master!$D:$D, MATCH($D568, Pack_Master!$A:$A, 0)) ),
"")
</f>
        <v>208</v>
      </c>
      <c r="G568" s="17">
        <f t="array" ref="G568">IFERROR(
 ( INDEX(Pack_Master!E:E, MATCH($D568, Pack_Master!A:A, 0))
   * INDEX(Pack_Master!F:F, MATCH($D568, Pack_Master!A:A, 0))
   * INDEX(Pack_Master!G:G, MATCH($D568, Pack_Master!A:A, 0))
 ) / INDEX(Config!C:C, MATCH($A568, Config!A:A, 0)),
"")
</f>
        <v>0</v>
      </c>
      <c r="H568" s="17">
        <f t="array" ref="H568">MAX( INDEX(Pack_Master!H:H, MATCH($D568, Pack_Master!A:A, 0)),
      IFERROR(G568, 0) )
</f>
        <v>0</v>
      </c>
      <c r="I568" s="18" t="str">
        <f>IFERROR(__xludf.DUMMYFUNCTION("IFERROR(
 INDEX(
   FILTER(Shipping_Rate_Card!B:F, Shipping_Rate_Card!A:A=$A568),
   MATCH($H568, FILTER(Shipping_Rate_Card!B:B, Shipping_Rate_Card!A:A=$A568), 1),
   IF( INDEX(Config!B:B, MATCH($A568, Config!A:A, 0))=""Local"", 2,
     IF( INDEX(Config!B"&amp;":B, MATCH($A568, Config!A:A, 0))=""Regional"", 3, 4 )
   )
 ),
"""")
"),"")</f>
        <v/>
      </c>
      <c r="J568" s="16">
        <f>IFERROR(__xludf.DUMMYFUNCTION("IFERROR(
 ( E568 * INDEX(FILTER(Pricing_Rules!E:E, Pricing_Rules!A:A=A568, Pricing_Rules!B:B=B568, Pricing_Rules!C:C&lt;=E568, Pricing_Rules!D:D&gt;=E568), 1)
   + INDEX(FILTER(Pricing_Rules!F:F, Pricing_Rules!A:A=A568, Pricing_Rules!B:B=B568, Pricing_Rules!C:C"&amp;"&lt;=E568, Pricing_Rules!D:D&gt;=E568), 1)
 )
 * (1 + IFERROR( INDEX(Config!D:D, MATCH(A568, Config!A:A, 0)), 0 )),
"""")
"),5.8999999999999995)</f>
        <v>5.9</v>
      </c>
      <c r="K568" s="19">
        <f t="shared" si="3"/>
        <v>-213.9</v>
      </c>
      <c r="L568" s="20" t="str">
        <f t="shared" si="4"/>
        <v/>
      </c>
    </row>
    <row r="569" ht="15.75" customHeight="1">
      <c r="A569" s="9" t="s">
        <v>9</v>
      </c>
      <c r="B569" s="12" t="str">
        <f t="array" ref="B569">XLOOKUP(C569, Channel_Listings!C:C, Channel_Listings!B:B)
</f>
        <v>Garden_Planters</v>
      </c>
      <c r="C569" s="22" t="s">
        <v>900</v>
      </c>
      <c r="D569" s="14" t="str">
        <f t="array" ref="D569">XLOOKUP(C569, Channel_Listings!C:C, Channel_Listings!D:D)
</f>
        <v>PLANTER-BROWN-SQUARE-ORCHID10-PK1</v>
      </c>
      <c r="E569" s="15"/>
      <c r="F569" s="16">
        <f t="array" ref="F569">IFERROR(
  VALUE( INDEX(Product_Master!$I:$I,
               MATCH( INDEX(Pack_Master!$B:$B, MATCH($D569, Pack_Master!$A:$A, 0)),
                      Product_Master!$B:$B, 0)
  )) 
  * VALUE( INDEX(Pack_Master!$C:$C, MATCH($D569, Pack_Master!$A:$A, 0)) )
  + VALUE( INDEX(Pack_Master!$D:$D, MATCH($D569, Pack_Master!$A:$A, 0)) ),
"")
</f>
        <v>57.5</v>
      </c>
      <c r="G569" s="17">
        <f t="array" ref="G569">IFERROR(
 ( INDEX(Pack_Master!E:E, MATCH($D569, Pack_Master!A:A, 0))
   * INDEX(Pack_Master!F:F, MATCH($D569, Pack_Master!A:A, 0))
   * INDEX(Pack_Master!G:G, MATCH($D569, Pack_Master!A:A, 0))
 ) / INDEX(Config!C:C, MATCH($A569, Config!A:A, 0)),
"")
</f>
        <v>0</v>
      </c>
      <c r="H569" s="17">
        <f t="array" ref="H569">MAX( INDEX(Pack_Master!H:H, MATCH($D569, Pack_Master!A:A, 0)),
      IFERROR(G569, 0) )
</f>
        <v>0</v>
      </c>
      <c r="I569" s="18" t="str">
        <f>IFERROR(__xludf.DUMMYFUNCTION("IFERROR(
 INDEX(
   FILTER(Shipping_Rate_Card!B:F, Shipping_Rate_Card!A:A=$A569),
   MATCH($H569, FILTER(Shipping_Rate_Card!B:B, Shipping_Rate_Card!A:A=$A569), 1),
   IF( INDEX(Config!B:B, MATCH($A569, Config!A:A, 0))=""Local"", 2,
     IF( INDEX(Config!B"&amp;":B, MATCH($A569, Config!A:A, 0))=""Regional"", 3, 4 )
   )
 ),
"""")
"),"")</f>
        <v/>
      </c>
      <c r="J569" s="16">
        <f>IFERROR(__xludf.DUMMYFUNCTION("IFERROR(
 ( E569 * INDEX(FILTER(Pricing_Rules!E:E, Pricing_Rules!A:A=A569, Pricing_Rules!B:B=B569, Pricing_Rules!C:C&lt;=E569, Pricing_Rules!D:D&gt;=E569), 1)
   + INDEX(FILTER(Pricing_Rules!F:F, Pricing_Rules!A:A=A569, Pricing_Rules!B:B=B569, Pricing_Rules!C:C"&amp;"&lt;=E569, Pricing_Rules!D:D&gt;=E569), 1)
 )
 * (1 + IFERROR( INDEX(Config!D:D, MATCH(A569, Config!A:A, 0)), 0 )),
"""")
"),5.8999999999999995)</f>
        <v>5.9</v>
      </c>
      <c r="K569" s="19">
        <f t="shared" si="3"/>
        <v>-63.4</v>
      </c>
      <c r="L569" s="20" t="str">
        <f t="shared" si="4"/>
        <v/>
      </c>
    </row>
    <row r="570" ht="15.75" customHeight="1">
      <c r="A570" s="9" t="s">
        <v>9</v>
      </c>
      <c r="B570" s="12" t="str">
        <f t="array" ref="B570">XLOOKUP(C570, Channel_Listings!C:C, Channel_Listings!B:B)
</f>
        <v>Garden_Planters</v>
      </c>
      <c r="C570" s="22" t="s">
        <v>902</v>
      </c>
      <c r="D570" s="14" t="str">
        <f t="array" ref="D570">XLOOKUP(C570, Channel_Listings!C:C, Channel_Listings!D:D)
</f>
        <v>PLANTER-BROWN-SQUARE-ORCHID10-PK2</v>
      </c>
      <c r="E570" s="15"/>
      <c r="F570" s="16">
        <f t="array" ref="F570">IFERROR(
  VALUE( INDEX(Product_Master!$I:$I,
               MATCH( INDEX(Pack_Master!$B:$B, MATCH($D570, Pack_Master!$A:$A, 0)),
                      Product_Master!$B:$B, 0)
  )) 
  * VALUE( INDEX(Pack_Master!$C:$C, MATCH($D570, Pack_Master!$A:$A, 0)) )
  + VALUE( INDEX(Pack_Master!$D:$D, MATCH($D570, Pack_Master!$A:$A, 0)) ),
"")
</f>
        <v>165</v>
      </c>
      <c r="G570" s="17">
        <f t="array" ref="G570">IFERROR(
 ( INDEX(Pack_Master!E:E, MATCH($D570, Pack_Master!A:A, 0))
   * INDEX(Pack_Master!F:F, MATCH($D570, Pack_Master!A:A, 0))
   * INDEX(Pack_Master!G:G, MATCH($D570, Pack_Master!A:A, 0))
 ) / INDEX(Config!C:C, MATCH($A570, Config!A:A, 0)),
"")
</f>
        <v>3.125</v>
      </c>
      <c r="H570" s="17">
        <f t="array" ref="H570">MAX( INDEX(Pack_Master!H:H, MATCH($D570, Pack_Master!A:A, 0)),
      IFERROR(G570, 0) )
</f>
        <v>3.125</v>
      </c>
      <c r="I570" s="18">
        <f>IFERROR(__xludf.DUMMYFUNCTION("IFERROR(
 INDEX(
   FILTER(Shipping_Rate_Card!B:F, Shipping_Rate_Card!A:A=$A570),
   MATCH($H570, FILTER(Shipping_Rate_Card!B:B, Shipping_Rate_Card!A:A=$A570), 1),
   IF( INDEX(Config!B:B, MATCH($A570, Config!A:A, 0))=""Local"", 2,
     IF( INDEX(Config!B"&amp;":B, MATCH($A570, Config!A:A, 0))=""Regional"", 3, 4 )
   )
 ),
"""")
"),223.0)</f>
        <v>223</v>
      </c>
      <c r="J570" s="16">
        <f>IFERROR(__xludf.DUMMYFUNCTION("IFERROR(
 ( E570 * INDEX(FILTER(Pricing_Rules!E:E, Pricing_Rules!A:A=A570, Pricing_Rules!B:B=B570, Pricing_Rules!C:C&lt;=E570, Pricing_Rules!D:D&gt;=E570), 1)
   + INDEX(FILTER(Pricing_Rules!F:F, Pricing_Rules!A:A=A570, Pricing_Rules!B:B=B570, Pricing_Rules!C:C"&amp;"&lt;=E570, Pricing_Rules!D:D&gt;=E570), 1)
 )
 * (1 + IFERROR( INDEX(Config!D:D, MATCH(A570, Config!A:A, 0)), 0 )),
"""")
"),5.8999999999999995)</f>
        <v>5.9</v>
      </c>
      <c r="K570" s="19">
        <f t="shared" si="3"/>
        <v>-393.9</v>
      </c>
      <c r="L570" s="20" t="str">
        <f t="shared" si="4"/>
        <v/>
      </c>
    </row>
    <row r="571" ht="15.75" customHeight="1">
      <c r="A571" s="9" t="s">
        <v>9</v>
      </c>
      <c r="B571" s="12" t="str">
        <f t="array" ref="B571">XLOOKUP(C571, Channel_Listings!C:C, Channel_Listings!B:B)
</f>
        <v>Garden_Planters</v>
      </c>
      <c r="C571" s="22" t="s">
        <v>905</v>
      </c>
      <c r="D571" s="14" t="str">
        <f t="array" ref="D571">XLOOKUP(C571, Channel_Listings!C:C, Channel_Listings!D:D)
</f>
        <v>PLANTER-BROWN-SQUARE-ORCHID10-PK4</v>
      </c>
      <c r="E571" s="15"/>
      <c r="F571" s="16">
        <f t="array" ref="F571">IFERROR(
  VALUE( INDEX(Product_Master!$I:$I,
               MATCH( INDEX(Pack_Master!$B:$B, MATCH($D571, Pack_Master!$A:$A, 0)),
                      Product_Master!$B:$B, 0)
  )) 
  * VALUE( INDEX(Pack_Master!$C:$C, MATCH($D571, Pack_Master!$A:$A, 0)) )
  + VALUE( INDEX(Pack_Master!$D:$D, MATCH($D571, Pack_Master!$A:$A, 0)) ),
"")
</f>
        <v>280</v>
      </c>
      <c r="G571" s="17">
        <f t="array" ref="G571">IFERROR(
 ( INDEX(Pack_Master!E:E, MATCH($D571, Pack_Master!A:A, 0))
   * INDEX(Pack_Master!F:F, MATCH($D571, Pack_Master!A:A, 0))
   * INDEX(Pack_Master!G:G, MATCH($D571, Pack_Master!A:A, 0))
 ) / INDEX(Config!C:C, MATCH($A571, Config!A:A, 0)),
"")
</f>
        <v>3.75</v>
      </c>
      <c r="H571" s="17">
        <f t="array" ref="H571">MAX( INDEX(Pack_Master!H:H, MATCH($D571, Pack_Master!A:A, 0)),
      IFERROR(G571, 0) )
</f>
        <v>3.75</v>
      </c>
      <c r="I571" s="18">
        <f>IFERROR(__xludf.DUMMYFUNCTION("IFERROR(
 INDEX(
   FILTER(Shipping_Rate_Card!B:F, Shipping_Rate_Card!A:A=$A571),
   MATCH($H571, FILTER(Shipping_Rate_Card!B:B, Shipping_Rate_Card!A:A=$A571), 1),
   IF( INDEX(Config!B:B, MATCH($A571, Config!A:A, 0))=""Local"", 2,
     IF( INDEX(Config!B"&amp;":B, MATCH($A571, Config!A:A, 0))=""Regional"", 3, 4 )
   )
 ),
"""")
"),223.0)</f>
        <v>223</v>
      </c>
      <c r="J571" s="16">
        <f>IFERROR(__xludf.DUMMYFUNCTION("IFERROR(
 ( E571 * INDEX(FILTER(Pricing_Rules!E:E, Pricing_Rules!A:A=A571, Pricing_Rules!B:B=B571, Pricing_Rules!C:C&lt;=E571, Pricing_Rules!D:D&gt;=E571), 1)
   + INDEX(FILTER(Pricing_Rules!F:F, Pricing_Rules!A:A=A571, Pricing_Rules!B:B=B571, Pricing_Rules!C:C"&amp;"&lt;=E571, Pricing_Rules!D:D&gt;=E571), 1)
 )
 * (1 + IFERROR( INDEX(Config!D:D, MATCH(A571, Config!A:A, 0)), 0 )),
"""")
"),5.8999999999999995)</f>
        <v>5.9</v>
      </c>
      <c r="K571" s="19">
        <f t="shared" si="3"/>
        <v>-508.9</v>
      </c>
      <c r="L571" s="20" t="str">
        <f t="shared" si="4"/>
        <v/>
      </c>
    </row>
    <row r="572" ht="15.75" customHeight="1">
      <c r="A572" s="9" t="s">
        <v>9</v>
      </c>
      <c r="B572" s="12" t="str">
        <f t="array" ref="B572">XLOOKUP(C572, Channel_Listings!C:C, Channel_Listings!B:B)
</f>
        <v>Garden_Planters</v>
      </c>
      <c r="C572" s="22" t="s">
        <v>908</v>
      </c>
      <c r="D572" s="14" t="str">
        <f t="array" ref="D572">XLOOKUP(C572, Channel_Listings!C:C, Channel_Listings!D:D)
</f>
        <v>PLANTER-BROWN-SQUARE-ORCHID10-PK8</v>
      </c>
      <c r="E572" s="15"/>
      <c r="F572" s="16">
        <f t="array" ref="F572">IFERROR(
  VALUE( INDEX(Product_Master!$I:$I,
               MATCH( INDEX(Pack_Master!$B:$B, MATCH($D572, Pack_Master!$A:$A, 0)),
                      Product_Master!$B:$B, 0)
  )) 
  * VALUE( INDEX(Pack_Master!$C:$C, MATCH($D572, Pack_Master!$A:$A, 0)) )
  + VALUE( INDEX(Pack_Master!$D:$D, MATCH($D572, Pack_Master!$A:$A, 0)) ),
"")
</f>
        <v>510</v>
      </c>
      <c r="G572" s="17">
        <f t="array" ref="G572">IFERROR(
 ( INDEX(Pack_Master!E:E, MATCH($D572, Pack_Master!A:A, 0))
   * INDEX(Pack_Master!F:F, MATCH($D572, Pack_Master!A:A, 0))
   * INDEX(Pack_Master!G:G, MATCH($D572, Pack_Master!A:A, 0))
 ) / INDEX(Config!C:C, MATCH($A572, Config!A:A, 0)),
"")
</f>
        <v>5.625</v>
      </c>
      <c r="H572" s="17">
        <f t="array" ref="H572">MAX( INDEX(Pack_Master!H:H, MATCH($D572, Pack_Master!A:A, 0)),
      IFERROR(G572, 0) )
</f>
        <v>5.625</v>
      </c>
      <c r="I572" s="18">
        <f>IFERROR(__xludf.DUMMYFUNCTION("IFERROR(
 INDEX(
   FILTER(Shipping_Rate_Card!B:F, Shipping_Rate_Card!A:A=$A572),
   MATCH($H572, FILTER(Shipping_Rate_Card!B:B, Shipping_Rate_Card!A:A=$A572), 1),
   IF( INDEX(Config!B:B, MATCH($A572, Config!A:A, 0))=""Local"", 2,
     IF( INDEX(Config!B"&amp;":B, MATCH($A572, Config!A:A, 0))=""Regional"", 3, 4 )
   )
 ),
"""")
"),255.0)</f>
        <v>255</v>
      </c>
      <c r="J572" s="16">
        <f>IFERROR(__xludf.DUMMYFUNCTION("IFERROR(
 ( E572 * INDEX(FILTER(Pricing_Rules!E:E, Pricing_Rules!A:A=A572, Pricing_Rules!B:B=B572, Pricing_Rules!C:C&lt;=E572, Pricing_Rules!D:D&gt;=E572), 1)
   + INDEX(FILTER(Pricing_Rules!F:F, Pricing_Rules!A:A=A572, Pricing_Rules!B:B=B572, Pricing_Rules!C:C"&amp;"&lt;=E572, Pricing_Rules!D:D&gt;=E572), 1)
 )
 * (1 + IFERROR( INDEX(Config!D:D, MATCH(A572, Config!A:A, 0)), 0 )),
"""")
"),5.8999999999999995)</f>
        <v>5.9</v>
      </c>
      <c r="K572" s="19">
        <f t="shared" si="3"/>
        <v>-770.9</v>
      </c>
      <c r="L572" s="20" t="str">
        <f t="shared" si="4"/>
        <v/>
      </c>
    </row>
    <row r="573" ht="15.75" customHeight="1">
      <c r="A573" s="9" t="s">
        <v>9</v>
      </c>
      <c r="B573" s="12" t="str">
        <f t="array" ref="B573">XLOOKUP(C573, Channel_Listings!C:C, Channel_Listings!B:B)
</f>
        <v>Garden_Planters</v>
      </c>
      <c r="C573" s="22" t="s">
        <v>911</v>
      </c>
      <c r="D573" s="14" t="str">
        <f t="array" ref="D573">XLOOKUP(C573, Channel_Listings!C:C, Channel_Listings!D:D)
</f>
        <v>PLANTER-BROWN-SQUARE-ORCHID12-PK1</v>
      </c>
      <c r="E573" s="15"/>
      <c r="F573" s="16">
        <f t="array" ref="F573">IFERROR(
  VALUE( INDEX(Product_Master!$I:$I,
               MATCH( INDEX(Pack_Master!$B:$B, MATCH($D573, Pack_Master!$A:$A, 0)),
                      Product_Master!$B:$B, 0)
  )) 
  * VALUE( INDEX(Pack_Master!$C:$C, MATCH($D573, Pack_Master!$A:$A, 0)) )
  + VALUE( INDEX(Pack_Master!$D:$D, MATCH($D573, Pack_Master!$A:$A, 0)) ),
"")
</f>
        <v>88</v>
      </c>
      <c r="G573" s="17">
        <f t="array" ref="G573">IFERROR(
 ( INDEX(Pack_Master!E:E, MATCH($D573, Pack_Master!A:A, 0))
   * INDEX(Pack_Master!F:F, MATCH($D573, Pack_Master!A:A, 0))
   * INDEX(Pack_Master!G:G, MATCH($D573, Pack_Master!A:A, 0))
 ) / INDEX(Config!C:C, MATCH($A573, Config!A:A, 0)),
"")
</f>
        <v>0</v>
      </c>
      <c r="H573" s="17">
        <f t="array" ref="H573">MAX( INDEX(Pack_Master!H:H, MATCH($D573, Pack_Master!A:A, 0)),
      IFERROR(G573, 0) )
</f>
        <v>0</v>
      </c>
      <c r="I573" s="18" t="str">
        <f>IFERROR(__xludf.DUMMYFUNCTION("IFERROR(
 INDEX(
   FILTER(Shipping_Rate_Card!B:F, Shipping_Rate_Card!A:A=$A573),
   MATCH($H573, FILTER(Shipping_Rate_Card!B:B, Shipping_Rate_Card!A:A=$A573), 1),
   IF( INDEX(Config!B:B, MATCH($A573, Config!A:A, 0))=""Local"", 2,
     IF( INDEX(Config!B"&amp;":B, MATCH($A573, Config!A:A, 0))=""Regional"", 3, 4 )
   )
 ),
"""")
"),"")</f>
        <v/>
      </c>
      <c r="J573" s="16">
        <f>IFERROR(__xludf.DUMMYFUNCTION("IFERROR(
 ( E573 * INDEX(FILTER(Pricing_Rules!E:E, Pricing_Rules!A:A=A573, Pricing_Rules!B:B=B573, Pricing_Rules!C:C&lt;=E573, Pricing_Rules!D:D&gt;=E573), 1)
   + INDEX(FILTER(Pricing_Rules!F:F, Pricing_Rules!A:A=A573, Pricing_Rules!B:B=B573, Pricing_Rules!C:C"&amp;"&lt;=E573, Pricing_Rules!D:D&gt;=E573), 1)
 )
 * (1 + IFERROR( INDEX(Config!D:D, MATCH(A573, Config!A:A, 0)), 0 )),
"""")
"),5.8999999999999995)</f>
        <v>5.9</v>
      </c>
      <c r="K573" s="19">
        <f t="shared" si="3"/>
        <v>-93.9</v>
      </c>
      <c r="L573" s="20" t="str">
        <f t="shared" si="4"/>
        <v/>
      </c>
    </row>
    <row r="574" ht="15.75" customHeight="1">
      <c r="A574" s="9" t="s">
        <v>9</v>
      </c>
      <c r="B574" s="12" t="str">
        <f t="array" ref="B574">XLOOKUP(C574, Channel_Listings!C:C, Channel_Listings!B:B)
</f>
        <v>Garden_Planters</v>
      </c>
      <c r="C574" s="22" t="s">
        <v>913</v>
      </c>
      <c r="D574" s="14" t="str">
        <f t="array" ref="D574">XLOOKUP(C574, Channel_Listings!C:C, Channel_Listings!D:D)
</f>
        <v>PLANTER-BROWN-SQUARE-ORCHID12-PK2</v>
      </c>
      <c r="E574" s="15"/>
      <c r="F574" s="16">
        <f t="array" ref="F574">IFERROR(
  VALUE( INDEX(Product_Master!$I:$I,
               MATCH( INDEX(Pack_Master!$B:$B, MATCH($D574, Pack_Master!$A:$A, 0)),
                      Product_Master!$B:$B, 0)
  )) 
  * VALUE( INDEX(Pack_Master!$C:$C, MATCH($D574, Pack_Master!$A:$A, 0)) )
  + VALUE( INDEX(Pack_Master!$D:$D, MATCH($D574, Pack_Master!$A:$A, 0)) ),
"")
</f>
        <v>226</v>
      </c>
      <c r="G574" s="17">
        <f t="array" ref="G574">IFERROR(
 ( INDEX(Pack_Master!E:E, MATCH($D574, Pack_Master!A:A, 0))
   * INDEX(Pack_Master!F:F, MATCH($D574, Pack_Master!A:A, 0))
   * INDEX(Pack_Master!G:G, MATCH($D574, Pack_Master!A:A, 0))
 ) / INDEX(Config!C:C, MATCH($A574, Config!A:A, 0)),
"")
</f>
        <v>5.9582</v>
      </c>
      <c r="H574" s="17">
        <f t="array" ref="H574">MAX( INDEX(Pack_Master!H:H, MATCH($D574, Pack_Master!A:A, 0)),
      IFERROR(G574, 0) )
</f>
        <v>5.9582</v>
      </c>
      <c r="I574" s="18">
        <f>IFERROR(__xludf.DUMMYFUNCTION("IFERROR(
 INDEX(
   FILTER(Shipping_Rate_Card!B:F, Shipping_Rate_Card!A:A=$A574),
   MATCH($H574, FILTER(Shipping_Rate_Card!B:B, Shipping_Rate_Card!A:A=$A574), 1),
   IF( INDEX(Config!B:B, MATCH($A574, Config!A:A, 0))=""Local"", 2,
     IF( INDEX(Config!B"&amp;":B, MATCH($A574, Config!A:A, 0))=""Regional"", 3, 4 )
   )
 ),
"""")
"),255.0)</f>
        <v>255</v>
      </c>
      <c r="J574" s="16">
        <f>IFERROR(__xludf.DUMMYFUNCTION("IFERROR(
 ( E574 * INDEX(FILTER(Pricing_Rules!E:E, Pricing_Rules!A:A=A574, Pricing_Rules!B:B=B574, Pricing_Rules!C:C&lt;=E574, Pricing_Rules!D:D&gt;=E574), 1)
   + INDEX(FILTER(Pricing_Rules!F:F, Pricing_Rules!A:A=A574, Pricing_Rules!B:B=B574, Pricing_Rules!C:C"&amp;"&lt;=E574, Pricing_Rules!D:D&gt;=E574), 1)
 )
 * (1 + IFERROR( INDEX(Config!D:D, MATCH(A574, Config!A:A, 0)), 0 )),
"""")
"),5.8999999999999995)</f>
        <v>5.9</v>
      </c>
      <c r="K574" s="19">
        <f t="shared" si="3"/>
        <v>-486.9</v>
      </c>
      <c r="L574" s="20" t="str">
        <f t="shared" si="4"/>
        <v/>
      </c>
    </row>
    <row r="575" ht="15.75" customHeight="1">
      <c r="A575" s="9" t="s">
        <v>9</v>
      </c>
      <c r="B575" s="12" t="str">
        <f t="array" ref="B575">XLOOKUP(C575, Channel_Listings!C:C, Channel_Listings!B:B)
</f>
        <v>Garden_Planters</v>
      </c>
      <c r="C575" s="22" t="s">
        <v>916</v>
      </c>
      <c r="D575" s="14" t="str">
        <f t="array" ref="D575">XLOOKUP(C575, Channel_Listings!C:C, Channel_Listings!D:D)
</f>
        <v>PLANTER-BROWN-SQUARE-ORCHID12-PK4</v>
      </c>
      <c r="E575" s="15"/>
      <c r="F575" s="16">
        <f t="array" ref="F575">IFERROR(
  VALUE( INDEX(Product_Master!$I:$I,
               MATCH( INDEX(Pack_Master!$B:$B, MATCH($D575, Pack_Master!$A:$A, 0)),
                      Product_Master!$B:$B, 0)
  )) 
  * VALUE( INDEX(Pack_Master!$C:$C, MATCH($D575, Pack_Master!$A:$A, 0)) )
  + VALUE( INDEX(Pack_Master!$D:$D, MATCH($D575, Pack_Master!$A:$A, 0)) ),
"")
</f>
        <v>402</v>
      </c>
      <c r="G575" s="17">
        <f t="array" ref="G575">IFERROR(
 ( INDEX(Pack_Master!E:E, MATCH($D575, Pack_Master!A:A, 0))
   * INDEX(Pack_Master!F:F, MATCH($D575, Pack_Master!A:A, 0))
   * INDEX(Pack_Master!G:G, MATCH($D575, Pack_Master!A:A, 0))
 ) / INDEX(Config!C:C, MATCH($A575, Config!A:A, 0)),
"")
</f>
        <v>7.1114</v>
      </c>
      <c r="H575" s="17">
        <f t="array" ref="H575">MAX( INDEX(Pack_Master!H:H, MATCH($D575, Pack_Master!A:A, 0)),
      IFERROR(G575, 0) )
</f>
        <v>7.1114</v>
      </c>
      <c r="I575" s="18">
        <f>IFERROR(__xludf.DUMMYFUNCTION("IFERROR(
 INDEX(
   FILTER(Shipping_Rate_Card!B:F, Shipping_Rate_Card!A:A=$A575),
   MATCH($H575, FILTER(Shipping_Rate_Card!B:B, Shipping_Rate_Card!A:A=$A575), 1),
   IF( INDEX(Config!B:B, MATCH($A575, Config!A:A, 0))=""Local"", 2,
     IF( INDEX(Config!B"&amp;":B, MATCH($A575, Config!A:A, 0))=""Regional"", 3, 4 )
   )
 ),
"""")
"),255.0)</f>
        <v>255</v>
      </c>
      <c r="J575" s="16">
        <f>IFERROR(__xludf.DUMMYFUNCTION("IFERROR(
 ( E575 * INDEX(FILTER(Pricing_Rules!E:E, Pricing_Rules!A:A=A575, Pricing_Rules!B:B=B575, Pricing_Rules!C:C&lt;=E575, Pricing_Rules!D:D&gt;=E575), 1)
   + INDEX(FILTER(Pricing_Rules!F:F, Pricing_Rules!A:A=A575, Pricing_Rules!B:B=B575, Pricing_Rules!C:C"&amp;"&lt;=E575, Pricing_Rules!D:D&gt;=E575), 1)
 )
 * (1 + IFERROR( INDEX(Config!D:D, MATCH(A575, Config!A:A, 0)), 0 )),
"""")
"),5.8999999999999995)</f>
        <v>5.9</v>
      </c>
      <c r="K575" s="19">
        <f t="shared" si="3"/>
        <v>-662.9</v>
      </c>
      <c r="L575" s="20" t="str">
        <f t="shared" si="4"/>
        <v/>
      </c>
    </row>
    <row r="576" ht="15.75" customHeight="1">
      <c r="A576" s="9" t="s">
        <v>9</v>
      </c>
      <c r="B576" s="12" t="str">
        <f t="array" ref="B576">XLOOKUP(C576, Channel_Listings!C:C, Channel_Listings!B:B)
</f>
        <v>Garden_Planters</v>
      </c>
      <c r="C576" s="22" t="s">
        <v>919</v>
      </c>
      <c r="D576" s="14" t="str">
        <f t="array" ref="D576">XLOOKUP(C576, Channel_Listings!C:C, Channel_Listings!D:D)
</f>
        <v>PLANTER-BROWN-SQUARE-ORCHID12-PK8</v>
      </c>
      <c r="E576" s="15"/>
      <c r="F576" s="16">
        <f t="array" ref="F576">IFERROR(
  VALUE( INDEX(Product_Master!$I:$I,
               MATCH( INDEX(Pack_Master!$B:$B, MATCH($D576, Pack_Master!$A:$A, 0)),
                      Product_Master!$B:$B, 0)
  )) 
  * VALUE( INDEX(Pack_Master!$C:$C, MATCH($D576, Pack_Master!$A:$A, 0)) )
  + VALUE( INDEX(Pack_Master!$D:$D, MATCH($D576, Pack_Master!$A:$A, 0)) ),
"")
</f>
        <v>754</v>
      </c>
      <c r="G576" s="17">
        <f t="array" ref="G576">IFERROR(
 ( INDEX(Pack_Master!E:E, MATCH($D576, Pack_Master!A:A, 0))
   * INDEX(Pack_Master!F:F, MATCH($D576, Pack_Master!A:A, 0))
   * INDEX(Pack_Master!G:G, MATCH($D576, Pack_Master!A:A, 0))
 ) / INDEX(Config!C:C, MATCH($A576, Config!A:A, 0)),
"")
</f>
        <v>9.4178</v>
      </c>
      <c r="H576" s="17">
        <f t="array" ref="H576">MAX( INDEX(Pack_Master!H:H, MATCH($D576, Pack_Master!A:A, 0)),
      IFERROR(G576, 0) )
</f>
        <v>9.4178</v>
      </c>
      <c r="I576" s="18">
        <f>IFERROR(__xludf.DUMMYFUNCTION("IFERROR(
 INDEX(
   FILTER(Shipping_Rate_Card!B:F, Shipping_Rate_Card!A:A=$A576),
   MATCH($H576, FILTER(Shipping_Rate_Card!B:B, Shipping_Rate_Card!A:A=$A576), 1),
   IF( INDEX(Config!B:B, MATCH($A576, Config!A:A, 0))=""Local"", 2,
     IF( INDEX(Config!B"&amp;":B, MATCH($A576, Config!A:A, 0))=""Regional"", 3, 4 )
   )
 ),
"""")
"),255.0)</f>
        <v>255</v>
      </c>
      <c r="J576" s="16">
        <f>IFERROR(__xludf.DUMMYFUNCTION("IFERROR(
 ( E576 * INDEX(FILTER(Pricing_Rules!E:E, Pricing_Rules!A:A=A576, Pricing_Rules!B:B=B576, Pricing_Rules!C:C&lt;=E576, Pricing_Rules!D:D&gt;=E576), 1)
   + INDEX(FILTER(Pricing_Rules!F:F, Pricing_Rules!A:A=A576, Pricing_Rules!B:B=B576, Pricing_Rules!C:C"&amp;"&lt;=E576, Pricing_Rules!D:D&gt;=E576), 1)
 )
 * (1 + IFERROR( INDEX(Config!D:D, MATCH(A576, Config!A:A, 0)), 0 )),
"""")
"),5.8999999999999995)</f>
        <v>5.9</v>
      </c>
      <c r="K576" s="19">
        <f t="shared" si="3"/>
        <v>-1014.9</v>
      </c>
      <c r="L576" s="20" t="str">
        <f t="shared" si="4"/>
        <v/>
      </c>
    </row>
    <row r="577" ht="15.75" customHeight="1">
      <c r="A577" s="9" t="s">
        <v>9</v>
      </c>
      <c r="B577" s="12" t="str">
        <f t="array" ref="B577">XLOOKUP(C577, Channel_Listings!C:C, Channel_Listings!B:B)
</f>
        <v>Garden_Planters</v>
      </c>
      <c r="C577" s="22" t="s">
        <v>922</v>
      </c>
      <c r="D577" s="14" t="str">
        <f t="array" ref="D577">XLOOKUP(C577, Channel_Listings!C:C, Channel_Listings!D:D)
</f>
        <v>PLANTER-BROWN-SQUARE-ORCHID8-PK1</v>
      </c>
      <c r="E577" s="15"/>
      <c r="F577" s="16">
        <f t="array" ref="F577">IFERROR(
  VALUE( INDEX(Product_Master!$I:$I,
               MATCH( INDEX(Pack_Master!$B:$B, MATCH($D577, Pack_Master!$A:$A, 0)),
                      Product_Master!$B:$B, 0)
  )) 
  * VALUE( INDEX(Pack_Master!$C:$C, MATCH($D577, Pack_Master!$A:$A, 0)) )
  + VALUE( INDEX(Pack_Master!$D:$D, MATCH($D577, Pack_Master!$A:$A, 0)) ),
"")
</f>
        <v>28.5</v>
      </c>
      <c r="G577" s="17">
        <f t="array" ref="G577">IFERROR(
 ( INDEX(Pack_Master!E:E, MATCH($D577, Pack_Master!A:A, 0))
   * INDEX(Pack_Master!F:F, MATCH($D577, Pack_Master!A:A, 0))
   * INDEX(Pack_Master!G:G, MATCH($D577, Pack_Master!A:A, 0))
 ) / INDEX(Config!C:C, MATCH($A577, Config!A:A, 0)),
"")
</f>
        <v>0</v>
      </c>
      <c r="H577" s="17">
        <f t="array" ref="H577">MAX( INDEX(Pack_Master!H:H, MATCH($D577, Pack_Master!A:A, 0)),
      IFERROR(G577, 0) )
</f>
        <v>0</v>
      </c>
      <c r="I577" s="18" t="str">
        <f>IFERROR(__xludf.DUMMYFUNCTION("IFERROR(
 INDEX(
   FILTER(Shipping_Rate_Card!B:F, Shipping_Rate_Card!A:A=$A577),
   MATCH($H577, FILTER(Shipping_Rate_Card!B:B, Shipping_Rate_Card!A:A=$A577), 1),
   IF( INDEX(Config!B:B, MATCH($A577, Config!A:A, 0))=""Local"", 2,
     IF( INDEX(Config!B"&amp;":B, MATCH($A577, Config!A:A, 0))=""Regional"", 3, 4 )
   )
 ),
"""")
"),"")</f>
        <v/>
      </c>
      <c r="J577" s="16">
        <f>IFERROR(__xludf.DUMMYFUNCTION("IFERROR(
 ( E577 * INDEX(FILTER(Pricing_Rules!E:E, Pricing_Rules!A:A=A577, Pricing_Rules!B:B=B577, Pricing_Rules!C:C&lt;=E577, Pricing_Rules!D:D&gt;=E577), 1)
   + INDEX(FILTER(Pricing_Rules!F:F, Pricing_Rules!A:A=A577, Pricing_Rules!B:B=B577, Pricing_Rules!C:C"&amp;"&lt;=E577, Pricing_Rules!D:D&gt;=E577), 1)
 )
 * (1 + IFERROR( INDEX(Config!D:D, MATCH(A577, Config!A:A, 0)), 0 )),
"""")
"),5.8999999999999995)</f>
        <v>5.9</v>
      </c>
      <c r="K577" s="19">
        <f t="shared" si="3"/>
        <v>-34.4</v>
      </c>
      <c r="L577" s="20" t="str">
        <f t="shared" si="4"/>
        <v/>
      </c>
    </row>
    <row r="578" ht="15.75" customHeight="1">
      <c r="A578" s="9" t="s">
        <v>9</v>
      </c>
      <c r="B578" s="12" t="str">
        <f t="array" ref="B578">XLOOKUP(C578, Channel_Listings!C:C, Channel_Listings!B:B)
</f>
        <v>Garden_Planters</v>
      </c>
      <c r="C578" s="22" t="s">
        <v>924</v>
      </c>
      <c r="D578" s="14" t="str">
        <f t="array" ref="D578">XLOOKUP(C578, Channel_Listings!C:C, Channel_Listings!D:D)
</f>
        <v>PLANTER-BROWN-SQUARE-ORCHID8-PK2</v>
      </c>
      <c r="E578" s="15"/>
      <c r="F578" s="16">
        <f t="array" ref="F578">IFERROR(
  VALUE( INDEX(Product_Master!$I:$I,
               MATCH( INDEX(Pack_Master!$B:$B, MATCH($D578, Pack_Master!$A:$A, 0)),
                      Product_Master!$B:$B, 0)
  )) 
  * VALUE( INDEX(Pack_Master!$C:$C, MATCH($D578, Pack_Master!$A:$A, 0)) )
  + VALUE( INDEX(Pack_Master!$D:$D, MATCH($D578, Pack_Master!$A:$A, 0)) ),
"")
</f>
        <v>107</v>
      </c>
      <c r="G578" s="17">
        <f t="array" ref="G578">IFERROR(
 ( INDEX(Pack_Master!E:E, MATCH($D578, Pack_Master!A:A, 0))
   * INDEX(Pack_Master!F:F, MATCH($D578, Pack_Master!A:A, 0))
   * INDEX(Pack_Master!G:G, MATCH($D578, Pack_Master!A:A, 0))
 ) / INDEX(Config!C:C, MATCH($A578, Config!A:A, 0)),
"")
</f>
        <v>1.6</v>
      </c>
      <c r="H578" s="17">
        <f t="array" ref="H578">MAX( INDEX(Pack_Master!H:H, MATCH($D578, Pack_Master!A:A, 0)),
      IFERROR(G578, 0) )
</f>
        <v>1.6</v>
      </c>
      <c r="I578" s="18">
        <f>IFERROR(__xludf.DUMMYFUNCTION("IFERROR(
 INDEX(
   FILTER(Shipping_Rate_Card!B:F, Shipping_Rate_Card!A:A=$A578),
   MATCH($H578, FILTER(Shipping_Rate_Card!B:B, Shipping_Rate_Card!A:A=$A578), 1),
   IF( INDEX(Config!B:B, MATCH($A578, Config!A:A, 0))=""Local"", 2,
     IF( INDEX(Config!B"&amp;":B, MATCH($A578, Config!A:A, 0))=""Regional"", 3, 4 )
   )
 ),
"""")
"),121.0)</f>
        <v>121</v>
      </c>
      <c r="J578" s="16">
        <f>IFERROR(__xludf.DUMMYFUNCTION("IFERROR(
 ( E578 * INDEX(FILTER(Pricing_Rules!E:E, Pricing_Rules!A:A=A578, Pricing_Rules!B:B=B578, Pricing_Rules!C:C&lt;=E578, Pricing_Rules!D:D&gt;=E578), 1)
   + INDEX(FILTER(Pricing_Rules!F:F, Pricing_Rules!A:A=A578, Pricing_Rules!B:B=B578, Pricing_Rules!C:C"&amp;"&lt;=E578, Pricing_Rules!D:D&gt;=E578), 1)
 )
 * (1 + IFERROR( INDEX(Config!D:D, MATCH(A578, Config!A:A, 0)), 0 )),
"""")
"),5.8999999999999995)</f>
        <v>5.9</v>
      </c>
      <c r="K578" s="19">
        <f t="shared" si="3"/>
        <v>-233.9</v>
      </c>
      <c r="L578" s="20" t="str">
        <f t="shared" si="4"/>
        <v/>
      </c>
    </row>
    <row r="579" ht="15.75" customHeight="1">
      <c r="A579" s="9" t="s">
        <v>9</v>
      </c>
      <c r="B579" s="12" t="str">
        <f t="array" ref="B579">XLOOKUP(C579, Channel_Listings!C:C, Channel_Listings!B:B)
</f>
        <v>Garden_Planters</v>
      </c>
      <c r="C579" s="22" t="s">
        <v>927</v>
      </c>
      <c r="D579" s="14" t="str">
        <f t="array" ref="D579">XLOOKUP(C579, Channel_Listings!C:C, Channel_Listings!D:D)
</f>
        <v>PLANTER-BROWN-SQUARE-ORCHID8-PK4</v>
      </c>
      <c r="E579" s="15"/>
      <c r="F579" s="16">
        <f t="array" ref="F579">IFERROR(
  VALUE( INDEX(Product_Master!$I:$I,
               MATCH( INDEX(Pack_Master!$B:$B, MATCH($D579, Pack_Master!$A:$A, 0)),
                      Product_Master!$B:$B, 0)
  )) 
  * VALUE( INDEX(Pack_Master!$C:$C, MATCH($D579, Pack_Master!$A:$A, 0)) )
  + VALUE( INDEX(Pack_Master!$D:$D, MATCH($D579, Pack_Master!$A:$A, 0)) ),
"")
</f>
        <v>164</v>
      </c>
      <c r="G579" s="17">
        <f t="array" ref="G579">IFERROR(
 ( INDEX(Pack_Master!E:E, MATCH($D579, Pack_Master!A:A, 0))
   * INDEX(Pack_Master!F:F, MATCH($D579, Pack_Master!A:A, 0))
   * INDEX(Pack_Master!G:G, MATCH($D579, Pack_Master!A:A, 0))
 ) / INDEX(Config!C:C, MATCH($A579, Config!A:A, 0)),
"")
</f>
        <v>1.92</v>
      </c>
      <c r="H579" s="17">
        <f t="array" ref="H579">MAX( INDEX(Pack_Master!H:H, MATCH($D579, Pack_Master!A:A, 0)),
      IFERROR(G579, 0) )
</f>
        <v>1.92</v>
      </c>
      <c r="I579" s="18">
        <f>IFERROR(__xludf.DUMMYFUNCTION("IFERROR(
 INDEX(
   FILTER(Shipping_Rate_Card!B:F, Shipping_Rate_Card!A:A=$A579),
   MATCH($H579, FILTER(Shipping_Rate_Card!B:B, Shipping_Rate_Card!A:A=$A579), 1),
   IF( INDEX(Config!B:B, MATCH($A579, Config!A:A, 0))=""Local"", 2,
     IF( INDEX(Config!B"&amp;":B, MATCH($A579, Config!A:A, 0))=""Regional"", 3, 4 )
   )
 ),
"""")
"),121.0)</f>
        <v>121</v>
      </c>
      <c r="J579" s="16">
        <f>IFERROR(__xludf.DUMMYFUNCTION("IFERROR(
 ( E579 * INDEX(FILTER(Pricing_Rules!E:E, Pricing_Rules!A:A=A579, Pricing_Rules!B:B=B579, Pricing_Rules!C:C&lt;=E579, Pricing_Rules!D:D&gt;=E579), 1)
   + INDEX(FILTER(Pricing_Rules!F:F, Pricing_Rules!A:A=A579, Pricing_Rules!B:B=B579, Pricing_Rules!C:C"&amp;"&lt;=E579, Pricing_Rules!D:D&gt;=E579), 1)
 )
 * (1 + IFERROR( INDEX(Config!D:D, MATCH(A579, Config!A:A, 0)), 0 )),
"""")
"),5.8999999999999995)</f>
        <v>5.9</v>
      </c>
      <c r="K579" s="19">
        <f t="shared" si="3"/>
        <v>-290.9</v>
      </c>
      <c r="L579" s="20" t="str">
        <f t="shared" si="4"/>
        <v/>
      </c>
    </row>
    <row r="580" ht="15.75" customHeight="1">
      <c r="A580" s="9" t="s">
        <v>9</v>
      </c>
      <c r="B580" s="12" t="str">
        <f t="array" ref="B580">XLOOKUP(C580, Channel_Listings!C:C, Channel_Listings!B:B)
</f>
        <v>Garden_Planters</v>
      </c>
      <c r="C580" s="22" t="s">
        <v>930</v>
      </c>
      <c r="D580" s="14" t="str">
        <f t="array" ref="D580">XLOOKUP(C580, Channel_Listings!C:C, Channel_Listings!D:D)
</f>
        <v>PLANTER-BROWN-SQUARE-ORCHID8-PK8</v>
      </c>
      <c r="E580" s="15"/>
      <c r="F580" s="16">
        <f t="array" ref="F580">IFERROR(
  VALUE( INDEX(Product_Master!$I:$I,
               MATCH( INDEX(Pack_Master!$B:$B, MATCH($D580, Pack_Master!$A:$A, 0)),
                      Product_Master!$B:$B, 0)
  )) 
  * VALUE( INDEX(Pack_Master!$C:$C, MATCH($D580, Pack_Master!$A:$A, 0)) )
  + VALUE( INDEX(Pack_Master!$D:$D, MATCH($D580, Pack_Master!$A:$A, 0)) ),
"")
</f>
        <v>278</v>
      </c>
      <c r="G580" s="17">
        <f t="array" ref="G580">IFERROR(
 ( INDEX(Pack_Master!E:E, MATCH($D580, Pack_Master!A:A, 0))
   * INDEX(Pack_Master!F:F, MATCH($D580, Pack_Master!A:A, 0))
   * INDEX(Pack_Master!G:G, MATCH($D580, Pack_Master!A:A, 0))
 ) / INDEX(Config!C:C, MATCH($A580, Config!A:A, 0)),
"")
</f>
        <v>2.56</v>
      </c>
      <c r="H580" s="17">
        <f t="array" ref="H580">MAX( INDEX(Pack_Master!H:H, MATCH($D580, Pack_Master!A:A, 0)),
      IFERROR(G580, 0) )
</f>
        <v>2.56</v>
      </c>
      <c r="I580" s="18">
        <f>IFERROR(__xludf.DUMMYFUNCTION("IFERROR(
 INDEX(
   FILTER(Shipping_Rate_Card!B:F, Shipping_Rate_Card!A:A=$A580),
   MATCH($H580, FILTER(Shipping_Rate_Card!B:B, Shipping_Rate_Card!A:A=$A580), 1),
   IF( INDEX(Config!B:B, MATCH($A580, Config!A:A, 0))=""Local"", 2,
     IF( INDEX(Config!B"&amp;":B, MATCH($A580, Config!A:A, 0))=""Regional"", 3, 4 )
   )
 ),
"""")
"),155.0)</f>
        <v>155</v>
      </c>
      <c r="J580" s="16">
        <f>IFERROR(__xludf.DUMMYFUNCTION("IFERROR(
 ( E580 * INDEX(FILTER(Pricing_Rules!E:E, Pricing_Rules!A:A=A580, Pricing_Rules!B:B=B580, Pricing_Rules!C:C&lt;=E580, Pricing_Rules!D:D&gt;=E580), 1)
   + INDEX(FILTER(Pricing_Rules!F:F, Pricing_Rules!A:A=A580, Pricing_Rules!B:B=B580, Pricing_Rules!C:C"&amp;"&lt;=E580, Pricing_Rules!D:D&gt;=E580), 1)
 )
 * (1 + IFERROR( INDEX(Config!D:D, MATCH(A580, Config!A:A, 0)), 0 )),
"""")
"),5.8999999999999995)</f>
        <v>5.9</v>
      </c>
      <c r="K580" s="19">
        <f t="shared" si="3"/>
        <v>-438.9</v>
      </c>
      <c r="L580" s="20" t="str">
        <f t="shared" si="4"/>
        <v/>
      </c>
    </row>
    <row r="581" ht="15.75" customHeight="1">
      <c r="A581" s="9" t="s">
        <v>9</v>
      </c>
      <c r="B581" s="12" t="str">
        <f t="array" ref="B581">XLOOKUP(C581, Channel_Listings!C:C, Channel_Listings!B:B)
</f>
        <v>Garden_Planters</v>
      </c>
      <c r="C581" s="22" t="s">
        <v>933</v>
      </c>
      <c r="D581" s="14" t="str">
        <f t="array" ref="D581">XLOOKUP(C581, Channel_Listings!C:C, Channel_Listings!D:D)
</f>
        <v>PLANTER-COLOR-EXPERT-PK6</v>
      </c>
      <c r="E581" s="15"/>
      <c r="F581" s="16">
        <f t="array" ref="F581">IFERROR(
  VALUE( INDEX(Product_Master!$I:$I,
               MATCH( INDEX(Pack_Master!$B:$B, MATCH($D581, Pack_Master!$A:$A, 0)),
                      Product_Master!$B:$B, 0)
  )) 
  * VALUE( INDEX(Pack_Master!$C:$C, MATCH($D581, Pack_Master!$A:$A, 0)) )
  + VALUE( INDEX(Pack_Master!$D:$D, MATCH($D581, Pack_Master!$A:$A, 0)) ),
"")
</f>
        <v>0</v>
      </c>
      <c r="G581" s="17">
        <f t="array" ref="G581">IFERROR(
 ( INDEX(Pack_Master!E:E, MATCH($D581, Pack_Master!A:A, 0))
   * INDEX(Pack_Master!F:F, MATCH($D581, Pack_Master!A:A, 0))
   * INDEX(Pack_Master!G:G, MATCH($D581, Pack_Master!A:A, 0))
 ) / INDEX(Config!C:C, MATCH($A581, Config!A:A, 0)),
"")
</f>
        <v>0</v>
      </c>
      <c r="H581" s="17">
        <f t="array" ref="H581">MAX( INDEX(Pack_Master!H:H, MATCH($D581, Pack_Master!A:A, 0)),
      IFERROR(G581, 0) )
</f>
        <v>0</v>
      </c>
      <c r="I581" s="18" t="str">
        <f>IFERROR(__xludf.DUMMYFUNCTION("IFERROR(
 INDEX(
   FILTER(Shipping_Rate_Card!B:F, Shipping_Rate_Card!A:A=$A581),
   MATCH($H581, FILTER(Shipping_Rate_Card!B:B, Shipping_Rate_Card!A:A=$A581), 1),
   IF( INDEX(Config!B:B, MATCH($A581, Config!A:A, 0))=""Local"", 2,
     IF( INDEX(Config!B"&amp;":B, MATCH($A581, Config!A:A, 0))=""Regional"", 3, 4 )
   )
 ),
"""")
"),"")</f>
        <v/>
      </c>
      <c r="J581" s="16">
        <f>IFERROR(__xludf.DUMMYFUNCTION("IFERROR(
 ( E581 * INDEX(FILTER(Pricing_Rules!E:E, Pricing_Rules!A:A=A581, Pricing_Rules!B:B=B581, Pricing_Rules!C:C&lt;=E581, Pricing_Rules!D:D&gt;=E581), 1)
   + INDEX(FILTER(Pricing_Rules!F:F, Pricing_Rules!A:A=A581, Pricing_Rules!B:B=B581, Pricing_Rules!C:C"&amp;"&lt;=E581, Pricing_Rules!D:D&gt;=E581), 1)
 )
 * (1 + IFERROR( INDEX(Config!D:D, MATCH(A581, Config!A:A, 0)), 0 )),
"""")
"),5.8999999999999995)</f>
        <v>5.9</v>
      </c>
      <c r="K581" s="19">
        <f t="shared" si="3"/>
        <v>-5.9</v>
      </c>
      <c r="L581" s="20" t="str">
        <f t="shared" si="4"/>
        <v/>
      </c>
    </row>
    <row r="582" ht="15.75" customHeight="1">
      <c r="A582" s="9" t="s">
        <v>9</v>
      </c>
      <c r="B582" s="12" t="str">
        <f t="array" ref="B582">XLOOKUP(C582, Channel_Listings!C:C, Channel_Listings!B:B)
</f>
        <v>Garden_Planters</v>
      </c>
      <c r="C582" s="22" t="s">
        <v>935</v>
      </c>
      <c r="D582" s="14" t="str">
        <f t="array" ref="D582">XLOOKUP(C582, Channel_Listings!C:C, Channel_Listings!D:D)
</f>
        <v>PLANTER-COLOUR-HOOK-RAJ6-PK2</v>
      </c>
      <c r="E582" s="15"/>
      <c r="F582" s="16">
        <f t="array" ref="F582">IFERROR(
  VALUE( INDEX(Product_Master!$I:$I,
               MATCH( INDEX(Pack_Master!$B:$B, MATCH($D582, Pack_Master!$A:$A, 0)),
                      Product_Master!$B:$B, 0)
  )) 
  * VALUE( INDEX(Pack_Master!$C:$C, MATCH($D582, Pack_Master!$A:$A, 0)) )
  + VALUE( INDEX(Pack_Master!$D:$D, MATCH($D582, Pack_Master!$A:$A, 0)) ),
"")
</f>
        <v>51.96</v>
      </c>
      <c r="G582" s="17">
        <f t="array" ref="G582">IFERROR(
 ( INDEX(Pack_Master!E:E, MATCH($D582, Pack_Master!A:A, 0))
   * INDEX(Pack_Master!F:F, MATCH($D582, Pack_Master!A:A, 0))
   * INDEX(Pack_Master!G:G, MATCH($D582, Pack_Master!A:A, 0))
 ) / INDEX(Config!C:C, MATCH($A582, Config!A:A, 0)),
"")
</f>
        <v>0</v>
      </c>
      <c r="H582" s="17">
        <f t="array" ref="H582">MAX( INDEX(Pack_Master!H:H, MATCH($D582, Pack_Master!A:A, 0)),
      IFERROR(G582, 0) )
</f>
        <v>0</v>
      </c>
      <c r="I582" s="18" t="str">
        <f>IFERROR(__xludf.DUMMYFUNCTION("IFERROR(
 INDEX(
   FILTER(Shipping_Rate_Card!B:F, Shipping_Rate_Card!A:A=$A582),
   MATCH($H582, FILTER(Shipping_Rate_Card!B:B, Shipping_Rate_Card!A:A=$A582), 1),
   IF( INDEX(Config!B:B, MATCH($A582, Config!A:A, 0))=""Local"", 2,
     IF( INDEX(Config!B"&amp;":B, MATCH($A582, Config!A:A, 0))=""Regional"", 3, 4 )
   )
 ),
"""")
"),"")</f>
        <v/>
      </c>
      <c r="J582" s="16">
        <f>IFERROR(__xludf.DUMMYFUNCTION("IFERROR(
 ( E582 * INDEX(FILTER(Pricing_Rules!E:E, Pricing_Rules!A:A=A582, Pricing_Rules!B:B=B582, Pricing_Rules!C:C&lt;=E582, Pricing_Rules!D:D&gt;=E582), 1)
   + INDEX(FILTER(Pricing_Rules!F:F, Pricing_Rules!A:A=A582, Pricing_Rules!B:B=B582, Pricing_Rules!C:C"&amp;"&lt;=E582, Pricing_Rules!D:D&gt;=E582), 1)
 )
 * (1 + IFERROR( INDEX(Config!D:D, MATCH(A582, Config!A:A, 0)), 0 )),
"""")
"),5.8999999999999995)</f>
        <v>5.9</v>
      </c>
      <c r="K582" s="19">
        <f t="shared" si="3"/>
        <v>-57.86</v>
      </c>
      <c r="L582" s="20" t="str">
        <f t="shared" si="4"/>
        <v/>
      </c>
    </row>
    <row r="583" ht="15.75" customHeight="1">
      <c r="A583" s="9" t="s">
        <v>9</v>
      </c>
      <c r="B583" s="12" t="str">
        <f t="array" ref="B583">XLOOKUP(C583, Channel_Listings!C:C, Channel_Listings!B:B)
</f>
        <v>Garden_Planters</v>
      </c>
      <c r="C583" s="22" t="s">
        <v>938</v>
      </c>
      <c r="D583" s="14" t="str">
        <f t="array" ref="D583">XLOOKUP(C583, Channel_Listings!C:C, Channel_Listings!D:D)
</f>
        <v>PLANTER-COLOUR-HOOK-RAJ6-PK4</v>
      </c>
      <c r="E583" s="15"/>
      <c r="F583" s="16">
        <f t="array" ref="F583">IFERROR(
  VALUE( INDEX(Product_Master!$I:$I,
               MATCH( INDEX(Pack_Master!$B:$B, MATCH($D583, Pack_Master!$A:$A, 0)),
                      Product_Master!$B:$B, 0)
  )) 
  * VALUE( INDEX(Pack_Master!$C:$C, MATCH($D583, Pack_Master!$A:$A, 0)) )
  + VALUE( INDEX(Pack_Master!$D:$D, MATCH($D583, Pack_Master!$A:$A, 0)) ),
"")
</f>
        <v>83.92</v>
      </c>
      <c r="G583" s="17">
        <f t="array" ref="G583">IFERROR(
 ( INDEX(Pack_Master!E:E, MATCH($D583, Pack_Master!A:A, 0))
   * INDEX(Pack_Master!F:F, MATCH($D583, Pack_Master!A:A, 0))
   * INDEX(Pack_Master!G:G, MATCH($D583, Pack_Master!A:A, 0))
 ) / INDEX(Config!C:C, MATCH($A583, Config!A:A, 0)),
"")
</f>
        <v>0</v>
      </c>
      <c r="H583" s="17">
        <f t="array" ref="H583">MAX( INDEX(Pack_Master!H:H, MATCH($D583, Pack_Master!A:A, 0)),
      IFERROR(G583, 0) )
</f>
        <v>0</v>
      </c>
      <c r="I583" s="18" t="str">
        <f>IFERROR(__xludf.DUMMYFUNCTION("IFERROR(
 INDEX(
   FILTER(Shipping_Rate_Card!B:F, Shipping_Rate_Card!A:A=$A583),
   MATCH($H583, FILTER(Shipping_Rate_Card!B:B, Shipping_Rate_Card!A:A=$A583), 1),
   IF( INDEX(Config!B:B, MATCH($A583, Config!A:A, 0))=""Local"", 2,
     IF( INDEX(Config!B"&amp;":B, MATCH($A583, Config!A:A, 0))=""Regional"", 3, 4 )
   )
 ),
"""")
"),"")</f>
        <v/>
      </c>
      <c r="J583" s="16">
        <f>IFERROR(__xludf.DUMMYFUNCTION("IFERROR(
 ( E583 * INDEX(FILTER(Pricing_Rules!E:E, Pricing_Rules!A:A=A583, Pricing_Rules!B:B=B583, Pricing_Rules!C:C&lt;=E583, Pricing_Rules!D:D&gt;=E583), 1)
   + INDEX(FILTER(Pricing_Rules!F:F, Pricing_Rules!A:A=A583, Pricing_Rules!B:B=B583, Pricing_Rules!C:C"&amp;"&lt;=E583, Pricing_Rules!D:D&gt;=E583), 1)
 )
 * (1 + IFERROR( INDEX(Config!D:D, MATCH(A583, Config!A:A, 0)), 0 )),
"""")
"),5.8999999999999995)</f>
        <v>5.9</v>
      </c>
      <c r="K583" s="19">
        <f t="shared" si="3"/>
        <v>-89.82</v>
      </c>
      <c r="L583" s="20" t="str">
        <f t="shared" si="4"/>
        <v/>
      </c>
    </row>
    <row r="584" ht="15.75" customHeight="1">
      <c r="A584" s="9" t="s">
        <v>9</v>
      </c>
      <c r="B584" s="12" t="str">
        <f t="array" ref="B584">XLOOKUP(C584, Channel_Listings!C:C, Channel_Listings!B:B)
</f>
        <v>Garden_Planters</v>
      </c>
      <c r="C584" s="22" t="s">
        <v>941</v>
      </c>
      <c r="D584" s="14" t="str">
        <f t="array" ref="D584">XLOOKUP(C584, Channel_Listings!C:C, Channel_Listings!D:D)
</f>
        <v>PLANTER-COLOUR-HOOK-RAJ6-PK6</v>
      </c>
      <c r="E584" s="15"/>
      <c r="F584" s="16">
        <f t="array" ref="F584">IFERROR(
  VALUE( INDEX(Product_Master!$I:$I,
               MATCH( INDEX(Pack_Master!$B:$B, MATCH($D584, Pack_Master!$A:$A, 0)),
                      Product_Master!$B:$B, 0)
  )) 
  * VALUE( INDEX(Pack_Master!$C:$C, MATCH($D584, Pack_Master!$A:$A, 0)) )
  + VALUE( INDEX(Pack_Master!$D:$D, MATCH($D584, Pack_Master!$A:$A, 0)) ),
"")
</f>
        <v>115.88</v>
      </c>
      <c r="G584" s="17">
        <f t="array" ref="G584">IFERROR(
 ( INDEX(Pack_Master!E:E, MATCH($D584, Pack_Master!A:A, 0))
   * INDEX(Pack_Master!F:F, MATCH($D584, Pack_Master!A:A, 0))
   * INDEX(Pack_Master!G:G, MATCH($D584, Pack_Master!A:A, 0))
 ) / INDEX(Config!C:C, MATCH($A584, Config!A:A, 0)),
"")
</f>
        <v>0</v>
      </c>
      <c r="H584" s="17">
        <f t="array" ref="H584">MAX( INDEX(Pack_Master!H:H, MATCH($D584, Pack_Master!A:A, 0)),
      IFERROR(G584, 0) )
</f>
        <v>0</v>
      </c>
      <c r="I584" s="18" t="str">
        <f>IFERROR(__xludf.DUMMYFUNCTION("IFERROR(
 INDEX(
   FILTER(Shipping_Rate_Card!B:F, Shipping_Rate_Card!A:A=$A584),
   MATCH($H584, FILTER(Shipping_Rate_Card!B:B, Shipping_Rate_Card!A:A=$A584), 1),
   IF( INDEX(Config!B:B, MATCH($A584, Config!A:A, 0))=""Local"", 2,
     IF( INDEX(Config!B"&amp;":B, MATCH($A584, Config!A:A, 0))=""Regional"", 3, 4 )
   )
 ),
"""")
"),"")</f>
        <v/>
      </c>
      <c r="J584" s="16">
        <f>IFERROR(__xludf.DUMMYFUNCTION("IFERROR(
 ( E584 * INDEX(FILTER(Pricing_Rules!E:E, Pricing_Rules!A:A=A584, Pricing_Rules!B:B=B584, Pricing_Rules!C:C&lt;=E584, Pricing_Rules!D:D&gt;=E584), 1)
   + INDEX(FILTER(Pricing_Rules!F:F, Pricing_Rules!A:A=A584, Pricing_Rules!B:B=B584, Pricing_Rules!C:C"&amp;"&lt;=E584, Pricing_Rules!D:D&gt;=E584), 1)
 )
 * (1 + IFERROR( INDEX(Config!D:D, MATCH(A584, Config!A:A, 0)), 0 )),
"""")
"),5.8999999999999995)</f>
        <v>5.9</v>
      </c>
      <c r="K584" s="19">
        <f t="shared" si="3"/>
        <v>-121.78</v>
      </c>
      <c r="L584" s="20" t="str">
        <f t="shared" si="4"/>
        <v/>
      </c>
    </row>
    <row r="585" ht="15.75" customHeight="1">
      <c r="A585" s="9" t="s">
        <v>9</v>
      </c>
      <c r="B585" s="12" t="str">
        <f t="array" ref="B585">XLOOKUP(C585, Channel_Listings!C:C, Channel_Listings!B:B)
</f>
        <v>Garden_Planters</v>
      </c>
      <c r="C585" s="22" t="s">
        <v>944</v>
      </c>
      <c r="D585" s="14" t="str">
        <f t="array" ref="D585">XLOOKUP(C585, Channel_Listings!C:C, Channel_Listings!D:D)
</f>
        <v>PLANTER-COLOUR-HOOK-RAJ7-PK2</v>
      </c>
      <c r="E585" s="15"/>
      <c r="F585" s="16">
        <f t="array" ref="F585">IFERROR(
  VALUE( INDEX(Product_Master!$I:$I,
               MATCH( INDEX(Pack_Master!$B:$B, MATCH($D585, Pack_Master!$A:$A, 0)),
                      Product_Master!$B:$B, 0)
  )) 
  * VALUE( INDEX(Pack_Master!$C:$C, MATCH($D585, Pack_Master!$A:$A, 0)) )
  + VALUE( INDEX(Pack_Master!$D:$D, MATCH($D585, Pack_Master!$A:$A, 0)) ),
"")
</f>
        <v>68.48</v>
      </c>
      <c r="G585" s="17">
        <f t="array" ref="G585">IFERROR(
 ( INDEX(Pack_Master!E:E, MATCH($D585, Pack_Master!A:A, 0))
   * INDEX(Pack_Master!F:F, MATCH($D585, Pack_Master!A:A, 0))
   * INDEX(Pack_Master!G:G, MATCH($D585, Pack_Master!A:A, 0))
 ) / INDEX(Config!C:C, MATCH($A585, Config!A:A, 0)),
"")
</f>
        <v>0</v>
      </c>
      <c r="H585" s="17">
        <f t="array" ref="H585">MAX( INDEX(Pack_Master!H:H, MATCH($D585, Pack_Master!A:A, 0)),
      IFERROR(G585, 0) )
</f>
        <v>0</v>
      </c>
      <c r="I585" s="18" t="str">
        <f>IFERROR(__xludf.DUMMYFUNCTION("IFERROR(
 INDEX(
   FILTER(Shipping_Rate_Card!B:F, Shipping_Rate_Card!A:A=$A585),
   MATCH($H585, FILTER(Shipping_Rate_Card!B:B, Shipping_Rate_Card!A:A=$A585), 1),
   IF( INDEX(Config!B:B, MATCH($A585, Config!A:A, 0))=""Local"", 2,
     IF( INDEX(Config!B"&amp;":B, MATCH($A585, Config!A:A, 0))=""Regional"", 3, 4 )
   )
 ),
"""")
"),"")</f>
        <v/>
      </c>
      <c r="J585" s="16">
        <f>IFERROR(__xludf.DUMMYFUNCTION("IFERROR(
 ( E585 * INDEX(FILTER(Pricing_Rules!E:E, Pricing_Rules!A:A=A585, Pricing_Rules!B:B=B585, Pricing_Rules!C:C&lt;=E585, Pricing_Rules!D:D&gt;=E585), 1)
   + INDEX(FILTER(Pricing_Rules!F:F, Pricing_Rules!A:A=A585, Pricing_Rules!B:B=B585, Pricing_Rules!C:C"&amp;"&lt;=E585, Pricing_Rules!D:D&gt;=E585), 1)
 )
 * (1 + IFERROR( INDEX(Config!D:D, MATCH(A585, Config!A:A, 0)), 0 )),
"""")
"),5.8999999999999995)</f>
        <v>5.9</v>
      </c>
      <c r="K585" s="19">
        <f t="shared" si="3"/>
        <v>-74.38</v>
      </c>
      <c r="L585" s="20" t="str">
        <f t="shared" si="4"/>
        <v/>
      </c>
    </row>
    <row r="586" ht="15.75" customHeight="1">
      <c r="A586" s="9" t="s">
        <v>9</v>
      </c>
      <c r="B586" s="12" t="str">
        <f t="array" ref="B586">XLOOKUP(C586, Channel_Listings!C:C, Channel_Listings!B:B)
</f>
        <v>Garden_Planters</v>
      </c>
      <c r="C586" s="22" t="s">
        <v>947</v>
      </c>
      <c r="D586" s="14" t="str">
        <f t="array" ref="D586">XLOOKUP(C586, Channel_Listings!C:C, Channel_Listings!D:D)
</f>
        <v>PLANTER-COLOUR-HOOK-RAJ7-PK4</v>
      </c>
      <c r="E586" s="15"/>
      <c r="F586" s="16">
        <f t="array" ref="F586">IFERROR(
  VALUE( INDEX(Product_Master!$I:$I,
               MATCH( INDEX(Pack_Master!$B:$B, MATCH($D586, Pack_Master!$A:$A, 0)),
                      Product_Master!$B:$B, 0)
  )) 
  * VALUE( INDEX(Pack_Master!$C:$C, MATCH($D586, Pack_Master!$A:$A, 0)) )
  + VALUE( INDEX(Pack_Master!$D:$D, MATCH($D586, Pack_Master!$A:$A, 0)) ),
"")
</f>
        <v>116.96</v>
      </c>
      <c r="G586" s="17">
        <f t="array" ref="G586">IFERROR(
 ( INDEX(Pack_Master!E:E, MATCH($D586, Pack_Master!A:A, 0))
   * INDEX(Pack_Master!F:F, MATCH($D586, Pack_Master!A:A, 0))
   * INDEX(Pack_Master!G:G, MATCH($D586, Pack_Master!A:A, 0))
 ) / INDEX(Config!C:C, MATCH($A586, Config!A:A, 0)),
"")
</f>
        <v>0</v>
      </c>
      <c r="H586" s="17">
        <f t="array" ref="H586">MAX( INDEX(Pack_Master!H:H, MATCH($D586, Pack_Master!A:A, 0)),
      IFERROR(G586, 0) )
</f>
        <v>0</v>
      </c>
      <c r="I586" s="18" t="str">
        <f>IFERROR(__xludf.DUMMYFUNCTION("IFERROR(
 INDEX(
   FILTER(Shipping_Rate_Card!B:F, Shipping_Rate_Card!A:A=$A586),
   MATCH($H586, FILTER(Shipping_Rate_Card!B:B, Shipping_Rate_Card!A:A=$A586), 1),
   IF( INDEX(Config!B:B, MATCH($A586, Config!A:A, 0))=""Local"", 2,
     IF( INDEX(Config!B"&amp;":B, MATCH($A586, Config!A:A, 0))=""Regional"", 3, 4 )
   )
 ),
"""")
"),"")</f>
        <v/>
      </c>
      <c r="J586" s="16">
        <f>IFERROR(__xludf.DUMMYFUNCTION("IFERROR(
 ( E586 * INDEX(FILTER(Pricing_Rules!E:E, Pricing_Rules!A:A=A586, Pricing_Rules!B:B=B586, Pricing_Rules!C:C&lt;=E586, Pricing_Rules!D:D&gt;=E586), 1)
   + INDEX(FILTER(Pricing_Rules!F:F, Pricing_Rules!A:A=A586, Pricing_Rules!B:B=B586, Pricing_Rules!C:C"&amp;"&lt;=E586, Pricing_Rules!D:D&gt;=E586), 1)
 )
 * (1 + IFERROR( INDEX(Config!D:D, MATCH(A586, Config!A:A, 0)), 0 )),
"""")
"),5.8999999999999995)</f>
        <v>5.9</v>
      </c>
      <c r="K586" s="19">
        <f t="shared" si="3"/>
        <v>-122.86</v>
      </c>
      <c r="L586" s="20" t="str">
        <f t="shared" si="4"/>
        <v/>
      </c>
    </row>
    <row r="587" ht="15.75" customHeight="1">
      <c r="A587" s="9" t="s">
        <v>9</v>
      </c>
      <c r="B587" s="12" t="str">
        <f t="array" ref="B587">XLOOKUP(C587, Channel_Listings!C:C, Channel_Listings!B:B)
</f>
        <v>Garden_Planters</v>
      </c>
      <c r="C587" s="22" t="s">
        <v>950</v>
      </c>
      <c r="D587" s="14" t="str">
        <f t="array" ref="D587">XLOOKUP(C587, Channel_Listings!C:C, Channel_Listings!D:D)
</f>
        <v>PLANTER-COLOUR-HOOK-RAJ7-PK6</v>
      </c>
      <c r="E587" s="15"/>
      <c r="F587" s="16">
        <f t="array" ref="F587">IFERROR(
  VALUE( INDEX(Product_Master!$I:$I,
               MATCH( INDEX(Pack_Master!$B:$B, MATCH($D587, Pack_Master!$A:$A, 0)),
                      Product_Master!$B:$B, 0)
  )) 
  * VALUE( INDEX(Pack_Master!$C:$C, MATCH($D587, Pack_Master!$A:$A, 0)) )
  + VALUE( INDEX(Pack_Master!$D:$D, MATCH($D587, Pack_Master!$A:$A, 0)) ),
"")
</f>
        <v>165.44</v>
      </c>
      <c r="G587" s="17">
        <f t="array" ref="G587">IFERROR(
 ( INDEX(Pack_Master!E:E, MATCH($D587, Pack_Master!A:A, 0))
   * INDEX(Pack_Master!F:F, MATCH($D587, Pack_Master!A:A, 0))
   * INDEX(Pack_Master!G:G, MATCH($D587, Pack_Master!A:A, 0))
 ) / INDEX(Config!C:C, MATCH($A587, Config!A:A, 0)),
"")
</f>
        <v>0</v>
      </c>
      <c r="H587" s="17">
        <f t="array" ref="H587">MAX( INDEX(Pack_Master!H:H, MATCH($D587, Pack_Master!A:A, 0)),
      IFERROR(G587, 0) )
</f>
        <v>0</v>
      </c>
      <c r="I587" s="18" t="str">
        <f>IFERROR(__xludf.DUMMYFUNCTION("IFERROR(
 INDEX(
   FILTER(Shipping_Rate_Card!B:F, Shipping_Rate_Card!A:A=$A587),
   MATCH($H587, FILTER(Shipping_Rate_Card!B:B, Shipping_Rate_Card!A:A=$A587), 1),
   IF( INDEX(Config!B:B, MATCH($A587, Config!A:A, 0))=""Local"", 2,
     IF( INDEX(Config!B"&amp;":B, MATCH($A587, Config!A:A, 0))=""Regional"", 3, 4 )
   )
 ),
"""")
"),"")</f>
        <v/>
      </c>
      <c r="J587" s="16">
        <f>IFERROR(__xludf.DUMMYFUNCTION("IFERROR(
 ( E587 * INDEX(FILTER(Pricing_Rules!E:E, Pricing_Rules!A:A=A587, Pricing_Rules!B:B=B587, Pricing_Rules!C:C&lt;=E587, Pricing_Rules!D:D&gt;=E587), 1)
   + INDEX(FILTER(Pricing_Rules!F:F, Pricing_Rules!A:A=A587, Pricing_Rules!B:B=B587, Pricing_Rules!C:C"&amp;"&lt;=E587, Pricing_Rules!D:D&gt;=E587), 1)
 )
 * (1 + IFERROR( INDEX(Config!D:D, MATCH(A587, Config!A:A, 0)), 0 )),
"""")
"),5.8999999999999995)</f>
        <v>5.9</v>
      </c>
      <c r="K587" s="19">
        <f t="shared" si="3"/>
        <v>-171.34</v>
      </c>
      <c r="L587" s="20" t="str">
        <f t="shared" si="4"/>
        <v/>
      </c>
    </row>
    <row r="588" ht="15.75" customHeight="1">
      <c r="A588" s="9" t="s">
        <v>9</v>
      </c>
      <c r="B588" s="12" t="str">
        <f t="array" ref="B588">XLOOKUP(C588, Channel_Listings!C:C, Channel_Listings!B:B)
</f>
        <v>Garden_Planters</v>
      </c>
      <c r="C588" s="22" t="s">
        <v>953</v>
      </c>
      <c r="D588" s="14" t="str">
        <f t="array" ref="D588">XLOOKUP(C588, Channel_Listings!C:C, Channel_Listings!D:D)
</f>
        <v>PLANTER-COLOUR-HOOK-RAJ9-PK2</v>
      </c>
      <c r="E588" s="15"/>
      <c r="F588" s="16">
        <f t="array" ref="F588">IFERROR(
  VALUE( INDEX(Product_Master!$I:$I,
               MATCH( INDEX(Pack_Master!$B:$B, MATCH($D588, Pack_Master!$A:$A, 0)),
                      Product_Master!$B:$B, 0)
  )) 
  * VALUE( INDEX(Pack_Master!$C:$C, MATCH($D588, Pack_Master!$A:$A, 0)) )
  + VALUE( INDEX(Pack_Master!$D:$D, MATCH($D588, Pack_Master!$A:$A, 0)) ),
"")
</f>
        <v>110.96</v>
      </c>
      <c r="G588" s="17">
        <f t="array" ref="G588">IFERROR(
 ( INDEX(Pack_Master!E:E, MATCH($D588, Pack_Master!A:A, 0))
   * INDEX(Pack_Master!F:F, MATCH($D588, Pack_Master!A:A, 0))
   * INDEX(Pack_Master!G:G, MATCH($D588, Pack_Master!A:A, 0))
 ) / INDEX(Config!C:C, MATCH($A588, Config!A:A, 0)),
"")
</f>
        <v>0</v>
      </c>
      <c r="H588" s="17">
        <f t="array" ref="H588">MAX( INDEX(Pack_Master!H:H, MATCH($D588, Pack_Master!A:A, 0)),
      IFERROR(G588, 0) )
</f>
        <v>0</v>
      </c>
      <c r="I588" s="18" t="str">
        <f>IFERROR(__xludf.DUMMYFUNCTION("IFERROR(
 INDEX(
   FILTER(Shipping_Rate_Card!B:F, Shipping_Rate_Card!A:A=$A588),
   MATCH($H588, FILTER(Shipping_Rate_Card!B:B, Shipping_Rate_Card!A:A=$A588), 1),
   IF( INDEX(Config!B:B, MATCH($A588, Config!A:A, 0))=""Local"", 2,
     IF( INDEX(Config!B"&amp;":B, MATCH($A588, Config!A:A, 0))=""Regional"", 3, 4 )
   )
 ),
"""")
"),"")</f>
        <v/>
      </c>
      <c r="J588" s="16">
        <f>IFERROR(__xludf.DUMMYFUNCTION("IFERROR(
 ( E588 * INDEX(FILTER(Pricing_Rules!E:E, Pricing_Rules!A:A=A588, Pricing_Rules!B:B=B588, Pricing_Rules!C:C&lt;=E588, Pricing_Rules!D:D&gt;=E588), 1)
   + INDEX(FILTER(Pricing_Rules!F:F, Pricing_Rules!A:A=A588, Pricing_Rules!B:B=B588, Pricing_Rules!C:C"&amp;"&lt;=E588, Pricing_Rules!D:D&gt;=E588), 1)
 )
 * (1 + IFERROR( INDEX(Config!D:D, MATCH(A588, Config!A:A, 0)), 0 )),
"""")
"),5.8999999999999995)</f>
        <v>5.9</v>
      </c>
      <c r="K588" s="19">
        <f t="shared" si="3"/>
        <v>-116.86</v>
      </c>
      <c r="L588" s="20" t="str">
        <f t="shared" si="4"/>
        <v/>
      </c>
    </row>
    <row r="589" ht="15.75" customHeight="1">
      <c r="A589" s="9" t="s">
        <v>9</v>
      </c>
      <c r="B589" s="12" t="str">
        <f t="array" ref="B589">XLOOKUP(C589, Channel_Listings!C:C, Channel_Listings!B:B)
</f>
        <v>Garden_Planters</v>
      </c>
      <c r="C589" s="22" t="s">
        <v>956</v>
      </c>
      <c r="D589" s="14" t="str">
        <f t="array" ref="D589">XLOOKUP(C589, Channel_Listings!C:C, Channel_Listings!D:D)
</f>
        <v>PLANTER-COLOUR-HOOK-RAJ9-PK4</v>
      </c>
      <c r="E589" s="15"/>
      <c r="F589" s="16">
        <f t="array" ref="F589">IFERROR(
  VALUE( INDEX(Product_Master!$I:$I,
               MATCH( INDEX(Pack_Master!$B:$B, MATCH($D589, Pack_Master!$A:$A, 0)),
                      Product_Master!$B:$B, 0)
  )) 
  * VALUE( INDEX(Pack_Master!$C:$C, MATCH($D589, Pack_Master!$A:$A, 0)) )
  + VALUE( INDEX(Pack_Master!$D:$D, MATCH($D589, Pack_Master!$A:$A, 0)) ),
"")
</f>
        <v>201.92</v>
      </c>
      <c r="G589" s="17">
        <f t="array" ref="G589">IFERROR(
 ( INDEX(Pack_Master!E:E, MATCH($D589, Pack_Master!A:A, 0))
   * INDEX(Pack_Master!F:F, MATCH($D589, Pack_Master!A:A, 0))
   * INDEX(Pack_Master!G:G, MATCH($D589, Pack_Master!A:A, 0))
 ) / INDEX(Config!C:C, MATCH($A589, Config!A:A, 0)),
"")
</f>
        <v>0</v>
      </c>
      <c r="H589" s="17">
        <f t="array" ref="H589">MAX( INDEX(Pack_Master!H:H, MATCH($D589, Pack_Master!A:A, 0)),
      IFERROR(G589, 0) )
</f>
        <v>0</v>
      </c>
      <c r="I589" s="18" t="str">
        <f>IFERROR(__xludf.DUMMYFUNCTION("IFERROR(
 INDEX(
   FILTER(Shipping_Rate_Card!B:F, Shipping_Rate_Card!A:A=$A589),
   MATCH($H589, FILTER(Shipping_Rate_Card!B:B, Shipping_Rate_Card!A:A=$A589), 1),
   IF( INDEX(Config!B:B, MATCH($A589, Config!A:A, 0))=""Local"", 2,
     IF( INDEX(Config!B"&amp;":B, MATCH($A589, Config!A:A, 0))=""Regional"", 3, 4 )
   )
 ),
"""")
"),"")</f>
        <v/>
      </c>
      <c r="J589" s="16">
        <f>IFERROR(__xludf.DUMMYFUNCTION("IFERROR(
 ( E589 * INDEX(FILTER(Pricing_Rules!E:E, Pricing_Rules!A:A=A589, Pricing_Rules!B:B=B589, Pricing_Rules!C:C&lt;=E589, Pricing_Rules!D:D&gt;=E589), 1)
   + INDEX(FILTER(Pricing_Rules!F:F, Pricing_Rules!A:A=A589, Pricing_Rules!B:B=B589, Pricing_Rules!C:C"&amp;"&lt;=E589, Pricing_Rules!D:D&gt;=E589), 1)
 )
 * (1 + IFERROR( INDEX(Config!D:D, MATCH(A589, Config!A:A, 0)), 0 )),
"""")
"),5.8999999999999995)</f>
        <v>5.9</v>
      </c>
      <c r="K589" s="19">
        <f t="shared" si="3"/>
        <v>-207.82</v>
      </c>
      <c r="L589" s="20" t="str">
        <f t="shared" si="4"/>
        <v/>
      </c>
    </row>
    <row r="590" ht="15.75" customHeight="1">
      <c r="A590" s="9" t="s">
        <v>9</v>
      </c>
      <c r="B590" s="12" t="str">
        <f t="array" ref="B590">XLOOKUP(C590, Channel_Listings!C:C, Channel_Listings!B:B)
</f>
        <v>Garden_Planters</v>
      </c>
      <c r="C590" s="22" t="s">
        <v>959</v>
      </c>
      <c r="D590" s="14" t="str">
        <f t="array" ref="D590">XLOOKUP(C590, Channel_Listings!C:C, Channel_Listings!D:D)
</f>
        <v>PLANTER-COLOUR-HOOK-RAJ9-PK6</v>
      </c>
      <c r="E590" s="15"/>
      <c r="F590" s="16">
        <f t="array" ref="F590">IFERROR(
  VALUE( INDEX(Product_Master!$I:$I,
               MATCH( INDEX(Pack_Master!$B:$B, MATCH($D590, Pack_Master!$A:$A, 0)),
                      Product_Master!$B:$B, 0)
  )) 
  * VALUE( INDEX(Pack_Master!$C:$C, MATCH($D590, Pack_Master!$A:$A, 0)) )
  + VALUE( INDEX(Pack_Master!$D:$D, MATCH($D590, Pack_Master!$A:$A, 0)) ),
"")
</f>
        <v>292.88</v>
      </c>
      <c r="G590" s="17">
        <f t="array" ref="G590">IFERROR(
 ( INDEX(Pack_Master!E:E, MATCH($D590, Pack_Master!A:A, 0))
   * INDEX(Pack_Master!F:F, MATCH($D590, Pack_Master!A:A, 0))
   * INDEX(Pack_Master!G:G, MATCH($D590, Pack_Master!A:A, 0))
 ) / INDEX(Config!C:C, MATCH($A590, Config!A:A, 0)),
"")
</f>
        <v>0</v>
      </c>
      <c r="H590" s="17">
        <f t="array" ref="H590">MAX( INDEX(Pack_Master!H:H, MATCH($D590, Pack_Master!A:A, 0)),
      IFERROR(G590, 0) )
</f>
        <v>0</v>
      </c>
      <c r="I590" s="18" t="str">
        <f>IFERROR(__xludf.DUMMYFUNCTION("IFERROR(
 INDEX(
   FILTER(Shipping_Rate_Card!B:F, Shipping_Rate_Card!A:A=$A590),
   MATCH($H590, FILTER(Shipping_Rate_Card!B:B, Shipping_Rate_Card!A:A=$A590), 1),
   IF( INDEX(Config!B:B, MATCH($A590, Config!A:A, 0))=""Local"", 2,
     IF( INDEX(Config!B"&amp;":B, MATCH($A590, Config!A:A, 0))=""Regional"", 3, 4 )
   )
 ),
"""")
"),"")</f>
        <v/>
      </c>
      <c r="J590" s="16">
        <f>IFERROR(__xludf.DUMMYFUNCTION("IFERROR(
 ( E590 * INDEX(FILTER(Pricing_Rules!E:E, Pricing_Rules!A:A=A590, Pricing_Rules!B:B=B590, Pricing_Rules!C:C&lt;=E590, Pricing_Rules!D:D&gt;=E590), 1)
   + INDEX(FILTER(Pricing_Rules!F:F, Pricing_Rules!A:A=A590, Pricing_Rules!B:B=B590, Pricing_Rules!C:C"&amp;"&lt;=E590, Pricing_Rules!D:D&gt;=E590), 1)
 )
 * (1 + IFERROR( INDEX(Config!D:D, MATCH(A590, Config!A:A, 0)), 0 )),
"""")
"),5.8999999999999995)</f>
        <v>5.9</v>
      </c>
      <c r="K590" s="19">
        <f t="shared" si="3"/>
        <v>-298.78</v>
      </c>
      <c r="L590" s="20" t="str">
        <f t="shared" si="4"/>
        <v/>
      </c>
    </row>
    <row r="591" ht="15.75" customHeight="1">
      <c r="A591" s="9" t="s">
        <v>9</v>
      </c>
      <c r="B591" s="12" t="str">
        <f t="array" ref="B591">XLOOKUP(C591, Channel_Listings!C:C, Channel_Listings!B:B)
</f>
        <v>Garden_Planters</v>
      </c>
      <c r="C591" s="22" t="s">
        <v>962</v>
      </c>
      <c r="D591" s="14" t="str">
        <f t="array" ref="D591">XLOOKUP(C591, Channel_Listings!C:C, Channel_Listings!D:D)
</f>
        <v>PLANTER-COLOUR-HOOK-RAJ6-PK2</v>
      </c>
      <c r="E591" s="15"/>
      <c r="F591" s="16">
        <f t="array" ref="F591">IFERROR(
  VALUE( INDEX(Product_Master!$I:$I,
               MATCH( INDEX(Pack_Master!$B:$B, MATCH($D591, Pack_Master!$A:$A, 0)),
                      Product_Master!$B:$B, 0)
  )) 
  * VALUE( INDEX(Pack_Master!$C:$C, MATCH($D591, Pack_Master!$A:$A, 0)) )
  + VALUE( INDEX(Pack_Master!$D:$D, MATCH($D591, Pack_Master!$A:$A, 0)) ),
"")
</f>
        <v>51.96</v>
      </c>
      <c r="G591" s="17">
        <f t="array" ref="G591">IFERROR(
 ( INDEX(Pack_Master!E:E, MATCH($D591, Pack_Master!A:A, 0))
   * INDEX(Pack_Master!F:F, MATCH($D591, Pack_Master!A:A, 0))
   * INDEX(Pack_Master!G:G, MATCH($D591, Pack_Master!A:A, 0))
 ) / INDEX(Config!C:C, MATCH($A591, Config!A:A, 0)),
"")
</f>
        <v>0</v>
      </c>
      <c r="H591" s="17">
        <f t="array" ref="H591">MAX( INDEX(Pack_Master!H:H, MATCH($D591, Pack_Master!A:A, 0)),
      IFERROR(G591, 0) )
</f>
        <v>0</v>
      </c>
      <c r="I591" s="18" t="str">
        <f>IFERROR(__xludf.DUMMYFUNCTION("IFERROR(
 INDEX(
   FILTER(Shipping_Rate_Card!B:F, Shipping_Rate_Card!A:A=$A591),
   MATCH($H591, FILTER(Shipping_Rate_Card!B:B, Shipping_Rate_Card!A:A=$A591), 1),
   IF( INDEX(Config!B:B, MATCH($A591, Config!A:A, 0))=""Local"", 2,
     IF( INDEX(Config!B"&amp;":B, MATCH($A591, Config!A:A, 0))=""Regional"", 3, 4 )
   )
 ),
"""")
"),"")</f>
        <v/>
      </c>
      <c r="J591" s="16">
        <f>IFERROR(__xludf.DUMMYFUNCTION("IFERROR(
 ( E591 * INDEX(FILTER(Pricing_Rules!E:E, Pricing_Rules!A:A=A591, Pricing_Rules!B:B=B591, Pricing_Rules!C:C&lt;=E591, Pricing_Rules!D:D&gt;=E591), 1)
   + INDEX(FILTER(Pricing_Rules!F:F, Pricing_Rules!A:A=A591, Pricing_Rules!B:B=B591, Pricing_Rules!C:C"&amp;"&lt;=E591, Pricing_Rules!D:D&gt;=E591), 1)
 )
 * (1 + IFERROR( INDEX(Config!D:D, MATCH(A591, Config!A:A, 0)), 0 )),
"""")
"),5.8999999999999995)</f>
        <v>5.9</v>
      </c>
      <c r="K591" s="19">
        <f t="shared" si="3"/>
        <v>-57.86</v>
      </c>
      <c r="L591" s="20" t="str">
        <f t="shared" si="4"/>
        <v/>
      </c>
    </row>
    <row r="592" ht="15.75" customHeight="1">
      <c r="A592" s="9" t="s">
        <v>9</v>
      </c>
      <c r="B592" s="12" t="str">
        <f t="array" ref="B592">XLOOKUP(C592, Channel_Listings!C:C, Channel_Listings!B:B)
</f>
        <v>Garden_Planters</v>
      </c>
      <c r="C592" s="22" t="s">
        <v>963</v>
      </c>
      <c r="D592" s="14" t="str">
        <f t="array" ref="D592">XLOOKUP(C592, Channel_Listings!C:C, Channel_Listings!D:D)
</f>
        <v>PLANTER-COLOUR-HOOK-RAJ6-PK4</v>
      </c>
      <c r="E592" s="15"/>
      <c r="F592" s="16">
        <f t="array" ref="F592">IFERROR(
  VALUE( INDEX(Product_Master!$I:$I,
               MATCH( INDEX(Pack_Master!$B:$B, MATCH($D592, Pack_Master!$A:$A, 0)),
                      Product_Master!$B:$B, 0)
  )) 
  * VALUE( INDEX(Pack_Master!$C:$C, MATCH($D592, Pack_Master!$A:$A, 0)) )
  + VALUE( INDEX(Pack_Master!$D:$D, MATCH($D592, Pack_Master!$A:$A, 0)) ),
"")
</f>
        <v>83.92</v>
      </c>
      <c r="G592" s="17">
        <f t="array" ref="G592">IFERROR(
 ( INDEX(Pack_Master!E:E, MATCH($D592, Pack_Master!A:A, 0))
   * INDEX(Pack_Master!F:F, MATCH($D592, Pack_Master!A:A, 0))
   * INDEX(Pack_Master!G:G, MATCH($D592, Pack_Master!A:A, 0))
 ) / INDEX(Config!C:C, MATCH($A592, Config!A:A, 0)),
"")
</f>
        <v>0</v>
      </c>
      <c r="H592" s="17">
        <f t="array" ref="H592">MAX( INDEX(Pack_Master!H:H, MATCH($D592, Pack_Master!A:A, 0)),
      IFERROR(G592, 0) )
</f>
        <v>0</v>
      </c>
      <c r="I592" s="18" t="str">
        <f>IFERROR(__xludf.DUMMYFUNCTION("IFERROR(
 INDEX(
   FILTER(Shipping_Rate_Card!B:F, Shipping_Rate_Card!A:A=$A592),
   MATCH($H592, FILTER(Shipping_Rate_Card!B:B, Shipping_Rate_Card!A:A=$A592), 1),
   IF( INDEX(Config!B:B, MATCH($A592, Config!A:A, 0))=""Local"", 2,
     IF( INDEX(Config!B"&amp;":B, MATCH($A592, Config!A:A, 0))=""Regional"", 3, 4 )
   )
 ),
"""")
"),"")</f>
        <v/>
      </c>
      <c r="J592" s="16">
        <f>IFERROR(__xludf.DUMMYFUNCTION("IFERROR(
 ( E592 * INDEX(FILTER(Pricing_Rules!E:E, Pricing_Rules!A:A=A592, Pricing_Rules!B:B=B592, Pricing_Rules!C:C&lt;=E592, Pricing_Rules!D:D&gt;=E592), 1)
   + INDEX(FILTER(Pricing_Rules!F:F, Pricing_Rules!A:A=A592, Pricing_Rules!B:B=B592, Pricing_Rules!C:C"&amp;"&lt;=E592, Pricing_Rules!D:D&gt;=E592), 1)
 )
 * (1 + IFERROR( INDEX(Config!D:D, MATCH(A592, Config!A:A, 0)), 0 )),
"""")
"),5.8999999999999995)</f>
        <v>5.9</v>
      </c>
      <c r="K592" s="19">
        <f t="shared" si="3"/>
        <v>-89.82</v>
      </c>
      <c r="L592" s="20" t="str">
        <f t="shared" si="4"/>
        <v/>
      </c>
    </row>
    <row r="593" ht="15.75" customHeight="1">
      <c r="A593" s="9" t="s">
        <v>9</v>
      </c>
      <c r="B593" s="12" t="str">
        <f t="array" ref="B593">XLOOKUP(C593, Channel_Listings!C:C, Channel_Listings!B:B)
</f>
        <v>Garden_Planters</v>
      </c>
      <c r="C593" s="22" t="s">
        <v>964</v>
      </c>
      <c r="D593" s="14" t="str">
        <f t="array" ref="D593">XLOOKUP(C593, Channel_Listings!C:C, Channel_Listings!D:D)
</f>
        <v>PLANTER-COLOUR-HOOK-RAJ6-PK6</v>
      </c>
      <c r="E593" s="15"/>
      <c r="F593" s="16">
        <f t="array" ref="F593">IFERROR(
  VALUE( INDEX(Product_Master!$I:$I,
               MATCH( INDEX(Pack_Master!$B:$B, MATCH($D593, Pack_Master!$A:$A, 0)),
                      Product_Master!$B:$B, 0)
  )) 
  * VALUE( INDEX(Pack_Master!$C:$C, MATCH($D593, Pack_Master!$A:$A, 0)) )
  + VALUE( INDEX(Pack_Master!$D:$D, MATCH($D593, Pack_Master!$A:$A, 0)) ),
"")
</f>
        <v>115.88</v>
      </c>
      <c r="G593" s="17">
        <f t="array" ref="G593">IFERROR(
 ( INDEX(Pack_Master!E:E, MATCH($D593, Pack_Master!A:A, 0))
   * INDEX(Pack_Master!F:F, MATCH($D593, Pack_Master!A:A, 0))
   * INDEX(Pack_Master!G:G, MATCH($D593, Pack_Master!A:A, 0))
 ) / INDEX(Config!C:C, MATCH($A593, Config!A:A, 0)),
"")
</f>
        <v>0</v>
      </c>
      <c r="H593" s="17">
        <f t="array" ref="H593">MAX( INDEX(Pack_Master!H:H, MATCH($D593, Pack_Master!A:A, 0)),
      IFERROR(G593, 0) )
</f>
        <v>0</v>
      </c>
      <c r="I593" s="18" t="str">
        <f>IFERROR(__xludf.DUMMYFUNCTION("IFERROR(
 INDEX(
   FILTER(Shipping_Rate_Card!B:F, Shipping_Rate_Card!A:A=$A593),
   MATCH($H593, FILTER(Shipping_Rate_Card!B:B, Shipping_Rate_Card!A:A=$A593), 1),
   IF( INDEX(Config!B:B, MATCH($A593, Config!A:A, 0))=""Local"", 2,
     IF( INDEX(Config!B"&amp;":B, MATCH($A593, Config!A:A, 0))=""Regional"", 3, 4 )
   )
 ),
"""")
"),"")</f>
        <v/>
      </c>
      <c r="J593" s="16">
        <f>IFERROR(__xludf.DUMMYFUNCTION("IFERROR(
 ( E593 * INDEX(FILTER(Pricing_Rules!E:E, Pricing_Rules!A:A=A593, Pricing_Rules!B:B=B593, Pricing_Rules!C:C&lt;=E593, Pricing_Rules!D:D&gt;=E593), 1)
   + INDEX(FILTER(Pricing_Rules!F:F, Pricing_Rules!A:A=A593, Pricing_Rules!B:B=B593, Pricing_Rules!C:C"&amp;"&lt;=E593, Pricing_Rules!D:D&gt;=E593), 1)
 )
 * (1 + IFERROR( INDEX(Config!D:D, MATCH(A593, Config!A:A, 0)), 0 )),
"""")
"),5.8999999999999995)</f>
        <v>5.9</v>
      </c>
      <c r="K593" s="19">
        <f t="shared" si="3"/>
        <v>-121.78</v>
      </c>
      <c r="L593" s="20" t="str">
        <f t="shared" si="4"/>
        <v/>
      </c>
    </row>
    <row r="594" ht="15.75" customHeight="1">
      <c r="A594" s="9" t="s">
        <v>9</v>
      </c>
      <c r="B594" s="12" t="str">
        <f t="array" ref="B594">XLOOKUP(C594, Channel_Listings!C:C, Channel_Listings!B:B)
</f>
        <v>Garden_Planters</v>
      </c>
      <c r="C594" s="22" t="s">
        <v>966</v>
      </c>
      <c r="D594" s="14" t="str">
        <f t="array" ref="D594">XLOOKUP(C594, Channel_Listings!C:C, Channel_Listings!D:D)
</f>
        <v>PLANTER-COLOUR-HOOK-RAJ7-PK2</v>
      </c>
      <c r="E594" s="15"/>
      <c r="F594" s="16">
        <f t="array" ref="F594">IFERROR(
  VALUE( INDEX(Product_Master!$I:$I,
               MATCH( INDEX(Pack_Master!$B:$B, MATCH($D594, Pack_Master!$A:$A, 0)),
                      Product_Master!$B:$B, 0)
  )) 
  * VALUE( INDEX(Pack_Master!$C:$C, MATCH($D594, Pack_Master!$A:$A, 0)) )
  + VALUE( INDEX(Pack_Master!$D:$D, MATCH($D594, Pack_Master!$A:$A, 0)) ),
"")
</f>
        <v>68.48</v>
      </c>
      <c r="G594" s="17">
        <f t="array" ref="G594">IFERROR(
 ( INDEX(Pack_Master!E:E, MATCH($D594, Pack_Master!A:A, 0))
   * INDEX(Pack_Master!F:F, MATCH($D594, Pack_Master!A:A, 0))
   * INDEX(Pack_Master!G:G, MATCH($D594, Pack_Master!A:A, 0))
 ) / INDEX(Config!C:C, MATCH($A594, Config!A:A, 0)),
"")
</f>
        <v>0</v>
      </c>
      <c r="H594" s="17">
        <f t="array" ref="H594">MAX( INDEX(Pack_Master!H:H, MATCH($D594, Pack_Master!A:A, 0)),
      IFERROR(G594, 0) )
</f>
        <v>0</v>
      </c>
      <c r="I594" s="18" t="str">
        <f>IFERROR(__xludf.DUMMYFUNCTION("IFERROR(
 INDEX(
   FILTER(Shipping_Rate_Card!B:F, Shipping_Rate_Card!A:A=$A594),
   MATCH($H594, FILTER(Shipping_Rate_Card!B:B, Shipping_Rate_Card!A:A=$A594), 1),
   IF( INDEX(Config!B:B, MATCH($A594, Config!A:A, 0))=""Local"", 2,
     IF( INDEX(Config!B"&amp;":B, MATCH($A594, Config!A:A, 0))=""Regional"", 3, 4 )
   )
 ),
"""")
"),"")</f>
        <v/>
      </c>
      <c r="J594" s="16">
        <f>IFERROR(__xludf.DUMMYFUNCTION("IFERROR(
 ( E594 * INDEX(FILTER(Pricing_Rules!E:E, Pricing_Rules!A:A=A594, Pricing_Rules!B:B=B594, Pricing_Rules!C:C&lt;=E594, Pricing_Rules!D:D&gt;=E594), 1)
   + INDEX(FILTER(Pricing_Rules!F:F, Pricing_Rules!A:A=A594, Pricing_Rules!B:B=B594, Pricing_Rules!C:C"&amp;"&lt;=E594, Pricing_Rules!D:D&gt;=E594), 1)
 )
 * (1 + IFERROR( INDEX(Config!D:D, MATCH(A594, Config!A:A, 0)), 0 )),
"""")
"),5.8999999999999995)</f>
        <v>5.9</v>
      </c>
      <c r="K594" s="19">
        <f t="shared" si="3"/>
        <v>-74.38</v>
      </c>
      <c r="L594" s="20" t="str">
        <f t="shared" si="4"/>
        <v/>
      </c>
    </row>
    <row r="595" ht="15.75" customHeight="1">
      <c r="A595" s="9" t="s">
        <v>9</v>
      </c>
      <c r="B595" s="12" t="str">
        <f t="array" ref="B595">XLOOKUP(C595, Channel_Listings!C:C, Channel_Listings!B:B)
</f>
        <v>Garden_Planters</v>
      </c>
      <c r="C595" s="22" t="s">
        <v>967</v>
      </c>
      <c r="D595" s="14" t="str">
        <f t="array" ref="D595">XLOOKUP(C595, Channel_Listings!C:C, Channel_Listings!D:D)
</f>
        <v>PLANTER-COLOUR-HOOK-RAJ7-PK4</v>
      </c>
      <c r="E595" s="15"/>
      <c r="F595" s="16">
        <f t="array" ref="F595">IFERROR(
  VALUE( INDEX(Product_Master!$I:$I,
               MATCH( INDEX(Pack_Master!$B:$B, MATCH($D595, Pack_Master!$A:$A, 0)),
                      Product_Master!$B:$B, 0)
  )) 
  * VALUE( INDEX(Pack_Master!$C:$C, MATCH($D595, Pack_Master!$A:$A, 0)) )
  + VALUE( INDEX(Pack_Master!$D:$D, MATCH($D595, Pack_Master!$A:$A, 0)) ),
"")
</f>
        <v>116.96</v>
      </c>
      <c r="G595" s="17">
        <f t="array" ref="G595">IFERROR(
 ( INDEX(Pack_Master!E:E, MATCH($D595, Pack_Master!A:A, 0))
   * INDEX(Pack_Master!F:F, MATCH($D595, Pack_Master!A:A, 0))
   * INDEX(Pack_Master!G:G, MATCH($D595, Pack_Master!A:A, 0))
 ) / INDEX(Config!C:C, MATCH($A595, Config!A:A, 0)),
"")
</f>
        <v>0</v>
      </c>
      <c r="H595" s="17">
        <f t="array" ref="H595">MAX( INDEX(Pack_Master!H:H, MATCH($D595, Pack_Master!A:A, 0)),
      IFERROR(G595, 0) )
</f>
        <v>0</v>
      </c>
      <c r="I595" s="18" t="str">
        <f>IFERROR(__xludf.DUMMYFUNCTION("IFERROR(
 INDEX(
   FILTER(Shipping_Rate_Card!B:F, Shipping_Rate_Card!A:A=$A595),
   MATCH($H595, FILTER(Shipping_Rate_Card!B:B, Shipping_Rate_Card!A:A=$A595), 1),
   IF( INDEX(Config!B:B, MATCH($A595, Config!A:A, 0))=""Local"", 2,
     IF( INDEX(Config!B"&amp;":B, MATCH($A595, Config!A:A, 0))=""Regional"", 3, 4 )
   )
 ),
"""")
"),"")</f>
        <v/>
      </c>
      <c r="J595" s="16">
        <f>IFERROR(__xludf.DUMMYFUNCTION("IFERROR(
 ( E595 * INDEX(FILTER(Pricing_Rules!E:E, Pricing_Rules!A:A=A595, Pricing_Rules!B:B=B595, Pricing_Rules!C:C&lt;=E595, Pricing_Rules!D:D&gt;=E595), 1)
   + INDEX(FILTER(Pricing_Rules!F:F, Pricing_Rules!A:A=A595, Pricing_Rules!B:B=B595, Pricing_Rules!C:C"&amp;"&lt;=E595, Pricing_Rules!D:D&gt;=E595), 1)
 )
 * (1 + IFERROR( INDEX(Config!D:D, MATCH(A595, Config!A:A, 0)), 0 )),
"""")
"),5.8999999999999995)</f>
        <v>5.9</v>
      </c>
      <c r="K595" s="19">
        <f t="shared" si="3"/>
        <v>-122.86</v>
      </c>
      <c r="L595" s="20" t="str">
        <f t="shared" si="4"/>
        <v/>
      </c>
    </row>
    <row r="596" ht="15.75" customHeight="1">
      <c r="A596" s="9" t="s">
        <v>9</v>
      </c>
      <c r="B596" s="12" t="str">
        <f t="array" ref="B596">XLOOKUP(C596, Channel_Listings!C:C, Channel_Listings!B:B)
</f>
        <v>Garden_Planters</v>
      </c>
      <c r="C596" s="22" t="s">
        <v>968</v>
      </c>
      <c r="D596" s="14" t="str">
        <f t="array" ref="D596">XLOOKUP(C596, Channel_Listings!C:C, Channel_Listings!D:D)
</f>
        <v>PLANTER-COLOUR-HOOK-RAJ7-PK6</v>
      </c>
      <c r="E596" s="15"/>
      <c r="F596" s="16">
        <f t="array" ref="F596">IFERROR(
  VALUE( INDEX(Product_Master!$I:$I,
               MATCH( INDEX(Pack_Master!$B:$B, MATCH($D596, Pack_Master!$A:$A, 0)),
                      Product_Master!$B:$B, 0)
  )) 
  * VALUE( INDEX(Pack_Master!$C:$C, MATCH($D596, Pack_Master!$A:$A, 0)) )
  + VALUE( INDEX(Pack_Master!$D:$D, MATCH($D596, Pack_Master!$A:$A, 0)) ),
"")
</f>
        <v>165.44</v>
      </c>
      <c r="G596" s="17">
        <f t="array" ref="G596">IFERROR(
 ( INDEX(Pack_Master!E:E, MATCH($D596, Pack_Master!A:A, 0))
   * INDEX(Pack_Master!F:F, MATCH($D596, Pack_Master!A:A, 0))
   * INDEX(Pack_Master!G:G, MATCH($D596, Pack_Master!A:A, 0))
 ) / INDEX(Config!C:C, MATCH($A596, Config!A:A, 0)),
"")
</f>
        <v>0</v>
      </c>
      <c r="H596" s="17">
        <f t="array" ref="H596">MAX( INDEX(Pack_Master!H:H, MATCH($D596, Pack_Master!A:A, 0)),
      IFERROR(G596, 0) )
</f>
        <v>0</v>
      </c>
      <c r="I596" s="18" t="str">
        <f>IFERROR(__xludf.DUMMYFUNCTION("IFERROR(
 INDEX(
   FILTER(Shipping_Rate_Card!B:F, Shipping_Rate_Card!A:A=$A596),
   MATCH($H596, FILTER(Shipping_Rate_Card!B:B, Shipping_Rate_Card!A:A=$A596), 1),
   IF( INDEX(Config!B:B, MATCH($A596, Config!A:A, 0))=""Local"", 2,
     IF( INDEX(Config!B"&amp;":B, MATCH($A596, Config!A:A, 0))=""Regional"", 3, 4 )
   )
 ),
"""")
"),"")</f>
        <v/>
      </c>
      <c r="J596" s="16">
        <f>IFERROR(__xludf.DUMMYFUNCTION("IFERROR(
 ( E596 * INDEX(FILTER(Pricing_Rules!E:E, Pricing_Rules!A:A=A596, Pricing_Rules!B:B=B596, Pricing_Rules!C:C&lt;=E596, Pricing_Rules!D:D&gt;=E596), 1)
   + INDEX(FILTER(Pricing_Rules!F:F, Pricing_Rules!A:A=A596, Pricing_Rules!B:B=B596, Pricing_Rules!C:C"&amp;"&lt;=E596, Pricing_Rules!D:D&gt;=E596), 1)
 )
 * (1 + IFERROR( INDEX(Config!D:D, MATCH(A596, Config!A:A, 0)), 0 )),
"""")
"),5.8999999999999995)</f>
        <v>5.9</v>
      </c>
      <c r="K596" s="19">
        <f t="shared" si="3"/>
        <v>-171.34</v>
      </c>
      <c r="L596" s="20" t="str">
        <f t="shared" si="4"/>
        <v/>
      </c>
    </row>
    <row r="597" ht="15.75" customHeight="1">
      <c r="A597" s="9" t="s">
        <v>9</v>
      </c>
      <c r="B597" s="12" t="str">
        <f t="array" ref="B597">XLOOKUP(C597, Channel_Listings!C:C, Channel_Listings!B:B)
</f>
        <v>Garden_Planters</v>
      </c>
      <c r="C597" s="22" t="s">
        <v>970</v>
      </c>
      <c r="D597" s="14" t="str">
        <f t="array" ref="D597">XLOOKUP(C597, Channel_Listings!C:C, Channel_Listings!D:D)
</f>
        <v>PLANTER-COLOUR-HOOK-RAJ9-PK2</v>
      </c>
      <c r="E597" s="15"/>
      <c r="F597" s="16">
        <f t="array" ref="F597">IFERROR(
  VALUE( INDEX(Product_Master!$I:$I,
               MATCH( INDEX(Pack_Master!$B:$B, MATCH($D597, Pack_Master!$A:$A, 0)),
                      Product_Master!$B:$B, 0)
  )) 
  * VALUE( INDEX(Pack_Master!$C:$C, MATCH($D597, Pack_Master!$A:$A, 0)) )
  + VALUE( INDEX(Pack_Master!$D:$D, MATCH($D597, Pack_Master!$A:$A, 0)) ),
"")
</f>
        <v>110.96</v>
      </c>
      <c r="G597" s="17">
        <f t="array" ref="G597">IFERROR(
 ( INDEX(Pack_Master!E:E, MATCH($D597, Pack_Master!A:A, 0))
   * INDEX(Pack_Master!F:F, MATCH($D597, Pack_Master!A:A, 0))
   * INDEX(Pack_Master!G:G, MATCH($D597, Pack_Master!A:A, 0))
 ) / INDEX(Config!C:C, MATCH($A597, Config!A:A, 0)),
"")
</f>
        <v>0</v>
      </c>
      <c r="H597" s="17">
        <f t="array" ref="H597">MAX( INDEX(Pack_Master!H:H, MATCH($D597, Pack_Master!A:A, 0)),
      IFERROR(G597, 0) )
</f>
        <v>0</v>
      </c>
      <c r="I597" s="18" t="str">
        <f>IFERROR(__xludf.DUMMYFUNCTION("IFERROR(
 INDEX(
   FILTER(Shipping_Rate_Card!B:F, Shipping_Rate_Card!A:A=$A597),
   MATCH($H597, FILTER(Shipping_Rate_Card!B:B, Shipping_Rate_Card!A:A=$A597), 1),
   IF( INDEX(Config!B:B, MATCH($A597, Config!A:A, 0))=""Local"", 2,
     IF( INDEX(Config!B"&amp;":B, MATCH($A597, Config!A:A, 0))=""Regional"", 3, 4 )
   )
 ),
"""")
"),"")</f>
        <v/>
      </c>
      <c r="J597" s="16">
        <f>IFERROR(__xludf.DUMMYFUNCTION("IFERROR(
 ( E597 * INDEX(FILTER(Pricing_Rules!E:E, Pricing_Rules!A:A=A597, Pricing_Rules!B:B=B597, Pricing_Rules!C:C&lt;=E597, Pricing_Rules!D:D&gt;=E597), 1)
   + INDEX(FILTER(Pricing_Rules!F:F, Pricing_Rules!A:A=A597, Pricing_Rules!B:B=B597, Pricing_Rules!C:C"&amp;"&lt;=E597, Pricing_Rules!D:D&gt;=E597), 1)
 )
 * (1 + IFERROR( INDEX(Config!D:D, MATCH(A597, Config!A:A, 0)), 0 )),
"""")
"),5.8999999999999995)</f>
        <v>5.9</v>
      </c>
      <c r="K597" s="19">
        <f t="shared" si="3"/>
        <v>-116.86</v>
      </c>
      <c r="L597" s="20" t="str">
        <f t="shared" si="4"/>
        <v/>
      </c>
    </row>
    <row r="598" ht="15.75" customHeight="1">
      <c r="A598" s="9" t="s">
        <v>9</v>
      </c>
      <c r="B598" s="12" t="str">
        <f t="array" ref="B598">XLOOKUP(C598, Channel_Listings!C:C, Channel_Listings!B:B)
</f>
        <v>Garden_Planters</v>
      </c>
      <c r="C598" s="22" t="s">
        <v>971</v>
      </c>
      <c r="D598" s="14" t="str">
        <f t="array" ref="D598">XLOOKUP(C598, Channel_Listings!C:C, Channel_Listings!D:D)
</f>
        <v>PLANTER-COLOUR-HOOK-RAJ9-PK4</v>
      </c>
      <c r="E598" s="15"/>
      <c r="F598" s="16">
        <f t="array" ref="F598">IFERROR(
  VALUE( INDEX(Product_Master!$I:$I,
               MATCH( INDEX(Pack_Master!$B:$B, MATCH($D598, Pack_Master!$A:$A, 0)),
                      Product_Master!$B:$B, 0)
  )) 
  * VALUE( INDEX(Pack_Master!$C:$C, MATCH($D598, Pack_Master!$A:$A, 0)) )
  + VALUE( INDEX(Pack_Master!$D:$D, MATCH($D598, Pack_Master!$A:$A, 0)) ),
"")
</f>
        <v>201.92</v>
      </c>
      <c r="G598" s="17">
        <f t="array" ref="G598">IFERROR(
 ( INDEX(Pack_Master!E:E, MATCH($D598, Pack_Master!A:A, 0))
   * INDEX(Pack_Master!F:F, MATCH($D598, Pack_Master!A:A, 0))
   * INDEX(Pack_Master!G:G, MATCH($D598, Pack_Master!A:A, 0))
 ) / INDEX(Config!C:C, MATCH($A598, Config!A:A, 0)),
"")
</f>
        <v>0</v>
      </c>
      <c r="H598" s="17">
        <f t="array" ref="H598">MAX( INDEX(Pack_Master!H:H, MATCH($D598, Pack_Master!A:A, 0)),
      IFERROR(G598, 0) )
</f>
        <v>0</v>
      </c>
      <c r="I598" s="18" t="str">
        <f>IFERROR(__xludf.DUMMYFUNCTION("IFERROR(
 INDEX(
   FILTER(Shipping_Rate_Card!B:F, Shipping_Rate_Card!A:A=$A598),
   MATCH($H598, FILTER(Shipping_Rate_Card!B:B, Shipping_Rate_Card!A:A=$A598), 1),
   IF( INDEX(Config!B:B, MATCH($A598, Config!A:A, 0))=""Local"", 2,
     IF( INDEX(Config!B"&amp;":B, MATCH($A598, Config!A:A, 0))=""Regional"", 3, 4 )
   )
 ),
"""")
"),"")</f>
        <v/>
      </c>
      <c r="J598" s="16">
        <f>IFERROR(__xludf.DUMMYFUNCTION("IFERROR(
 ( E598 * INDEX(FILTER(Pricing_Rules!E:E, Pricing_Rules!A:A=A598, Pricing_Rules!B:B=B598, Pricing_Rules!C:C&lt;=E598, Pricing_Rules!D:D&gt;=E598), 1)
   + INDEX(FILTER(Pricing_Rules!F:F, Pricing_Rules!A:A=A598, Pricing_Rules!B:B=B598, Pricing_Rules!C:C"&amp;"&lt;=E598, Pricing_Rules!D:D&gt;=E598), 1)
 )
 * (1 + IFERROR( INDEX(Config!D:D, MATCH(A598, Config!A:A, 0)), 0 )),
"""")
"),5.8999999999999995)</f>
        <v>5.9</v>
      </c>
      <c r="K598" s="19">
        <f t="shared" si="3"/>
        <v>-207.82</v>
      </c>
      <c r="L598" s="20" t="str">
        <f t="shared" si="4"/>
        <v/>
      </c>
    </row>
    <row r="599" ht="15.75" customHeight="1">
      <c r="A599" s="9" t="s">
        <v>9</v>
      </c>
      <c r="B599" s="12" t="str">
        <f t="array" ref="B599">XLOOKUP(C599, Channel_Listings!C:C, Channel_Listings!B:B)
</f>
        <v>Garden_Planters</v>
      </c>
      <c r="C599" s="22" t="s">
        <v>972</v>
      </c>
      <c r="D599" s="14" t="str">
        <f t="array" ref="D599">XLOOKUP(C599, Channel_Listings!C:C, Channel_Listings!D:D)
</f>
        <v>PLANTER-COLOUR-HOOK-RAJ9-PK6</v>
      </c>
      <c r="E599" s="15"/>
      <c r="F599" s="16">
        <f t="array" ref="F599">IFERROR(
  VALUE( INDEX(Product_Master!$I:$I,
               MATCH( INDEX(Pack_Master!$B:$B, MATCH($D599, Pack_Master!$A:$A, 0)),
                      Product_Master!$B:$B, 0)
  )) 
  * VALUE( INDEX(Pack_Master!$C:$C, MATCH($D599, Pack_Master!$A:$A, 0)) )
  + VALUE( INDEX(Pack_Master!$D:$D, MATCH($D599, Pack_Master!$A:$A, 0)) ),
"")
</f>
        <v>292.88</v>
      </c>
      <c r="G599" s="17">
        <f t="array" ref="G599">IFERROR(
 ( INDEX(Pack_Master!E:E, MATCH($D599, Pack_Master!A:A, 0))
   * INDEX(Pack_Master!F:F, MATCH($D599, Pack_Master!A:A, 0))
   * INDEX(Pack_Master!G:G, MATCH($D599, Pack_Master!A:A, 0))
 ) / INDEX(Config!C:C, MATCH($A599, Config!A:A, 0)),
"")
</f>
        <v>0</v>
      </c>
      <c r="H599" s="17">
        <f t="array" ref="H599">MAX( INDEX(Pack_Master!H:H, MATCH($D599, Pack_Master!A:A, 0)),
      IFERROR(G599, 0) )
</f>
        <v>0</v>
      </c>
      <c r="I599" s="18" t="str">
        <f>IFERROR(__xludf.DUMMYFUNCTION("IFERROR(
 INDEX(
   FILTER(Shipping_Rate_Card!B:F, Shipping_Rate_Card!A:A=$A599),
   MATCH($H599, FILTER(Shipping_Rate_Card!B:B, Shipping_Rate_Card!A:A=$A599), 1),
   IF( INDEX(Config!B:B, MATCH($A599, Config!A:A, 0))=""Local"", 2,
     IF( INDEX(Config!B"&amp;":B, MATCH($A599, Config!A:A, 0))=""Regional"", 3, 4 )
   )
 ),
"""")
"),"")</f>
        <v/>
      </c>
      <c r="J599" s="16">
        <f>IFERROR(__xludf.DUMMYFUNCTION("IFERROR(
 ( E599 * INDEX(FILTER(Pricing_Rules!E:E, Pricing_Rules!A:A=A599, Pricing_Rules!B:B=B599, Pricing_Rules!C:C&lt;=E599, Pricing_Rules!D:D&gt;=E599), 1)
   + INDEX(FILTER(Pricing_Rules!F:F, Pricing_Rules!A:A=A599, Pricing_Rules!B:B=B599, Pricing_Rules!C:C"&amp;"&lt;=E599, Pricing_Rules!D:D&gt;=E599), 1)
 )
 * (1 + IFERROR( INDEX(Config!D:D, MATCH(A599, Config!A:A, 0)), 0 )),
"""")
"),5.8999999999999995)</f>
        <v>5.9</v>
      </c>
      <c r="K599" s="19">
        <f t="shared" si="3"/>
        <v>-298.78</v>
      </c>
      <c r="L599" s="20" t="str">
        <f t="shared" si="4"/>
        <v/>
      </c>
    </row>
    <row r="600" ht="15.75" customHeight="1">
      <c r="A600" s="9" t="s">
        <v>9</v>
      </c>
      <c r="B600" s="12" t="str">
        <f t="array" ref="B600">XLOOKUP(C600, Channel_Listings!C:C, Channel_Listings!B:B)
</f>
        <v>Garden_Planters</v>
      </c>
      <c r="C600" s="22" t="s">
        <v>974</v>
      </c>
      <c r="D600" s="14" t="str">
        <f t="array" ref="D600">XLOOKUP(C600, Channel_Listings!C:C, Channel_Listings!D:D)
</f>
        <v>PLANTER-MULTICOLOUR-DOUBLEHOOK11-PK3</v>
      </c>
      <c r="E600" s="15"/>
      <c r="F600" s="16">
        <f t="array" ref="F600">IFERROR(
  VALUE( INDEX(Product_Master!$I:$I,
               MATCH( INDEX(Pack_Master!$B:$B, MATCH($D600, Pack_Master!$A:$A, 0)),
                      Product_Master!$B:$B, 0)
  )) 
  * VALUE( INDEX(Pack_Master!$C:$C, MATCH($D600, Pack_Master!$A:$A, 0)) )
  + VALUE( INDEX(Pack_Master!$D:$D, MATCH($D600, Pack_Master!$A:$A, 0)) ),
"")
</f>
        <v>157.68</v>
      </c>
      <c r="G600" s="17">
        <f t="array" ref="G600">IFERROR(
 ( INDEX(Pack_Master!E:E, MATCH($D600, Pack_Master!A:A, 0))
   * INDEX(Pack_Master!F:F, MATCH($D600, Pack_Master!A:A, 0))
   * INDEX(Pack_Master!G:G, MATCH($D600, Pack_Master!A:A, 0))
 ) / INDEX(Config!C:C, MATCH($A600, Config!A:A, 0)),
"")
</f>
        <v>0</v>
      </c>
      <c r="H600" s="17">
        <f t="array" ref="H600">MAX( INDEX(Pack_Master!H:H, MATCH($D600, Pack_Master!A:A, 0)),
      IFERROR(G600, 0) )
</f>
        <v>0</v>
      </c>
      <c r="I600" s="18" t="str">
        <f>IFERROR(__xludf.DUMMYFUNCTION("IFERROR(
 INDEX(
   FILTER(Shipping_Rate_Card!B:F, Shipping_Rate_Card!A:A=$A600),
   MATCH($H600, FILTER(Shipping_Rate_Card!B:B, Shipping_Rate_Card!A:A=$A600), 1),
   IF( INDEX(Config!B:B, MATCH($A600, Config!A:A, 0))=""Local"", 2,
     IF( INDEX(Config!B"&amp;":B, MATCH($A600, Config!A:A, 0))=""Regional"", 3, 4 )
   )
 ),
"""")
"),"")</f>
        <v/>
      </c>
      <c r="J600" s="16">
        <f>IFERROR(__xludf.DUMMYFUNCTION("IFERROR(
 ( E600 * INDEX(FILTER(Pricing_Rules!E:E, Pricing_Rules!A:A=A600, Pricing_Rules!B:B=B600, Pricing_Rules!C:C&lt;=E600, Pricing_Rules!D:D&gt;=E600), 1)
   + INDEX(FILTER(Pricing_Rules!F:F, Pricing_Rules!A:A=A600, Pricing_Rules!B:B=B600, Pricing_Rules!C:C"&amp;"&lt;=E600, Pricing_Rules!D:D&gt;=E600), 1)
 )
 * (1 + IFERROR( INDEX(Config!D:D, MATCH(A600, Config!A:A, 0)), 0 )),
"""")
"),5.8999999999999995)</f>
        <v>5.9</v>
      </c>
      <c r="K600" s="19">
        <f t="shared" si="3"/>
        <v>-163.58</v>
      </c>
      <c r="L600" s="20" t="str">
        <f t="shared" si="4"/>
        <v/>
      </c>
    </row>
    <row r="601" ht="15.75" customHeight="1">
      <c r="A601" s="9" t="s">
        <v>9</v>
      </c>
      <c r="B601" s="12" t="str">
        <f t="array" ref="B601">XLOOKUP(C601, Channel_Listings!C:C, Channel_Listings!B:B)
</f>
        <v>Garden_Planters</v>
      </c>
      <c r="C601" s="22" t="s">
        <v>976</v>
      </c>
      <c r="D601" s="14" t="str">
        <f t="array" ref="D601">XLOOKUP(C601, Channel_Listings!C:C, Channel_Listings!D:D)
</f>
        <v>PLANTER-MULTICOLOUR-DOUBLEHOOK11-PK6</v>
      </c>
      <c r="E601" s="15"/>
      <c r="F601" s="16">
        <f t="array" ref="F601">IFERROR(
  VALUE( INDEX(Product_Master!$I:$I,
               MATCH( INDEX(Pack_Master!$B:$B, MATCH($D601, Pack_Master!$A:$A, 0)),
                      Product_Master!$B:$B, 0)
  )) 
  * VALUE( INDEX(Pack_Master!$C:$C, MATCH($D601, Pack_Master!$A:$A, 0)) )
  + VALUE( INDEX(Pack_Master!$D:$D, MATCH($D601, Pack_Master!$A:$A, 0)) ),
"")
</f>
        <v>315.36</v>
      </c>
      <c r="G601" s="17">
        <f t="array" ref="G601">IFERROR(
 ( INDEX(Pack_Master!E:E, MATCH($D601, Pack_Master!A:A, 0))
   * INDEX(Pack_Master!F:F, MATCH($D601, Pack_Master!A:A, 0))
   * INDEX(Pack_Master!G:G, MATCH($D601, Pack_Master!A:A, 0))
 ) / INDEX(Config!C:C, MATCH($A601, Config!A:A, 0)),
"")
</f>
        <v>0</v>
      </c>
      <c r="H601" s="17">
        <f t="array" ref="H601">MAX( INDEX(Pack_Master!H:H, MATCH($D601, Pack_Master!A:A, 0)),
      IFERROR(G601, 0) )
</f>
        <v>0</v>
      </c>
      <c r="I601" s="18" t="str">
        <f>IFERROR(__xludf.DUMMYFUNCTION("IFERROR(
 INDEX(
   FILTER(Shipping_Rate_Card!B:F, Shipping_Rate_Card!A:A=$A601),
   MATCH($H601, FILTER(Shipping_Rate_Card!B:B, Shipping_Rate_Card!A:A=$A601), 1),
   IF( INDEX(Config!B:B, MATCH($A601, Config!A:A, 0))=""Local"", 2,
     IF( INDEX(Config!B"&amp;":B, MATCH($A601, Config!A:A, 0))=""Regional"", 3, 4 )
   )
 ),
"""")
"),"")</f>
        <v/>
      </c>
      <c r="J601" s="16">
        <f>IFERROR(__xludf.DUMMYFUNCTION("IFERROR(
 ( E601 * INDEX(FILTER(Pricing_Rules!E:E, Pricing_Rules!A:A=A601, Pricing_Rules!B:B=B601, Pricing_Rules!C:C&lt;=E601, Pricing_Rules!D:D&gt;=E601), 1)
   + INDEX(FILTER(Pricing_Rules!F:F, Pricing_Rules!A:A=A601, Pricing_Rules!B:B=B601, Pricing_Rules!C:C"&amp;"&lt;=E601, Pricing_Rules!D:D&gt;=E601), 1)
 )
 * (1 + IFERROR( INDEX(Config!D:D, MATCH(A601, Config!A:A, 0)), 0 )),
"""")
"),5.8999999999999995)</f>
        <v>5.9</v>
      </c>
      <c r="K601" s="19">
        <f t="shared" si="3"/>
        <v>-321.26</v>
      </c>
      <c r="L601" s="20" t="str">
        <f t="shared" si="4"/>
        <v/>
      </c>
    </row>
    <row r="602" ht="15.75" customHeight="1">
      <c r="A602" s="9" t="s">
        <v>9</v>
      </c>
      <c r="B602" s="12" t="str">
        <f t="array" ref="B602">XLOOKUP(C602, Channel_Listings!C:C, Channel_Listings!B:B)
</f>
        <v>Garden_Planters</v>
      </c>
      <c r="C602" s="22" t="s">
        <v>978</v>
      </c>
      <c r="D602" s="14" t="str">
        <f t="array" ref="D602">XLOOKUP(C602, Channel_Listings!C:C, Channel_Listings!D:D)
</f>
        <v>PLANTER-MULTICOLOUR-DOUBLEHOOK9-PK3</v>
      </c>
      <c r="E602" s="15"/>
      <c r="F602" s="16">
        <f t="array" ref="F602">IFERROR(
  VALUE( INDEX(Product_Master!$I:$I,
               MATCH( INDEX(Pack_Master!$B:$B, MATCH($D602, Pack_Master!$A:$A, 0)),
                      Product_Master!$B:$B, 0)
  )) 
  * VALUE( INDEX(Pack_Master!$C:$C, MATCH($D602, Pack_Master!$A:$A, 0)) )
  + VALUE( INDEX(Pack_Master!$D:$D, MATCH($D602, Pack_Master!$A:$A, 0)) ),
"")
</f>
        <v>90.42</v>
      </c>
      <c r="G602" s="17">
        <f t="array" ref="G602">IFERROR(
 ( INDEX(Pack_Master!E:E, MATCH($D602, Pack_Master!A:A, 0))
   * INDEX(Pack_Master!F:F, MATCH($D602, Pack_Master!A:A, 0))
   * INDEX(Pack_Master!G:G, MATCH($D602, Pack_Master!A:A, 0))
 ) / INDEX(Config!C:C, MATCH($A602, Config!A:A, 0)),
"")
</f>
        <v>0</v>
      </c>
      <c r="H602" s="17">
        <f t="array" ref="H602">MAX( INDEX(Pack_Master!H:H, MATCH($D602, Pack_Master!A:A, 0)),
      IFERROR(G602, 0) )
</f>
        <v>0</v>
      </c>
      <c r="I602" s="18" t="str">
        <f>IFERROR(__xludf.DUMMYFUNCTION("IFERROR(
 INDEX(
   FILTER(Shipping_Rate_Card!B:F, Shipping_Rate_Card!A:A=$A602),
   MATCH($H602, FILTER(Shipping_Rate_Card!B:B, Shipping_Rate_Card!A:A=$A602), 1),
   IF( INDEX(Config!B:B, MATCH($A602, Config!A:A, 0))=""Local"", 2,
     IF( INDEX(Config!B"&amp;":B, MATCH($A602, Config!A:A, 0))=""Regional"", 3, 4 )
   )
 ),
"""")
"),"")</f>
        <v/>
      </c>
      <c r="J602" s="16">
        <f>IFERROR(__xludf.DUMMYFUNCTION("IFERROR(
 ( E602 * INDEX(FILTER(Pricing_Rules!E:E, Pricing_Rules!A:A=A602, Pricing_Rules!B:B=B602, Pricing_Rules!C:C&lt;=E602, Pricing_Rules!D:D&gt;=E602), 1)
   + INDEX(FILTER(Pricing_Rules!F:F, Pricing_Rules!A:A=A602, Pricing_Rules!B:B=B602, Pricing_Rules!C:C"&amp;"&lt;=E602, Pricing_Rules!D:D&gt;=E602), 1)
 )
 * (1 + IFERROR( INDEX(Config!D:D, MATCH(A602, Config!A:A, 0)), 0 )),
"""")
"),5.8999999999999995)</f>
        <v>5.9</v>
      </c>
      <c r="K602" s="19">
        <f t="shared" si="3"/>
        <v>-96.32</v>
      </c>
      <c r="L602" s="20" t="str">
        <f t="shared" si="4"/>
        <v/>
      </c>
    </row>
    <row r="603" ht="15.75" customHeight="1">
      <c r="A603" s="9" t="s">
        <v>9</v>
      </c>
      <c r="B603" s="12" t="str">
        <f t="array" ref="B603">XLOOKUP(C603, Channel_Listings!C:C, Channel_Listings!B:B)
</f>
        <v>Garden_Planters</v>
      </c>
      <c r="C603" s="22" t="s">
        <v>980</v>
      </c>
      <c r="D603" s="14" t="str">
        <f t="array" ref="D603">XLOOKUP(C603, Channel_Listings!C:C, Channel_Listings!D:D)
</f>
        <v>PLANTER-MULTICOLOUR-DOUBLEHOOK9-PK6</v>
      </c>
      <c r="E603" s="15"/>
      <c r="F603" s="16">
        <f t="array" ref="F603">IFERROR(
  VALUE( INDEX(Product_Master!$I:$I,
               MATCH( INDEX(Pack_Master!$B:$B, MATCH($D603, Pack_Master!$A:$A, 0)),
                      Product_Master!$B:$B, 0)
  )) 
  * VALUE( INDEX(Pack_Master!$C:$C, MATCH($D603, Pack_Master!$A:$A, 0)) )
  + VALUE( INDEX(Pack_Master!$D:$D, MATCH($D603, Pack_Master!$A:$A, 0)) ),
"")
</f>
        <v>180.84</v>
      </c>
      <c r="G603" s="17">
        <f t="array" ref="G603">IFERROR(
 ( INDEX(Pack_Master!E:E, MATCH($D603, Pack_Master!A:A, 0))
   * INDEX(Pack_Master!F:F, MATCH($D603, Pack_Master!A:A, 0))
   * INDEX(Pack_Master!G:G, MATCH($D603, Pack_Master!A:A, 0))
 ) / INDEX(Config!C:C, MATCH($A603, Config!A:A, 0)),
"")
</f>
        <v>0</v>
      </c>
      <c r="H603" s="17">
        <f t="array" ref="H603">MAX( INDEX(Pack_Master!H:H, MATCH($D603, Pack_Master!A:A, 0)),
      IFERROR(G603, 0) )
</f>
        <v>0</v>
      </c>
      <c r="I603" s="18" t="str">
        <f>IFERROR(__xludf.DUMMYFUNCTION("IFERROR(
 INDEX(
   FILTER(Shipping_Rate_Card!B:F, Shipping_Rate_Card!A:A=$A603),
   MATCH($H603, FILTER(Shipping_Rate_Card!B:B, Shipping_Rate_Card!A:A=$A603), 1),
   IF( INDEX(Config!B:B, MATCH($A603, Config!A:A, 0))=""Local"", 2,
     IF( INDEX(Config!B"&amp;":B, MATCH($A603, Config!A:A, 0))=""Regional"", 3, 4 )
   )
 ),
"""")
"),"")</f>
        <v/>
      </c>
      <c r="J603" s="16">
        <f>IFERROR(__xludf.DUMMYFUNCTION("IFERROR(
 ( E603 * INDEX(FILTER(Pricing_Rules!E:E, Pricing_Rules!A:A=A603, Pricing_Rules!B:B=B603, Pricing_Rules!C:C&lt;=E603, Pricing_Rules!D:D&gt;=E603), 1)
   + INDEX(FILTER(Pricing_Rules!F:F, Pricing_Rules!A:A=A603, Pricing_Rules!B:B=B603, Pricing_Rules!C:C"&amp;"&lt;=E603, Pricing_Rules!D:D&gt;=E603), 1)
 )
 * (1 + IFERROR( INDEX(Config!D:D, MATCH(A603, Config!A:A, 0)), 0 )),
"""")
"),5.8999999999999995)</f>
        <v>5.9</v>
      </c>
      <c r="K603" s="19">
        <f t="shared" si="3"/>
        <v>-186.74</v>
      </c>
      <c r="L603" s="20" t="str">
        <f t="shared" si="4"/>
        <v/>
      </c>
    </row>
    <row r="604" ht="15.75" customHeight="1">
      <c r="A604" s="9" t="s">
        <v>9</v>
      </c>
      <c r="B604" s="12" t="str">
        <f t="array" ref="B604">XLOOKUP(C604, Channel_Listings!C:C, Channel_Listings!B:B)
</f>
        <v>Garden_Planters</v>
      </c>
      <c r="C604" s="22" t="s">
        <v>982</v>
      </c>
      <c r="D604" s="14" t="str">
        <f t="array" ref="D604">XLOOKUP(C604, Channel_Listings!C:C, Channel_Listings!D:D)
</f>
        <v>PLANTER-MULTICOLOUR-HANGINGPLANTER6-PK3</v>
      </c>
      <c r="E604" s="15"/>
      <c r="F604" s="16">
        <f t="array" ref="F604">IFERROR(
  VALUE( INDEX(Product_Master!$I:$I,
               MATCH( INDEX(Pack_Master!$B:$B, MATCH($D604, Pack_Master!$A:$A, 0)),
                      Product_Master!$B:$B, 0)
  )) 
  * VALUE( INDEX(Pack_Master!$C:$C, MATCH($D604, Pack_Master!$A:$A, 0)) )
  + VALUE( INDEX(Pack_Master!$D:$D, MATCH($D604, Pack_Master!$A:$A, 0)) ),
"")
</f>
        <v>9</v>
      </c>
      <c r="G604" s="17">
        <f t="array" ref="G604">IFERROR(
 ( INDEX(Pack_Master!E:E, MATCH($D604, Pack_Master!A:A, 0))
   * INDEX(Pack_Master!F:F, MATCH($D604, Pack_Master!A:A, 0))
   * INDEX(Pack_Master!G:G, MATCH($D604, Pack_Master!A:A, 0))
 ) / INDEX(Config!C:C, MATCH($A604, Config!A:A, 0)),
"")
</f>
        <v>0</v>
      </c>
      <c r="H604" s="17">
        <f t="array" ref="H604">MAX( INDEX(Pack_Master!H:H, MATCH($D604, Pack_Master!A:A, 0)),
      IFERROR(G604, 0) )
</f>
        <v>0</v>
      </c>
      <c r="I604" s="18" t="str">
        <f>IFERROR(__xludf.DUMMYFUNCTION("IFERROR(
 INDEX(
   FILTER(Shipping_Rate_Card!B:F, Shipping_Rate_Card!A:A=$A604),
   MATCH($H604, FILTER(Shipping_Rate_Card!B:B, Shipping_Rate_Card!A:A=$A604), 1),
   IF( INDEX(Config!B:B, MATCH($A604, Config!A:A, 0))=""Local"", 2,
     IF( INDEX(Config!B"&amp;":B, MATCH($A604, Config!A:A, 0))=""Regional"", 3, 4 )
   )
 ),
"""")
"),"")</f>
        <v/>
      </c>
      <c r="J604" s="16">
        <f>IFERROR(__xludf.DUMMYFUNCTION("IFERROR(
 ( E604 * INDEX(FILTER(Pricing_Rules!E:E, Pricing_Rules!A:A=A604, Pricing_Rules!B:B=B604, Pricing_Rules!C:C&lt;=E604, Pricing_Rules!D:D&gt;=E604), 1)
   + INDEX(FILTER(Pricing_Rules!F:F, Pricing_Rules!A:A=A604, Pricing_Rules!B:B=B604, Pricing_Rules!C:C"&amp;"&lt;=E604, Pricing_Rules!D:D&gt;=E604), 1)
 )
 * (1 + IFERROR( INDEX(Config!D:D, MATCH(A604, Config!A:A, 0)), 0 )),
"""")
"),5.8999999999999995)</f>
        <v>5.9</v>
      </c>
      <c r="K604" s="19">
        <f t="shared" si="3"/>
        <v>-14.9</v>
      </c>
      <c r="L604" s="20" t="str">
        <f t="shared" si="4"/>
        <v/>
      </c>
    </row>
    <row r="605" ht="15.75" customHeight="1">
      <c r="A605" s="9" t="s">
        <v>9</v>
      </c>
      <c r="B605" s="12" t="str">
        <f t="array" ref="B605">XLOOKUP(C605, Channel_Listings!C:C, Channel_Listings!B:B)
</f>
        <v>Garden_Planters</v>
      </c>
      <c r="C605" s="22" t="s">
        <v>984</v>
      </c>
      <c r="D605" s="14" t="str">
        <f t="array" ref="D605">XLOOKUP(C605, Channel_Listings!C:C, Channel_Listings!D:D)
</f>
        <v>PLANTER-MULTICOLOUR-HANGINGPLANTER6-PK6</v>
      </c>
      <c r="E605" s="15"/>
      <c r="F605" s="16">
        <f t="array" ref="F605">IFERROR(
  VALUE( INDEX(Product_Master!$I:$I,
               MATCH( INDEX(Pack_Master!$B:$B, MATCH($D605, Pack_Master!$A:$A, 0)),
                      Product_Master!$B:$B, 0)
  )) 
  * VALUE( INDEX(Pack_Master!$C:$C, MATCH($D605, Pack_Master!$A:$A, 0)) )
  + VALUE( INDEX(Pack_Master!$D:$D, MATCH($D605, Pack_Master!$A:$A, 0)) ),
"")
</f>
        <v>18</v>
      </c>
      <c r="G605" s="17">
        <f t="array" ref="G605">IFERROR(
 ( INDEX(Pack_Master!E:E, MATCH($D605, Pack_Master!A:A, 0))
   * INDEX(Pack_Master!F:F, MATCH($D605, Pack_Master!A:A, 0))
   * INDEX(Pack_Master!G:G, MATCH($D605, Pack_Master!A:A, 0))
 ) / INDEX(Config!C:C, MATCH($A605, Config!A:A, 0)),
"")
</f>
        <v>0</v>
      </c>
      <c r="H605" s="17">
        <f t="array" ref="H605">MAX( INDEX(Pack_Master!H:H, MATCH($D605, Pack_Master!A:A, 0)),
      IFERROR(G605, 0) )
</f>
        <v>0</v>
      </c>
      <c r="I605" s="18" t="str">
        <f>IFERROR(__xludf.DUMMYFUNCTION("IFERROR(
 INDEX(
   FILTER(Shipping_Rate_Card!B:F, Shipping_Rate_Card!A:A=$A605),
   MATCH($H605, FILTER(Shipping_Rate_Card!B:B, Shipping_Rate_Card!A:A=$A605), 1),
   IF( INDEX(Config!B:B, MATCH($A605, Config!A:A, 0))=""Local"", 2,
     IF( INDEX(Config!B"&amp;":B, MATCH($A605, Config!A:A, 0))=""Regional"", 3, 4 )
   )
 ),
"""")
"),"")</f>
        <v/>
      </c>
      <c r="J605" s="16">
        <f>IFERROR(__xludf.DUMMYFUNCTION("IFERROR(
 ( E605 * INDEX(FILTER(Pricing_Rules!E:E, Pricing_Rules!A:A=A605, Pricing_Rules!B:B=B605, Pricing_Rules!C:C&lt;=E605, Pricing_Rules!D:D&gt;=E605), 1)
   + INDEX(FILTER(Pricing_Rules!F:F, Pricing_Rules!A:A=A605, Pricing_Rules!B:B=B605, Pricing_Rules!C:C"&amp;"&lt;=E605, Pricing_Rules!D:D&gt;=E605), 1)
 )
 * (1 + IFERROR( INDEX(Config!D:D, MATCH(A605, Config!A:A, 0)), 0 )),
"""")
"),5.8999999999999995)</f>
        <v>5.9</v>
      </c>
      <c r="K605" s="19">
        <f t="shared" si="3"/>
        <v>-23.9</v>
      </c>
      <c r="L605" s="20" t="str">
        <f t="shared" si="4"/>
        <v/>
      </c>
    </row>
    <row r="606" ht="15.75" customHeight="1">
      <c r="A606" s="9" t="s">
        <v>9</v>
      </c>
      <c r="B606" s="12" t="str">
        <f t="array" ref="B606">XLOOKUP(C606, Channel_Listings!C:C, Channel_Listings!B:B)
</f>
        <v>Garden_Planters</v>
      </c>
      <c r="C606" s="22" t="s">
        <v>986</v>
      </c>
      <c r="D606" s="14" t="str">
        <f t="array" ref="D606">XLOOKUP(C606, Channel_Listings!C:C, Channel_Listings!D:D)
</f>
        <v>PLANTER-MULTICOLOUR-HANGINGPLANTER7-PK3</v>
      </c>
      <c r="E606" s="15"/>
      <c r="F606" s="16">
        <f t="array" ref="F606">IFERROR(
  VALUE( INDEX(Product_Master!$I:$I,
               MATCH( INDEX(Pack_Master!$B:$B, MATCH($D606, Pack_Master!$A:$A, 0)),
                      Product_Master!$B:$B, 0)
  )) 
  * VALUE( INDEX(Pack_Master!$C:$C, MATCH($D606, Pack_Master!$A:$A, 0)) )
  + VALUE( INDEX(Pack_Master!$D:$D, MATCH($D606, Pack_Master!$A:$A, 0)) ),
"")
</f>
        <v>9</v>
      </c>
      <c r="G606" s="17">
        <f t="array" ref="G606">IFERROR(
 ( INDEX(Pack_Master!E:E, MATCH($D606, Pack_Master!A:A, 0))
   * INDEX(Pack_Master!F:F, MATCH($D606, Pack_Master!A:A, 0))
   * INDEX(Pack_Master!G:G, MATCH($D606, Pack_Master!A:A, 0))
 ) / INDEX(Config!C:C, MATCH($A606, Config!A:A, 0)),
"")
</f>
        <v>0</v>
      </c>
      <c r="H606" s="17">
        <f t="array" ref="H606">MAX( INDEX(Pack_Master!H:H, MATCH($D606, Pack_Master!A:A, 0)),
      IFERROR(G606, 0) )
</f>
        <v>0</v>
      </c>
      <c r="I606" s="18" t="str">
        <f>IFERROR(__xludf.DUMMYFUNCTION("IFERROR(
 INDEX(
   FILTER(Shipping_Rate_Card!B:F, Shipping_Rate_Card!A:A=$A606),
   MATCH($H606, FILTER(Shipping_Rate_Card!B:B, Shipping_Rate_Card!A:A=$A606), 1),
   IF( INDEX(Config!B:B, MATCH($A606, Config!A:A, 0))=""Local"", 2,
     IF( INDEX(Config!B"&amp;":B, MATCH($A606, Config!A:A, 0))=""Regional"", 3, 4 )
   )
 ),
"""")
"),"")</f>
        <v/>
      </c>
      <c r="J606" s="16">
        <f>IFERROR(__xludf.DUMMYFUNCTION("IFERROR(
 ( E606 * INDEX(FILTER(Pricing_Rules!E:E, Pricing_Rules!A:A=A606, Pricing_Rules!B:B=B606, Pricing_Rules!C:C&lt;=E606, Pricing_Rules!D:D&gt;=E606), 1)
   + INDEX(FILTER(Pricing_Rules!F:F, Pricing_Rules!A:A=A606, Pricing_Rules!B:B=B606, Pricing_Rules!C:C"&amp;"&lt;=E606, Pricing_Rules!D:D&gt;=E606), 1)
 )
 * (1 + IFERROR( INDEX(Config!D:D, MATCH(A606, Config!A:A, 0)), 0 )),
"""")
"),5.8999999999999995)</f>
        <v>5.9</v>
      </c>
      <c r="K606" s="19">
        <f t="shared" si="3"/>
        <v>-14.9</v>
      </c>
      <c r="L606" s="20" t="str">
        <f t="shared" si="4"/>
        <v/>
      </c>
    </row>
    <row r="607" ht="15.75" customHeight="1">
      <c r="A607" s="9" t="s">
        <v>9</v>
      </c>
      <c r="B607" s="12" t="str">
        <f t="array" ref="B607">XLOOKUP(C607, Channel_Listings!C:C, Channel_Listings!B:B)
</f>
        <v>Garden_Planters</v>
      </c>
      <c r="C607" s="22" t="s">
        <v>988</v>
      </c>
      <c r="D607" s="14" t="str">
        <f t="array" ref="D607">XLOOKUP(C607, Channel_Listings!C:C, Channel_Listings!D:D)
</f>
        <v>PLANTER-MULTICOLOUR-HANGINGPLANTER7-PK6</v>
      </c>
      <c r="E607" s="15"/>
      <c r="F607" s="16">
        <f t="array" ref="F607">IFERROR(
  VALUE( INDEX(Product_Master!$I:$I,
               MATCH( INDEX(Pack_Master!$B:$B, MATCH($D607, Pack_Master!$A:$A, 0)),
                      Product_Master!$B:$B, 0)
  )) 
  * VALUE( INDEX(Pack_Master!$C:$C, MATCH($D607, Pack_Master!$A:$A, 0)) )
  + VALUE( INDEX(Pack_Master!$D:$D, MATCH($D607, Pack_Master!$A:$A, 0)) ),
"")
</f>
        <v>18</v>
      </c>
      <c r="G607" s="17">
        <f t="array" ref="G607">IFERROR(
 ( INDEX(Pack_Master!E:E, MATCH($D607, Pack_Master!A:A, 0))
   * INDEX(Pack_Master!F:F, MATCH($D607, Pack_Master!A:A, 0))
   * INDEX(Pack_Master!G:G, MATCH($D607, Pack_Master!A:A, 0))
 ) / INDEX(Config!C:C, MATCH($A607, Config!A:A, 0)),
"")
</f>
        <v>0</v>
      </c>
      <c r="H607" s="17">
        <f t="array" ref="H607">MAX( INDEX(Pack_Master!H:H, MATCH($D607, Pack_Master!A:A, 0)),
      IFERROR(G607, 0) )
</f>
        <v>0</v>
      </c>
      <c r="I607" s="18" t="str">
        <f>IFERROR(__xludf.DUMMYFUNCTION("IFERROR(
 INDEX(
   FILTER(Shipping_Rate_Card!B:F, Shipping_Rate_Card!A:A=$A607),
   MATCH($H607, FILTER(Shipping_Rate_Card!B:B, Shipping_Rate_Card!A:A=$A607), 1),
   IF( INDEX(Config!B:B, MATCH($A607, Config!A:A, 0))=""Local"", 2,
     IF( INDEX(Config!B"&amp;":B, MATCH($A607, Config!A:A, 0))=""Regional"", 3, 4 )
   )
 ),
"""")
"),"")</f>
        <v/>
      </c>
      <c r="J607" s="16">
        <f>IFERROR(__xludf.DUMMYFUNCTION("IFERROR(
 ( E607 * INDEX(FILTER(Pricing_Rules!E:E, Pricing_Rules!A:A=A607, Pricing_Rules!B:B=B607, Pricing_Rules!C:C&lt;=E607, Pricing_Rules!D:D&gt;=E607), 1)
   + INDEX(FILTER(Pricing_Rules!F:F, Pricing_Rules!A:A=A607, Pricing_Rules!B:B=B607, Pricing_Rules!C:C"&amp;"&lt;=E607, Pricing_Rules!D:D&gt;=E607), 1)
 )
 * (1 + IFERROR( INDEX(Config!D:D, MATCH(A607, Config!A:A, 0)), 0 )),
"""")
"),5.8999999999999995)</f>
        <v>5.9</v>
      </c>
      <c r="K607" s="19">
        <f t="shared" si="3"/>
        <v>-23.9</v>
      </c>
      <c r="L607" s="20" t="str">
        <f t="shared" si="4"/>
        <v/>
      </c>
    </row>
    <row r="608" ht="15.75" customHeight="1">
      <c r="A608" s="9" t="s">
        <v>9</v>
      </c>
      <c r="B608" s="12" t="str">
        <f t="array" ref="B608">XLOOKUP(C608, Channel_Listings!C:C, Channel_Listings!B:B)
</f>
        <v>Garden_Planters</v>
      </c>
      <c r="C608" s="22" t="s">
        <v>990</v>
      </c>
      <c r="D608" s="14" t="str">
        <f t="array" ref="D608">XLOOKUP(C608, Channel_Listings!C:C, Channel_Listings!D:D)
</f>
        <v>PLANTER-MULTICOLOUR-HANGINGPLANTER8-PK3</v>
      </c>
      <c r="E608" s="15"/>
      <c r="F608" s="16">
        <f t="array" ref="F608">IFERROR(
  VALUE( INDEX(Product_Master!$I:$I,
               MATCH( INDEX(Pack_Master!$B:$B, MATCH($D608, Pack_Master!$A:$A, 0)),
                      Product_Master!$B:$B, 0)
  )) 
  * VALUE( INDEX(Pack_Master!$C:$C, MATCH($D608, Pack_Master!$A:$A, 0)) )
  + VALUE( INDEX(Pack_Master!$D:$D, MATCH($D608, Pack_Master!$A:$A, 0)) ),
"")
</f>
        <v>9</v>
      </c>
      <c r="G608" s="17">
        <f t="array" ref="G608">IFERROR(
 ( INDEX(Pack_Master!E:E, MATCH($D608, Pack_Master!A:A, 0))
   * INDEX(Pack_Master!F:F, MATCH($D608, Pack_Master!A:A, 0))
   * INDEX(Pack_Master!G:G, MATCH($D608, Pack_Master!A:A, 0))
 ) / INDEX(Config!C:C, MATCH($A608, Config!A:A, 0)),
"")
</f>
        <v>0</v>
      </c>
      <c r="H608" s="17">
        <f t="array" ref="H608">MAX( INDEX(Pack_Master!H:H, MATCH($D608, Pack_Master!A:A, 0)),
      IFERROR(G608, 0) )
</f>
        <v>0</v>
      </c>
      <c r="I608" s="18" t="str">
        <f>IFERROR(__xludf.DUMMYFUNCTION("IFERROR(
 INDEX(
   FILTER(Shipping_Rate_Card!B:F, Shipping_Rate_Card!A:A=$A608),
   MATCH($H608, FILTER(Shipping_Rate_Card!B:B, Shipping_Rate_Card!A:A=$A608), 1),
   IF( INDEX(Config!B:B, MATCH($A608, Config!A:A, 0))=""Local"", 2,
     IF( INDEX(Config!B"&amp;":B, MATCH($A608, Config!A:A, 0))=""Regional"", 3, 4 )
   )
 ),
"""")
"),"")</f>
        <v/>
      </c>
      <c r="J608" s="16">
        <f>IFERROR(__xludf.DUMMYFUNCTION("IFERROR(
 ( E608 * INDEX(FILTER(Pricing_Rules!E:E, Pricing_Rules!A:A=A608, Pricing_Rules!B:B=B608, Pricing_Rules!C:C&lt;=E608, Pricing_Rules!D:D&gt;=E608), 1)
   + INDEX(FILTER(Pricing_Rules!F:F, Pricing_Rules!A:A=A608, Pricing_Rules!B:B=B608, Pricing_Rules!C:C"&amp;"&lt;=E608, Pricing_Rules!D:D&gt;=E608), 1)
 )
 * (1 + IFERROR( INDEX(Config!D:D, MATCH(A608, Config!A:A, 0)), 0 )),
"""")
"),5.8999999999999995)</f>
        <v>5.9</v>
      </c>
      <c r="K608" s="19">
        <f t="shared" si="3"/>
        <v>-14.9</v>
      </c>
      <c r="L608" s="20" t="str">
        <f t="shared" si="4"/>
        <v/>
      </c>
    </row>
    <row r="609" ht="15.75" customHeight="1">
      <c r="A609" s="9" t="s">
        <v>9</v>
      </c>
      <c r="B609" s="12" t="str">
        <f t="array" ref="B609">XLOOKUP(C609, Channel_Listings!C:C, Channel_Listings!B:B)
</f>
        <v>Garden_Planters</v>
      </c>
      <c r="C609" s="22" t="s">
        <v>992</v>
      </c>
      <c r="D609" s="14" t="str">
        <f t="array" ref="D609">XLOOKUP(C609, Channel_Listings!C:C, Channel_Listings!D:D)
</f>
        <v>PLANTER-MULTICOLOUR-HANGINGPLANTER8-PK6</v>
      </c>
      <c r="E609" s="15"/>
      <c r="F609" s="16">
        <f t="array" ref="F609">IFERROR(
  VALUE( INDEX(Product_Master!$I:$I,
               MATCH( INDEX(Pack_Master!$B:$B, MATCH($D609, Pack_Master!$A:$A, 0)),
                      Product_Master!$B:$B, 0)
  )) 
  * VALUE( INDEX(Pack_Master!$C:$C, MATCH($D609, Pack_Master!$A:$A, 0)) )
  + VALUE( INDEX(Pack_Master!$D:$D, MATCH($D609, Pack_Master!$A:$A, 0)) ),
"")
</f>
        <v>18</v>
      </c>
      <c r="G609" s="17">
        <f t="array" ref="G609">IFERROR(
 ( INDEX(Pack_Master!E:E, MATCH($D609, Pack_Master!A:A, 0))
   * INDEX(Pack_Master!F:F, MATCH($D609, Pack_Master!A:A, 0))
   * INDEX(Pack_Master!G:G, MATCH($D609, Pack_Master!A:A, 0))
 ) / INDEX(Config!C:C, MATCH($A609, Config!A:A, 0)),
"")
</f>
        <v>0</v>
      </c>
      <c r="H609" s="17">
        <f t="array" ref="H609">MAX( INDEX(Pack_Master!H:H, MATCH($D609, Pack_Master!A:A, 0)),
      IFERROR(G609, 0) )
</f>
        <v>0</v>
      </c>
      <c r="I609" s="18" t="str">
        <f>IFERROR(__xludf.DUMMYFUNCTION("IFERROR(
 INDEX(
   FILTER(Shipping_Rate_Card!B:F, Shipping_Rate_Card!A:A=$A609),
   MATCH($H609, FILTER(Shipping_Rate_Card!B:B, Shipping_Rate_Card!A:A=$A609), 1),
   IF( INDEX(Config!B:B, MATCH($A609, Config!A:A, 0))=""Local"", 2,
     IF( INDEX(Config!B"&amp;":B, MATCH($A609, Config!A:A, 0))=""Regional"", 3, 4 )
   )
 ),
"""")
"),"")</f>
        <v/>
      </c>
      <c r="J609" s="16">
        <f>IFERROR(__xludf.DUMMYFUNCTION("IFERROR(
 ( E609 * INDEX(FILTER(Pricing_Rules!E:E, Pricing_Rules!A:A=A609, Pricing_Rules!B:B=B609, Pricing_Rules!C:C&lt;=E609, Pricing_Rules!D:D&gt;=E609), 1)
   + INDEX(FILTER(Pricing_Rules!F:F, Pricing_Rules!A:A=A609, Pricing_Rules!B:B=B609, Pricing_Rules!C:C"&amp;"&lt;=E609, Pricing_Rules!D:D&gt;=E609), 1)
 )
 * (1 + IFERROR( INDEX(Config!D:D, MATCH(A609, Config!A:A, 0)), 0 )),
"""")
"),5.8999999999999995)</f>
        <v>5.9</v>
      </c>
      <c r="K609" s="19">
        <f t="shared" si="3"/>
        <v>-23.9</v>
      </c>
      <c r="L609" s="20" t="str">
        <f t="shared" si="4"/>
        <v/>
      </c>
    </row>
    <row r="610" ht="15.75" customHeight="1">
      <c r="A610" s="9" t="s">
        <v>9</v>
      </c>
      <c r="B610" s="12" t="str">
        <f t="array" ref="B610">XLOOKUP(C610, Channel_Listings!C:C, Channel_Listings!B:B)
</f>
        <v>Garden_Planters</v>
      </c>
      <c r="C610" s="22" t="s">
        <v>994</v>
      </c>
      <c r="D610" s="14" t="str">
        <f t="array" ref="D610">XLOOKUP(C610, Channel_Listings!C:C, Channel_Listings!D:D)
</f>
        <v>PLANTER-ROUND-MULTICOLOR8-PK5</v>
      </c>
      <c r="E610" s="15"/>
      <c r="F610" s="16">
        <f t="array" ref="F610">IFERROR(
  VALUE( INDEX(Product_Master!$I:$I,
               MATCH( INDEX(Pack_Master!$B:$B, MATCH($D610, Pack_Master!$A:$A, 0)),
                      Product_Master!$B:$B, 0)
  )) 
  * VALUE( INDEX(Pack_Master!$C:$C, MATCH($D610, Pack_Master!$A:$A, 0)) )
  + VALUE( INDEX(Pack_Master!$D:$D, MATCH($D610, Pack_Master!$A:$A, 0)) ),
"")
</f>
        <v>15</v>
      </c>
      <c r="G610" s="17">
        <f t="array" ref="G610">IFERROR(
 ( INDEX(Pack_Master!E:E, MATCH($D610, Pack_Master!A:A, 0))
   * INDEX(Pack_Master!F:F, MATCH($D610, Pack_Master!A:A, 0))
   * INDEX(Pack_Master!G:G, MATCH($D610, Pack_Master!A:A, 0))
 ) / INDEX(Config!C:C, MATCH($A610, Config!A:A, 0)),
"")
</f>
        <v>0</v>
      </c>
      <c r="H610" s="17">
        <f t="array" ref="H610">MAX( INDEX(Pack_Master!H:H, MATCH($D610, Pack_Master!A:A, 0)),
      IFERROR(G610, 0) )
</f>
        <v>0</v>
      </c>
      <c r="I610" s="18" t="str">
        <f>IFERROR(__xludf.DUMMYFUNCTION("IFERROR(
 INDEX(
   FILTER(Shipping_Rate_Card!B:F, Shipping_Rate_Card!A:A=$A610),
   MATCH($H610, FILTER(Shipping_Rate_Card!B:B, Shipping_Rate_Card!A:A=$A610), 1),
   IF( INDEX(Config!B:B, MATCH($A610, Config!A:A, 0))=""Local"", 2,
     IF( INDEX(Config!B"&amp;":B, MATCH($A610, Config!A:A, 0))=""Regional"", 3, 4 )
   )
 ),
"""")
"),"")</f>
        <v/>
      </c>
      <c r="J610" s="16">
        <f>IFERROR(__xludf.DUMMYFUNCTION("IFERROR(
 ( E610 * INDEX(FILTER(Pricing_Rules!E:E, Pricing_Rules!A:A=A610, Pricing_Rules!B:B=B610, Pricing_Rules!C:C&lt;=E610, Pricing_Rules!D:D&gt;=E610), 1)
   + INDEX(FILTER(Pricing_Rules!F:F, Pricing_Rules!A:A=A610, Pricing_Rules!B:B=B610, Pricing_Rules!C:C"&amp;"&lt;=E610, Pricing_Rules!D:D&gt;=E610), 1)
 )
 * (1 + IFERROR( INDEX(Config!D:D, MATCH(A610, Config!A:A, 0)), 0 )),
"""")
"),5.8999999999999995)</f>
        <v>5.9</v>
      </c>
      <c r="K610" s="19">
        <f t="shared" si="3"/>
        <v>-20.9</v>
      </c>
      <c r="L610" s="20" t="str">
        <f t="shared" si="4"/>
        <v/>
      </c>
    </row>
    <row r="611" ht="15.75" customHeight="1">
      <c r="A611" s="9" t="s">
        <v>9</v>
      </c>
      <c r="B611" s="12" t="str">
        <f t="array" ref="B611">XLOOKUP(C611, Channel_Listings!C:C, Channel_Listings!B:B)
</f>
        <v>Garden_Planters</v>
      </c>
      <c r="C611" s="24" t="s">
        <v>996</v>
      </c>
      <c r="D611" s="14" t="str">
        <f t="array" ref="D611">XLOOKUP(C611, Channel_Listings!C:C, Channel_Listings!D:D)
</f>
        <v>PLANTER-ROUNDORCHID-SAUCER10-PK1</v>
      </c>
      <c r="E611" s="15"/>
      <c r="F611" s="16">
        <f t="array" ref="F611">IFERROR(
  VALUE( INDEX(Product_Master!$I:$I,
               MATCH( INDEX(Pack_Master!$B:$B, MATCH($D611, Pack_Master!$A:$A, 0)),
                      Product_Master!$B:$B, 0)
  )) 
  * VALUE( INDEX(Pack_Master!$C:$C, MATCH($D611, Pack_Master!$A:$A, 0)) )
  + VALUE( INDEX(Pack_Master!$D:$D, MATCH($D611, Pack_Master!$A:$A, 0)) ),
"")
</f>
        <v>86.5</v>
      </c>
      <c r="G611" s="17">
        <f t="array" ref="G611">IFERROR(
 ( INDEX(Pack_Master!E:E, MATCH($D611, Pack_Master!A:A, 0))
   * INDEX(Pack_Master!F:F, MATCH($D611, Pack_Master!A:A, 0))
   * INDEX(Pack_Master!G:G, MATCH($D611, Pack_Master!A:A, 0))
 ) / INDEX(Config!C:C, MATCH($A611, Config!A:A, 0)),
"")
</f>
        <v>2.8392</v>
      </c>
      <c r="H611" s="17">
        <f t="array" ref="H611">MAX( INDEX(Pack_Master!H:H, MATCH($D611, Pack_Master!A:A, 0)),
      IFERROR(G611, 0) )
</f>
        <v>2.8392</v>
      </c>
      <c r="I611" s="18">
        <f>IFERROR(__xludf.DUMMYFUNCTION("IFERROR(
 INDEX(
   FILTER(Shipping_Rate_Card!B:F, Shipping_Rate_Card!A:A=$A611),
   MATCH($H611, FILTER(Shipping_Rate_Card!B:B, Shipping_Rate_Card!A:A=$A611), 1),
   IF( INDEX(Config!B:B, MATCH($A611, Config!A:A, 0))=""Local"", 2,
     IF( INDEX(Config!B"&amp;":B, MATCH($A611, Config!A:A, 0))=""Regional"", 3, 4 )
   )
 ),
"""")
"),155.0)</f>
        <v>155</v>
      </c>
      <c r="J611" s="16">
        <f>IFERROR(__xludf.DUMMYFUNCTION("IFERROR(
 ( E611 * INDEX(FILTER(Pricing_Rules!E:E, Pricing_Rules!A:A=A611, Pricing_Rules!B:B=B611, Pricing_Rules!C:C&lt;=E611, Pricing_Rules!D:D&gt;=E611), 1)
   + INDEX(FILTER(Pricing_Rules!F:F, Pricing_Rules!A:A=A611, Pricing_Rules!B:B=B611, Pricing_Rules!C:C"&amp;"&lt;=E611, Pricing_Rules!D:D&gt;=E611), 1)
 )
 * (1 + IFERROR( INDEX(Config!D:D, MATCH(A611, Config!A:A, 0)), 0 )),
"""")
"),5.8999999999999995)</f>
        <v>5.9</v>
      </c>
      <c r="K611" s="19">
        <f t="shared" si="3"/>
        <v>-247.4</v>
      </c>
      <c r="L611" s="20" t="str">
        <f t="shared" si="4"/>
        <v/>
      </c>
    </row>
    <row r="612" ht="15.75" customHeight="1">
      <c r="A612" s="9" t="s">
        <v>9</v>
      </c>
      <c r="B612" s="12" t="str">
        <f t="array" ref="B612">XLOOKUP(C612, Channel_Listings!C:C, Channel_Listings!B:B)
</f>
        <v>Garden_Planters</v>
      </c>
      <c r="C612" s="24" t="s">
        <v>997</v>
      </c>
      <c r="D612" s="14" t="str">
        <f t="array" ref="D612">XLOOKUP(C612, Channel_Listings!C:C, Channel_Listings!D:D)
</f>
        <v>PLANTER-ROUNDORCHID-SAUCER10-PK3</v>
      </c>
      <c r="E612" s="15"/>
      <c r="F612" s="16">
        <f t="array" ref="F612">IFERROR(
  VALUE( INDEX(Product_Master!$I:$I,
               MATCH( INDEX(Pack_Master!$B:$B, MATCH($D612, Pack_Master!$A:$A, 0)),
                      Product_Master!$B:$B, 0)
  )) 
  * VALUE( INDEX(Pack_Master!$C:$C, MATCH($D612, Pack_Master!$A:$A, 0)) )
  + VALUE( INDEX(Pack_Master!$D:$D, MATCH($D612, Pack_Master!$A:$A, 0)) ),
"")
</f>
        <v>159.5</v>
      </c>
      <c r="G612" s="17">
        <f t="array" ref="G612">IFERROR(
 ( INDEX(Pack_Master!E:E, MATCH($D612, Pack_Master!A:A, 0))
   * INDEX(Pack_Master!F:F, MATCH($D612, Pack_Master!A:A, 0))
   * INDEX(Pack_Master!G:G, MATCH($D612, Pack_Master!A:A, 0))
 ) / INDEX(Config!C:C, MATCH($A612, Config!A:A, 0)),
"")
</f>
        <v>3.5152</v>
      </c>
      <c r="H612" s="17">
        <f t="array" ref="H612">MAX( INDEX(Pack_Master!H:H, MATCH($D612, Pack_Master!A:A, 0)),
      IFERROR(G612, 0) )
</f>
        <v>3.5152</v>
      </c>
      <c r="I612" s="18">
        <f>IFERROR(__xludf.DUMMYFUNCTION("IFERROR(
 INDEX(
   FILTER(Shipping_Rate_Card!B:F, Shipping_Rate_Card!A:A=$A612),
   MATCH($H612, FILTER(Shipping_Rate_Card!B:B, Shipping_Rate_Card!A:A=$A612), 1),
   IF( INDEX(Config!B:B, MATCH($A612, Config!A:A, 0))=""Local"", 2,
     IF( INDEX(Config!B"&amp;":B, MATCH($A612, Config!A:A, 0))=""Regional"", 3, 4 )
   )
 ),
"""")
"),223.0)</f>
        <v>223</v>
      </c>
      <c r="J612" s="16">
        <f>IFERROR(__xludf.DUMMYFUNCTION("IFERROR(
 ( E612 * INDEX(FILTER(Pricing_Rules!E:E, Pricing_Rules!A:A=A612, Pricing_Rules!B:B=B612, Pricing_Rules!C:C&lt;=E612, Pricing_Rules!D:D&gt;=E612), 1)
   + INDEX(FILTER(Pricing_Rules!F:F, Pricing_Rules!A:A=A612, Pricing_Rules!B:B=B612, Pricing_Rules!C:C"&amp;"&lt;=E612, Pricing_Rules!D:D&gt;=E612), 1)
 )
 * (1 + IFERROR( INDEX(Config!D:D, MATCH(A612, Config!A:A, 0)), 0 )),
"""")
"),5.8999999999999995)</f>
        <v>5.9</v>
      </c>
      <c r="K612" s="19">
        <f t="shared" si="3"/>
        <v>-388.4</v>
      </c>
      <c r="L612" s="20" t="str">
        <f t="shared" si="4"/>
        <v/>
      </c>
    </row>
    <row r="613" ht="15.75" customHeight="1">
      <c r="A613" s="9" t="s">
        <v>9</v>
      </c>
      <c r="B613" s="12" t="str">
        <f t="array" ref="B613">XLOOKUP(C613, Channel_Listings!C:C, Channel_Listings!B:B)
</f>
        <v>Garden_Planters</v>
      </c>
      <c r="C613" s="24" t="s">
        <v>999</v>
      </c>
      <c r="D613" s="14" t="str">
        <f t="array" ref="D613">XLOOKUP(C613, Channel_Listings!C:C, Channel_Listings!D:D)
</f>
        <v>PLANTER-ROUNDORCHID-SAUCER10-PK6</v>
      </c>
      <c r="E613" s="15"/>
      <c r="F613" s="16">
        <f t="array" ref="F613">IFERROR(
  VALUE( INDEX(Product_Master!$I:$I,
               MATCH( INDEX(Pack_Master!$B:$B, MATCH($D613, Pack_Master!$A:$A, 0)),
                      Product_Master!$B:$B, 0)
  )) 
  * VALUE( INDEX(Pack_Master!$C:$C, MATCH($D613, Pack_Master!$A:$A, 0)) )
  + VALUE( INDEX(Pack_Master!$D:$D, MATCH($D613, Pack_Master!$A:$A, 0)) ),
"")
</f>
        <v>269</v>
      </c>
      <c r="G613" s="17">
        <f t="array" ref="G613">IFERROR(
 ( INDEX(Pack_Master!E:E, MATCH($D613, Pack_Master!A:A, 0))
   * INDEX(Pack_Master!F:F, MATCH($D613, Pack_Master!A:A, 0))
   * INDEX(Pack_Master!G:G, MATCH($D613, Pack_Master!A:A, 0))
 ) / INDEX(Config!C:C, MATCH($A613, Config!A:A, 0)),
"")
</f>
        <v>4.3264</v>
      </c>
      <c r="H613" s="17">
        <f t="array" ref="H613">MAX( INDEX(Pack_Master!H:H, MATCH($D613, Pack_Master!A:A, 0)),
      IFERROR(G613, 0) )
</f>
        <v>4.3264</v>
      </c>
      <c r="I613" s="18">
        <f>IFERROR(__xludf.DUMMYFUNCTION("IFERROR(
 INDEX(
   FILTER(Shipping_Rate_Card!B:F, Shipping_Rate_Card!A:A=$A613),
   MATCH($H613, FILTER(Shipping_Rate_Card!B:B, Shipping_Rate_Card!A:A=$A613), 1),
   IF( INDEX(Config!B:B, MATCH($A613, Config!A:A, 0))=""Local"", 2,
     IF( INDEX(Config!B"&amp;":B, MATCH($A613, Config!A:A, 0))=""Regional"", 3, 4 )
   )
 ),
"""")
"),223.0)</f>
        <v>223</v>
      </c>
      <c r="J613" s="16">
        <f>IFERROR(__xludf.DUMMYFUNCTION("IFERROR(
 ( E613 * INDEX(FILTER(Pricing_Rules!E:E, Pricing_Rules!A:A=A613, Pricing_Rules!B:B=B613, Pricing_Rules!C:C&lt;=E613, Pricing_Rules!D:D&gt;=E613), 1)
   + INDEX(FILTER(Pricing_Rules!F:F, Pricing_Rules!A:A=A613, Pricing_Rules!B:B=B613, Pricing_Rules!C:C"&amp;"&lt;=E613, Pricing_Rules!D:D&gt;=E613), 1)
 )
 * (1 + IFERROR( INDEX(Config!D:D, MATCH(A613, Config!A:A, 0)), 0 )),
"""")
"),5.8999999999999995)</f>
        <v>5.9</v>
      </c>
      <c r="K613" s="19">
        <f t="shared" si="3"/>
        <v>-497.9</v>
      </c>
      <c r="L613" s="20" t="str">
        <f t="shared" si="4"/>
        <v/>
      </c>
    </row>
    <row r="614" ht="15.75" customHeight="1">
      <c r="A614" s="9" t="s">
        <v>9</v>
      </c>
      <c r="B614" s="12" t="str">
        <f t="array" ref="B614">XLOOKUP(C614, Channel_Listings!C:C, Channel_Listings!B:B)
</f>
        <v>Garden_Planters</v>
      </c>
      <c r="C614" s="24" t="s">
        <v>1001</v>
      </c>
      <c r="D614" s="14" t="str">
        <f t="array" ref="D614">XLOOKUP(C614, Channel_Listings!C:C, Channel_Listings!D:D)
</f>
        <v>PLANTER-ROUNDORCHID-SAUCER10-PK12</v>
      </c>
      <c r="E614" s="15"/>
      <c r="F614" s="16">
        <f t="array" ref="F614">IFERROR(
  VALUE( INDEX(Product_Master!$I:$I,
               MATCH( INDEX(Pack_Master!$B:$B, MATCH($D614, Pack_Master!$A:$A, 0)),
                      Product_Master!$B:$B, 0)
  )) 
  * VALUE( INDEX(Pack_Master!$C:$C, MATCH($D614, Pack_Master!$A:$A, 0)) )
  + VALUE( INDEX(Pack_Master!$D:$D, MATCH($D614, Pack_Master!$A:$A, 0)) ),
"")
</f>
        <v>488</v>
      </c>
      <c r="G614" s="17">
        <f t="array" ref="G614">IFERROR(
 ( INDEX(Pack_Master!E:E, MATCH($D614, Pack_Master!A:A, 0))
   * INDEX(Pack_Master!F:F, MATCH($D614, Pack_Master!A:A, 0))
   * INDEX(Pack_Master!G:G, MATCH($D614, Pack_Master!A:A, 0))
 ) / INDEX(Config!C:C, MATCH($A614, Config!A:A, 0)),
"")
</f>
        <v>6.2192</v>
      </c>
      <c r="H614" s="17">
        <f t="array" ref="H614">MAX( INDEX(Pack_Master!H:H, MATCH($D614, Pack_Master!A:A, 0)),
      IFERROR(G614, 0) )
</f>
        <v>6.2192</v>
      </c>
      <c r="I614" s="18">
        <f>IFERROR(__xludf.DUMMYFUNCTION("IFERROR(
 INDEX(
   FILTER(Shipping_Rate_Card!B:F, Shipping_Rate_Card!A:A=$A614),
   MATCH($H614, FILTER(Shipping_Rate_Card!B:B, Shipping_Rate_Card!A:A=$A614), 1),
   IF( INDEX(Config!B:B, MATCH($A614, Config!A:A, 0))=""Local"", 2,
     IF( INDEX(Config!B"&amp;":B, MATCH($A614, Config!A:A, 0))=""Regional"", 3, 4 )
   )
 ),
"""")
"),255.0)</f>
        <v>255</v>
      </c>
      <c r="J614" s="16">
        <f>IFERROR(__xludf.DUMMYFUNCTION("IFERROR(
 ( E614 * INDEX(FILTER(Pricing_Rules!E:E, Pricing_Rules!A:A=A614, Pricing_Rules!B:B=B614, Pricing_Rules!C:C&lt;=E614, Pricing_Rules!D:D&gt;=E614), 1)
   + INDEX(FILTER(Pricing_Rules!F:F, Pricing_Rules!A:A=A614, Pricing_Rules!B:B=B614, Pricing_Rules!C:C"&amp;"&lt;=E614, Pricing_Rules!D:D&gt;=E614), 1)
 )
 * (1 + IFERROR( INDEX(Config!D:D, MATCH(A614, Config!A:A, 0)), 0 )),
"""")
"),5.8999999999999995)</f>
        <v>5.9</v>
      </c>
      <c r="K614" s="19">
        <f t="shared" si="3"/>
        <v>-748.9</v>
      </c>
      <c r="L614" s="20" t="str">
        <f t="shared" si="4"/>
        <v/>
      </c>
    </row>
    <row r="615" ht="15.75" customHeight="1">
      <c r="A615" s="9" t="s">
        <v>9</v>
      </c>
      <c r="B615" s="12" t="str">
        <f t="array" ref="B615">XLOOKUP(C615, Channel_Listings!C:C, Channel_Listings!B:B)
</f>
        <v>Garden_Planters</v>
      </c>
      <c r="C615" s="24" t="s">
        <v>1003</v>
      </c>
      <c r="D615" s="14" t="str">
        <f t="array" ref="D615">XLOOKUP(C615, Channel_Listings!C:C, Channel_Listings!D:D)
</f>
        <v>PLANTER-ROUNDORCHID-SAUCER12-PK1</v>
      </c>
      <c r="E615" s="15"/>
      <c r="F615" s="16">
        <f t="array" ref="F615">IFERROR(
  VALUE( INDEX(Product_Master!$I:$I,
               MATCH( INDEX(Pack_Master!$B:$B, MATCH($D615, Pack_Master!$A:$A, 0)),
                      Product_Master!$B:$B, 0)
  )) 
  * VALUE( INDEX(Pack_Master!$C:$C, MATCH($D615, Pack_Master!$A:$A, 0)) )
  + VALUE( INDEX(Pack_Master!$D:$D, MATCH($D615, Pack_Master!$A:$A, 0)) ),
"")
</f>
        <v>123.5</v>
      </c>
      <c r="G615" s="17">
        <f t="array" ref="G615">IFERROR(
 ( INDEX(Pack_Master!E:E, MATCH($D615, Pack_Master!A:A, 0))
   * INDEX(Pack_Master!F:F, MATCH($D615, Pack_Master!A:A, 0))
   * INDEX(Pack_Master!G:G, MATCH($D615, Pack_Master!A:A, 0))
 ) / INDEX(Config!C:C, MATCH($A615, Config!A:A, 0)),
"")
</f>
        <v>4.9972</v>
      </c>
      <c r="H615" s="17">
        <f t="array" ref="H615">MAX( INDEX(Pack_Master!H:H, MATCH($D615, Pack_Master!A:A, 0)),
      IFERROR(G615, 0) )
</f>
        <v>4.9972</v>
      </c>
      <c r="I615" s="18">
        <f>IFERROR(__xludf.DUMMYFUNCTION("IFERROR(
 INDEX(
   FILTER(Shipping_Rate_Card!B:F, Shipping_Rate_Card!A:A=$A615),
   MATCH($H615, FILTER(Shipping_Rate_Card!B:B, Shipping_Rate_Card!A:A=$A615), 1),
   IF( INDEX(Config!B:B, MATCH($A615, Config!A:A, 0))=""Local"", 2,
     IF( INDEX(Config!B"&amp;":B, MATCH($A615, Config!A:A, 0))=""Regional"", 3, 4 )
   )
 ),
"""")
"),223.0)</f>
        <v>223</v>
      </c>
      <c r="J615" s="16">
        <f>IFERROR(__xludf.DUMMYFUNCTION("IFERROR(
 ( E615 * INDEX(FILTER(Pricing_Rules!E:E, Pricing_Rules!A:A=A615, Pricing_Rules!B:B=B615, Pricing_Rules!C:C&lt;=E615, Pricing_Rules!D:D&gt;=E615), 1)
   + INDEX(FILTER(Pricing_Rules!F:F, Pricing_Rules!A:A=A615, Pricing_Rules!B:B=B615, Pricing_Rules!C:C"&amp;"&lt;=E615, Pricing_Rules!D:D&gt;=E615), 1)
 )
 * (1 + IFERROR( INDEX(Config!D:D, MATCH(A615, Config!A:A, 0)), 0 )),
"""")
"),5.8999999999999995)</f>
        <v>5.9</v>
      </c>
      <c r="K615" s="19">
        <f t="shared" si="3"/>
        <v>-352.4</v>
      </c>
      <c r="L615" s="20" t="str">
        <f t="shared" si="4"/>
        <v/>
      </c>
    </row>
    <row r="616" ht="15.75" customHeight="1">
      <c r="A616" s="9" t="s">
        <v>9</v>
      </c>
      <c r="B616" s="12" t="str">
        <f t="array" ref="B616">XLOOKUP(C616, Channel_Listings!C:C, Channel_Listings!B:B)
</f>
        <v>Garden_Planters</v>
      </c>
      <c r="C616" s="24" t="s">
        <v>1004</v>
      </c>
      <c r="D616" s="14" t="str">
        <f t="array" ref="D616">XLOOKUP(C616, Channel_Listings!C:C, Channel_Listings!D:D)
</f>
        <v>PLANTER-ROUNDORCHID-SAUCER12-PK3</v>
      </c>
      <c r="E616" s="15"/>
      <c r="F616" s="16">
        <f t="array" ref="F616">IFERROR(
  VALUE( INDEX(Product_Master!$I:$I,
               MATCH( INDEX(Pack_Master!$B:$B, MATCH($D616, Pack_Master!$A:$A, 0)),
                      Product_Master!$B:$B, 0)
  )) 
  * VALUE( INDEX(Pack_Master!$C:$C, MATCH($D616, Pack_Master!$A:$A, 0)) )
  + VALUE( INDEX(Pack_Master!$D:$D, MATCH($D616, Pack_Master!$A:$A, 0)) ),
"")
</f>
        <v>230.5</v>
      </c>
      <c r="G616" s="17">
        <f t="array" ref="G616">IFERROR(
 ( INDEX(Pack_Master!E:E, MATCH($D616, Pack_Master!A:A, 0))
   * INDEX(Pack_Master!F:F, MATCH($D616, Pack_Master!A:A, 0))
   * INDEX(Pack_Master!G:G, MATCH($D616, Pack_Master!A:A, 0))
 ) / INDEX(Config!C:C, MATCH($A616, Config!A:A, 0)),
"")
</f>
        <v>5.766</v>
      </c>
      <c r="H616" s="17">
        <f t="array" ref="H616">MAX( INDEX(Pack_Master!H:H, MATCH($D616, Pack_Master!A:A, 0)),
      IFERROR(G616, 0) )
</f>
        <v>5.766</v>
      </c>
      <c r="I616" s="18">
        <f>IFERROR(__xludf.DUMMYFUNCTION("IFERROR(
 INDEX(
   FILTER(Shipping_Rate_Card!B:F, Shipping_Rate_Card!A:A=$A616),
   MATCH($H616, FILTER(Shipping_Rate_Card!B:B, Shipping_Rate_Card!A:A=$A616), 1),
   IF( INDEX(Config!B:B, MATCH($A616, Config!A:A, 0))=""Local"", 2,
     IF( INDEX(Config!B"&amp;":B, MATCH($A616, Config!A:A, 0))=""Regional"", 3, 4 )
   )
 ),
"""")
"),255.0)</f>
        <v>255</v>
      </c>
      <c r="J616" s="16">
        <f>IFERROR(__xludf.DUMMYFUNCTION("IFERROR(
 ( E616 * INDEX(FILTER(Pricing_Rules!E:E, Pricing_Rules!A:A=A616, Pricing_Rules!B:B=B616, Pricing_Rules!C:C&lt;=E616, Pricing_Rules!D:D&gt;=E616), 1)
   + INDEX(FILTER(Pricing_Rules!F:F, Pricing_Rules!A:A=A616, Pricing_Rules!B:B=B616, Pricing_Rules!C:C"&amp;"&lt;=E616, Pricing_Rules!D:D&gt;=E616), 1)
 )
 * (1 + IFERROR( INDEX(Config!D:D, MATCH(A616, Config!A:A, 0)), 0 )),
"""")
"),5.8999999999999995)</f>
        <v>5.9</v>
      </c>
      <c r="K616" s="19">
        <f t="shared" si="3"/>
        <v>-491.4</v>
      </c>
      <c r="L616" s="20" t="str">
        <f t="shared" si="4"/>
        <v/>
      </c>
    </row>
    <row r="617" ht="15.75" customHeight="1">
      <c r="A617" s="9" t="s">
        <v>9</v>
      </c>
      <c r="B617" s="12" t="str">
        <f t="array" ref="B617">XLOOKUP(C617, Channel_Listings!C:C, Channel_Listings!B:B)
</f>
        <v>Garden_Planters</v>
      </c>
      <c r="C617" s="24" t="s">
        <v>1006</v>
      </c>
      <c r="D617" s="14" t="str">
        <f t="array" ref="D617">XLOOKUP(C617, Channel_Listings!C:C, Channel_Listings!D:D)
</f>
        <v>PLANTER-ROUNDORCHID-SAUCER12-PK6</v>
      </c>
      <c r="E617" s="15"/>
      <c r="F617" s="16">
        <f t="array" ref="F617">IFERROR(
  VALUE( INDEX(Product_Master!$I:$I,
               MATCH( INDEX(Pack_Master!$B:$B, MATCH($D617, Pack_Master!$A:$A, 0)),
                      Product_Master!$B:$B, 0)
  )) 
  * VALUE( INDEX(Pack_Master!$C:$C, MATCH($D617, Pack_Master!$A:$A, 0)) )
  + VALUE( INDEX(Pack_Master!$D:$D, MATCH($D617, Pack_Master!$A:$A, 0)) ),
"")
</f>
        <v>391</v>
      </c>
      <c r="G617" s="17">
        <f t="array" ref="G617">IFERROR(
 ( INDEX(Pack_Master!E:E, MATCH($D617, Pack_Master!A:A, 0))
   * INDEX(Pack_Master!F:F, MATCH($D617, Pack_Master!A:A, 0))
   * INDEX(Pack_Master!G:G, MATCH($D617, Pack_Master!A:A, 0))
 ) / INDEX(Config!C:C, MATCH($A617, Config!A:A, 0)),
"")
</f>
        <v>7.3036</v>
      </c>
      <c r="H617" s="17">
        <f t="array" ref="H617">MAX( INDEX(Pack_Master!H:H, MATCH($D617, Pack_Master!A:A, 0)),
      IFERROR(G617, 0) )
</f>
        <v>7.3036</v>
      </c>
      <c r="I617" s="18">
        <f>IFERROR(__xludf.DUMMYFUNCTION("IFERROR(
 INDEX(
   FILTER(Shipping_Rate_Card!B:F, Shipping_Rate_Card!A:A=$A617),
   MATCH($H617, FILTER(Shipping_Rate_Card!B:B, Shipping_Rate_Card!A:A=$A617), 1),
   IF( INDEX(Config!B:B, MATCH($A617, Config!A:A, 0))=""Local"", 2,
     IF( INDEX(Config!B"&amp;":B, MATCH($A617, Config!A:A, 0))=""Regional"", 3, 4 )
   )
 ),
"""")
"),255.0)</f>
        <v>255</v>
      </c>
      <c r="J617" s="16">
        <f>IFERROR(__xludf.DUMMYFUNCTION("IFERROR(
 ( E617 * INDEX(FILTER(Pricing_Rules!E:E, Pricing_Rules!A:A=A617, Pricing_Rules!B:B=B617, Pricing_Rules!C:C&lt;=E617, Pricing_Rules!D:D&gt;=E617), 1)
   + INDEX(FILTER(Pricing_Rules!F:F, Pricing_Rules!A:A=A617, Pricing_Rules!B:B=B617, Pricing_Rules!C:C"&amp;"&lt;=E617, Pricing_Rules!D:D&gt;=E617), 1)
 )
 * (1 + IFERROR( INDEX(Config!D:D, MATCH(A617, Config!A:A, 0)), 0 )),
"""")
"),5.8999999999999995)</f>
        <v>5.9</v>
      </c>
      <c r="K617" s="19">
        <f t="shared" si="3"/>
        <v>-651.9</v>
      </c>
      <c r="L617" s="20" t="str">
        <f t="shared" si="4"/>
        <v/>
      </c>
    </row>
    <row r="618" ht="15.75" customHeight="1">
      <c r="A618" s="9" t="s">
        <v>9</v>
      </c>
      <c r="B618" s="12" t="str">
        <f t="array" ref="B618">XLOOKUP(C618, Channel_Listings!C:C, Channel_Listings!B:B)
</f>
        <v>Garden_Planters</v>
      </c>
      <c r="C618" s="24" t="s">
        <v>1008</v>
      </c>
      <c r="D618" s="14" t="str">
        <f t="array" ref="D618">XLOOKUP(C618, Channel_Listings!C:C, Channel_Listings!D:D)
</f>
        <v>PLANTER-ROUNDORCHID-SAUCER12-PK12</v>
      </c>
      <c r="E618" s="15"/>
      <c r="F618" s="16">
        <f t="array" ref="F618">IFERROR(
  VALUE( INDEX(Product_Master!$I:$I,
               MATCH( INDEX(Pack_Master!$B:$B, MATCH($D618, Pack_Master!$A:$A, 0)),
                      Product_Master!$B:$B, 0)
  )) 
  * VALUE( INDEX(Pack_Master!$C:$C, MATCH($D618, Pack_Master!$A:$A, 0)) )
  + VALUE( INDEX(Pack_Master!$D:$D, MATCH($D618, Pack_Master!$A:$A, 0)) ),
"")
</f>
        <v>712</v>
      </c>
      <c r="G618" s="17">
        <f t="array" ref="G618">IFERROR(
 ( INDEX(Pack_Master!E:E, MATCH($D618, Pack_Master!A:A, 0))
   * INDEX(Pack_Master!F:F, MATCH($D618, Pack_Master!A:A, 0))
   * INDEX(Pack_Master!G:G, MATCH($D618, Pack_Master!A:A, 0))
 ) / INDEX(Config!C:C, MATCH($A618, Config!A:A, 0)),
"")
</f>
        <v>10.1866</v>
      </c>
      <c r="H618" s="17">
        <f t="array" ref="H618">MAX( INDEX(Pack_Master!H:H, MATCH($D618, Pack_Master!A:A, 0)),
      IFERROR(G618, 0) )
</f>
        <v>10.1866</v>
      </c>
      <c r="I618" s="18">
        <f>IFERROR(__xludf.DUMMYFUNCTION("IFERROR(
 INDEX(
   FILTER(Shipping_Rate_Card!B:F, Shipping_Rate_Card!A:A=$A618),
   MATCH($H618, FILTER(Shipping_Rate_Card!B:B, Shipping_Rate_Card!A:A=$A618), 1),
   IF( INDEX(Config!B:B, MATCH($A618, Config!A:A, 0))=""Local"", 2,
     IF( INDEX(Config!B"&amp;":B, MATCH($A618, Config!A:A, 0))=""Regional"", 3, 4 )
   )
 ),
"""")
"),335.0)</f>
        <v>335</v>
      </c>
      <c r="J618" s="16">
        <f>IFERROR(__xludf.DUMMYFUNCTION("IFERROR(
 ( E618 * INDEX(FILTER(Pricing_Rules!E:E, Pricing_Rules!A:A=A618, Pricing_Rules!B:B=B618, Pricing_Rules!C:C&lt;=E618, Pricing_Rules!D:D&gt;=E618), 1)
   + INDEX(FILTER(Pricing_Rules!F:F, Pricing_Rules!A:A=A618, Pricing_Rules!B:B=B618, Pricing_Rules!C:C"&amp;"&lt;=E618, Pricing_Rules!D:D&gt;=E618), 1)
 )
 * (1 + IFERROR( INDEX(Config!D:D, MATCH(A618, Config!A:A, 0)), 0 )),
"""")
"),5.8999999999999995)</f>
        <v>5.9</v>
      </c>
      <c r="K618" s="19">
        <f t="shared" si="3"/>
        <v>-1052.9</v>
      </c>
      <c r="L618" s="20" t="str">
        <f t="shared" si="4"/>
        <v/>
      </c>
    </row>
    <row r="619" ht="15.75" customHeight="1">
      <c r="A619" s="9" t="s">
        <v>9</v>
      </c>
      <c r="B619" s="12" t="str">
        <f t="array" ref="B619">XLOOKUP(C619, Channel_Listings!C:C, Channel_Listings!B:B)
</f>
        <v>Garden_Planters</v>
      </c>
      <c r="C619" s="24" t="s">
        <v>1010</v>
      </c>
      <c r="D619" s="14" t="str">
        <f t="array" ref="D619">XLOOKUP(C619, Channel_Listings!C:C, Channel_Listings!D:D)
</f>
        <v>PLANTER-ROUNDORCHID-SAUCER14-PK1</v>
      </c>
      <c r="E619" s="15"/>
      <c r="F619" s="16">
        <f t="array" ref="F619">IFERROR(
  VALUE( INDEX(Product_Master!$I:$I,
               MATCH( INDEX(Pack_Master!$B:$B, MATCH($D619, Pack_Master!$A:$A, 0)),
                      Product_Master!$B:$B, 0)
  )) 
  * VALUE( INDEX(Pack_Master!$C:$C, MATCH($D619, Pack_Master!$A:$A, 0)) )
  + VALUE( INDEX(Pack_Master!$D:$D, MATCH($D619, Pack_Master!$A:$A, 0)) ),
"")
</f>
        <v>184.5</v>
      </c>
      <c r="G619" s="17">
        <f t="array" ref="G619">IFERROR(
 ( INDEX(Pack_Master!E:E, MATCH($D619, Pack_Master!A:A, 0))
   * INDEX(Pack_Master!F:F, MATCH($D619, Pack_Master!A:A, 0))
   * INDEX(Pack_Master!G:G, MATCH($D619, Pack_Master!A:A, 0))
 ) / INDEX(Config!C:C, MATCH($A619, Config!A:A, 0)),
"")
</f>
        <v>8.4878</v>
      </c>
      <c r="H619" s="17">
        <f t="array" ref="H619">MAX( INDEX(Pack_Master!H:H, MATCH($D619, Pack_Master!A:A, 0)),
      IFERROR(G619, 0) )
</f>
        <v>8.4878</v>
      </c>
      <c r="I619" s="18">
        <f>IFERROR(__xludf.DUMMYFUNCTION("IFERROR(
 INDEX(
   FILTER(Shipping_Rate_Card!B:F, Shipping_Rate_Card!A:A=$A619),
   MATCH($H619, FILTER(Shipping_Rate_Card!B:B, Shipping_Rate_Card!A:A=$A619), 1),
   IF( INDEX(Config!B:B, MATCH($A619, Config!A:A, 0))=""Local"", 2,
     IF( INDEX(Config!B"&amp;":B, MATCH($A619, Config!A:A, 0))=""Regional"", 3, 4 )
   )
 ),
"""")
"),255.0)</f>
        <v>255</v>
      </c>
      <c r="J619" s="16">
        <f>IFERROR(__xludf.DUMMYFUNCTION("IFERROR(
 ( E619 * INDEX(FILTER(Pricing_Rules!E:E, Pricing_Rules!A:A=A619, Pricing_Rules!B:B=B619, Pricing_Rules!C:C&lt;=E619, Pricing_Rules!D:D&gt;=E619), 1)
   + INDEX(FILTER(Pricing_Rules!F:F, Pricing_Rules!A:A=A619, Pricing_Rules!B:B=B619, Pricing_Rules!C:C"&amp;"&lt;=E619, Pricing_Rules!D:D&gt;=E619), 1)
 )
 * (1 + IFERROR( INDEX(Config!D:D, MATCH(A619, Config!A:A, 0)), 0 )),
"""")
"),5.8999999999999995)</f>
        <v>5.9</v>
      </c>
      <c r="K619" s="19">
        <f t="shared" si="3"/>
        <v>-445.4</v>
      </c>
      <c r="L619" s="20" t="str">
        <f t="shared" si="4"/>
        <v/>
      </c>
    </row>
    <row r="620" ht="15.75" customHeight="1">
      <c r="A620" s="9" t="s">
        <v>9</v>
      </c>
      <c r="B620" s="12" t="str">
        <f t="array" ref="B620">XLOOKUP(C620, Channel_Listings!C:C, Channel_Listings!B:B)
</f>
        <v>Garden_Planters</v>
      </c>
      <c r="C620" s="24" t="s">
        <v>1012</v>
      </c>
      <c r="D620" s="14" t="str">
        <f t="array" ref="D620">XLOOKUP(C620, Channel_Listings!C:C, Channel_Listings!D:D)
</f>
        <v>PLANTER-ROUNDORCHID-SAUCER14-PK3</v>
      </c>
      <c r="E620" s="15"/>
      <c r="F620" s="16">
        <f t="array" ref="F620">IFERROR(
  VALUE( INDEX(Product_Master!$I:$I,
               MATCH( INDEX(Pack_Master!$B:$B, MATCH($D620, Pack_Master!$A:$A, 0)),
                      Product_Master!$B:$B, 0)
  )) 
  * VALUE( INDEX(Pack_Master!$C:$C, MATCH($D620, Pack_Master!$A:$A, 0)) )
  + VALUE( INDEX(Pack_Master!$D:$D, MATCH($D620, Pack_Master!$A:$A, 0)) ),
"")
</f>
        <v>353.5</v>
      </c>
      <c r="G620" s="17">
        <f t="array" ref="G620">IFERROR(
 ( INDEX(Pack_Master!E:E, MATCH($D620, Pack_Master!A:A, 0))
   * INDEX(Pack_Master!F:F, MATCH($D620, Pack_Master!A:A, 0))
   * INDEX(Pack_Master!G:G, MATCH($D620, Pack_Master!A:A, 0))
 ) / INDEX(Config!C:C, MATCH($A620, Config!A:A, 0)),
"")
</f>
        <v>9.8568</v>
      </c>
      <c r="H620" s="17">
        <f t="array" ref="H620">MAX( INDEX(Pack_Master!H:H, MATCH($D620, Pack_Master!A:A, 0)),
      IFERROR(G620, 0) )
</f>
        <v>9.8568</v>
      </c>
      <c r="I620" s="18">
        <f>IFERROR(__xludf.DUMMYFUNCTION("IFERROR(
 INDEX(
   FILTER(Shipping_Rate_Card!B:F, Shipping_Rate_Card!A:A=$A620),
   MATCH($H620, FILTER(Shipping_Rate_Card!B:B, Shipping_Rate_Card!A:A=$A620), 1),
   IF( INDEX(Config!B:B, MATCH($A620, Config!A:A, 0))=""Local"", 2,
     IF( INDEX(Config!B"&amp;":B, MATCH($A620, Config!A:A, 0))=""Regional"", 3, 4 )
   )
 ),
"""")
"),255.0)</f>
        <v>255</v>
      </c>
      <c r="J620" s="16">
        <f>IFERROR(__xludf.DUMMYFUNCTION("IFERROR(
 ( E620 * INDEX(FILTER(Pricing_Rules!E:E, Pricing_Rules!A:A=A620, Pricing_Rules!B:B=B620, Pricing_Rules!C:C&lt;=E620, Pricing_Rules!D:D&gt;=E620), 1)
   + INDEX(FILTER(Pricing_Rules!F:F, Pricing_Rules!A:A=A620, Pricing_Rules!B:B=B620, Pricing_Rules!C:C"&amp;"&lt;=E620, Pricing_Rules!D:D&gt;=E620), 1)
 )
 * (1 + IFERROR( INDEX(Config!D:D, MATCH(A620, Config!A:A, 0)), 0 )),
"""")
"),5.8999999999999995)</f>
        <v>5.9</v>
      </c>
      <c r="K620" s="19">
        <f t="shared" si="3"/>
        <v>-614.4</v>
      </c>
      <c r="L620" s="20" t="str">
        <f t="shared" si="4"/>
        <v/>
      </c>
    </row>
    <row r="621" ht="15.75" customHeight="1">
      <c r="A621" s="9" t="s">
        <v>9</v>
      </c>
      <c r="B621" s="12" t="str">
        <f t="array" ref="B621">XLOOKUP(C621, Channel_Listings!C:C, Channel_Listings!B:B)
</f>
        <v>Garden_Planters</v>
      </c>
      <c r="C621" s="24" t="s">
        <v>1014</v>
      </c>
      <c r="D621" s="14" t="str">
        <f t="array" ref="D621">XLOOKUP(C621, Channel_Listings!C:C, Channel_Listings!D:D)
</f>
        <v>PLANTER-ROUNDORCHID-SAUCER14-PK6</v>
      </c>
      <c r="E621" s="15"/>
      <c r="F621" s="16">
        <f t="array" ref="F621">IFERROR(
  VALUE( INDEX(Product_Master!$I:$I,
               MATCH( INDEX(Pack_Master!$B:$B, MATCH($D621, Pack_Master!$A:$A, 0)),
                      Product_Master!$B:$B, 0)
  )) 
  * VALUE( INDEX(Pack_Master!$C:$C, MATCH($D621, Pack_Master!$A:$A, 0)) )
  + VALUE( INDEX(Pack_Master!$D:$D, MATCH($D621, Pack_Master!$A:$A, 0)) ),
"")
</f>
        <v>607</v>
      </c>
      <c r="G621" s="17">
        <f t="array" ref="G621">IFERROR(
 ( INDEX(Pack_Master!E:E, MATCH($D621, Pack_Master!A:A, 0))
   * INDEX(Pack_Master!F:F, MATCH($D621, Pack_Master!A:A, 0))
   * INDEX(Pack_Master!G:G, MATCH($D621, Pack_Master!A:A, 0))
 ) / INDEX(Config!C:C, MATCH($A621, Config!A:A, 0)),
"")
</f>
        <v>12.321</v>
      </c>
      <c r="H621" s="17">
        <f t="array" ref="H621">MAX( INDEX(Pack_Master!H:H, MATCH($D621, Pack_Master!A:A, 0)),
      IFERROR(G621, 0) )
</f>
        <v>12.321</v>
      </c>
      <c r="I621" s="18">
        <f>IFERROR(__xludf.DUMMYFUNCTION("IFERROR(
 INDEX(
   FILTER(Shipping_Rate_Card!B:F, Shipping_Rate_Card!A:A=$A621),
   MATCH($H621, FILTER(Shipping_Rate_Card!B:B, Shipping_Rate_Card!A:A=$A621), 1),
   IF( INDEX(Config!B:B, MATCH($A621, Config!A:A, 0))=""Local"", 2,
     IF( INDEX(Config!B"&amp;":B, MATCH($A621, Config!A:A, 0))=""Regional"", 3, 4 )
   )
 ),
"""")
"),335.0)</f>
        <v>335</v>
      </c>
      <c r="J621" s="16">
        <f>IFERROR(__xludf.DUMMYFUNCTION("IFERROR(
 ( E621 * INDEX(FILTER(Pricing_Rules!E:E, Pricing_Rules!A:A=A621, Pricing_Rules!B:B=B621, Pricing_Rules!C:C&lt;=E621, Pricing_Rules!D:D&gt;=E621), 1)
   + INDEX(FILTER(Pricing_Rules!F:F, Pricing_Rules!A:A=A621, Pricing_Rules!B:B=B621, Pricing_Rules!C:C"&amp;"&lt;=E621, Pricing_Rules!D:D&gt;=E621), 1)
 )
 * (1 + IFERROR( INDEX(Config!D:D, MATCH(A621, Config!A:A, 0)), 0 )),
"""")
"),5.8999999999999995)</f>
        <v>5.9</v>
      </c>
      <c r="K621" s="19">
        <f t="shared" si="3"/>
        <v>-947.9</v>
      </c>
      <c r="L621" s="20" t="str">
        <f t="shared" si="4"/>
        <v/>
      </c>
    </row>
    <row r="622" ht="15.75" customHeight="1">
      <c r="A622" s="9" t="s">
        <v>9</v>
      </c>
      <c r="B622" s="12" t="str">
        <f t="array" ref="B622">XLOOKUP(C622, Channel_Listings!C:C, Channel_Listings!B:B)
</f>
        <v>Garden_Planters</v>
      </c>
      <c r="C622" s="24" t="s">
        <v>1016</v>
      </c>
      <c r="D622" s="14" t="str">
        <f t="array" ref="D622">XLOOKUP(C622, Channel_Listings!C:C, Channel_Listings!D:D)
</f>
        <v>PLANTER-ROUNDORCHID-SAUCER14-PK12</v>
      </c>
      <c r="E622" s="15"/>
      <c r="F622" s="16">
        <f t="array" ref="F622">IFERROR(
  VALUE( INDEX(Product_Master!$I:$I,
               MATCH( INDEX(Pack_Master!$B:$B, MATCH($D622, Pack_Master!$A:$A, 0)),
                      Product_Master!$B:$B, 0)
  )) 
  * VALUE( INDEX(Pack_Master!$C:$C, MATCH($D622, Pack_Master!$A:$A, 0)) )
  + VALUE( INDEX(Pack_Master!$D:$D, MATCH($D622, Pack_Master!$A:$A, 0)) ),
"")
</f>
        <v>1114</v>
      </c>
      <c r="G622" s="17">
        <f t="array" ref="G622">IFERROR(
 ( INDEX(Pack_Master!E:E, MATCH($D622, Pack_Master!A:A, 0))
   * INDEX(Pack_Master!F:F, MATCH($D622, Pack_Master!A:A, 0))
   * INDEX(Pack_Master!G:G, MATCH($D622, Pack_Master!A:A, 0))
 ) / INDEX(Config!C:C, MATCH($A622, Config!A:A, 0)),
"")
</f>
        <v>17.2494</v>
      </c>
      <c r="H622" s="17">
        <f t="array" ref="H622">MAX( INDEX(Pack_Master!H:H, MATCH($D622, Pack_Master!A:A, 0)),
      IFERROR(G622, 0) )
</f>
        <v>17.2494</v>
      </c>
      <c r="I622" s="18">
        <f>IFERROR(__xludf.DUMMYFUNCTION("IFERROR(
 INDEX(
   FILTER(Shipping_Rate_Card!B:F, Shipping_Rate_Card!A:A=$A622),
   MATCH($H622, FILTER(Shipping_Rate_Card!B:B, Shipping_Rate_Card!A:A=$A622), 1),
   IF( INDEX(Config!B:B, MATCH($A622, Config!A:A, 0))=""Local"", 2,
     IF( INDEX(Config!B"&amp;":B, MATCH($A622, Config!A:A, 0))=""Regional"", 3, 4 )
   )
 ),
"""")
"),335.0)</f>
        <v>335</v>
      </c>
      <c r="J622" s="16">
        <f>IFERROR(__xludf.DUMMYFUNCTION("IFERROR(
 ( E622 * INDEX(FILTER(Pricing_Rules!E:E, Pricing_Rules!A:A=A622, Pricing_Rules!B:B=B622, Pricing_Rules!C:C&lt;=E622, Pricing_Rules!D:D&gt;=E622), 1)
   + INDEX(FILTER(Pricing_Rules!F:F, Pricing_Rules!A:A=A622, Pricing_Rules!B:B=B622, Pricing_Rules!C:C"&amp;"&lt;=E622, Pricing_Rules!D:D&gt;=E622), 1)
 )
 * (1 + IFERROR( INDEX(Config!D:D, MATCH(A622, Config!A:A, 0)), 0 )),
"""")
"),5.8999999999999995)</f>
        <v>5.9</v>
      </c>
      <c r="K622" s="19">
        <f t="shared" si="3"/>
        <v>-1454.9</v>
      </c>
      <c r="L622" s="20" t="str">
        <f t="shared" si="4"/>
        <v/>
      </c>
    </row>
    <row r="623" ht="15.75" customHeight="1">
      <c r="A623" s="9" t="s">
        <v>9</v>
      </c>
      <c r="B623" s="12" t="str">
        <f t="array" ref="B623">XLOOKUP(C623, Channel_Listings!C:C, Channel_Listings!B:B)
</f>
        <v>Garden_Planters</v>
      </c>
      <c r="C623" s="24" t="s">
        <v>1018</v>
      </c>
      <c r="D623" s="14" t="str">
        <f t="array" ref="D623">XLOOKUP(C623, Channel_Listings!C:C, Channel_Listings!D:D)
</f>
        <v>PLANTER-ROUNDORCHID-SAUCER8-PK1</v>
      </c>
      <c r="E623" s="15"/>
      <c r="F623" s="16">
        <f t="array" ref="F623">IFERROR(
  VALUE( INDEX(Product_Master!$I:$I,
               MATCH( INDEX(Pack_Master!$B:$B, MATCH($D623, Pack_Master!$A:$A, 0)),
                      Product_Master!$B:$B, 0)
  )) 
  * VALUE( INDEX(Pack_Master!$C:$C, MATCH($D623, Pack_Master!$A:$A, 0)) )
  + VALUE( INDEX(Pack_Master!$D:$D, MATCH($D623, Pack_Master!$A:$A, 0)) ),
"")
</f>
        <v>53.5</v>
      </c>
      <c r="G623" s="17">
        <f t="array" ref="G623">IFERROR(
 ( INDEX(Pack_Master!E:E, MATCH($D623, Pack_Master!A:A, 0))
   * INDEX(Pack_Master!F:F, MATCH($D623, Pack_Master!A:A, 0))
   * INDEX(Pack_Master!G:G, MATCH($D623, Pack_Master!A:A, 0))
 ) / INDEX(Config!C:C, MATCH($A623, Config!A:A, 0)),
"")
</f>
        <v>1.7986</v>
      </c>
      <c r="H623" s="17">
        <f t="array" ref="H623">MAX( INDEX(Pack_Master!H:H, MATCH($D623, Pack_Master!A:A, 0)),
      IFERROR(G623, 0) )
</f>
        <v>1.7986</v>
      </c>
      <c r="I623" s="18">
        <f>IFERROR(__xludf.DUMMYFUNCTION("IFERROR(
 INDEX(
   FILTER(Shipping_Rate_Card!B:F, Shipping_Rate_Card!A:A=$A623),
   MATCH($H623, FILTER(Shipping_Rate_Card!B:B, Shipping_Rate_Card!A:A=$A623), 1),
   IF( INDEX(Config!B:B, MATCH($A623, Config!A:A, 0))=""Local"", 2,
     IF( INDEX(Config!B"&amp;":B, MATCH($A623, Config!A:A, 0))=""Regional"", 3, 4 )
   )
 ),
"""")
"),121.0)</f>
        <v>121</v>
      </c>
      <c r="J623" s="16">
        <f>IFERROR(__xludf.DUMMYFUNCTION("IFERROR(
 ( E623 * INDEX(FILTER(Pricing_Rules!E:E, Pricing_Rules!A:A=A623, Pricing_Rules!B:B=B623, Pricing_Rules!C:C&lt;=E623, Pricing_Rules!D:D&gt;=E623), 1)
   + INDEX(FILTER(Pricing_Rules!F:F, Pricing_Rules!A:A=A623, Pricing_Rules!B:B=B623, Pricing_Rules!C:C"&amp;"&lt;=E623, Pricing_Rules!D:D&gt;=E623), 1)
 )
 * (1 + IFERROR( INDEX(Config!D:D, MATCH(A623, Config!A:A, 0)), 0 )),
"""")
"),5.8999999999999995)</f>
        <v>5.9</v>
      </c>
      <c r="K623" s="19">
        <f t="shared" si="3"/>
        <v>-180.4</v>
      </c>
      <c r="L623" s="20" t="str">
        <f t="shared" si="4"/>
        <v/>
      </c>
    </row>
    <row r="624" ht="15.75" customHeight="1">
      <c r="A624" s="9" t="s">
        <v>9</v>
      </c>
      <c r="B624" s="12" t="str">
        <f t="array" ref="B624">XLOOKUP(C624, Channel_Listings!C:C, Channel_Listings!B:B)
</f>
        <v>Garden_Planters</v>
      </c>
      <c r="C624" s="24" t="s">
        <v>1019</v>
      </c>
      <c r="D624" s="14" t="str">
        <f t="array" ref="D624">XLOOKUP(C624, Channel_Listings!C:C, Channel_Listings!D:D)
</f>
        <v>PLANTER-ROUNDORCHID-SAUCER8-PK3</v>
      </c>
      <c r="E624" s="15"/>
      <c r="F624" s="16">
        <f t="array" ref="F624">IFERROR(
  VALUE( INDEX(Product_Master!$I:$I,
               MATCH( INDEX(Pack_Master!$B:$B, MATCH($D624, Pack_Master!$A:$A, 0)),
                      Product_Master!$B:$B, 0)
  )) 
  * VALUE( INDEX(Pack_Master!$C:$C, MATCH($D624, Pack_Master!$A:$A, 0)) )
  + VALUE( INDEX(Pack_Master!$D:$D, MATCH($D624, Pack_Master!$A:$A, 0)) ),
"")
</f>
        <v>100.5</v>
      </c>
      <c r="G624" s="17">
        <f t="array" ref="G624">IFERROR(
 ( INDEX(Pack_Master!E:E, MATCH($D624, Pack_Master!A:A, 0))
   * INDEX(Pack_Master!F:F, MATCH($D624, Pack_Master!A:A, 0))
   * INDEX(Pack_Master!G:G, MATCH($D624, Pack_Master!A:A, 0))
 ) / INDEX(Config!C:C, MATCH($A624, Config!A:A, 0)),
"")
</f>
        <v>2.0102</v>
      </c>
      <c r="H624" s="17">
        <f t="array" ref="H624">MAX( INDEX(Pack_Master!H:H, MATCH($D624, Pack_Master!A:A, 0)),
      IFERROR(G624, 0) )
</f>
        <v>2.0102</v>
      </c>
      <c r="I624" s="18">
        <f>IFERROR(__xludf.DUMMYFUNCTION("IFERROR(
 INDEX(
   FILTER(Shipping_Rate_Card!B:F, Shipping_Rate_Card!A:A=$A624),
   MATCH($H624, FILTER(Shipping_Rate_Card!B:B, Shipping_Rate_Card!A:A=$A624), 1),
   IF( INDEX(Config!B:B, MATCH($A624, Config!A:A, 0))=""Local"", 2,
     IF( INDEX(Config!B"&amp;":B, MATCH($A624, Config!A:A, 0))=""Regional"", 3, 4 )
   )
 ),
"""")
"),155.0)</f>
        <v>155</v>
      </c>
      <c r="J624" s="16">
        <f>IFERROR(__xludf.DUMMYFUNCTION("IFERROR(
 ( E624 * INDEX(FILTER(Pricing_Rules!E:E, Pricing_Rules!A:A=A624, Pricing_Rules!B:B=B624, Pricing_Rules!C:C&lt;=E624, Pricing_Rules!D:D&gt;=E624), 1)
   + INDEX(FILTER(Pricing_Rules!F:F, Pricing_Rules!A:A=A624, Pricing_Rules!B:B=B624, Pricing_Rules!C:C"&amp;"&lt;=E624, Pricing_Rules!D:D&gt;=E624), 1)
 )
 * (1 + IFERROR( INDEX(Config!D:D, MATCH(A624, Config!A:A, 0)), 0 )),
"""")
"),5.8999999999999995)</f>
        <v>5.9</v>
      </c>
      <c r="K624" s="19">
        <f t="shared" si="3"/>
        <v>-261.4</v>
      </c>
      <c r="L624" s="20" t="str">
        <f t="shared" si="4"/>
        <v/>
      </c>
    </row>
    <row r="625" ht="15.75" customHeight="1">
      <c r="A625" s="9" t="s">
        <v>9</v>
      </c>
      <c r="B625" s="12" t="str">
        <f t="array" ref="B625">XLOOKUP(C625, Channel_Listings!C:C, Channel_Listings!B:B)
</f>
        <v>Garden_Planters</v>
      </c>
      <c r="C625" s="24" t="s">
        <v>1021</v>
      </c>
      <c r="D625" s="14" t="str">
        <f t="array" ref="D625">XLOOKUP(C625, Channel_Listings!C:C, Channel_Listings!D:D)
</f>
        <v>PLANTER-ROUNDORCHID-SAUCER8-PK6</v>
      </c>
      <c r="E625" s="15"/>
      <c r="F625" s="16">
        <f t="array" ref="F625">IFERROR(
  VALUE( INDEX(Product_Master!$I:$I,
               MATCH( INDEX(Pack_Master!$B:$B, MATCH($D625, Pack_Master!$A:$A, 0)),
                      Product_Master!$B:$B, 0)
  )) 
  * VALUE( INDEX(Pack_Master!$C:$C, MATCH($D625, Pack_Master!$A:$A, 0)) )
  + VALUE( INDEX(Pack_Master!$D:$D, MATCH($D625, Pack_Master!$A:$A, 0)) ),
"")
</f>
        <v>171</v>
      </c>
      <c r="G625" s="17">
        <f t="array" ref="G625">IFERROR(
 ( INDEX(Pack_Master!E:E, MATCH($D625, Pack_Master!A:A, 0))
   * INDEX(Pack_Master!F:F, MATCH($D625, Pack_Master!A:A, 0))
   * INDEX(Pack_Master!G:G, MATCH($D625, Pack_Master!A:A, 0))
 ) / INDEX(Config!C:C, MATCH($A625, Config!A:A, 0)),
"")
</f>
        <v>2.5392</v>
      </c>
      <c r="H625" s="17">
        <f t="array" ref="H625">MAX( INDEX(Pack_Master!H:H, MATCH($D625, Pack_Master!A:A, 0)),
      IFERROR(G625, 0) )
</f>
        <v>2.5392</v>
      </c>
      <c r="I625" s="18">
        <f>IFERROR(__xludf.DUMMYFUNCTION("IFERROR(
 INDEX(
   FILTER(Shipping_Rate_Card!B:F, Shipping_Rate_Card!A:A=$A625),
   MATCH($H625, FILTER(Shipping_Rate_Card!B:B, Shipping_Rate_Card!A:A=$A625), 1),
   IF( INDEX(Config!B:B, MATCH($A625, Config!A:A, 0))=""Local"", 2,
     IF( INDEX(Config!B"&amp;":B, MATCH($A625, Config!A:A, 0))=""Regional"", 3, 4 )
   )
 ),
"""")
"),155.0)</f>
        <v>155</v>
      </c>
      <c r="J625" s="16">
        <f>IFERROR(__xludf.DUMMYFUNCTION("IFERROR(
 ( E625 * INDEX(FILTER(Pricing_Rules!E:E, Pricing_Rules!A:A=A625, Pricing_Rules!B:B=B625, Pricing_Rules!C:C&lt;=E625, Pricing_Rules!D:D&gt;=E625), 1)
   + INDEX(FILTER(Pricing_Rules!F:F, Pricing_Rules!A:A=A625, Pricing_Rules!B:B=B625, Pricing_Rules!C:C"&amp;"&lt;=E625, Pricing_Rules!D:D&gt;=E625), 1)
 )
 * (1 + IFERROR( INDEX(Config!D:D, MATCH(A625, Config!A:A, 0)), 0 )),
"""")
"),5.8999999999999995)</f>
        <v>5.9</v>
      </c>
      <c r="K625" s="19">
        <f t="shared" si="3"/>
        <v>-331.9</v>
      </c>
      <c r="L625" s="20" t="str">
        <f t="shared" si="4"/>
        <v/>
      </c>
    </row>
    <row r="626" ht="15.75" customHeight="1">
      <c r="A626" s="9" t="s">
        <v>9</v>
      </c>
      <c r="B626" s="12" t="str">
        <f t="array" ref="B626">XLOOKUP(C626, Channel_Listings!C:C, Channel_Listings!B:B)
</f>
        <v>Garden_Planters</v>
      </c>
      <c r="C626" s="24" t="s">
        <v>1023</v>
      </c>
      <c r="D626" s="14" t="str">
        <f t="array" ref="D626">XLOOKUP(C626, Channel_Listings!C:C, Channel_Listings!D:D)
</f>
        <v>PLANTER-ROUNDORCHID-SAUCER8-PK12</v>
      </c>
      <c r="E626" s="15"/>
      <c r="F626" s="16">
        <f t="array" ref="F626">IFERROR(
  VALUE( INDEX(Product_Master!$I:$I,
               MATCH( INDEX(Pack_Master!$B:$B, MATCH($D626, Pack_Master!$A:$A, 0)),
                      Product_Master!$B:$B, 0)
  )) 
  * VALUE( INDEX(Pack_Master!$C:$C, MATCH($D626, Pack_Master!$A:$A, 0)) )
  + VALUE( INDEX(Pack_Master!$D:$D, MATCH($D626, Pack_Master!$A:$A, 0)) ),
"")
</f>
        <v>312</v>
      </c>
      <c r="G626" s="17">
        <f t="array" ref="G626">IFERROR(
 ( INDEX(Pack_Master!E:E, MATCH($D626, Pack_Master!A:A, 0))
   * INDEX(Pack_Master!F:F, MATCH($D626, Pack_Master!A:A, 0))
   * INDEX(Pack_Master!G:G, MATCH($D626, Pack_Master!A:A, 0))
 ) / INDEX(Config!C:C, MATCH($A626, Config!A:A, 0)),
"")
</f>
        <v>3.3856</v>
      </c>
      <c r="H626" s="17">
        <f t="array" ref="H626">MAX( INDEX(Pack_Master!H:H, MATCH($D626, Pack_Master!A:A, 0)),
      IFERROR(G626, 0) )
</f>
        <v>3.3856</v>
      </c>
      <c r="I626" s="18">
        <f>IFERROR(__xludf.DUMMYFUNCTION("IFERROR(
 INDEX(
   FILTER(Shipping_Rate_Card!B:F, Shipping_Rate_Card!A:A=$A626),
   MATCH($H626, FILTER(Shipping_Rate_Card!B:B, Shipping_Rate_Card!A:A=$A626), 1),
   IF( INDEX(Config!B:B, MATCH($A626, Config!A:A, 0))=""Local"", 2,
     IF( INDEX(Config!B"&amp;":B, MATCH($A626, Config!A:A, 0))=""Regional"", 3, 4 )
   )
 ),
"""")
"),223.0)</f>
        <v>223</v>
      </c>
      <c r="J626" s="16">
        <f>IFERROR(__xludf.DUMMYFUNCTION("IFERROR(
 ( E626 * INDEX(FILTER(Pricing_Rules!E:E, Pricing_Rules!A:A=A626, Pricing_Rules!B:B=B626, Pricing_Rules!C:C&lt;=E626, Pricing_Rules!D:D&gt;=E626), 1)
   + INDEX(FILTER(Pricing_Rules!F:F, Pricing_Rules!A:A=A626, Pricing_Rules!B:B=B626, Pricing_Rules!C:C"&amp;"&lt;=E626, Pricing_Rules!D:D&gt;=E626), 1)
 )
 * (1 + IFERROR( INDEX(Config!D:D, MATCH(A626, Config!A:A, 0)), 0 )),
"""")
"),5.8999999999999995)</f>
        <v>5.9</v>
      </c>
      <c r="K626" s="19">
        <f t="shared" si="3"/>
        <v>-540.9</v>
      </c>
      <c r="L626" s="20" t="str">
        <f t="shared" si="4"/>
        <v/>
      </c>
    </row>
    <row r="627" ht="15.75" customHeight="1">
      <c r="A627" s="9" t="s">
        <v>9</v>
      </c>
      <c r="B627" s="12" t="str">
        <f t="array" ref="B627">XLOOKUP(C627, Channel_Listings!C:C, Channel_Listings!B:B)
</f>
        <v>Garden_Planters</v>
      </c>
      <c r="C627" s="22" t="s">
        <v>1025</v>
      </c>
      <c r="D627" s="14" t="str">
        <f t="array" ref="D627">XLOOKUP(C627, Channel_Listings!C:C, Channel_Listings!D:D)
</f>
        <v>PLANTERS-COLOR-ROUND-FULORA5-PK3</v>
      </c>
      <c r="E627" s="15"/>
      <c r="F627" s="16">
        <f t="array" ref="F627">IFERROR(
  VALUE( INDEX(Product_Master!$I:$I,
               MATCH( INDEX(Pack_Master!$B:$B, MATCH($D627, Pack_Master!$A:$A, 0)),
                      Product_Master!$B:$B, 0)
  )) 
  * VALUE( INDEX(Pack_Master!$C:$C, MATCH($D627, Pack_Master!$A:$A, 0)) )
  + VALUE( INDEX(Pack_Master!$D:$D, MATCH($D627, Pack_Master!$A:$A, 0)) ),
"")
</f>
        <v>9</v>
      </c>
      <c r="G627" s="17">
        <f t="array" ref="G627">IFERROR(
 ( INDEX(Pack_Master!E:E, MATCH($D627, Pack_Master!A:A, 0))
   * INDEX(Pack_Master!F:F, MATCH($D627, Pack_Master!A:A, 0))
   * INDEX(Pack_Master!G:G, MATCH($D627, Pack_Master!A:A, 0))
 ) / INDEX(Config!C:C, MATCH($A627, Config!A:A, 0)),
"")
</f>
        <v>0</v>
      </c>
      <c r="H627" s="17">
        <f t="array" ref="H627">MAX( INDEX(Pack_Master!H:H, MATCH($D627, Pack_Master!A:A, 0)),
      IFERROR(G627, 0) )
</f>
        <v>0</v>
      </c>
      <c r="I627" s="18" t="str">
        <f>IFERROR(__xludf.DUMMYFUNCTION("IFERROR(
 INDEX(
   FILTER(Shipping_Rate_Card!B:F, Shipping_Rate_Card!A:A=$A627),
   MATCH($H627, FILTER(Shipping_Rate_Card!B:B, Shipping_Rate_Card!A:A=$A627), 1),
   IF( INDEX(Config!B:B, MATCH($A627, Config!A:A, 0))=""Local"", 2,
     IF( INDEX(Config!B"&amp;":B, MATCH($A627, Config!A:A, 0))=""Regional"", 3, 4 )
   )
 ),
"""")
"),"")</f>
        <v/>
      </c>
      <c r="J627" s="16">
        <f>IFERROR(__xludf.DUMMYFUNCTION("IFERROR(
 ( E627 * INDEX(FILTER(Pricing_Rules!E:E, Pricing_Rules!A:A=A627, Pricing_Rules!B:B=B627, Pricing_Rules!C:C&lt;=E627, Pricing_Rules!D:D&gt;=E627), 1)
   + INDEX(FILTER(Pricing_Rules!F:F, Pricing_Rules!A:A=A627, Pricing_Rules!B:B=B627, Pricing_Rules!C:C"&amp;"&lt;=E627, Pricing_Rules!D:D&gt;=E627), 1)
 )
 * (1 + IFERROR( INDEX(Config!D:D, MATCH(A627, Config!A:A, 0)), 0 )),
"""")
"),5.8999999999999995)</f>
        <v>5.9</v>
      </c>
      <c r="K627" s="19">
        <f t="shared" si="3"/>
        <v>-14.9</v>
      </c>
      <c r="L627" s="20" t="str">
        <f t="shared" si="4"/>
        <v/>
      </c>
    </row>
    <row r="628" ht="15.75" customHeight="1">
      <c r="A628" s="9" t="s">
        <v>9</v>
      </c>
      <c r="B628" s="12" t="str">
        <f t="array" ref="B628">XLOOKUP(C628, Channel_Listings!C:C, Channel_Listings!B:B)
</f>
        <v>Garden_Planters</v>
      </c>
      <c r="C628" s="22" t="s">
        <v>1027</v>
      </c>
      <c r="D628" s="14" t="str">
        <f t="array" ref="D628">XLOOKUP(C628, Channel_Listings!C:C, Channel_Listings!D:D)
</f>
        <v>PLANTERS-COLOR-ROUND-FULORA5-PK5</v>
      </c>
      <c r="E628" s="15"/>
      <c r="F628" s="16">
        <f t="array" ref="F628">IFERROR(
  VALUE( INDEX(Product_Master!$I:$I,
               MATCH( INDEX(Pack_Master!$B:$B, MATCH($D628, Pack_Master!$A:$A, 0)),
                      Product_Master!$B:$B, 0)
  )) 
  * VALUE( INDEX(Pack_Master!$C:$C, MATCH($D628, Pack_Master!$A:$A, 0)) )
  + VALUE( INDEX(Pack_Master!$D:$D, MATCH($D628, Pack_Master!$A:$A, 0)) ),
"")
</f>
        <v>15</v>
      </c>
      <c r="G628" s="17">
        <f t="array" ref="G628">IFERROR(
 ( INDEX(Pack_Master!E:E, MATCH($D628, Pack_Master!A:A, 0))
   * INDEX(Pack_Master!F:F, MATCH($D628, Pack_Master!A:A, 0))
   * INDEX(Pack_Master!G:G, MATCH($D628, Pack_Master!A:A, 0))
 ) / INDEX(Config!C:C, MATCH($A628, Config!A:A, 0)),
"")
</f>
        <v>0</v>
      </c>
      <c r="H628" s="17">
        <f t="array" ref="H628">MAX( INDEX(Pack_Master!H:H, MATCH($D628, Pack_Master!A:A, 0)),
      IFERROR(G628, 0) )
</f>
        <v>0</v>
      </c>
      <c r="I628" s="18" t="str">
        <f>IFERROR(__xludf.DUMMYFUNCTION("IFERROR(
 INDEX(
   FILTER(Shipping_Rate_Card!B:F, Shipping_Rate_Card!A:A=$A628),
   MATCH($H628, FILTER(Shipping_Rate_Card!B:B, Shipping_Rate_Card!A:A=$A628), 1),
   IF( INDEX(Config!B:B, MATCH($A628, Config!A:A, 0))=""Local"", 2,
     IF( INDEX(Config!B"&amp;":B, MATCH($A628, Config!A:A, 0))=""Regional"", 3, 4 )
   )
 ),
"""")
"),"")</f>
        <v/>
      </c>
      <c r="J628" s="16">
        <f>IFERROR(__xludf.DUMMYFUNCTION("IFERROR(
 ( E628 * INDEX(FILTER(Pricing_Rules!E:E, Pricing_Rules!A:A=A628, Pricing_Rules!B:B=B628, Pricing_Rules!C:C&lt;=E628, Pricing_Rules!D:D&gt;=E628), 1)
   + INDEX(FILTER(Pricing_Rules!F:F, Pricing_Rules!A:A=A628, Pricing_Rules!B:B=B628, Pricing_Rules!C:C"&amp;"&lt;=E628, Pricing_Rules!D:D&gt;=E628), 1)
 )
 * (1 + IFERROR( INDEX(Config!D:D, MATCH(A628, Config!A:A, 0)), 0 )),
"""")
"),5.8999999999999995)</f>
        <v>5.9</v>
      </c>
      <c r="K628" s="19">
        <f t="shared" si="3"/>
        <v>-20.9</v>
      </c>
      <c r="L628" s="20" t="str">
        <f t="shared" si="4"/>
        <v/>
      </c>
    </row>
    <row r="629" ht="15.75" customHeight="1">
      <c r="A629" s="9" t="s">
        <v>9</v>
      </c>
      <c r="B629" s="12" t="str">
        <f t="array" ref="B629">XLOOKUP(C629, Channel_Listings!C:C, Channel_Listings!B:B)
</f>
        <v>Garden_Planters</v>
      </c>
      <c r="C629" s="22" t="s">
        <v>1029</v>
      </c>
      <c r="D629" s="14" t="str">
        <f t="array" ref="D629">XLOOKUP(C629, Channel_Listings!C:C, Channel_Listings!D:D)
</f>
        <v>PLANTERS-COLOR-ROUND-FULORA7-PK3</v>
      </c>
      <c r="E629" s="15"/>
      <c r="F629" s="16">
        <f t="array" ref="F629">IFERROR(
  VALUE( INDEX(Product_Master!$I:$I,
               MATCH( INDEX(Pack_Master!$B:$B, MATCH($D629, Pack_Master!$A:$A, 0)),
                      Product_Master!$B:$B, 0)
  )) 
  * VALUE( INDEX(Pack_Master!$C:$C, MATCH($D629, Pack_Master!$A:$A, 0)) )
  + VALUE( INDEX(Pack_Master!$D:$D, MATCH($D629, Pack_Master!$A:$A, 0)) ),
"")
</f>
        <v>9</v>
      </c>
      <c r="G629" s="17">
        <f t="array" ref="G629">IFERROR(
 ( INDEX(Pack_Master!E:E, MATCH($D629, Pack_Master!A:A, 0))
   * INDEX(Pack_Master!F:F, MATCH($D629, Pack_Master!A:A, 0))
   * INDEX(Pack_Master!G:G, MATCH($D629, Pack_Master!A:A, 0))
 ) / INDEX(Config!C:C, MATCH($A629, Config!A:A, 0)),
"")
</f>
        <v>0</v>
      </c>
      <c r="H629" s="17">
        <f t="array" ref="H629">MAX( INDEX(Pack_Master!H:H, MATCH($D629, Pack_Master!A:A, 0)),
      IFERROR(G629, 0) )
</f>
        <v>0</v>
      </c>
      <c r="I629" s="18" t="str">
        <f>IFERROR(__xludf.DUMMYFUNCTION("IFERROR(
 INDEX(
   FILTER(Shipping_Rate_Card!B:F, Shipping_Rate_Card!A:A=$A629),
   MATCH($H629, FILTER(Shipping_Rate_Card!B:B, Shipping_Rate_Card!A:A=$A629), 1),
   IF( INDEX(Config!B:B, MATCH($A629, Config!A:A, 0))=""Local"", 2,
     IF( INDEX(Config!B"&amp;":B, MATCH($A629, Config!A:A, 0))=""Regional"", 3, 4 )
   )
 ),
"""")
"),"")</f>
        <v/>
      </c>
      <c r="J629" s="16">
        <f>IFERROR(__xludf.DUMMYFUNCTION("IFERROR(
 ( E629 * INDEX(FILTER(Pricing_Rules!E:E, Pricing_Rules!A:A=A629, Pricing_Rules!B:B=B629, Pricing_Rules!C:C&lt;=E629, Pricing_Rules!D:D&gt;=E629), 1)
   + INDEX(FILTER(Pricing_Rules!F:F, Pricing_Rules!A:A=A629, Pricing_Rules!B:B=B629, Pricing_Rules!C:C"&amp;"&lt;=E629, Pricing_Rules!D:D&gt;=E629), 1)
 )
 * (1 + IFERROR( INDEX(Config!D:D, MATCH(A629, Config!A:A, 0)), 0 )),
"""")
"),5.8999999999999995)</f>
        <v>5.9</v>
      </c>
      <c r="K629" s="19">
        <f t="shared" si="3"/>
        <v>-14.9</v>
      </c>
      <c r="L629" s="20" t="str">
        <f t="shared" si="4"/>
        <v/>
      </c>
    </row>
    <row r="630" ht="15.75" customHeight="1">
      <c r="A630" s="9" t="s">
        <v>9</v>
      </c>
      <c r="B630" s="12" t="str">
        <f t="array" ref="B630">XLOOKUP(C630, Channel_Listings!C:C, Channel_Listings!B:B)
</f>
        <v>Garden_Planters</v>
      </c>
      <c r="C630" s="22" t="s">
        <v>1031</v>
      </c>
      <c r="D630" s="14" t="str">
        <f t="array" ref="D630">XLOOKUP(C630, Channel_Listings!C:C, Channel_Listings!D:D)
</f>
        <v>PLANTERS-COLOR-ROUND-FULORA7-PK5</v>
      </c>
      <c r="E630" s="15"/>
      <c r="F630" s="16">
        <f t="array" ref="F630">IFERROR(
  VALUE( INDEX(Product_Master!$I:$I,
               MATCH( INDEX(Pack_Master!$B:$B, MATCH($D630, Pack_Master!$A:$A, 0)),
                      Product_Master!$B:$B, 0)
  )) 
  * VALUE( INDEX(Pack_Master!$C:$C, MATCH($D630, Pack_Master!$A:$A, 0)) )
  + VALUE( INDEX(Pack_Master!$D:$D, MATCH($D630, Pack_Master!$A:$A, 0)) ),
"")
</f>
        <v>15</v>
      </c>
      <c r="G630" s="17">
        <f t="array" ref="G630">IFERROR(
 ( INDEX(Pack_Master!E:E, MATCH($D630, Pack_Master!A:A, 0))
   * INDEX(Pack_Master!F:F, MATCH($D630, Pack_Master!A:A, 0))
   * INDEX(Pack_Master!G:G, MATCH($D630, Pack_Master!A:A, 0))
 ) / INDEX(Config!C:C, MATCH($A630, Config!A:A, 0)),
"")
</f>
        <v>0</v>
      </c>
      <c r="H630" s="17">
        <f t="array" ref="H630">MAX( INDEX(Pack_Master!H:H, MATCH($D630, Pack_Master!A:A, 0)),
      IFERROR(G630, 0) )
</f>
        <v>0</v>
      </c>
      <c r="I630" s="18" t="str">
        <f>IFERROR(__xludf.DUMMYFUNCTION("IFERROR(
 INDEX(
   FILTER(Shipping_Rate_Card!B:F, Shipping_Rate_Card!A:A=$A630),
   MATCH($H630, FILTER(Shipping_Rate_Card!B:B, Shipping_Rate_Card!A:A=$A630), 1),
   IF( INDEX(Config!B:B, MATCH($A630, Config!A:A, 0))=""Local"", 2,
     IF( INDEX(Config!B"&amp;":B, MATCH($A630, Config!A:A, 0))=""Regional"", 3, 4 )
   )
 ),
"""")
"),"")</f>
        <v/>
      </c>
      <c r="J630" s="16">
        <f>IFERROR(__xludf.DUMMYFUNCTION("IFERROR(
 ( E630 * INDEX(FILTER(Pricing_Rules!E:E, Pricing_Rules!A:A=A630, Pricing_Rules!B:B=B630, Pricing_Rules!C:C&lt;=E630, Pricing_Rules!D:D&gt;=E630), 1)
   + INDEX(FILTER(Pricing_Rules!F:F, Pricing_Rules!A:A=A630, Pricing_Rules!B:B=B630, Pricing_Rules!C:C"&amp;"&lt;=E630, Pricing_Rules!D:D&gt;=E630), 1)
 )
 * (1 + IFERROR( INDEX(Config!D:D, MATCH(A630, Config!A:A, 0)), 0 )),
"""")
"),5.8999999999999995)</f>
        <v>5.9</v>
      </c>
      <c r="K630" s="19">
        <f t="shared" si="3"/>
        <v>-20.9</v>
      </c>
      <c r="L630" s="20" t="str">
        <f t="shared" si="4"/>
        <v/>
      </c>
    </row>
    <row r="631" ht="15.75" customHeight="1">
      <c r="A631" s="9" t="s">
        <v>9</v>
      </c>
      <c r="B631" s="12" t="str">
        <f t="array" ref="B631">XLOOKUP(C631, Channel_Listings!C:C, Channel_Listings!B:B)
</f>
        <v>Garden_Planters</v>
      </c>
      <c r="C631" s="22" t="s">
        <v>1033</v>
      </c>
      <c r="D631" s="14" t="str">
        <f t="array" ref="D631">XLOOKUP(C631, Channel_Listings!C:C, Channel_Listings!D:D)
</f>
        <v>PLANTERS-COLOR-ROUND-FULORA9-PK3</v>
      </c>
      <c r="E631" s="15"/>
      <c r="F631" s="16">
        <f t="array" ref="F631">IFERROR(
  VALUE( INDEX(Product_Master!$I:$I,
               MATCH( INDEX(Pack_Master!$B:$B, MATCH($D631, Pack_Master!$A:$A, 0)),
                      Product_Master!$B:$B, 0)
  )) 
  * VALUE( INDEX(Pack_Master!$C:$C, MATCH($D631, Pack_Master!$A:$A, 0)) )
  + VALUE( INDEX(Pack_Master!$D:$D, MATCH($D631, Pack_Master!$A:$A, 0)) ),
"")
</f>
        <v>9</v>
      </c>
      <c r="G631" s="17">
        <f t="array" ref="G631">IFERROR(
 ( INDEX(Pack_Master!E:E, MATCH($D631, Pack_Master!A:A, 0))
   * INDEX(Pack_Master!F:F, MATCH($D631, Pack_Master!A:A, 0))
   * INDEX(Pack_Master!G:G, MATCH($D631, Pack_Master!A:A, 0))
 ) / INDEX(Config!C:C, MATCH($A631, Config!A:A, 0)),
"")
</f>
        <v>0</v>
      </c>
      <c r="H631" s="17">
        <f t="array" ref="H631">MAX( INDEX(Pack_Master!H:H, MATCH($D631, Pack_Master!A:A, 0)),
      IFERROR(G631, 0) )
</f>
        <v>0</v>
      </c>
      <c r="I631" s="18" t="str">
        <f>IFERROR(__xludf.DUMMYFUNCTION("IFERROR(
 INDEX(
   FILTER(Shipping_Rate_Card!B:F, Shipping_Rate_Card!A:A=$A631),
   MATCH($H631, FILTER(Shipping_Rate_Card!B:B, Shipping_Rate_Card!A:A=$A631), 1),
   IF( INDEX(Config!B:B, MATCH($A631, Config!A:A, 0))=""Local"", 2,
     IF( INDEX(Config!B"&amp;":B, MATCH($A631, Config!A:A, 0))=""Regional"", 3, 4 )
   )
 ),
"""")
"),"")</f>
        <v/>
      </c>
      <c r="J631" s="16">
        <f>IFERROR(__xludf.DUMMYFUNCTION("IFERROR(
 ( E631 * INDEX(FILTER(Pricing_Rules!E:E, Pricing_Rules!A:A=A631, Pricing_Rules!B:B=B631, Pricing_Rules!C:C&lt;=E631, Pricing_Rules!D:D&gt;=E631), 1)
   + INDEX(FILTER(Pricing_Rules!F:F, Pricing_Rules!A:A=A631, Pricing_Rules!B:B=B631, Pricing_Rules!C:C"&amp;"&lt;=E631, Pricing_Rules!D:D&gt;=E631), 1)
 )
 * (1 + IFERROR( INDEX(Config!D:D, MATCH(A631, Config!A:A, 0)), 0 )),
"""")
"),5.8999999999999995)</f>
        <v>5.9</v>
      </c>
      <c r="K631" s="19">
        <f t="shared" si="3"/>
        <v>-14.9</v>
      </c>
      <c r="L631" s="20" t="str">
        <f t="shared" si="4"/>
        <v/>
      </c>
    </row>
    <row r="632" ht="15.75" customHeight="1">
      <c r="A632" s="9" t="s">
        <v>9</v>
      </c>
      <c r="B632" s="12" t="str">
        <f t="array" ref="B632">XLOOKUP(C632, Channel_Listings!C:C, Channel_Listings!B:B)
</f>
        <v>Garden_Planters</v>
      </c>
      <c r="C632" s="22" t="s">
        <v>1035</v>
      </c>
      <c r="D632" s="14" t="str">
        <f t="array" ref="D632">XLOOKUP(C632, Channel_Listings!C:C, Channel_Listings!D:D)
</f>
        <v>PLANTERS-COLOR-ROUND-FULORA9-PK5</v>
      </c>
      <c r="E632" s="15"/>
      <c r="F632" s="16">
        <f t="array" ref="F632">IFERROR(
  VALUE( INDEX(Product_Master!$I:$I,
               MATCH( INDEX(Pack_Master!$B:$B, MATCH($D632, Pack_Master!$A:$A, 0)),
                      Product_Master!$B:$B, 0)
  )) 
  * VALUE( INDEX(Pack_Master!$C:$C, MATCH($D632, Pack_Master!$A:$A, 0)) )
  + VALUE( INDEX(Pack_Master!$D:$D, MATCH($D632, Pack_Master!$A:$A, 0)) ),
"")
</f>
        <v>15</v>
      </c>
      <c r="G632" s="17">
        <f t="array" ref="G632">IFERROR(
 ( INDEX(Pack_Master!E:E, MATCH($D632, Pack_Master!A:A, 0))
   * INDEX(Pack_Master!F:F, MATCH($D632, Pack_Master!A:A, 0))
   * INDEX(Pack_Master!G:G, MATCH($D632, Pack_Master!A:A, 0))
 ) / INDEX(Config!C:C, MATCH($A632, Config!A:A, 0)),
"")
</f>
        <v>0</v>
      </c>
      <c r="H632" s="17">
        <f t="array" ref="H632">MAX( INDEX(Pack_Master!H:H, MATCH($D632, Pack_Master!A:A, 0)),
      IFERROR(G632, 0) )
</f>
        <v>0</v>
      </c>
      <c r="I632" s="18" t="str">
        <f>IFERROR(__xludf.DUMMYFUNCTION("IFERROR(
 INDEX(
   FILTER(Shipping_Rate_Card!B:F, Shipping_Rate_Card!A:A=$A632),
   MATCH($H632, FILTER(Shipping_Rate_Card!B:B, Shipping_Rate_Card!A:A=$A632), 1),
   IF( INDEX(Config!B:B, MATCH($A632, Config!A:A, 0))=""Local"", 2,
     IF( INDEX(Config!B"&amp;":B, MATCH($A632, Config!A:A, 0))=""Regional"", 3, 4 )
   )
 ),
"""")
"),"")</f>
        <v/>
      </c>
      <c r="J632" s="16">
        <f>IFERROR(__xludf.DUMMYFUNCTION("IFERROR(
 ( E632 * INDEX(FILTER(Pricing_Rules!E:E, Pricing_Rules!A:A=A632, Pricing_Rules!B:B=B632, Pricing_Rules!C:C&lt;=E632, Pricing_Rules!D:D&gt;=E632), 1)
   + INDEX(FILTER(Pricing_Rules!F:F, Pricing_Rules!A:A=A632, Pricing_Rules!B:B=B632, Pricing_Rules!C:C"&amp;"&lt;=E632, Pricing_Rules!D:D&gt;=E632), 1)
 )
 * (1 + IFERROR( INDEX(Config!D:D, MATCH(A632, Config!A:A, 0)), 0 )),
"""")
"),5.8999999999999995)</f>
        <v>5.9</v>
      </c>
      <c r="K632" s="19">
        <f t="shared" si="3"/>
        <v>-20.9</v>
      </c>
      <c r="L632" s="20" t="str">
        <f t="shared" si="4"/>
        <v/>
      </c>
    </row>
    <row r="633" ht="15.75" customHeight="1">
      <c r="A633" s="9" t="s">
        <v>9</v>
      </c>
      <c r="B633" s="12" t="str">
        <f t="array" ref="B633">XLOOKUP(C633, Channel_Listings!C:C, Channel_Listings!B:B)
</f>
        <v>Garden_Planters</v>
      </c>
      <c r="C633" s="22" t="s">
        <v>1037</v>
      </c>
      <c r="D633" s="14" t="str">
        <f t="array" ref="D633">XLOOKUP(C633, Channel_Listings!C:C, Channel_Listings!D:D)
</f>
        <v>PLANTERS-COLOR-SQUARE-STERLING4-PK3</v>
      </c>
      <c r="E633" s="15"/>
      <c r="F633" s="16">
        <f t="array" ref="F633">IFERROR(
  VALUE( INDEX(Product_Master!$I:$I,
               MATCH( INDEX(Pack_Master!$B:$B, MATCH($D633, Pack_Master!$A:$A, 0)),
                      Product_Master!$B:$B, 0)
  )) 
  * VALUE( INDEX(Pack_Master!$C:$C, MATCH($D633, Pack_Master!$A:$A, 0)) )
  + VALUE( INDEX(Pack_Master!$D:$D, MATCH($D633, Pack_Master!$A:$A, 0)) ),
"")
</f>
        <v>9</v>
      </c>
      <c r="G633" s="17">
        <f t="array" ref="G633">IFERROR(
 ( INDEX(Pack_Master!E:E, MATCH($D633, Pack_Master!A:A, 0))
   * INDEX(Pack_Master!F:F, MATCH($D633, Pack_Master!A:A, 0))
   * INDEX(Pack_Master!G:G, MATCH($D633, Pack_Master!A:A, 0))
 ) / INDEX(Config!C:C, MATCH($A633, Config!A:A, 0)),
"")
</f>
        <v>0</v>
      </c>
      <c r="H633" s="17">
        <f t="array" ref="H633">MAX( INDEX(Pack_Master!H:H, MATCH($D633, Pack_Master!A:A, 0)),
      IFERROR(G633, 0) )
</f>
        <v>0</v>
      </c>
      <c r="I633" s="18" t="str">
        <f>IFERROR(__xludf.DUMMYFUNCTION("IFERROR(
 INDEX(
   FILTER(Shipping_Rate_Card!B:F, Shipping_Rate_Card!A:A=$A633),
   MATCH($H633, FILTER(Shipping_Rate_Card!B:B, Shipping_Rate_Card!A:A=$A633), 1),
   IF( INDEX(Config!B:B, MATCH($A633, Config!A:A, 0))=""Local"", 2,
     IF( INDEX(Config!B"&amp;":B, MATCH($A633, Config!A:A, 0))=""Regional"", 3, 4 )
   )
 ),
"""")
"),"")</f>
        <v/>
      </c>
      <c r="J633" s="16">
        <f>IFERROR(__xludf.DUMMYFUNCTION("IFERROR(
 ( E633 * INDEX(FILTER(Pricing_Rules!E:E, Pricing_Rules!A:A=A633, Pricing_Rules!B:B=B633, Pricing_Rules!C:C&lt;=E633, Pricing_Rules!D:D&gt;=E633), 1)
   + INDEX(FILTER(Pricing_Rules!F:F, Pricing_Rules!A:A=A633, Pricing_Rules!B:B=B633, Pricing_Rules!C:C"&amp;"&lt;=E633, Pricing_Rules!D:D&gt;=E633), 1)
 )
 * (1 + IFERROR( INDEX(Config!D:D, MATCH(A633, Config!A:A, 0)), 0 )),
"""")
"),5.8999999999999995)</f>
        <v>5.9</v>
      </c>
      <c r="K633" s="19">
        <f t="shared" si="3"/>
        <v>-14.9</v>
      </c>
      <c r="L633" s="20" t="str">
        <f t="shared" si="4"/>
        <v/>
      </c>
    </row>
    <row r="634" ht="15.75" customHeight="1">
      <c r="A634" s="9" t="s">
        <v>9</v>
      </c>
      <c r="B634" s="12" t="str">
        <f t="array" ref="B634">XLOOKUP(C634, Channel_Listings!C:C, Channel_Listings!B:B)
</f>
        <v>Garden_Planters</v>
      </c>
      <c r="C634" s="22" t="s">
        <v>1040</v>
      </c>
      <c r="D634" s="14" t="str">
        <f t="array" ref="D634">XLOOKUP(C634, Channel_Listings!C:C, Channel_Listings!D:D)
</f>
        <v>PLANTERS-COLOR-SQUARE-STERLING4-PK5</v>
      </c>
      <c r="E634" s="15"/>
      <c r="F634" s="16">
        <f t="array" ref="F634">IFERROR(
  VALUE( INDEX(Product_Master!$I:$I,
               MATCH( INDEX(Pack_Master!$B:$B, MATCH($D634, Pack_Master!$A:$A, 0)),
                      Product_Master!$B:$B, 0)
  )) 
  * VALUE( INDEX(Pack_Master!$C:$C, MATCH($D634, Pack_Master!$A:$A, 0)) )
  + VALUE( INDEX(Pack_Master!$D:$D, MATCH($D634, Pack_Master!$A:$A, 0)) ),
"")
</f>
        <v>15</v>
      </c>
      <c r="G634" s="17">
        <f t="array" ref="G634">IFERROR(
 ( INDEX(Pack_Master!E:E, MATCH($D634, Pack_Master!A:A, 0))
   * INDEX(Pack_Master!F:F, MATCH($D634, Pack_Master!A:A, 0))
   * INDEX(Pack_Master!G:G, MATCH($D634, Pack_Master!A:A, 0))
 ) / INDEX(Config!C:C, MATCH($A634, Config!A:A, 0)),
"")
</f>
        <v>0</v>
      </c>
      <c r="H634" s="17">
        <f t="array" ref="H634">MAX( INDEX(Pack_Master!H:H, MATCH($D634, Pack_Master!A:A, 0)),
      IFERROR(G634, 0) )
</f>
        <v>0</v>
      </c>
      <c r="I634" s="18" t="str">
        <f>IFERROR(__xludf.DUMMYFUNCTION("IFERROR(
 INDEX(
   FILTER(Shipping_Rate_Card!B:F, Shipping_Rate_Card!A:A=$A634),
   MATCH($H634, FILTER(Shipping_Rate_Card!B:B, Shipping_Rate_Card!A:A=$A634), 1),
   IF( INDEX(Config!B:B, MATCH($A634, Config!A:A, 0))=""Local"", 2,
     IF( INDEX(Config!B"&amp;":B, MATCH($A634, Config!A:A, 0))=""Regional"", 3, 4 )
   )
 ),
"""")
"),"")</f>
        <v/>
      </c>
      <c r="J634" s="16">
        <f>IFERROR(__xludf.DUMMYFUNCTION("IFERROR(
 ( E634 * INDEX(FILTER(Pricing_Rules!E:E, Pricing_Rules!A:A=A634, Pricing_Rules!B:B=B634, Pricing_Rules!C:C&lt;=E634, Pricing_Rules!D:D&gt;=E634), 1)
   + INDEX(FILTER(Pricing_Rules!F:F, Pricing_Rules!A:A=A634, Pricing_Rules!B:B=B634, Pricing_Rules!C:C"&amp;"&lt;=E634, Pricing_Rules!D:D&gt;=E634), 1)
 )
 * (1 + IFERROR( INDEX(Config!D:D, MATCH(A634, Config!A:A, 0)), 0 )),
"""")
"),5.8999999999999995)</f>
        <v>5.9</v>
      </c>
      <c r="K634" s="19">
        <f t="shared" si="3"/>
        <v>-20.9</v>
      </c>
      <c r="L634" s="20" t="str">
        <f t="shared" si="4"/>
        <v/>
      </c>
    </row>
    <row r="635" ht="15.75" customHeight="1">
      <c r="A635" s="9" t="s">
        <v>9</v>
      </c>
      <c r="B635" s="12" t="str">
        <f t="array" ref="B635">XLOOKUP(C635, Channel_Listings!C:C, Channel_Listings!B:B)
</f>
        <v>Garden_Planters</v>
      </c>
      <c r="C635" s="22" t="s">
        <v>1043</v>
      </c>
      <c r="D635" s="14" t="str">
        <f t="array" ref="D635">XLOOKUP(C635, Channel_Listings!C:C, Channel_Listings!D:D)
</f>
        <v>PLANTERS-COLOR-SQUARE-STERLING5-PK3</v>
      </c>
      <c r="E635" s="15"/>
      <c r="F635" s="16">
        <f t="array" ref="F635">IFERROR(
  VALUE( INDEX(Product_Master!$I:$I,
               MATCH( INDEX(Pack_Master!$B:$B, MATCH($D635, Pack_Master!$A:$A, 0)),
                      Product_Master!$B:$B, 0)
  )) 
  * VALUE( INDEX(Pack_Master!$C:$C, MATCH($D635, Pack_Master!$A:$A, 0)) )
  + VALUE( INDEX(Pack_Master!$D:$D, MATCH($D635, Pack_Master!$A:$A, 0)) ),
"")
</f>
        <v>9</v>
      </c>
      <c r="G635" s="17">
        <f t="array" ref="G635">IFERROR(
 ( INDEX(Pack_Master!E:E, MATCH($D635, Pack_Master!A:A, 0))
   * INDEX(Pack_Master!F:F, MATCH($D635, Pack_Master!A:A, 0))
   * INDEX(Pack_Master!G:G, MATCH($D635, Pack_Master!A:A, 0))
 ) / INDEX(Config!C:C, MATCH($A635, Config!A:A, 0)),
"")
</f>
        <v>0</v>
      </c>
      <c r="H635" s="17">
        <f t="array" ref="H635">MAX( INDEX(Pack_Master!H:H, MATCH($D635, Pack_Master!A:A, 0)),
      IFERROR(G635, 0) )
</f>
        <v>0</v>
      </c>
      <c r="I635" s="18" t="str">
        <f>IFERROR(__xludf.DUMMYFUNCTION("IFERROR(
 INDEX(
   FILTER(Shipping_Rate_Card!B:F, Shipping_Rate_Card!A:A=$A635),
   MATCH($H635, FILTER(Shipping_Rate_Card!B:B, Shipping_Rate_Card!A:A=$A635), 1),
   IF( INDEX(Config!B:B, MATCH($A635, Config!A:A, 0))=""Local"", 2,
     IF( INDEX(Config!B"&amp;":B, MATCH($A635, Config!A:A, 0))=""Regional"", 3, 4 )
   )
 ),
"""")
"),"")</f>
        <v/>
      </c>
      <c r="J635" s="16">
        <f>IFERROR(__xludf.DUMMYFUNCTION("IFERROR(
 ( E635 * INDEX(FILTER(Pricing_Rules!E:E, Pricing_Rules!A:A=A635, Pricing_Rules!B:B=B635, Pricing_Rules!C:C&lt;=E635, Pricing_Rules!D:D&gt;=E635), 1)
   + INDEX(FILTER(Pricing_Rules!F:F, Pricing_Rules!A:A=A635, Pricing_Rules!B:B=B635, Pricing_Rules!C:C"&amp;"&lt;=E635, Pricing_Rules!D:D&gt;=E635), 1)
 )
 * (1 + IFERROR( INDEX(Config!D:D, MATCH(A635, Config!A:A, 0)), 0 )),
"""")
"),5.8999999999999995)</f>
        <v>5.9</v>
      </c>
      <c r="K635" s="19">
        <f t="shared" si="3"/>
        <v>-14.9</v>
      </c>
      <c r="L635" s="20" t="str">
        <f t="shared" si="4"/>
        <v/>
      </c>
    </row>
    <row r="636" ht="15.75" customHeight="1">
      <c r="A636" s="9" t="s">
        <v>9</v>
      </c>
      <c r="B636" s="12" t="str">
        <f t="array" ref="B636">XLOOKUP(C636, Channel_Listings!C:C, Channel_Listings!B:B)
</f>
        <v>Garden_Planters</v>
      </c>
      <c r="C636" s="22" t="s">
        <v>1046</v>
      </c>
      <c r="D636" s="14" t="str">
        <f t="array" ref="D636">XLOOKUP(C636, Channel_Listings!C:C, Channel_Listings!D:D)
</f>
        <v>PLANTERS-COLOR-SQUARE-STERLING5-PK5</v>
      </c>
      <c r="E636" s="15"/>
      <c r="F636" s="16">
        <f t="array" ref="F636">IFERROR(
  VALUE( INDEX(Product_Master!$I:$I,
               MATCH( INDEX(Pack_Master!$B:$B, MATCH($D636, Pack_Master!$A:$A, 0)),
                      Product_Master!$B:$B, 0)
  )) 
  * VALUE( INDEX(Pack_Master!$C:$C, MATCH($D636, Pack_Master!$A:$A, 0)) )
  + VALUE( INDEX(Pack_Master!$D:$D, MATCH($D636, Pack_Master!$A:$A, 0)) ),
"")
</f>
        <v>15</v>
      </c>
      <c r="G636" s="17">
        <f t="array" ref="G636">IFERROR(
 ( INDEX(Pack_Master!E:E, MATCH($D636, Pack_Master!A:A, 0))
   * INDEX(Pack_Master!F:F, MATCH($D636, Pack_Master!A:A, 0))
   * INDEX(Pack_Master!G:G, MATCH($D636, Pack_Master!A:A, 0))
 ) / INDEX(Config!C:C, MATCH($A636, Config!A:A, 0)),
"")
</f>
        <v>0</v>
      </c>
      <c r="H636" s="17">
        <f t="array" ref="H636">MAX( INDEX(Pack_Master!H:H, MATCH($D636, Pack_Master!A:A, 0)),
      IFERROR(G636, 0) )
</f>
        <v>0</v>
      </c>
      <c r="I636" s="18" t="str">
        <f>IFERROR(__xludf.DUMMYFUNCTION("IFERROR(
 INDEX(
   FILTER(Shipping_Rate_Card!B:F, Shipping_Rate_Card!A:A=$A636),
   MATCH($H636, FILTER(Shipping_Rate_Card!B:B, Shipping_Rate_Card!A:A=$A636), 1),
   IF( INDEX(Config!B:B, MATCH($A636, Config!A:A, 0))=""Local"", 2,
     IF( INDEX(Config!B"&amp;":B, MATCH($A636, Config!A:A, 0))=""Regional"", 3, 4 )
   )
 ),
"""")
"),"")</f>
        <v/>
      </c>
      <c r="J636" s="16">
        <f>IFERROR(__xludf.DUMMYFUNCTION("IFERROR(
 ( E636 * INDEX(FILTER(Pricing_Rules!E:E, Pricing_Rules!A:A=A636, Pricing_Rules!B:B=B636, Pricing_Rules!C:C&lt;=E636, Pricing_Rules!D:D&gt;=E636), 1)
   + INDEX(FILTER(Pricing_Rules!F:F, Pricing_Rules!A:A=A636, Pricing_Rules!B:B=B636, Pricing_Rules!C:C"&amp;"&lt;=E636, Pricing_Rules!D:D&gt;=E636), 1)
 )
 * (1 + IFERROR( INDEX(Config!D:D, MATCH(A636, Config!A:A, 0)), 0 )),
"""")
"),5.8999999999999995)</f>
        <v>5.9</v>
      </c>
      <c r="K636" s="19">
        <f t="shared" si="3"/>
        <v>-20.9</v>
      </c>
      <c r="L636" s="20" t="str">
        <f t="shared" si="4"/>
        <v/>
      </c>
    </row>
    <row r="637" ht="15.75" customHeight="1">
      <c r="A637" s="9" t="s">
        <v>9</v>
      </c>
      <c r="B637" s="12" t="str">
        <f t="array" ref="B637">XLOOKUP(C637, Channel_Listings!C:C, Channel_Listings!B:B)
</f>
        <v>Garden_Planters</v>
      </c>
      <c r="C637" s="22" t="s">
        <v>1049</v>
      </c>
      <c r="D637" s="14" t="str">
        <f t="array" ref="D637">XLOOKUP(C637, Channel_Listings!C:C, Channel_Listings!D:D)
</f>
        <v>PLANTERS-COLOR-SQUARE-STERLING6-PK3</v>
      </c>
      <c r="E637" s="15"/>
      <c r="F637" s="16">
        <f t="array" ref="F637">IFERROR(
  VALUE( INDEX(Product_Master!$I:$I,
               MATCH( INDEX(Pack_Master!$B:$B, MATCH($D637, Pack_Master!$A:$A, 0)),
                      Product_Master!$B:$B, 0)
  )) 
  * VALUE( INDEX(Pack_Master!$C:$C, MATCH($D637, Pack_Master!$A:$A, 0)) )
  + VALUE( INDEX(Pack_Master!$D:$D, MATCH($D637, Pack_Master!$A:$A, 0)) ),
"")
</f>
        <v>9</v>
      </c>
      <c r="G637" s="17">
        <f t="array" ref="G637">IFERROR(
 ( INDEX(Pack_Master!E:E, MATCH($D637, Pack_Master!A:A, 0))
   * INDEX(Pack_Master!F:F, MATCH($D637, Pack_Master!A:A, 0))
   * INDEX(Pack_Master!G:G, MATCH($D637, Pack_Master!A:A, 0))
 ) / INDEX(Config!C:C, MATCH($A637, Config!A:A, 0)),
"")
</f>
        <v>0</v>
      </c>
      <c r="H637" s="17">
        <f t="array" ref="H637">MAX( INDEX(Pack_Master!H:H, MATCH($D637, Pack_Master!A:A, 0)),
      IFERROR(G637, 0) )
</f>
        <v>0</v>
      </c>
      <c r="I637" s="18" t="str">
        <f>IFERROR(__xludf.DUMMYFUNCTION("IFERROR(
 INDEX(
   FILTER(Shipping_Rate_Card!B:F, Shipping_Rate_Card!A:A=$A637),
   MATCH($H637, FILTER(Shipping_Rate_Card!B:B, Shipping_Rate_Card!A:A=$A637), 1),
   IF( INDEX(Config!B:B, MATCH($A637, Config!A:A, 0))=""Local"", 2,
     IF( INDEX(Config!B"&amp;":B, MATCH($A637, Config!A:A, 0))=""Regional"", 3, 4 )
   )
 ),
"""")
"),"")</f>
        <v/>
      </c>
      <c r="J637" s="16">
        <f>IFERROR(__xludf.DUMMYFUNCTION("IFERROR(
 ( E637 * INDEX(FILTER(Pricing_Rules!E:E, Pricing_Rules!A:A=A637, Pricing_Rules!B:B=B637, Pricing_Rules!C:C&lt;=E637, Pricing_Rules!D:D&gt;=E637), 1)
   + INDEX(FILTER(Pricing_Rules!F:F, Pricing_Rules!A:A=A637, Pricing_Rules!B:B=B637, Pricing_Rules!C:C"&amp;"&lt;=E637, Pricing_Rules!D:D&gt;=E637), 1)
 )
 * (1 + IFERROR( INDEX(Config!D:D, MATCH(A637, Config!A:A, 0)), 0 )),
"""")
"),5.8999999999999995)</f>
        <v>5.9</v>
      </c>
      <c r="K637" s="19">
        <f t="shared" si="3"/>
        <v>-14.9</v>
      </c>
      <c r="L637" s="20" t="str">
        <f t="shared" si="4"/>
        <v/>
      </c>
    </row>
    <row r="638" ht="15.75" customHeight="1">
      <c r="A638" s="9" t="s">
        <v>9</v>
      </c>
      <c r="B638" s="12" t="str">
        <f t="array" ref="B638">XLOOKUP(C638, Channel_Listings!C:C, Channel_Listings!B:B)
</f>
        <v>Garden_Planters</v>
      </c>
      <c r="C638" s="22" t="s">
        <v>1052</v>
      </c>
      <c r="D638" s="14" t="str">
        <f t="array" ref="D638">XLOOKUP(C638, Channel_Listings!C:C, Channel_Listings!D:D)
</f>
        <v>PLANTERS-COLOR-SQUARE-STERLING6-PK5</v>
      </c>
      <c r="E638" s="15"/>
      <c r="F638" s="16">
        <f t="array" ref="F638">IFERROR(
  VALUE( INDEX(Product_Master!$I:$I,
               MATCH( INDEX(Pack_Master!$B:$B, MATCH($D638, Pack_Master!$A:$A, 0)),
                      Product_Master!$B:$B, 0)
  )) 
  * VALUE( INDEX(Pack_Master!$C:$C, MATCH($D638, Pack_Master!$A:$A, 0)) )
  + VALUE( INDEX(Pack_Master!$D:$D, MATCH($D638, Pack_Master!$A:$A, 0)) ),
"")
</f>
        <v>15</v>
      </c>
      <c r="G638" s="17">
        <f t="array" ref="G638">IFERROR(
 ( INDEX(Pack_Master!E:E, MATCH($D638, Pack_Master!A:A, 0))
   * INDEX(Pack_Master!F:F, MATCH($D638, Pack_Master!A:A, 0))
   * INDEX(Pack_Master!G:G, MATCH($D638, Pack_Master!A:A, 0))
 ) / INDEX(Config!C:C, MATCH($A638, Config!A:A, 0)),
"")
</f>
        <v>0</v>
      </c>
      <c r="H638" s="17">
        <f t="array" ref="H638">MAX( INDEX(Pack_Master!H:H, MATCH($D638, Pack_Master!A:A, 0)),
      IFERROR(G638, 0) )
</f>
        <v>0</v>
      </c>
      <c r="I638" s="18" t="str">
        <f>IFERROR(__xludf.DUMMYFUNCTION("IFERROR(
 INDEX(
   FILTER(Shipping_Rate_Card!B:F, Shipping_Rate_Card!A:A=$A638),
   MATCH($H638, FILTER(Shipping_Rate_Card!B:B, Shipping_Rate_Card!A:A=$A638), 1),
   IF( INDEX(Config!B:B, MATCH($A638, Config!A:A, 0))=""Local"", 2,
     IF( INDEX(Config!B"&amp;":B, MATCH($A638, Config!A:A, 0))=""Regional"", 3, 4 )
   )
 ),
"""")
"),"")</f>
        <v/>
      </c>
      <c r="J638" s="16">
        <f>IFERROR(__xludf.DUMMYFUNCTION("IFERROR(
 ( E638 * INDEX(FILTER(Pricing_Rules!E:E, Pricing_Rules!A:A=A638, Pricing_Rules!B:B=B638, Pricing_Rules!C:C&lt;=E638, Pricing_Rules!D:D&gt;=E638), 1)
   + INDEX(FILTER(Pricing_Rules!F:F, Pricing_Rules!A:A=A638, Pricing_Rules!B:B=B638, Pricing_Rules!C:C"&amp;"&lt;=E638, Pricing_Rules!D:D&gt;=E638), 1)
 )
 * (1 + IFERROR( INDEX(Config!D:D, MATCH(A638, Config!A:A, 0)), 0 )),
"""")
"),5.8999999999999995)</f>
        <v>5.9</v>
      </c>
      <c r="K638" s="19">
        <f t="shared" si="3"/>
        <v>-20.9</v>
      </c>
      <c r="L638" s="20" t="str">
        <f t="shared" si="4"/>
        <v/>
      </c>
    </row>
    <row r="639" ht="15.75" customHeight="1">
      <c r="A639" s="9" t="s">
        <v>9</v>
      </c>
      <c r="B639" s="12" t="str">
        <f t="array" ref="B639">XLOOKUP(C639, Channel_Listings!C:C, Channel_Listings!B:B)
</f>
        <v>Garden_Planters</v>
      </c>
      <c r="C639" s="22" t="s">
        <v>1055</v>
      </c>
      <c r="D639" s="14" t="str">
        <f t="array" ref="D639">XLOOKUP(C639, Channel_Listings!C:C, Channel_Listings!D:D)
</f>
        <v>PLANTERS-COLOR-SQUARE-STERLING7-PK3</v>
      </c>
      <c r="E639" s="15"/>
      <c r="F639" s="16">
        <f t="array" ref="F639">IFERROR(
  VALUE( INDEX(Product_Master!$I:$I,
               MATCH( INDEX(Pack_Master!$B:$B, MATCH($D639, Pack_Master!$A:$A, 0)),
                      Product_Master!$B:$B, 0)
  )) 
  * VALUE( INDEX(Pack_Master!$C:$C, MATCH($D639, Pack_Master!$A:$A, 0)) )
  + VALUE( INDEX(Pack_Master!$D:$D, MATCH($D639, Pack_Master!$A:$A, 0)) ),
"")
</f>
        <v>9</v>
      </c>
      <c r="G639" s="17">
        <f t="array" ref="G639">IFERROR(
 ( INDEX(Pack_Master!E:E, MATCH($D639, Pack_Master!A:A, 0))
   * INDEX(Pack_Master!F:F, MATCH($D639, Pack_Master!A:A, 0))
   * INDEX(Pack_Master!G:G, MATCH($D639, Pack_Master!A:A, 0))
 ) / INDEX(Config!C:C, MATCH($A639, Config!A:A, 0)),
"")
</f>
        <v>0</v>
      </c>
      <c r="H639" s="17">
        <f t="array" ref="H639">MAX( INDEX(Pack_Master!H:H, MATCH($D639, Pack_Master!A:A, 0)),
      IFERROR(G639, 0) )
</f>
        <v>0</v>
      </c>
      <c r="I639" s="18" t="str">
        <f>IFERROR(__xludf.DUMMYFUNCTION("IFERROR(
 INDEX(
   FILTER(Shipping_Rate_Card!B:F, Shipping_Rate_Card!A:A=$A639),
   MATCH($H639, FILTER(Shipping_Rate_Card!B:B, Shipping_Rate_Card!A:A=$A639), 1),
   IF( INDEX(Config!B:B, MATCH($A639, Config!A:A, 0))=""Local"", 2,
     IF( INDEX(Config!B"&amp;":B, MATCH($A639, Config!A:A, 0))=""Regional"", 3, 4 )
   )
 ),
"""")
"),"")</f>
        <v/>
      </c>
      <c r="J639" s="16">
        <f>IFERROR(__xludf.DUMMYFUNCTION("IFERROR(
 ( E639 * INDEX(FILTER(Pricing_Rules!E:E, Pricing_Rules!A:A=A639, Pricing_Rules!B:B=B639, Pricing_Rules!C:C&lt;=E639, Pricing_Rules!D:D&gt;=E639), 1)
   + INDEX(FILTER(Pricing_Rules!F:F, Pricing_Rules!A:A=A639, Pricing_Rules!B:B=B639, Pricing_Rules!C:C"&amp;"&lt;=E639, Pricing_Rules!D:D&gt;=E639), 1)
 )
 * (1 + IFERROR( INDEX(Config!D:D, MATCH(A639, Config!A:A, 0)), 0 )),
"""")
"),5.8999999999999995)</f>
        <v>5.9</v>
      </c>
      <c r="K639" s="19">
        <f t="shared" si="3"/>
        <v>-14.9</v>
      </c>
      <c r="L639" s="20" t="str">
        <f t="shared" si="4"/>
        <v/>
      </c>
    </row>
    <row r="640" ht="15.75" customHeight="1">
      <c r="A640" s="9" t="s">
        <v>9</v>
      </c>
      <c r="B640" s="12" t="str">
        <f t="array" ref="B640">XLOOKUP(C640, Channel_Listings!C:C, Channel_Listings!B:B)
</f>
        <v>Garden_Planters</v>
      </c>
      <c r="C640" s="22" t="s">
        <v>1058</v>
      </c>
      <c r="D640" s="14" t="str">
        <f t="array" ref="D640">XLOOKUP(C640, Channel_Listings!C:C, Channel_Listings!D:D)
</f>
        <v>PLANTERS-COLOR-SQUARE-STERLING7-PK5</v>
      </c>
      <c r="E640" s="15"/>
      <c r="F640" s="16">
        <f t="array" ref="F640">IFERROR(
  VALUE( INDEX(Product_Master!$I:$I,
               MATCH( INDEX(Pack_Master!$B:$B, MATCH($D640, Pack_Master!$A:$A, 0)),
                      Product_Master!$B:$B, 0)
  )) 
  * VALUE( INDEX(Pack_Master!$C:$C, MATCH($D640, Pack_Master!$A:$A, 0)) )
  + VALUE( INDEX(Pack_Master!$D:$D, MATCH($D640, Pack_Master!$A:$A, 0)) ),
"")
</f>
        <v>15</v>
      </c>
      <c r="G640" s="17">
        <f t="array" ref="G640">IFERROR(
 ( INDEX(Pack_Master!E:E, MATCH($D640, Pack_Master!A:A, 0))
   * INDEX(Pack_Master!F:F, MATCH($D640, Pack_Master!A:A, 0))
   * INDEX(Pack_Master!G:G, MATCH($D640, Pack_Master!A:A, 0))
 ) / INDEX(Config!C:C, MATCH($A640, Config!A:A, 0)),
"")
</f>
        <v>0</v>
      </c>
      <c r="H640" s="17">
        <f t="array" ref="H640">MAX( INDEX(Pack_Master!H:H, MATCH($D640, Pack_Master!A:A, 0)),
      IFERROR(G640, 0) )
</f>
        <v>0</v>
      </c>
      <c r="I640" s="18" t="str">
        <f>IFERROR(__xludf.DUMMYFUNCTION("IFERROR(
 INDEX(
   FILTER(Shipping_Rate_Card!B:F, Shipping_Rate_Card!A:A=$A640),
   MATCH($H640, FILTER(Shipping_Rate_Card!B:B, Shipping_Rate_Card!A:A=$A640), 1),
   IF( INDEX(Config!B:B, MATCH($A640, Config!A:A, 0))=""Local"", 2,
     IF( INDEX(Config!B"&amp;":B, MATCH($A640, Config!A:A, 0))=""Regional"", 3, 4 )
   )
 ),
"""")
"),"")</f>
        <v/>
      </c>
      <c r="J640" s="16">
        <f>IFERROR(__xludf.DUMMYFUNCTION("IFERROR(
 ( E640 * INDEX(FILTER(Pricing_Rules!E:E, Pricing_Rules!A:A=A640, Pricing_Rules!B:B=B640, Pricing_Rules!C:C&lt;=E640, Pricing_Rules!D:D&gt;=E640), 1)
   + INDEX(FILTER(Pricing_Rules!F:F, Pricing_Rules!A:A=A640, Pricing_Rules!B:B=B640, Pricing_Rules!C:C"&amp;"&lt;=E640, Pricing_Rules!D:D&gt;=E640), 1)
 )
 * (1 + IFERROR( INDEX(Config!D:D, MATCH(A640, Config!A:A, 0)), 0 )),
"""")
"),5.8999999999999995)</f>
        <v>5.9</v>
      </c>
      <c r="K640" s="19">
        <f t="shared" si="3"/>
        <v>-20.9</v>
      </c>
      <c r="L640" s="20" t="str">
        <f t="shared" si="4"/>
        <v/>
      </c>
    </row>
    <row r="641" ht="15.75" customHeight="1">
      <c r="A641" s="9" t="s">
        <v>9</v>
      </c>
      <c r="B641" s="12" t="str">
        <f t="array" ref="B641">XLOOKUP(C641, Channel_Listings!C:C, Channel_Listings!B:B)
</f>
        <v>Automotive_FaceMasks</v>
      </c>
      <c r="C641" s="22" t="s">
        <v>1061</v>
      </c>
      <c r="D641" s="14" t="str">
        <f t="array" ref="D641">XLOOKUP(C641, Channel_Listings!C:C, Channel_Listings!D:D)
</f>
        <v>BANDANA-PATTERN-MULTICOLOR-PK5</v>
      </c>
      <c r="E641" s="15"/>
      <c r="F641" s="16">
        <f t="array" ref="F641">IFERROR(
  VALUE( INDEX(Product_Master!$I:$I,
               MATCH( INDEX(Pack_Master!$B:$B, MATCH($D641, Pack_Master!$A:$A, 0)),
                      Product_Master!$B:$B, 0)
  )) 
  * VALUE( INDEX(Pack_Master!$C:$C, MATCH($D641, Pack_Master!$A:$A, 0)) )
  + VALUE( INDEX(Pack_Master!$D:$D, MATCH($D641, Pack_Master!$A:$A, 0)) ),
"")
</f>
        <v>0</v>
      </c>
      <c r="G641" s="17">
        <f t="array" ref="G641">IFERROR(
 ( INDEX(Pack_Master!E:E, MATCH($D641, Pack_Master!A:A, 0))
   * INDEX(Pack_Master!F:F, MATCH($D641, Pack_Master!A:A, 0))
   * INDEX(Pack_Master!G:G, MATCH($D641, Pack_Master!A:A, 0))
 ) / INDEX(Config!C:C, MATCH($A641, Config!A:A, 0)),
"")
</f>
        <v>0</v>
      </c>
      <c r="H641" s="17">
        <f t="array" ref="H641">MAX( INDEX(Pack_Master!H:H, MATCH($D641, Pack_Master!A:A, 0)),
      IFERROR(G641, 0) )
</f>
        <v>0</v>
      </c>
      <c r="I641" s="18" t="str">
        <f>IFERROR(__xludf.DUMMYFUNCTION("IFERROR(
 INDEX(
   FILTER(Shipping_Rate_Card!B:F, Shipping_Rate_Card!A:A=$A641),
   MATCH($H641, FILTER(Shipping_Rate_Card!B:B, Shipping_Rate_Card!A:A=$A641), 1),
   IF( INDEX(Config!B:B, MATCH($A641, Config!A:A, 0))=""Local"", 2,
     IF( INDEX(Config!B"&amp;":B, MATCH($A641, Config!A:A, 0))=""Regional"", 3, 4 )
   )
 ),
"""")
"),"")</f>
        <v/>
      </c>
      <c r="J641" s="16">
        <f>IFERROR(__xludf.DUMMYFUNCTION("IFERROR(
 ( E641 * INDEX(FILTER(Pricing_Rules!E:E, Pricing_Rules!A:A=A641, Pricing_Rules!B:B=B641, Pricing_Rules!C:C&lt;=E641, Pricing_Rules!D:D&gt;=E641), 1)
   + INDEX(FILTER(Pricing_Rules!F:F, Pricing_Rules!A:A=A641, Pricing_Rules!B:B=B641, Pricing_Rules!C:C"&amp;"&lt;=E641, Pricing_Rules!D:D&gt;=E641), 1)
 )
 * (1 + IFERROR( INDEX(Config!D:D, MATCH(A641, Config!A:A, 0)), 0 )),
"""")
"),5.8999999999999995)</f>
        <v>5.9</v>
      </c>
      <c r="K641" s="19">
        <f t="shared" si="3"/>
        <v>-5.9</v>
      </c>
      <c r="L641" s="20" t="str">
        <f t="shared" si="4"/>
        <v/>
      </c>
    </row>
    <row r="642" ht="15.75" customHeight="1">
      <c r="A642" s="9" t="s">
        <v>9</v>
      </c>
      <c r="B642" s="12" t="str">
        <f t="array" ref="B642">XLOOKUP(C642, Channel_Listings!C:C, Channel_Listings!B:B)
</f>
        <v>Apparel_Caps_Beanies</v>
      </c>
      <c r="C642" s="22" t="s">
        <v>1062</v>
      </c>
      <c r="D642" s="14" t="str">
        <f t="array" ref="D642">XLOOKUP(C642, Channel_Listings!C:C, Channel_Listings!D:D)
</f>
        <v>CAP-BASEBALL-PLAIN-PINK</v>
      </c>
      <c r="E642" s="15"/>
      <c r="F642" s="16">
        <f t="array" ref="F642">IFERROR(
  VALUE( INDEX(Product_Master!$I:$I,
               MATCH( INDEX(Pack_Master!$B:$B, MATCH($D642, Pack_Master!$A:$A, 0)),
                      Product_Master!$B:$B, 0)
  )) 
  * VALUE( INDEX(Pack_Master!$C:$C, MATCH($D642, Pack_Master!$A:$A, 0)) )
  + VALUE( INDEX(Pack_Master!$D:$D, MATCH($D642, Pack_Master!$A:$A, 0)) ),
"")
</f>
        <v>89</v>
      </c>
      <c r="G642" s="17">
        <f t="array" ref="G642">IFERROR(
 ( INDEX(Pack_Master!E:E, MATCH($D642, Pack_Master!A:A, 0))
   * INDEX(Pack_Master!F:F, MATCH($D642, Pack_Master!A:A, 0))
   * INDEX(Pack_Master!G:G, MATCH($D642, Pack_Master!A:A, 0))
 ) / INDEX(Config!C:C, MATCH($A642, Config!A:A, 0)),
"")
</f>
        <v>0.375</v>
      </c>
      <c r="H642" s="17">
        <f t="array" ref="H642">MAX( INDEX(Pack_Master!H:H, MATCH($D642, Pack_Master!A:A, 0)),
      IFERROR(G642, 0) )
</f>
        <v>0.5</v>
      </c>
      <c r="I642" s="18">
        <f>IFERROR(__xludf.DUMMYFUNCTION("IFERROR(
 INDEX(
   FILTER(Shipping_Rate_Card!B:F, Shipping_Rate_Card!A:A=$A642),
   MATCH($H642, FILTER(Shipping_Rate_Card!B:B, Shipping_Rate_Card!A:A=$A642), 1),
   IF( INDEX(Config!B:B, MATCH($A642, Config!A:A, 0))=""Local"", 2,
     IF( INDEX(Config!B"&amp;":B, MATCH($A642, Config!A:A, 0))=""Regional"", 3, 4 )
   )
 ),
"""")
"),67.0)</f>
        <v>67</v>
      </c>
      <c r="J642" s="16">
        <f>IFERROR(__xludf.DUMMYFUNCTION("IFERROR(
 ( E642 * INDEX(FILTER(Pricing_Rules!E:E, Pricing_Rules!A:A=A642, Pricing_Rules!B:B=B642, Pricing_Rules!C:C&lt;=E642, Pricing_Rules!D:D&gt;=E642), 1)
   + INDEX(FILTER(Pricing_Rules!F:F, Pricing_Rules!A:A=A642, Pricing_Rules!B:B=B642, Pricing_Rules!C:C"&amp;"&lt;=E642, Pricing_Rules!D:D&gt;=E642), 1)
 )
 * (1 + IFERROR( INDEX(Config!D:D, MATCH(A642, Config!A:A, 0)), 0 )),
"""")
"),5.8999999999999995)</f>
        <v>5.9</v>
      </c>
      <c r="K642" s="19">
        <f t="shared" si="3"/>
        <v>-161.9</v>
      </c>
      <c r="L642" s="20" t="str">
        <f t="shared" si="4"/>
        <v/>
      </c>
    </row>
    <row r="643" ht="15.75" customHeight="1">
      <c r="A643" s="9" t="s">
        <v>9</v>
      </c>
      <c r="B643" s="12" t="str">
        <f t="array" ref="B643">XLOOKUP(C643, Channel_Listings!C:C, Channel_Listings!B:B)
</f>
        <v>Apparel_ArmSleeves</v>
      </c>
      <c r="C643" s="22" t="s">
        <v>1063</v>
      </c>
      <c r="D643" s="14" t="str">
        <f t="array" ref="D643">XLOOKUP(C643, Channel_Listings!C:C, Channel_Listings!D:D)
</f>
        <v>ARMSLEEVES-HALF-BEIGE</v>
      </c>
      <c r="E643" s="15"/>
      <c r="F643" s="16">
        <f t="array" ref="F643">IFERROR(
  VALUE( INDEX(Product_Master!$I:$I,
               MATCH( INDEX(Pack_Master!$B:$B, MATCH($D643, Pack_Master!$A:$A, 0)),
                      Product_Master!$B:$B, 0)
  )) 
  * VALUE( INDEX(Pack_Master!$C:$C, MATCH($D643, Pack_Master!$A:$A, 0)) )
  + VALUE( INDEX(Pack_Master!$D:$D, MATCH($D643, Pack_Master!$A:$A, 0)) ),
"")
</f>
        <v>0</v>
      </c>
      <c r="G643" s="17">
        <f t="array" ref="G643">IFERROR(
 ( INDEX(Pack_Master!E:E, MATCH($D643, Pack_Master!A:A, 0))
   * INDEX(Pack_Master!F:F, MATCH($D643, Pack_Master!A:A, 0))
   * INDEX(Pack_Master!G:G, MATCH($D643, Pack_Master!A:A, 0))
 ) / INDEX(Config!C:C, MATCH($A643, Config!A:A, 0)),
"")
</f>
        <v>0</v>
      </c>
      <c r="H643" s="17">
        <f t="array" ref="H643">MAX( INDEX(Pack_Master!H:H, MATCH($D643, Pack_Master!A:A, 0)),
      IFERROR(G643, 0) )
</f>
        <v>0</v>
      </c>
      <c r="I643" s="18" t="str">
        <f>IFERROR(__xludf.DUMMYFUNCTION("IFERROR(
 INDEX(
   FILTER(Shipping_Rate_Card!B:F, Shipping_Rate_Card!A:A=$A643),
   MATCH($H643, FILTER(Shipping_Rate_Card!B:B, Shipping_Rate_Card!A:A=$A643), 1),
   IF( INDEX(Config!B:B, MATCH($A643, Config!A:A, 0))=""Local"", 2,
     IF( INDEX(Config!B"&amp;":B, MATCH($A643, Config!A:A, 0))=""Regional"", 3, 4 )
   )
 ),
"""")
"),"")</f>
        <v/>
      </c>
      <c r="J643" s="16">
        <f>IFERROR(__xludf.DUMMYFUNCTION("IFERROR(
 ( E643 * INDEX(FILTER(Pricing_Rules!E:E, Pricing_Rules!A:A=A643, Pricing_Rules!B:B=B643, Pricing_Rules!C:C&lt;=E643, Pricing_Rules!D:D&gt;=E643), 1)
   + INDEX(FILTER(Pricing_Rules!F:F, Pricing_Rules!A:A=A643, Pricing_Rules!B:B=B643, Pricing_Rules!C:C"&amp;"&lt;=E643, Pricing_Rules!D:D&gt;=E643), 1)
 )
 * (1 + IFERROR( INDEX(Config!D:D, MATCH(A643, Config!A:A, 0)), 0 )),
"""")
"),5.8999999999999995)</f>
        <v>5.9</v>
      </c>
      <c r="K643" s="19">
        <f t="shared" si="3"/>
        <v>-5.9</v>
      </c>
      <c r="L643" s="20" t="str">
        <f t="shared" si="4"/>
        <v/>
      </c>
    </row>
    <row r="644" ht="15.75" customHeight="1">
      <c r="A644" s="9" t="s">
        <v>9</v>
      </c>
      <c r="B644" s="12" t="str">
        <f t="array" ref="B644">XLOOKUP(C644, Channel_Listings!C:C, Channel_Listings!B:B)
</f>
        <v>Apparel_Caps_Beanies</v>
      </c>
      <c r="C644" s="22" t="s">
        <v>1064</v>
      </c>
      <c r="D644" s="14" t="str">
        <f t="array" ref="D644">XLOOKUP(C644, Channel_Listings!C:C, Channel_Listings!D:D)
</f>
        <v>HAT-BUCKET-BLACK</v>
      </c>
      <c r="E644" s="15"/>
      <c r="F644" s="16">
        <f t="array" ref="F644">IFERROR(
  VALUE( INDEX(Product_Master!$I:$I,
               MATCH( INDEX(Pack_Master!$B:$B, MATCH($D644, Pack_Master!$A:$A, 0)),
                      Product_Master!$B:$B, 0)
  )) 
  * VALUE( INDEX(Pack_Master!$C:$C, MATCH($D644, Pack_Master!$A:$A, 0)) )
  + VALUE( INDEX(Pack_Master!$D:$D, MATCH($D644, Pack_Master!$A:$A, 0)) ),
"")
</f>
        <v>0</v>
      </c>
      <c r="G644" s="17">
        <f t="array" ref="G644">IFERROR(
 ( INDEX(Pack_Master!E:E, MATCH($D644, Pack_Master!A:A, 0))
   * INDEX(Pack_Master!F:F, MATCH($D644, Pack_Master!A:A, 0))
   * INDEX(Pack_Master!G:G, MATCH($D644, Pack_Master!A:A, 0))
 ) / INDEX(Config!C:C, MATCH($A644, Config!A:A, 0)),
"")
</f>
        <v>0</v>
      </c>
      <c r="H644" s="17">
        <f t="array" ref="H644">MAX( INDEX(Pack_Master!H:H, MATCH($D644, Pack_Master!A:A, 0)),
      IFERROR(G644, 0) )
</f>
        <v>0</v>
      </c>
      <c r="I644" s="18" t="str">
        <f>IFERROR(__xludf.DUMMYFUNCTION("IFERROR(
 INDEX(
   FILTER(Shipping_Rate_Card!B:F, Shipping_Rate_Card!A:A=$A644),
   MATCH($H644, FILTER(Shipping_Rate_Card!B:B, Shipping_Rate_Card!A:A=$A644), 1),
   IF( INDEX(Config!B:B, MATCH($A644, Config!A:A, 0))=""Local"", 2,
     IF( INDEX(Config!B"&amp;":B, MATCH($A644, Config!A:A, 0))=""Regional"", 3, 4 )
   )
 ),
"""")
"),"")</f>
        <v/>
      </c>
      <c r="J644" s="16">
        <f>IFERROR(__xludf.DUMMYFUNCTION("IFERROR(
 ( E644 * INDEX(FILTER(Pricing_Rules!E:E, Pricing_Rules!A:A=A644, Pricing_Rules!B:B=B644, Pricing_Rules!C:C&lt;=E644, Pricing_Rules!D:D&gt;=E644), 1)
   + INDEX(FILTER(Pricing_Rules!F:F, Pricing_Rules!A:A=A644, Pricing_Rules!B:B=B644, Pricing_Rules!C:C"&amp;"&lt;=E644, Pricing_Rules!D:D&gt;=E644), 1)
 )
 * (1 + IFERROR( INDEX(Config!D:D, MATCH(A644, Config!A:A, 0)), 0 )),
"""")
"),5.8999999999999995)</f>
        <v>5.9</v>
      </c>
      <c r="K644" s="19">
        <f t="shared" si="3"/>
        <v>-5.9</v>
      </c>
      <c r="L644" s="20" t="str">
        <f t="shared" si="4"/>
        <v/>
      </c>
    </row>
    <row r="645" ht="15.75" customHeight="1">
      <c r="A645" s="9" t="s">
        <v>9</v>
      </c>
      <c r="B645" s="12" t="str">
        <f t="array" ref="B645">XLOOKUP(C645, Channel_Listings!C:C, Channel_Listings!B:B)
</f>
        <v>Apparel_ArmSleeves</v>
      </c>
      <c r="C645" s="22" t="s">
        <v>1066</v>
      </c>
      <c r="D645" s="14" t="str">
        <f t="array" ref="D645">XLOOKUP(C645, Channel_Listings!C:C, Channel_Listings!D:D)
</f>
        <v>ARMSLEEVES-HALF-PINK</v>
      </c>
      <c r="E645" s="15"/>
      <c r="F645" s="16">
        <f t="array" ref="F645">IFERROR(
  VALUE( INDEX(Product_Master!$I:$I,
               MATCH( INDEX(Pack_Master!$B:$B, MATCH($D645, Pack_Master!$A:$A, 0)),
                      Product_Master!$B:$B, 0)
  )) 
  * VALUE( INDEX(Pack_Master!$C:$C, MATCH($D645, Pack_Master!$A:$A, 0)) )
  + VALUE( INDEX(Pack_Master!$D:$D, MATCH($D645, Pack_Master!$A:$A, 0)) ),
"")
</f>
        <v>0</v>
      </c>
      <c r="G645" s="17">
        <f t="array" ref="G645">IFERROR(
 ( INDEX(Pack_Master!E:E, MATCH($D645, Pack_Master!A:A, 0))
   * INDEX(Pack_Master!F:F, MATCH($D645, Pack_Master!A:A, 0))
   * INDEX(Pack_Master!G:G, MATCH($D645, Pack_Master!A:A, 0))
 ) / INDEX(Config!C:C, MATCH($A645, Config!A:A, 0)),
"")
</f>
        <v>0</v>
      </c>
      <c r="H645" s="17">
        <f t="array" ref="H645">MAX( INDEX(Pack_Master!H:H, MATCH($D645, Pack_Master!A:A, 0)),
      IFERROR(G645, 0) )
</f>
        <v>0</v>
      </c>
      <c r="I645" s="18" t="str">
        <f>IFERROR(__xludf.DUMMYFUNCTION("IFERROR(
 INDEX(
   FILTER(Shipping_Rate_Card!B:F, Shipping_Rate_Card!A:A=$A645),
   MATCH($H645, FILTER(Shipping_Rate_Card!B:B, Shipping_Rate_Card!A:A=$A645), 1),
   IF( INDEX(Config!B:B, MATCH($A645, Config!A:A, 0))=""Local"", 2,
     IF( INDEX(Config!B"&amp;":B, MATCH($A645, Config!A:A, 0))=""Regional"", 3, 4 )
   )
 ),
"""")
"),"")</f>
        <v/>
      </c>
      <c r="J645" s="16">
        <f>IFERROR(__xludf.DUMMYFUNCTION("IFERROR(
 ( E645 * INDEX(FILTER(Pricing_Rules!E:E, Pricing_Rules!A:A=A645, Pricing_Rules!B:B=B645, Pricing_Rules!C:C&lt;=E645, Pricing_Rules!D:D&gt;=E645), 1)
   + INDEX(FILTER(Pricing_Rules!F:F, Pricing_Rules!A:A=A645, Pricing_Rules!B:B=B645, Pricing_Rules!C:C"&amp;"&lt;=E645, Pricing_Rules!D:D&gt;=E645), 1)
 )
 * (1 + IFERROR( INDEX(Config!D:D, MATCH(A645, Config!A:A, 0)), 0 )),
"""")
"),5.8999999999999995)</f>
        <v>5.9</v>
      </c>
      <c r="K645" s="19">
        <f t="shared" si="3"/>
        <v>-5.9</v>
      </c>
      <c r="L645" s="20" t="str">
        <f t="shared" si="4"/>
        <v/>
      </c>
    </row>
    <row r="646" ht="15.75" customHeight="1">
      <c r="A646" s="9" t="s">
        <v>9</v>
      </c>
      <c r="B646" s="12" t="str">
        <f t="array" ref="B646">XLOOKUP(C646, Channel_Listings!C:C, Channel_Listings!B:B)
</f>
        <v>Apparel_Hoodies_Sweatshirts</v>
      </c>
      <c r="C646" s="22" t="s">
        <v>1067</v>
      </c>
      <c r="D646" s="14" t="str">
        <f t="array" ref="D646">XLOOKUP(C646, Channel_Listings!C:C, Channel_Listings!D:D)
</f>
        <v>SWEATSHIRT-BLACK-SOLID-L</v>
      </c>
      <c r="E646" s="15"/>
      <c r="F646" s="16">
        <f t="array" ref="F646">IFERROR(
  VALUE( INDEX(Product_Master!$I:$I,
               MATCH( INDEX(Pack_Master!$B:$B, MATCH($D646, Pack_Master!$A:$A, 0)),
                      Product_Master!$B:$B, 0)
  )) 
  * VALUE( INDEX(Pack_Master!$C:$C, MATCH($D646, Pack_Master!$A:$A, 0)) )
  + VALUE( INDEX(Pack_Master!$D:$D, MATCH($D646, Pack_Master!$A:$A, 0)) ),
"")
</f>
        <v>0</v>
      </c>
      <c r="G646" s="17">
        <f t="array" ref="G646">IFERROR(
 ( INDEX(Pack_Master!E:E, MATCH($D646, Pack_Master!A:A, 0))
   * INDEX(Pack_Master!F:F, MATCH($D646, Pack_Master!A:A, 0))
   * INDEX(Pack_Master!G:G, MATCH($D646, Pack_Master!A:A, 0))
 ) / INDEX(Config!C:C, MATCH($A646, Config!A:A, 0)),
"")
</f>
        <v>0</v>
      </c>
      <c r="H646" s="17">
        <f t="array" ref="H646">MAX( INDEX(Pack_Master!H:H, MATCH($D646, Pack_Master!A:A, 0)),
      IFERROR(G646, 0) )
</f>
        <v>0</v>
      </c>
      <c r="I646" s="18" t="str">
        <f>IFERROR(__xludf.DUMMYFUNCTION("IFERROR(
 INDEX(
   FILTER(Shipping_Rate_Card!B:F, Shipping_Rate_Card!A:A=$A646),
   MATCH($H646, FILTER(Shipping_Rate_Card!B:B, Shipping_Rate_Card!A:A=$A646), 1),
   IF( INDEX(Config!B:B, MATCH($A646, Config!A:A, 0))=""Local"", 2,
     IF( INDEX(Config!B"&amp;":B, MATCH($A646, Config!A:A, 0))=""Regional"", 3, 4 )
   )
 ),
"""")
"),"")</f>
        <v/>
      </c>
      <c r="J646" s="16">
        <f>IFERROR(__xludf.DUMMYFUNCTION("IFERROR(
 ( E646 * INDEX(FILTER(Pricing_Rules!E:E, Pricing_Rules!A:A=A646, Pricing_Rules!B:B=B646, Pricing_Rules!C:C&lt;=E646, Pricing_Rules!D:D&gt;=E646), 1)
   + INDEX(FILTER(Pricing_Rules!F:F, Pricing_Rules!A:A=A646, Pricing_Rules!B:B=B646, Pricing_Rules!C:C"&amp;"&lt;=E646, Pricing_Rules!D:D&gt;=E646), 1)
 )
 * (1 + IFERROR( INDEX(Config!D:D, MATCH(A646, Config!A:A, 0)), 0 )),
"""")
"),5.8999999999999995)</f>
        <v>5.9</v>
      </c>
      <c r="K646" s="19">
        <f t="shared" si="3"/>
        <v>-5.9</v>
      </c>
      <c r="L646" s="20" t="str">
        <f t="shared" si="4"/>
        <v/>
      </c>
    </row>
    <row r="647" ht="15.75" customHeight="1">
      <c r="A647" s="9" t="s">
        <v>9</v>
      </c>
      <c r="B647" s="12" t="str">
        <f t="array" ref="B647">XLOOKUP(C647, Channel_Listings!C:C, Channel_Listings!B:B)
</f>
        <v>Apparel_Hoodies_Sweatshirts</v>
      </c>
      <c r="C647" s="22" t="s">
        <v>1068</v>
      </c>
      <c r="D647" s="14" t="str">
        <f t="array" ref="D647">XLOOKUP(C647, Channel_Listings!C:C, Channel_Listings!D:D)
</f>
        <v>SWEATSHIRT-BLACK-SOLID-XL</v>
      </c>
      <c r="E647" s="15"/>
      <c r="F647" s="16">
        <f t="array" ref="F647">IFERROR(
  VALUE( INDEX(Product_Master!$I:$I,
               MATCH( INDEX(Pack_Master!$B:$B, MATCH($D647, Pack_Master!$A:$A, 0)),
                      Product_Master!$B:$B, 0)
  )) 
  * VALUE( INDEX(Pack_Master!$C:$C, MATCH($D647, Pack_Master!$A:$A, 0)) )
  + VALUE( INDEX(Pack_Master!$D:$D, MATCH($D647, Pack_Master!$A:$A, 0)) ),
"")
</f>
        <v>0</v>
      </c>
      <c r="G647" s="17">
        <f t="array" ref="G647">IFERROR(
 ( INDEX(Pack_Master!E:E, MATCH($D647, Pack_Master!A:A, 0))
   * INDEX(Pack_Master!F:F, MATCH($D647, Pack_Master!A:A, 0))
   * INDEX(Pack_Master!G:G, MATCH($D647, Pack_Master!A:A, 0))
 ) / INDEX(Config!C:C, MATCH($A647, Config!A:A, 0)),
"")
</f>
        <v>0</v>
      </c>
      <c r="H647" s="17">
        <f t="array" ref="H647">MAX( INDEX(Pack_Master!H:H, MATCH($D647, Pack_Master!A:A, 0)),
      IFERROR(G647, 0) )
</f>
        <v>0</v>
      </c>
      <c r="I647" s="18" t="str">
        <f>IFERROR(__xludf.DUMMYFUNCTION("IFERROR(
 INDEX(
   FILTER(Shipping_Rate_Card!B:F, Shipping_Rate_Card!A:A=$A647),
   MATCH($H647, FILTER(Shipping_Rate_Card!B:B, Shipping_Rate_Card!A:A=$A647), 1),
   IF( INDEX(Config!B:B, MATCH($A647, Config!A:A, 0))=""Local"", 2,
     IF( INDEX(Config!B"&amp;":B, MATCH($A647, Config!A:A, 0))=""Regional"", 3, 4 )
   )
 ),
"""")
"),"")</f>
        <v/>
      </c>
      <c r="J647" s="16">
        <f>IFERROR(__xludf.DUMMYFUNCTION("IFERROR(
 ( E647 * INDEX(FILTER(Pricing_Rules!E:E, Pricing_Rules!A:A=A647, Pricing_Rules!B:B=B647, Pricing_Rules!C:C&lt;=E647, Pricing_Rules!D:D&gt;=E647), 1)
   + INDEX(FILTER(Pricing_Rules!F:F, Pricing_Rules!A:A=A647, Pricing_Rules!B:B=B647, Pricing_Rules!C:C"&amp;"&lt;=E647, Pricing_Rules!D:D&gt;=E647), 1)
 )
 * (1 + IFERROR( INDEX(Config!D:D, MATCH(A647, Config!A:A, 0)), 0 )),
"""")
"),5.8999999999999995)</f>
        <v>5.9</v>
      </c>
      <c r="K647" s="19">
        <f t="shared" si="3"/>
        <v>-5.9</v>
      </c>
      <c r="L647" s="20" t="str">
        <f t="shared" si="4"/>
        <v/>
      </c>
    </row>
    <row r="648" ht="15.75" customHeight="1">
      <c r="A648" s="9" t="s">
        <v>9</v>
      </c>
      <c r="B648" s="12" t="str">
        <f t="array" ref="B648">XLOOKUP(C648, Channel_Listings!C:C, Channel_Listings!B:B)
</f>
        <v>Apparel_Hoodies_Sweatshirts</v>
      </c>
      <c r="C648" s="22" t="s">
        <v>1069</v>
      </c>
      <c r="D648" s="14" t="str">
        <f t="array" ref="D648">XLOOKUP(C648, Channel_Listings!C:C, Channel_Listings!D:D)
</f>
        <v>SWEATSHIRT-BLACK-SOLID-XXL</v>
      </c>
      <c r="E648" s="15"/>
      <c r="F648" s="16">
        <f t="array" ref="F648">IFERROR(
  VALUE( INDEX(Product_Master!$I:$I,
               MATCH( INDEX(Pack_Master!$B:$B, MATCH($D648, Pack_Master!$A:$A, 0)),
                      Product_Master!$B:$B, 0)
  )) 
  * VALUE( INDEX(Pack_Master!$C:$C, MATCH($D648, Pack_Master!$A:$A, 0)) )
  + VALUE( INDEX(Pack_Master!$D:$D, MATCH($D648, Pack_Master!$A:$A, 0)) ),
"")
</f>
        <v>0</v>
      </c>
      <c r="G648" s="17">
        <f t="array" ref="G648">IFERROR(
 ( INDEX(Pack_Master!E:E, MATCH($D648, Pack_Master!A:A, 0))
   * INDEX(Pack_Master!F:F, MATCH($D648, Pack_Master!A:A, 0))
   * INDEX(Pack_Master!G:G, MATCH($D648, Pack_Master!A:A, 0))
 ) / INDEX(Config!C:C, MATCH($A648, Config!A:A, 0)),
"")
</f>
        <v>0</v>
      </c>
      <c r="H648" s="17">
        <f t="array" ref="H648">MAX( INDEX(Pack_Master!H:H, MATCH($D648, Pack_Master!A:A, 0)),
      IFERROR(G648, 0) )
</f>
        <v>0</v>
      </c>
      <c r="I648" s="18" t="str">
        <f>IFERROR(__xludf.DUMMYFUNCTION("IFERROR(
 INDEX(
   FILTER(Shipping_Rate_Card!B:F, Shipping_Rate_Card!A:A=$A648),
   MATCH($H648, FILTER(Shipping_Rate_Card!B:B, Shipping_Rate_Card!A:A=$A648), 1),
   IF( INDEX(Config!B:B, MATCH($A648, Config!A:A, 0))=""Local"", 2,
     IF( INDEX(Config!B"&amp;":B, MATCH($A648, Config!A:A, 0))=""Regional"", 3, 4 )
   )
 ),
"""")
"),"")</f>
        <v/>
      </c>
      <c r="J648" s="16">
        <f>IFERROR(__xludf.DUMMYFUNCTION("IFERROR(
 ( E648 * INDEX(FILTER(Pricing_Rules!E:E, Pricing_Rules!A:A=A648, Pricing_Rules!B:B=B648, Pricing_Rules!C:C&lt;=E648, Pricing_Rules!D:D&gt;=E648), 1)
   + INDEX(FILTER(Pricing_Rules!F:F, Pricing_Rules!A:A=A648, Pricing_Rules!B:B=B648, Pricing_Rules!C:C"&amp;"&lt;=E648, Pricing_Rules!D:D&gt;=E648), 1)
 )
 * (1 + IFERROR( INDEX(Config!D:D, MATCH(A648, Config!A:A, 0)), 0 )),
"""")
"),5.8999999999999995)</f>
        <v>5.9</v>
      </c>
      <c r="K648" s="19">
        <f t="shared" si="3"/>
        <v>-5.9</v>
      </c>
      <c r="L648" s="20" t="str">
        <f t="shared" si="4"/>
        <v/>
      </c>
    </row>
    <row r="649" ht="15.75" customHeight="1">
      <c r="A649" s="9" t="s">
        <v>9</v>
      </c>
      <c r="B649" s="12" t="str">
        <f t="array" ref="B649">XLOOKUP(C649, Channel_Listings!C:C, Channel_Listings!B:B)
</f>
        <v>Apparel_Hoodies_Sweatshirts</v>
      </c>
      <c r="C649" s="22" t="s">
        <v>1070</v>
      </c>
      <c r="D649" s="14" t="str">
        <f t="array" ref="D649">XLOOKUP(C649, Channel_Listings!C:C, Channel_Listings!D:D)
</f>
        <v>SWEATSHIRT-NAVYBLUE-SOLID-L</v>
      </c>
      <c r="E649" s="15"/>
      <c r="F649" s="16">
        <f t="array" ref="F649">IFERROR(
  VALUE( INDEX(Product_Master!$I:$I,
               MATCH( INDEX(Pack_Master!$B:$B, MATCH($D649, Pack_Master!$A:$A, 0)),
                      Product_Master!$B:$B, 0)
  )) 
  * VALUE( INDEX(Pack_Master!$C:$C, MATCH($D649, Pack_Master!$A:$A, 0)) )
  + VALUE( INDEX(Pack_Master!$D:$D, MATCH($D649, Pack_Master!$A:$A, 0)) ),
"")
</f>
        <v>0</v>
      </c>
      <c r="G649" s="17">
        <f t="array" ref="G649">IFERROR(
 ( INDEX(Pack_Master!E:E, MATCH($D649, Pack_Master!A:A, 0))
   * INDEX(Pack_Master!F:F, MATCH($D649, Pack_Master!A:A, 0))
   * INDEX(Pack_Master!G:G, MATCH($D649, Pack_Master!A:A, 0))
 ) / INDEX(Config!C:C, MATCH($A649, Config!A:A, 0)),
"")
</f>
        <v>0</v>
      </c>
      <c r="H649" s="17">
        <f t="array" ref="H649">MAX( INDEX(Pack_Master!H:H, MATCH($D649, Pack_Master!A:A, 0)),
      IFERROR(G649, 0) )
</f>
        <v>0</v>
      </c>
      <c r="I649" s="18" t="str">
        <f>IFERROR(__xludf.DUMMYFUNCTION("IFERROR(
 INDEX(
   FILTER(Shipping_Rate_Card!B:F, Shipping_Rate_Card!A:A=$A649),
   MATCH($H649, FILTER(Shipping_Rate_Card!B:B, Shipping_Rate_Card!A:A=$A649), 1),
   IF( INDEX(Config!B:B, MATCH($A649, Config!A:A, 0))=""Local"", 2,
     IF( INDEX(Config!B"&amp;":B, MATCH($A649, Config!A:A, 0))=""Regional"", 3, 4 )
   )
 ),
"""")
"),"")</f>
        <v/>
      </c>
      <c r="J649" s="16">
        <f>IFERROR(__xludf.DUMMYFUNCTION("IFERROR(
 ( E649 * INDEX(FILTER(Pricing_Rules!E:E, Pricing_Rules!A:A=A649, Pricing_Rules!B:B=B649, Pricing_Rules!C:C&lt;=E649, Pricing_Rules!D:D&gt;=E649), 1)
   + INDEX(FILTER(Pricing_Rules!F:F, Pricing_Rules!A:A=A649, Pricing_Rules!B:B=B649, Pricing_Rules!C:C"&amp;"&lt;=E649, Pricing_Rules!D:D&gt;=E649), 1)
 )
 * (1 + IFERROR( INDEX(Config!D:D, MATCH(A649, Config!A:A, 0)), 0 )),
"""")
"),5.8999999999999995)</f>
        <v>5.9</v>
      </c>
      <c r="K649" s="19">
        <f t="shared" si="3"/>
        <v>-5.9</v>
      </c>
      <c r="L649" s="20" t="str">
        <f t="shared" si="4"/>
        <v/>
      </c>
    </row>
    <row r="650" ht="15.75" customHeight="1">
      <c r="A650" s="9" t="s">
        <v>9</v>
      </c>
      <c r="B650" s="12" t="str">
        <f t="array" ref="B650">XLOOKUP(C650, Channel_Listings!C:C, Channel_Listings!B:B)
</f>
        <v>Apparel_Hoodies_Sweatshirts</v>
      </c>
      <c r="C650" s="22" t="s">
        <v>1072</v>
      </c>
      <c r="D650" s="14" t="str">
        <f t="array" ref="D650">XLOOKUP(C650, Channel_Listings!C:C, Channel_Listings!D:D)
</f>
        <v>SWEATSHIRT-NAVYBLUE-SOLID-XL</v>
      </c>
      <c r="E650" s="15"/>
      <c r="F650" s="16">
        <f t="array" ref="F650">IFERROR(
  VALUE( INDEX(Product_Master!$I:$I,
               MATCH( INDEX(Pack_Master!$B:$B, MATCH($D650, Pack_Master!$A:$A, 0)),
                      Product_Master!$B:$B, 0)
  )) 
  * VALUE( INDEX(Pack_Master!$C:$C, MATCH($D650, Pack_Master!$A:$A, 0)) )
  + VALUE( INDEX(Pack_Master!$D:$D, MATCH($D650, Pack_Master!$A:$A, 0)) ),
"")
</f>
        <v>0</v>
      </c>
      <c r="G650" s="17">
        <f t="array" ref="G650">IFERROR(
 ( INDEX(Pack_Master!E:E, MATCH($D650, Pack_Master!A:A, 0))
   * INDEX(Pack_Master!F:F, MATCH($D650, Pack_Master!A:A, 0))
   * INDEX(Pack_Master!G:G, MATCH($D650, Pack_Master!A:A, 0))
 ) / INDEX(Config!C:C, MATCH($A650, Config!A:A, 0)),
"")
</f>
        <v>0</v>
      </c>
      <c r="H650" s="17">
        <f t="array" ref="H650">MAX( INDEX(Pack_Master!H:H, MATCH($D650, Pack_Master!A:A, 0)),
      IFERROR(G650, 0) )
</f>
        <v>0</v>
      </c>
      <c r="I650" s="18" t="str">
        <f>IFERROR(__xludf.DUMMYFUNCTION("IFERROR(
 INDEX(
   FILTER(Shipping_Rate_Card!B:F, Shipping_Rate_Card!A:A=$A650),
   MATCH($H650, FILTER(Shipping_Rate_Card!B:B, Shipping_Rate_Card!A:A=$A650), 1),
   IF( INDEX(Config!B:B, MATCH($A650, Config!A:A, 0))=""Local"", 2,
     IF( INDEX(Config!B"&amp;":B, MATCH($A650, Config!A:A, 0))=""Regional"", 3, 4 )
   )
 ),
"""")
"),"")</f>
        <v/>
      </c>
      <c r="J650" s="16">
        <f>IFERROR(__xludf.DUMMYFUNCTION("IFERROR(
 ( E650 * INDEX(FILTER(Pricing_Rules!E:E, Pricing_Rules!A:A=A650, Pricing_Rules!B:B=B650, Pricing_Rules!C:C&lt;=E650, Pricing_Rules!D:D&gt;=E650), 1)
   + INDEX(FILTER(Pricing_Rules!F:F, Pricing_Rules!A:A=A650, Pricing_Rules!B:B=B650, Pricing_Rules!C:C"&amp;"&lt;=E650, Pricing_Rules!D:D&gt;=E650), 1)
 )
 * (1 + IFERROR( INDEX(Config!D:D, MATCH(A650, Config!A:A, 0)), 0 )),
"""")
"),5.8999999999999995)</f>
        <v>5.9</v>
      </c>
      <c r="K650" s="19">
        <f t="shared" si="3"/>
        <v>-5.9</v>
      </c>
      <c r="L650" s="20" t="str">
        <f t="shared" si="4"/>
        <v/>
      </c>
    </row>
    <row r="651" ht="15.75" customHeight="1">
      <c r="A651" s="9" t="s">
        <v>9</v>
      </c>
      <c r="B651" s="12" t="str">
        <f t="array" ref="B651">XLOOKUP(C651, Channel_Listings!C:C, Channel_Listings!B:B)
</f>
        <v>Apparel_Hoodies_Sweatshirts</v>
      </c>
      <c r="C651" s="22" t="s">
        <v>1073</v>
      </c>
      <c r="D651" s="14" t="str">
        <f t="array" ref="D651">XLOOKUP(C651, Channel_Listings!C:C, Channel_Listings!D:D)
</f>
        <v>SWEATSHIRT-NAVYBLUE-SOLID-XXL</v>
      </c>
      <c r="E651" s="15"/>
      <c r="F651" s="16">
        <f t="array" ref="F651">IFERROR(
  VALUE( INDEX(Product_Master!$I:$I,
               MATCH( INDEX(Pack_Master!$B:$B, MATCH($D651, Pack_Master!$A:$A, 0)),
                      Product_Master!$B:$B, 0)
  )) 
  * VALUE( INDEX(Pack_Master!$C:$C, MATCH($D651, Pack_Master!$A:$A, 0)) )
  + VALUE( INDEX(Pack_Master!$D:$D, MATCH($D651, Pack_Master!$A:$A, 0)) ),
"")
</f>
        <v>0</v>
      </c>
      <c r="G651" s="17">
        <f t="array" ref="G651">IFERROR(
 ( INDEX(Pack_Master!E:E, MATCH($D651, Pack_Master!A:A, 0))
   * INDEX(Pack_Master!F:F, MATCH($D651, Pack_Master!A:A, 0))
   * INDEX(Pack_Master!G:G, MATCH($D651, Pack_Master!A:A, 0))
 ) / INDEX(Config!C:C, MATCH($A651, Config!A:A, 0)),
"")
</f>
        <v>0</v>
      </c>
      <c r="H651" s="17">
        <f t="array" ref="H651">MAX( INDEX(Pack_Master!H:H, MATCH($D651, Pack_Master!A:A, 0)),
      IFERROR(G651, 0) )
</f>
        <v>0</v>
      </c>
      <c r="I651" s="18" t="str">
        <f>IFERROR(__xludf.DUMMYFUNCTION("IFERROR(
 INDEX(
   FILTER(Shipping_Rate_Card!B:F, Shipping_Rate_Card!A:A=$A651),
   MATCH($H651, FILTER(Shipping_Rate_Card!B:B, Shipping_Rate_Card!A:A=$A651), 1),
   IF( INDEX(Config!B:B, MATCH($A651, Config!A:A, 0))=""Local"", 2,
     IF( INDEX(Config!B"&amp;":B, MATCH($A651, Config!A:A, 0))=""Regional"", 3, 4 )
   )
 ),
"""")
"),"")</f>
        <v/>
      </c>
      <c r="J651" s="16">
        <f>IFERROR(__xludf.DUMMYFUNCTION("IFERROR(
 ( E651 * INDEX(FILTER(Pricing_Rules!E:E, Pricing_Rules!A:A=A651, Pricing_Rules!B:B=B651, Pricing_Rules!C:C&lt;=E651, Pricing_Rules!D:D&gt;=E651), 1)
   + INDEX(FILTER(Pricing_Rules!F:F, Pricing_Rules!A:A=A651, Pricing_Rules!B:B=B651, Pricing_Rules!C:C"&amp;"&lt;=E651, Pricing_Rules!D:D&gt;=E651), 1)
 )
 * (1 + IFERROR( INDEX(Config!D:D, MATCH(A651, Config!A:A, 0)), 0 )),
"""")
"),5.8999999999999995)</f>
        <v>5.9</v>
      </c>
      <c r="K651" s="19">
        <f t="shared" si="3"/>
        <v>-5.9</v>
      </c>
      <c r="L651" s="20" t="str">
        <f t="shared" si="4"/>
        <v/>
      </c>
    </row>
    <row r="652" ht="15.75" customHeight="1">
      <c r="A652" s="9" t="s">
        <v>9</v>
      </c>
      <c r="B652" s="12" t="str">
        <f t="array" ref="B652">XLOOKUP(C652, Channel_Listings!C:C, Channel_Listings!B:B)
</f>
        <v>Apparel_Tshirts</v>
      </c>
      <c r="C652" s="22" t="s">
        <v>1074</v>
      </c>
      <c r="D652" s="14" t="str">
        <f t="array" ref="D652">XLOOKUP(C652, Channel_Listings!C:C, Channel_Listings!D:D)
</f>
        <v>TSHIRT-BLACK-L</v>
      </c>
      <c r="E652" s="15"/>
      <c r="F652" s="16">
        <f t="array" ref="F652">IFERROR(
  VALUE( INDEX(Product_Master!$I:$I,
               MATCH( INDEX(Pack_Master!$B:$B, MATCH($D652, Pack_Master!$A:$A, 0)),
                      Product_Master!$B:$B, 0)
  )) 
  * VALUE( INDEX(Pack_Master!$C:$C, MATCH($D652, Pack_Master!$A:$A, 0)) )
  + VALUE( INDEX(Pack_Master!$D:$D, MATCH($D652, Pack_Master!$A:$A, 0)) ),
"")
</f>
        <v>2</v>
      </c>
      <c r="G652" s="17">
        <f t="array" ref="G652">IFERROR(
 ( INDEX(Pack_Master!E:E, MATCH($D652, Pack_Master!A:A, 0))
   * INDEX(Pack_Master!F:F, MATCH($D652, Pack_Master!A:A, 0))
   * INDEX(Pack_Master!G:G, MATCH($D652, Pack_Master!A:A, 0))
 ) / INDEX(Config!C:C, MATCH($A652, Config!A:A, 0)),
"")
</f>
        <v>0.375</v>
      </c>
      <c r="H652" s="17">
        <f t="array" ref="H652">MAX( INDEX(Pack_Master!H:H, MATCH($D652, Pack_Master!A:A, 0)),
      IFERROR(G652, 0) )
</f>
        <v>0.5</v>
      </c>
      <c r="I652" s="18">
        <f>IFERROR(__xludf.DUMMYFUNCTION("IFERROR(
 INDEX(
   FILTER(Shipping_Rate_Card!B:F, Shipping_Rate_Card!A:A=$A652),
   MATCH($H652, FILTER(Shipping_Rate_Card!B:B, Shipping_Rate_Card!A:A=$A652), 1),
   IF( INDEX(Config!B:B, MATCH($A652, Config!A:A, 0))=""Local"", 2,
     IF( INDEX(Config!B"&amp;":B, MATCH($A652, Config!A:A, 0))=""Regional"", 3, 4 )
   )
 ),
"""")
"),67.0)</f>
        <v>67</v>
      </c>
      <c r="J652" s="16">
        <f>IFERROR(__xludf.DUMMYFUNCTION("IFERROR(
 ( E652 * INDEX(FILTER(Pricing_Rules!E:E, Pricing_Rules!A:A=A652, Pricing_Rules!B:B=B652, Pricing_Rules!C:C&lt;=E652, Pricing_Rules!D:D&gt;=E652), 1)
   + INDEX(FILTER(Pricing_Rules!F:F, Pricing_Rules!A:A=A652, Pricing_Rules!B:B=B652, Pricing_Rules!C:C"&amp;"&lt;=E652, Pricing_Rules!D:D&gt;=E652), 1)
 )
 * (1 + IFERROR( INDEX(Config!D:D, MATCH(A652, Config!A:A, 0)), 0 )),
"""")
"),5.8999999999999995)</f>
        <v>5.9</v>
      </c>
      <c r="K652" s="19">
        <f t="shared" si="3"/>
        <v>-74.9</v>
      </c>
      <c r="L652" s="20" t="str">
        <f t="shared" si="4"/>
        <v/>
      </c>
    </row>
    <row r="653" ht="15.75" customHeight="1">
      <c r="A653" s="9" t="s">
        <v>9</v>
      </c>
      <c r="B653" s="12" t="str">
        <f t="array" ref="B653">XLOOKUP(C653, Channel_Listings!C:C, Channel_Listings!B:B)
</f>
        <v>Apparel_Tshirts</v>
      </c>
      <c r="C653" s="22" t="s">
        <v>1075</v>
      </c>
      <c r="D653" s="14" t="str">
        <f t="array" ref="D653">XLOOKUP(C653, Channel_Listings!C:C, Channel_Listings!D:D)
</f>
        <v>TSHIRT-BLACK-M</v>
      </c>
      <c r="E653" s="15"/>
      <c r="F653" s="16">
        <f t="array" ref="F653">IFERROR(
  VALUE( INDEX(Product_Master!$I:$I,
               MATCH( INDEX(Pack_Master!$B:$B, MATCH($D653, Pack_Master!$A:$A, 0)),
                      Product_Master!$B:$B, 0)
  )) 
  * VALUE( INDEX(Pack_Master!$C:$C, MATCH($D653, Pack_Master!$A:$A, 0)) )
  + VALUE( INDEX(Pack_Master!$D:$D, MATCH($D653, Pack_Master!$A:$A, 0)) ),
"")
</f>
        <v>2</v>
      </c>
      <c r="G653" s="17">
        <f t="array" ref="G653">IFERROR(
 ( INDEX(Pack_Master!E:E, MATCH($D653, Pack_Master!A:A, 0))
   * INDEX(Pack_Master!F:F, MATCH($D653, Pack_Master!A:A, 0))
   * INDEX(Pack_Master!G:G, MATCH($D653, Pack_Master!A:A, 0))
 ) / INDEX(Config!C:C, MATCH($A653, Config!A:A, 0)),
"")
</f>
        <v>0.375</v>
      </c>
      <c r="H653" s="17">
        <f t="array" ref="H653">MAX( INDEX(Pack_Master!H:H, MATCH($D653, Pack_Master!A:A, 0)),
      IFERROR(G653, 0) )
</f>
        <v>0.5</v>
      </c>
      <c r="I653" s="18">
        <f>IFERROR(__xludf.DUMMYFUNCTION("IFERROR(
 INDEX(
   FILTER(Shipping_Rate_Card!B:F, Shipping_Rate_Card!A:A=$A653),
   MATCH($H653, FILTER(Shipping_Rate_Card!B:B, Shipping_Rate_Card!A:A=$A653), 1),
   IF( INDEX(Config!B:B, MATCH($A653, Config!A:A, 0))=""Local"", 2,
     IF( INDEX(Config!B"&amp;":B, MATCH($A653, Config!A:A, 0))=""Regional"", 3, 4 )
   )
 ),
"""")
"),67.0)</f>
        <v>67</v>
      </c>
      <c r="J653" s="16">
        <f>IFERROR(__xludf.DUMMYFUNCTION("IFERROR(
 ( E653 * INDEX(FILTER(Pricing_Rules!E:E, Pricing_Rules!A:A=A653, Pricing_Rules!B:B=B653, Pricing_Rules!C:C&lt;=E653, Pricing_Rules!D:D&gt;=E653), 1)
   + INDEX(FILTER(Pricing_Rules!F:F, Pricing_Rules!A:A=A653, Pricing_Rules!B:B=B653, Pricing_Rules!C:C"&amp;"&lt;=E653, Pricing_Rules!D:D&gt;=E653), 1)
 )
 * (1 + IFERROR( INDEX(Config!D:D, MATCH(A653, Config!A:A, 0)), 0 )),
"""")
"),5.8999999999999995)</f>
        <v>5.9</v>
      </c>
      <c r="K653" s="19">
        <f t="shared" si="3"/>
        <v>-74.9</v>
      </c>
      <c r="L653" s="20" t="str">
        <f t="shared" si="4"/>
        <v/>
      </c>
    </row>
    <row r="654" ht="15.75" customHeight="1">
      <c r="A654" s="9" t="s">
        <v>9</v>
      </c>
      <c r="B654" s="12" t="str">
        <f t="array" ref="B654">XLOOKUP(C654, Channel_Listings!C:C, Channel_Listings!B:B)
</f>
        <v>Apparel_Tshirts</v>
      </c>
      <c r="C654" s="22" t="s">
        <v>1076</v>
      </c>
      <c r="D654" s="14" t="str">
        <f t="array" ref="D654">XLOOKUP(C654, Channel_Listings!C:C, Channel_Listings!D:D)
</f>
        <v>TSHIRT-BLACK-XL</v>
      </c>
      <c r="E654" s="15"/>
      <c r="F654" s="16">
        <f t="array" ref="F654">IFERROR(
  VALUE( INDEX(Product_Master!$I:$I,
               MATCH( INDEX(Pack_Master!$B:$B, MATCH($D654, Pack_Master!$A:$A, 0)),
                      Product_Master!$B:$B, 0)
  )) 
  * VALUE( INDEX(Pack_Master!$C:$C, MATCH($D654, Pack_Master!$A:$A, 0)) )
  + VALUE( INDEX(Pack_Master!$D:$D, MATCH($D654, Pack_Master!$A:$A, 0)) ),
"")
</f>
        <v>2</v>
      </c>
      <c r="G654" s="17">
        <f t="array" ref="G654">IFERROR(
 ( INDEX(Pack_Master!E:E, MATCH($D654, Pack_Master!A:A, 0))
   * INDEX(Pack_Master!F:F, MATCH($D654, Pack_Master!A:A, 0))
   * INDEX(Pack_Master!G:G, MATCH($D654, Pack_Master!A:A, 0))
 ) / INDEX(Config!C:C, MATCH($A654, Config!A:A, 0)),
"")
</f>
        <v>0.375</v>
      </c>
      <c r="H654" s="17">
        <f t="array" ref="H654">MAX( INDEX(Pack_Master!H:H, MATCH($D654, Pack_Master!A:A, 0)),
      IFERROR(G654, 0) )
</f>
        <v>0.5</v>
      </c>
      <c r="I654" s="18">
        <f>IFERROR(__xludf.DUMMYFUNCTION("IFERROR(
 INDEX(
   FILTER(Shipping_Rate_Card!B:F, Shipping_Rate_Card!A:A=$A654),
   MATCH($H654, FILTER(Shipping_Rate_Card!B:B, Shipping_Rate_Card!A:A=$A654), 1),
   IF( INDEX(Config!B:B, MATCH($A654, Config!A:A, 0))=""Local"", 2,
     IF( INDEX(Config!B"&amp;":B, MATCH($A654, Config!A:A, 0))=""Regional"", 3, 4 )
   )
 ),
"""")
"),67.0)</f>
        <v>67</v>
      </c>
      <c r="J654" s="16">
        <f>IFERROR(__xludf.DUMMYFUNCTION("IFERROR(
 ( E654 * INDEX(FILTER(Pricing_Rules!E:E, Pricing_Rules!A:A=A654, Pricing_Rules!B:B=B654, Pricing_Rules!C:C&lt;=E654, Pricing_Rules!D:D&gt;=E654), 1)
   + INDEX(FILTER(Pricing_Rules!F:F, Pricing_Rules!A:A=A654, Pricing_Rules!B:B=B654, Pricing_Rules!C:C"&amp;"&lt;=E654, Pricing_Rules!D:D&gt;=E654), 1)
 )
 * (1 + IFERROR( INDEX(Config!D:D, MATCH(A654, Config!A:A, 0)), 0 )),
"""")
"),5.8999999999999995)</f>
        <v>5.9</v>
      </c>
      <c r="K654" s="19">
        <f t="shared" si="3"/>
        <v>-74.9</v>
      </c>
      <c r="L654" s="20" t="str">
        <f t="shared" si="4"/>
        <v/>
      </c>
    </row>
    <row r="655" ht="15.75" customHeight="1">
      <c r="A655" s="9" t="s">
        <v>9</v>
      </c>
      <c r="B655" s="12" t="str">
        <f t="array" ref="B655">XLOOKUP(C655, Channel_Listings!C:C, Channel_Listings!B:B)
</f>
        <v>Apparel_Tshirts</v>
      </c>
      <c r="C655" s="22" t="s">
        <v>1077</v>
      </c>
      <c r="D655" s="14" t="str">
        <f t="array" ref="D655">XLOOKUP(C655, Channel_Listings!C:C, Channel_Listings!D:D)
</f>
        <v>TSHIRT-BLACK-XXL</v>
      </c>
      <c r="E655" s="15"/>
      <c r="F655" s="16">
        <f t="array" ref="F655">IFERROR(
  VALUE( INDEX(Product_Master!$I:$I,
               MATCH( INDEX(Pack_Master!$B:$B, MATCH($D655, Pack_Master!$A:$A, 0)),
                      Product_Master!$B:$B, 0)
  )) 
  * VALUE( INDEX(Pack_Master!$C:$C, MATCH($D655, Pack_Master!$A:$A, 0)) )
  + VALUE( INDEX(Pack_Master!$D:$D, MATCH($D655, Pack_Master!$A:$A, 0)) ),
"")
</f>
        <v>2</v>
      </c>
      <c r="G655" s="17">
        <f t="array" ref="G655">IFERROR(
 ( INDEX(Pack_Master!E:E, MATCH($D655, Pack_Master!A:A, 0))
   * INDEX(Pack_Master!F:F, MATCH($D655, Pack_Master!A:A, 0))
   * INDEX(Pack_Master!G:G, MATCH($D655, Pack_Master!A:A, 0))
 ) / INDEX(Config!C:C, MATCH($A655, Config!A:A, 0)),
"")
</f>
        <v>0.375</v>
      </c>
      <c r="H655" s="17">
        <f t="array" ref="H655">MAX( INDEX(Pack_Master!H:H, MATCH($D655, Pack_Master!A:A, 0)),
      IFERROR(G655, 0) )
</f>
        <v>0.5</v>
      </c>
      <c r="I655" s="18">
        <f>IFERROR(__xludf.DUMMYFUNCTION("IFERROR(
 INDEX(
   FILTER(Shipping_Rate_Card!B:F, Shipping_Rate_Card!A:A=$A655),
   MATCH($H655, FILTER(Shipping_Rate_Card!B:B, Shipping_Rate_Card!A:A=$A655), 1),
   IF( INDEX(Config!B:B, MATCH($A655, Config!A:A, 0))=""Local"", 2,
     IF( INDEX(Config!B"&amp;":B, MATCH($A655, Config!A:A, 0))=""Regional"", 3, 4 )
   )
 ),
"""")
"),67.0)</f>
        <v>67</v>
      </c>
      <c r="J655" s="16">
        <f>IFERROR(__xludf.DUMMYFUNCTION("IFERROR(
 ( E655 * INDEX(FILTER(Pricing_Rules!E:E, Pricing_Rules!A:A=A655, Pricing_Rules!B:B=B655, Pricing_Rules!C:C&lt;=E655, Pricing_Rules!D:D&gt;=E655), 1)
   + INDEX(FILTER(Pricing_Rules!F:F, Pricing_Rules!A:A=A655, Pricing_Rules!B:B=B655, Pricing_Rules!C:C"&amp;"&lt;=E655, Pricing_Rules!D:D&gt;=E655), 1)
 )
 * (1 + IFERROR( INDEX(Config!D:D, MATCH(A655, Config!A:A, 0)), 0 )),
"""")
"),5.8999999999999995)</f>
        <v>5.9</v>
      </c>
      <c r="K655" s="19">
        <f t="shared" si="3"/>
        <v>-74.9</v>
      </c>
      <c r="L655" s="20" t="str">
        <f t="shared" si="4"/>
        <v/>
      </c>
    </row>
    <row r="656" ht="15.75" customHeight="1">
      <c r="A656" s="9" t="s">
        <v>9</v>
      </c>
      <c r="B656" s="12" t="str">
        <f t="array" ref="B656">XLOOKUP(C656, Channel_Listings!C:C, Channel_Listings!B:B)
</f>
        <v>Apparel_Tshirts</v>
      </c>
      <c r="C656" s="22" t="s">
        <v>1078</v>
      </c>
      <c r="D656" s="14" t="str">
        <f t="array" ref="D656">XLOOKUP(C656, Channel_Listings!C:C, Channel_Listings!D:D)
</f>
        <v>TSHIRT-WHITE-L</v>
      </c>
      <c r="E656" s="15"/>
      <c r="F656" s="16">
        <f t="array" ref="F656">IFERROR(
  VALUE( INDEX(Product_Master!$I:$I,
               MATCH( INDEX(Pack_Master!$B:$B, MATCH($D656, Pack_Master!$A:$A, 0)),
                      Product_Master!$B:$B, 0)
  )) 
  * VALUE( INDEX(Pack_Master!$C:$C, MATCH($D656, Pack_Master!$A:$A, 0)) )
  + VALUE( INDEX(Pack_Master!$D:$D, MATCH($D656, Pack_Master!$A:$A, 0)) ),
"")
</f>
        <v>2</v>
      </c>
      <c r="G656" s="17">
        <f t="array" ref="G656">IFERROR(
 ( INDEX(Pack_Master!E:E, MATCH($D656, Pack_Master!A:A, 0))
   * INDEX(Pack_Master!F:F, MATCH($D656, Pack_Master!A:A, 0))
   * INDEX(Pack_Master!G:G, MATCH($D656, Pack_Master!A:A, 0))
 ) / INDEX(Config!C:C, MATCH($A656, Config!A:A, 0)),
"")
</f>
        <v>0.375</v>
      </c>
      <c r="H656" s="17">
        <f t="array" ref="H656">MAX( INDEX(Pack_Master!H:H, MATCH($D656, Pack_Master!A:A, 0)),
      IFERROR(G656, 0) )
</f>
        <v>0.5</v>
      </c>
      <c r="I656" s="18">
        <f>IFERROR(__xludf.DUMMYFUNCTION("IFERROR(
 INDEX(
   FILTER(Shipping_Rate_Card!B:F, Shipping_Rate_Card!A:A=$A656),
   MATCH($H656, FILTER(Shipping_Rate_Card!B:B, Shipping_Rate_Card!A:A=$A656), 1),
   IF( INDEX(Config!B:B, MATCH($A656, Config!A:A, 0))=""Local"", 2,
     IF( INDEX(Config!B"&amp;":B, MATCH($A656, Config!A:A, 0))=""Regional"", 3, 4 )
   )
 ),
"""")
"),67.0)</f>
        <v>67</v>
      </c>
      <c r="J656" s="16">
        <f>IFERROR(__xludf.DUMMYFUNCTION("IFERROR(
 ( E656 * INDEX(FILTER(Pricing_Rules!E:E, Pricing_Rules!A:A=A656, Pricing_Rules!B:B=B656, Pricing_Rules!C:C&lt;=E656, Pricing_Rules!D:D&gt;=E656), 1)
   + INDEX(FILTER(Pricing_Rules!F:F, Pricing_Rules!A:A=A656, Pricing_Rules!B:B=B656, Pricing_Rules!C:C"&amp;"&lt;=E656, Pricing_Rules!D:D&gt;=E656), 1)
 )
 * (1 + IFERROR( INDEX(Config!D:D, MATCH(A656, Config!A:A, 0)), 0 )),
"""")
"),5.8999999999999995)</f>
        <v>5.9</v>
      </c>
      <c r="K656" s="19">
        <f t="shared" si="3"/>
        <v>-74.9</v>
      </c>
      <c r="L656" s="20" t="str">
        <f t="shared" si="4"/>
        <v/>
      </c>
    </row>
    <row r="657" ht="15.75" customHeight="1">
      <c r="A657" s="9" t="s">
        <v>9</v>
      </c>
      <c r="B657" s="12" t="str">
        <f t="array" ref="B657">XLOOKUP(C657, Channel_Listings!C:C, Channel_Listings!B:B)
</f>
        <v>Apparel_Tshirts</v>
      </c>
      <c r="C657" s="22" t="s">
        <v>1079</v>
      </c>
      <c r="D657" s="14" t="str">
        <f t="array" ref="D657">XLOOKUP(C657, Channel_Listings!C:C, Channel_Listings!D:D)
</f>
        <v>TSHIRT-WHITE-M</v>
      </c>
      <c r="E657" s="15"/>
      <c r="F657" s="16">
        <f t="array" ref="F657">IFERROR(
  VALUE( INDEX(Product_Master!$I:$I,
               MATCH( INDEX(Pack_Master!$B:$B, MATCH($D657, Pack_Master!$A:$A, 0)),
                      Product_Master!$B:$B, 0)
  )) 
  * VALUE( INDEX(Pack_Master!$C:$C, MATCH($D657, Pack_Master!$A:$A, 0)) )
  + VALUE( INDEX(Pack_Master!$D:$D, MATCH($D657, Pack_Master!$A:$A, 0)) ),
"")
</f>
        <v>2</v>
      </c>
      <c r="G657" s="17">
        <f t="array" ref="G657">IFERROR(
 ( INDEX(Pack_Master!E:E, MATCH($D657, Pack_Master!A:A, 0))
   * INDEX(Pack_Master!F:F, MATCH($D657, Pack_Master!A:A, 0))
   * INDEX(Pack_Master!G:G, MATCH($D657, Pack_Master!A:A, 0))
 ) / INDEX(Config!C:C, MATCH($A657, Config!A:A, 0)),
"")
</f>
        <v>0.375</v>
      </c>
      <c r="H657" s="17">
        <f t="array" ref="H657">MAX( INDEX(Pack_Master!H:H, MATCH($D657, Pack_Master!A:A, 0)),
      IFERROR(G657, 0) )
</f>
        <v>0.5</v>
      </c>
      <c r="I657" s="18">
        <f>IFERROR(__xludf.DUMMYFUNCTION("IFERROR(
 INDEX(
   FILTER(Shipping_Rate_Card!B:F, Shipping_Rate_Card!A:A=$A657),
   MATCH($H657, FILTER(Shipping_Rate_Card!B:B, Shipping_Rate_Card!A:A=$A657), 1),
   IF( INDEX(Config!B:B, MATCH($A657, Config!A:A, 0))=""Local"", 2,
     IF( INDEX(Config!B"&amp;":B, MATCH($A657, Config!A:A, 0))=""Regional"", 3, 4 )
   )
 ),
"""")
"),67.0)</f>
        <v>67</v>
      </c>
      <c r="J657" s="16">
        <f>IFERROR(__xludf.DUMMYFUNCTION("IFERROR(
 ( E657 * INDEX(FILTER(Pricing_Rules!E:E, Pricing_Rules!A:A=A657, Pricing_Rules!B:B=B657, Pricing_Rules!C:C&lt;=E657, Pricing_Rules!D:D&gt;=E657), 1)
   + INDEX(FILTER(Pricing_Rules!F:F, Pricing_Rules!A:A=A657, Pricing_Rules!B:B=B657, Pricing_Rules!C:C"&amp;"&lt;=E657, Pricing_Rules!D:D&gt;=E657), 1)
 )
 * (1 + IFERROR( INDEX(Config!D:D, MATCH(A657, Config!A:A, 0)), 0 )),
"""")
"),5.8999999999999995)</f>
        <v>5.9</v>
      </c>
      <c r="K657" s="19">
        <f t="shared" si="3"/>
        <v>-74.9</v>
      </c>
      <c r="L657" s="20" t="str">
        <f t="shared" si="4"/>
        <v/>
      </c>
    </row>
    <row r="658" ht="15.75" customHeight="1">
      <c r="A658" s="9" t="s">
        <v>9</v>
      </c>
      <c r="B658" s="12" t="str">
        <f t="array" ref="B658">XLOOKUP(C658, Channel_Listings!C:C, Channel_Listings!B:B)
</f>
        <v>Apparel_Tshirts</v>
      </c>
      <c r="C658" s="22" t="s">
        <v>1080</v>
      </c>
      <c r="D658" s="14" t="str">
        <f t="array" ref="D658">XLOOKUP(C658, Channel_Listings!C:C, Channel_Listings!D:D)
</f>
        <v>TSHIRT-WHITE-XL</v>
      </c>
      <c r="E658" s="15"/>
      <c r="F658" s="16">
        <f t="array" ref="F658">IFERROR(
  VALUE( INDEX(Product_Master!$I:$I,
               MATCH( INDEX(Pack_Master!$B:$B, MATCH($D658, Pack_Master!$A:$A, 0)),
                      Product_Master!$B:$B, 0)
  )) 
  * VALUE( INDEX(Pack_Master!$C:$C, MATCH($D658, Pack_Master!$A:$A, 0)) )
  + VALUE( INDEX(Pack_Master!$D:$D, MATCH($D658, Pack_Master!$A:$A, 0)) ),
"")
</f>
        <v>2</v>
      </c>
      <c r="G658" s="17">
        <f t="array" ref="G658">IFERROR(
 ( INDEX(Pack_Master!E:E, MATCH($D658, Pack_Master!A:A, 0))
   * INDEX(Pack_Master!F:F, MATCH($D658, Pack_Master!A:A, 0))
   * INDEX(Pack_Master!G:G, MATCH($D658, Pack_Master!A:A, 0))
 ) / INDEX(Config!C:C, MATCH($A658, Config!A:A, 0)),
"")
</f>
        <v>0.375</v>
      </c>
      <c r="H658" s="17">
        <f t="array" ref="H658">MAX( INDEX(Pack_Master!H:H, MATCH($D658, Pack_Master!A:A, 0)),
      IFERROR(G658, 0) )
</f>
        <v>0.5</v>
      </c>
      <c r="I658" s="18">
        <f>IFERROR(__xludf.DUMMYFUNCTION("IFERROR(
 INDEX(
   FILTER(Shipping_Rate_Card!B:F, Shipping_Rate_Card!A:A=$A658),
   MATCH($H658, FILTER(Shipping_Rate_Card!B:B, Shipping_Rate_Card!A:A=$A658), 1),
   IF( INDEX(Config!B:B, MATCH($A658, Config!A:A, 0))=""Local"", 2,
     IF( INDEX(Config!B"&amp;":B, MATCH($A658, Config!A:A, 0))=""Regional"", 3, 4 )
   )
 ),
"""")
"),67.0)</f>
        <v>67</v>
      </c>
      <c r="J658" s="16">
        <f>IFERROR(__xludf.DUMMYFUNCTION("IFERROR(
 ( E658 * INDEX(FILTER(Pricing_Rules!E:E, Pricing_Rules!A:A=A658, Pricing_Rules!B:B=B658, Pricing_Rules!C:C&lt;=E658, Pricing_Rules!D:D&gt;=E658), 1)
   + INDEX(FILTER(Pricing_Rules!F:F, Pricing_Rules!A:A=A658, Pricing_Rules!B:B=B658, Pricing_Rules!C:C"&amp;"&lt;=E658, Pricing_Rules!D:D&gt;=E658), 1)
 )
 * (1 + IFERROR( INDEX(Config!D:D, MATCH(A658, Config!A:A, 0)), 0 )),
"""")
"),5.8999999999999995)</f>
        <v>5.9</v>
      </c>
      <c r="K658" s="19">
        <f t="shared" si="3"/>
        <v>-74.9</v>
      </c>
      <c r="L658" s="20" t="str">
        <f t="shared" si="4"/>
        <v/>
      </c>
    </row>
    <row r="659" ht="15.75" customHeight="1">
      <c r="A659" s="9" t="s">
        <v>9</v>
      </c>
      <c r="B659" s="12" t="str">
        <f t="array" ref="B659">XLOOKUP(C659, Channel_Listings!C:C, Channel_Listings!B:B)
</f>
        <v>Apparel_Tshirts</v>
      </c>
      <c r="C659" s="22" t="s">
        <v>1081</v>
      </c>
      <c r="D659" s="14" t="str">
        <f t="array" ref="D659">XLOOKUP(C659, Channel_Listings!C:C, Channel_Listings!D:D)
</f>
        <v>TSHIRT-WHITE-XXL</v>
      </c>
      <c r="E659" s="15"/>
      <c r="F659" s="16">
        <f t="array" ref="F659">IFERROR(
  VALUE( INDEX(Product_Master!$I:$I,
               MATCH( INDEX(Pack_Master!$B:$B, MATCH($D659, Pack_Master!$A:$A, 0)),
                      Product_Master!$B:$B, 0)
  )) 
  * VALUE( INDEX(Pack_Master!$C:$C, MATCH($D659, Pack_Master!$A:$A, 0)) )
  + VALUE( INDEX(Pack_Master!$D:$D, MATCH($D659, Pack_Master!$A:$A, 0)) ),
"")
</f>
        <v>2</v>
      </c>
      <c r="G659" s="17">
        <f t="array" ref="G659">IFERROR(
 ( INDEX(Pack_Master!E:E, MATCH($D659, Pack_Master!A:A, 0))
   * INDEX(Pack_Master!F:F, MATCH($D659, Pack_Master!A:A, 0))
   * INDEX(Pack_Master!G:G, MATCH($D659, Pack_Master!A:A, 0))
 ) / INDEX(Config!C:C, MATCH($A659, Config!A:A, 0)),
"")
</f>
        <v>0.375</v>
      </c>
      <c r="H659" s="17">
        <f t="array" ref="H659">MAX( INDEX(Pack_Master!H:H, MATCH($D659, Pack_Master!A:A, 0)),
      IFERROR(G659, 0) )
</f>
        <v>0.5</v>
      </c>
      <c r="I659" s="18">
        <f>IFERROR(__xludf.DUMMYFUNCTION("IFERROR(
 INDEX(
   FILTER(Shipping_Rate_Card!B:F, Shipping_Rate_Card!A:A=$A659),
   MATCH($H659, FILTER(Shipping_Rate_Card!B:B, Shipping_Rate_Card!A:A=$A659), 1),
   IF( INDEX(Config!B:B, MATCH($A659, Config!A:A, 0))=""Local"", 2,
     IF( INDEX(Config!B"&amp;":B, MATCH($A659, Config!A:A, 0))=""Regional"", 3, 4 )
   )
 ),
"""")
"),67.0)</f>
        <v>67</v>
      </c>
      <c r="J659" s="16">
        <f>IFERROR(__xludf.DUMMYFUNCTION("IFERROR(
 ( E659 * INDEX(FILTER(Pricing_Rules!E:E, Pricing_Rules!A:A=A659, Pricing_Rules!B:B=B659, Pricing_Rules!C:C&lt;=E659, Pricing_Rules!D:D&gt;=E659), 1)
   + INDEX(FILTER(Pricing_Rules!F:F, Pricing_Rules!A:A=A659, Pricing_Rules!B:B=B659, Pricing_Rules!C:C"&amp;"&lt;=E659, Pricing_Rules!D:D&gt;=E659), 1)
 )
 * (1 + IFERROR( INDEX(Config!D:D, MATCH(A659, Config!A:A, 0)), 0 )),
"""")
"),5.8999999999999995)</f>
        <v>5.9</v>
      </c>
      <c r="K659" s="19">
        <f t="shared" si="3"/>
        <v>-74.9</v>
      </c>
      <c r="L659" s="20" t="str">
        <f t="shared" si="4"/>
        <v/>
      </c>
    </row>
    <row r="660" ht="15.75" customHeight="1">
      <c r="A660" s="9" t="s">
        <v>9</v>
      </c>
      <c r="B660" s="12" t="str">
        <f t="array" ref="B660">XLOOKUP(C660, Channel_Listings!C:C, Channel_Listings!B:B)
</f>
        <v>Apparel_Tshirts</v>
      </c>
      <c r="C660" s="22" t="s">
        <v>1082</v>
      </c>
      <c r="D660" s="14" t="str">
        <f t="array" ref="D660">XLOOKUP(C660, Channel_Listings!C:C, Channel_Listings!D:D)
</f>
        <v>TSHIRT-BLACK-L</v>
      </c>
      <c r="E660" s="15"/>
      <c r="F660" s="16">
        <f t="array" ref="F660">IFERROR(
  VALUE( INDEX(Product_Master!$I:$I,
               MATCH( INDEX(Pack_Master!$B:$B, MATCH($D660, Pack_Master!$A:$A, 0)),
                      Product_Master!$B:$B, 0)
  )) 
  * VALUE( INDEX(Pack_Master!$C:$C, MATCH($D660, Pack_Master!$A:$A, 0)) )
  + VALUE( INDEX(Pack_Master!$D:$D, MATCH($D660, Pack_Master!$A:$A, 0)) ),
"")
</f>
        <v>2</v>
      </c>
      <c r="G660" s="17">
        <f t="array" ref="G660">IFERROR(
 ( INDEX(Pack_Master!E:E, MATCH($D660, Pack_Master!A:A, 0))
   * INDEX(Pack_Master!F:F, MATCH($D660, Pack_Master!A:A, 0))
   * INDEX(Pack_Master!G:G, MATCH($D660, Pack_Master!A:A, 0))
 ) / INDEX(Config!C:C, MATCH($A660, Config!A:A, 0)),
"")
</f>
        <v>0.375</v>
      </c>
      <c r="H660" s="17">
        <f t="array" ref="H660">MAX( INDEX(Pack_Master!H:H, MATCH($D660, Pack_Master!A:A, 0)),
      IFERROR(G660, 0) )
</f>
        <v>0.5</v>
      </c>
      <c r="I660" s="18">
        <f>IFERROR(__xludf.DUMMYFUNCTION("IFERROR(
 INDEX(
   FILTER(Shipping_Rate_Card!B:F, Shipping_Rate_Card!A:A=$A660),
   MATCH($H660, FILTER(Shipping_Rate_Card!B:B, Shipping_Rate_Card!A:A=$A660), 1),
   IF( INDEX(Config!B:B, MATCH($A660, Config!A:A, 0))=""Local"", 2,
     IF( INDEX(Config!B"&amp;":B, MATCH($A660, Config!A:A, 0))=""Regional"", 3, 4 )
   )
 ),
"""")
"),67.0)</f>
        <v>67</v>
      </c>
      <c r="J660" s="16">
        <f>IFERROR(__xludf.DUMMYFUNCTION("IFERROR(
 ( E660 * INDEX(FILTER(Pricing_Rules!E:E, Pricing_Rules!A:A=A660, Pricing_Rules!B:B=B660, Pricing_Rules!C:C&lt;=E660, Pricing_Rules!D:D&gt;=E660), 1)
   + INDEX(FILTER(Pricing_Rules!F:F, Pricing_Rules!A:A=A660, Pricing_Rules!B:B=B660, Pricing_Rules!C:C"&amp;"&lt;=E660, Pricing_Rules!D:D&gt;=E660), 1)
 )
 * (1 + IFERROR( INDEX(Config!D:D, MATCH(A660, Config!A:A, 0)), 0 )),
"""")
"),5.8999999999999995)</f>
        <v>5.9</v>
      </c>
      <c r="K660" s="19">
        <f t="shared" si="3"/>
        <v>-74.9</v>
      </c>
      <c r="L660" s="20" t="str">
        <f t="shared" si="4"/>
        <v/>
      </c>
    </row>
    <row r="661" ht="15.75" customHeight="1">
      <c r="A661" s="9" t="s">
        <v>9</v>
      </c>
      <c r="B661" s="12" t="str">
        <f t="array" ref="B661">XLOOKUP(C661, Channel_Listings!C:C, Channel_Listings!B:B)
</f>
        <v>Apparel_Tshirts</v>
      </c>
      <c r="C661" s="22" t="s">
        <v>1084</v>
      </c>
      <c r="D661" s="14" t="str">
        <f t="array" ref="D661">XLOOKUP(C661, Channel_Listings!C:C, Channel_Listings!D:D)
</f>
        <v>TSHIRT-BLACK-M</v>
      </c>
      <c r="E661" s="15"/>
      <c r="F661" s="16">
        <f t="array" ref="F661">IFERROR(
  VALUE( INDEX(Product_Master!$I:$I,
               MATCH( INDEX(Pack_Master!$B:$B, MATCH($D661, Pack_Master!$A:$A, 0)),
                      Product_Master!$B:$B, 0)
  )) 
  * VALUE( INDEX(Pack_Master!$C:$C, MATCH($D661, Pack_Master!$A:$A, 0)) )
  + VALUE( INDEX(Pack_Master!$D:$D, MATCH($D661, Pack_Master!$A:$A, 0)) ),
"")
</f>
        <v>2</v>
      </c>
      <c r="G661" s="17">
        <f t="array" ref="G661">IFERROR(
 ( INDEX(Pack_Master!E:E, MATCH($D661, Pack_Master!A:A, 0))
   * INDEX(Pack_Master!F:F, MATCH($D661, Pack_Master!A:A, 0))
   * INDEX(Pack_Master!G:G, MATCH($D661, Pack_Master!A:A, 0))
 ) / INDEX(Config!C:C, MATCH($A661, Config!A:A, 0)),
"")
</f>
        <v>0.375</v>
      </c>
      <c r="H661" s="17">
        <f t="array" ref="H661">MAX( INDEX(Pack_Master!H:H, MATCH($D661, Pack_Master!A:A, 0)),
      IFERROR(G661, 0) )
</f>
        <v>0.5</v>
      </c>
      <c r="I661" s="18">
        <f>IFERROR(__xludf.DUMMYFUNCTION("IFERROR(
 INDEX(
   FILTER(Shipping_Rate_Card!B:F, Shipping_Rate_Card!A:A=$A661),
   MATCH($H661, FILTER(Shipping_Rate_Card!B:B, Shipping_Rate_Card!A:A=$A661), 1),
   IF( INDEX(Config!B:B, MATCH($A661, Config!A:A, 0))=""Local"", 2,
     IF( INDEX(Config!B"&amp;":B, MATCH($A661, Config!A:A, 0))=""Regional"", 3, 4 )
   )
 ),
"""")
"),67.0)</f>
        <v>67</v>
      </c>
      <c r="J661" s="16">
        <f>IFERROR(__xludf.DUMMYFUNCTION("IFERROR(
 ( E661 * INDEX(FILTER(Pricing_Rules!E:E, Pricing_Rules!A:A=A661, Pricing_Rules!B:B=B661, Pricing_Rules!C:C&lt;=E661, Pricing_Rules!D:D&gt;=E661), 1)
   + INDEX(FILTER(Pricing_Rules!F:F, Pricing_Rules!A:A=A661, Pricing_Rules!B:B=B661, Pricing_Rules!C:C"&amp;"&lt;=E661, Pricing_Rules!D:D&gt;=E661), 1)
 )
 * (1 + IFERROR( INDEX(Config!D:D, MATCH(A661, Config!A:A, 0)), 0 )),
"""")
"),5.8999999999999995)</f>
        <v>5.9</v>
      </c>
      <c r="K661" s="19">
        <f t="shared" si="3"/>
        <v>-74.9</v>
      </c>
      <c r="L661" s="20" t="str">
        <f t="shared" si="4"/>
        <v/>
      </c>
    </row>
    <row r="662" ht="15.75" customHeight="1">
      <c r="A662" s="9" t="s">
        <v>9</v>
      </c>
      <c r="B662" s="12" t="str">
        <f t="array" ref="B662">XLOOKUP(C662, Channel_Listings!C:C, Channel_Listings!B:B)
</f>
        <v>Apparel_Tshirts</v>
      </c>
      <c r="C662" s="22" t="s">
        <v>1086</v>
      </c>
      <c r="D662" s="14" t="str">
        <f t="array" ref="D662">XLOOKUP(C662, Channel_Listings!C:C, Channel_Listings!D:D)
</f>
        <v>TSHIRT-BLACK-XL</v>
      </c>
      <c r="E662" s="15"/>
      <c r="F662" s="16">
        <f t="array" ref="F662">IFERROR(
  VALUE( INDEX(Product_Master!$I:$I,
               MATCH( INDEX(Pack_Master!$B:$B, MATCH($D662, Pack_Master!$A:$A, 0)),
                      Product_Master!$B:$B, 0)
  )) 
  * VALUE( INDEX(Pack_Master!$C:$C, MATCH($D662, Pack_Master!$A:$A, 0)) )
  + VALUE( INDEX(Pack_Master!$D:$D, MATCH($D662, Pack_Master!$A:$A, 0)) ),
"")
</f>
        <v>2</v>
      </c>
      <c r="G662" s="17">
        <f t="array" ref="G662">IFERROR(
 ( INDEX(Pack_Master!E:E, MATCH($D662, Pack_Master!A:A, 0))
   * INDEX(Pack_Master!F:F, MATCH($D662, Pack_Master!A:A, 0))
   * INDEX(Pack_Master!G:G, MATCH($D662, Pack_Master!A:A, 0))
 ) / INDEX(Config!C:C, MATCH($A662, Config!A:A, 0)),
"")
</f>
        <v>0.375</v>
      </c>
      <c r="H662" s="17">
        <f t="array" ref="H662">MAX( INDEX(Pack_Master!H:H, MATCH($D662, Pack_Master!A:A, 0)),
      IFERROR(G662, 0) )
</f>
        <v>0.5</v>
      </c>
      <c r="I662" s="18">
        <f>IFERROR(__xludf.DUMMYFUNCTION("IFERROR(
 INDEX(
   FILTER(Shipping_Rate_Card!B:F, Shipping_Rate_Card!A:A=$A662),
   MATCH($H662, FILTER(Shipping_Rate_Card!B:B, Shipping_Rate_Card!A:A=$A662), 1),
   IF( INDEX(Config!B:B, MATCH($A662, Config!A:A, 0))=""Local"", 2,
     IF( INDEX(Config!B"&amp;":B, MATCH($A662, Config!A:A, 0))=""Regional"", 3, 4 )
   )
 ),
"""")
"),67.0)</f>
        <v>67</v>
      </c>
      <c r="J662" s="16">
        <f>IFERROR(__xludf.DUMMYFUNCTION("IFERROR(
 ( E662 * INDEX(FILTER(Pricing_Rules!E:E, Pricing_Rules!A:A=A662, Pricing_Rules!B:B=B662, Pricing_Rules!C:C&lt;=E662, Pricing_Rules!D:D&gt;=E662), 1)
   + INDEX(FILTER(Pricing_Rules!F:F, Pricing_Rules!A:A=A662, Pricing_Rules!B:B=B662, Pricing_Rules!C:C"&amp;"&lt;=E662, Pricing_Rules!D:D&gt;=E662), 1)
 )
 * (1 + IFERROR( INDEX(Config!D:D, MATCH(A662, Config!A:A, 0)), 0 )),
"""")
"),5.8999999999999995)</f>
        <v>5.9</v>
      </c>
      <c r="K662" s="19">
        <f t="shared" si="3"/>
        <v>-74.9</v>
      </c>
      <c r="L662" s="20" t="str">
        <f t="shared" si="4"/>
        <v/>
      </c>
    </row>
    <row r="663" ht="15.75" customHeight="1">
      <c r="A663" s="9" t="s">
        <v>9</v>
      </c>
      <c r="B663" s="12" t="str">
        <f t="array" ref="B663">XLOOKUP(C663, Channel_Listings!C:C, Channel_Listings!B:B)
</f>
        <v>Apparel_Tshirts</v>
      </c>
      <c r="C663" s="22" t="s">
        <v>1088</v>
      </c>
      <c r="D663" s="14" t="str">
        <f t="array" ref="D663">XLOOKUP(C663, Channel_Listings!C:C, Channel_Listings!D:D)
</f>
        <v>TSHIRT-BLACK-XXL</v>
      </c>
      <c r="E663" s="15"/>
      <c r="F663" s="16">
        <f t="array" ref="F663">IFERROR(
  VALUE( INDEX(Product_Master!$I:$I,
               MATCH( INDEX(Pack_Master!$B:$B, MATCH($D663, Pack_Master!$A:$A, 0)),
                      Product_Master!$B:$B, 0)
  )) 
  * VALUE( INDEX(Pack_Master!$C:$C, MATCH($D663, Pack_Master!$A:$A, 0)) )
  + VALUE( INDEX(Pack_Master!$D:$D, MATCH($D663, Pack_Master!$A:$A, 0)) ),
"")
</f>
        <v>2</v>
      </c>
      <c r="G663" s="17">
        <f t="array" ref="G663">IFERROR(
 ( INDEX(Pack_Master!E:E, MATCH($D663, Pack_Master!A:A, 0))
   * INDEX(Pack_Master!F:F, MATCH($D663, Pack_Master!A:A, 0))
   * INDEX(Pack_Master!G:G, MATCH($D663, Pack_Master!A:A, 0))
 ) / INDEX(Config!C:C, MATCH($A663, Config!A:A, 0)),
"")
</f>
        <v>0.375</v>
      </c>
      <c r="H663" s="17">
        <f t="array" ref="H663">MAX( INDEX(Pack_Master!H:H, MATCH($D663, Pack_Master!A:A, 0)),
      IFERROR(G663, 0) )
</f>
        <v>0.5</v>
      </c>
      <c r="I663" s="18">
        <f>IFERROR(__xludf.DUMMYFUNCTION("IFERROR(
 INDEX(
   FILTER(Shipping_Rate_Card!B:F, Shipping_Rate_Card!A:A=$A663),
   MATCH($H663, FILTER(Shipping_Rate_Card!B:B, Shipping_Rate_Card!A:A=$A663), 1),
   IF( INDEX(Config!B:B, MATCH($A663, Config!A:A, 0))=""Local"", 2,
     IF( INDEX(Config!B"&amp;":B, MATCH($A663, Config!A:A, 0))=""Regional"", 3, 4 )
   )
 ),
"""")
"),67.0)</f>
        <v>67</v>
      </c>
      <c r="J663" s="16">
        <f>IFERROR(__xludf.DUMMYFUNCTION("IFERROR(
 ( E663 * INDEX(FILTER(Pricing_Rules!E:E, Pricing_Rules!A:A=A663, Pricing_Rules!B:B=B663, Pricing_Rules!C:C&lt;=E663, Pricing_Rules!D:D&gt;=E663), 1)
   + INDEX(FILTER(Pricing_Rules!F:F, Pricing_Rules!A:A=A663, Pricing_Rules!B:B=B663, Pricing_Rules!C:C"&amp;"&lt;=E663, Pricing_Rules!D:D&gt;=E663), 1)
 )
 * (1 + IFERROR( INDEX(Config!D:D, MATCH(A663, Config!A:A, 0)), 0 )),
"""")
"),5.8999999999999995)</f>
        <v>5.9</v>
      </c>
      <c r="K663" s="19">
        <f t="shared" si="3"/>
        <v>-74.9</v>
      </c>
      <c r="L663" s="20" t="str">
        <f t="shared" si="4"/>
        <v/>
      </c>
    </row>
    <row r="664" ht="15.75" customHeight="1">
      <c r="A664" s="9" t="s">
        <v>9</v>
      </c>
      <c r="B664" s="12" t="str">
        <f t="array" ref="B664">XLOOKUP(C664, Channel_Listings!C:C, Channel_Listings!B:B)
</f>
        <v>Apparel_Tshirts</v>
      </c>
      <c r="C664" s="22" t="s">
        <v>1090</v>
      </c>
      <c r="D664" s="14" t="str">
        <f t="array" ref="D664">XLOOKUP(C664, Channel_Listings!C:C, Channel_Listings!D:D)
</f>
        <v>TSHIRT-BLACK-L</v>
      </c>
      <c r="E664" s="15"/>
      <c r="F664" s="16">
        <f t="array" ref="F664">IFERROR(
  VALUE( INDEX(Product_Master!$I:$I,
               MATCH( INDEX(Pack_Master!$B:$B, MATCH($D664, Pack_Master!$A:$A, 0)),
                      Product_Master!$B:$B, 0)
  )) 
  * VALUE( INDEX(Pack_Master!$C:$C, MATCH($D664, Pack_Master!$A:$A, 0)) )
  + VALUE( INDEX(Pack_Master!$D:$D, MATCH($D664, Pack_Master!$A:$A, 0)) ),
"")
</f>
        <v>2</v>
      </c>
      <c r="G664" s="17">
        <f t="array" ref="G664">IFERROR(
 ( INDEX(Pack_Master!E:E, MATCH($D664, Pack_Master!A:A, 0))
   * INDEX(Pack_Master!F:F, MATCH($D664, Pack_Master!A:A, 0))
   * INDEX(Pack_Master!G:G, MATCH($D664, Pack_Master!A:A, 0))
 ) / INDEX(Config!C:C, MATCH($A664, Config!A:A, 0)),
"")
</f>
        <v>0.375</v>
      </c>
      <c r="H664" s="17">
        <f t="array" ref="H664">MAX( INDEX(Pack_Master!H:H, MATCH($D664, Pack_Master!A:A, 0)),
      IFERROR(G664, 0) )
</f>
        <v>0.5</v>
      </c>
      <c r="I664" s="18">
        <f>IFERROR(__xludf.DUMMYFUNCTION("IFERROR(
 INDEX(
   FILTER(Shipping_Rate_Card!B:F, Shipping_Rate_Card!A:A=$A664),
   MATCH($H664, FILTER(Shipping_Rate_Card!B:B, Shipping_Rate_Card!A:A=$A664), 1),
   IF( INDEX(Config!B:B, MATCH($A664, Config!A:A, 0))=""Local"", 2,
     IF( INDEX(Config!B"&amp;":B, MATCH($A664, Config!A:A, 0))=""Regional"", 3, 4 )
   )
 ),
"""")
"),67.0)</f>
        <v>67</v>
      </c>
      <c r="J664" s="16">
        <f>IFERROR(__xludf.DUMMYFUNCTION("IFERROR(
 ( E664 * INDEX(FILTER(Pricing_Rules!E:E, Pricing_Rules!A:A=A664, Pricing_Rules!B:B=B664, Pricing_Rules!C:C&lt;=E664, Pricing_Rules!D:D&gt;=E664), 1)
   + INDEX(FILTER(Pricing_Rules!F:F, Pricing_Rules!A:A=A664, Pricing_Rules!B:B=B664, Pricing_Rules!C:C"&amp;"&lt;=E664, Pricing_Rules!D:D&gt;=E664), 1)
 )
 * (1 + IFERROR( INDEX(Config!D:D, MATCH(A664, Config!A:A, 0)), 0 )),
"""")
"),5.8999999999999995)</f>
        <v>5.9</v>
      </c>
      <c r="K664" s="19">
        <f t="shared" si="3"/>
        <v>-74.9</v>
      </c>
      <c r="L664" s="20" t="str">
        <f t="shared" si="4"/>
        <v/>
      </c>
    </row>
    <row r="665" ht="15.75" customHeight="1">
      <c r="A665" s="9" t="s">
        <v>9</v>
      </c>
      <c r="B665" s="12" t="str">
        <f t="array" ref="B665">XLOOKUP(C665, Channel_Listings!C:C, Channel_Listings!B:B)
</f>
        <v>Apparel_Tshirts</v>
      </c>
      <c r="C665" s="22" t="s">
        <v>1092</v>
      </c>
      <c r="D665" s="14" t="str">
        <f t="array" ref="D665">XLOOKUP(C665, Channel_Listings!C:C, Channel_Listings!D:D)
</f>
        <v>TSHIRT-BLACK-M</v>
      </c>
      <c r="E665" s="15"/>
      <c r="F665" s="16">
        <f t="array" ref="F665">IFERROR(
  VALUE( INDEX(Product_Master!$I:$I,
               MATCH( INDEX(Pack_Master!$B:$B, MATCH($D665, Pack_Master!$A:$A, 0)),
                      Product_Master!$B:$B, 0)
  )) 
  * VALUE( INDEX(Pack_Master!$C:$C, MATCH($D665, Pack_Master!$A:$A, 0)) )
  + VALUE( INDEX(Pack_Master!$D:$D, MATCH($D665, Pack_Master!$A:$A, 0)) ),
"")
</f>
        <v>2</v>
      </c>
      <c r="G665" s="17">
        <f t="array" ref="G665">IFERROR(
 ( INDEX(Pack_Master!E:E, MATCH($D665, Pack_Master!A:A, 0))
   * INDEX(Pack_Master!F:F, MATCH($D665, Pack_Master!A:A, 0))
   * INDEX(Pack_Master!G:G, MATCH($D665, Pack_Master!A:A, 0))
 ) / INDEX(Config!C:C, MATCH($A665, Config!A:A, 0)),
"")
</f>
        <v>0.375</v>
      </c>
      <c r="H665" s="17">
        <f t="array" ref="H665">MAX( INDEX(Pack_Master!H:H, MATCH($D665, Pack_Master!A:A, 0)),
      IFERROR(G665, 0) )
</f>
        <v>0.5</v>
      </c>
      <c r="I665" s="18">
        <f>IFERROR(__xludf.DUMMYFUNCTION("IFERROR(
 INDEX(
   FILTER(Shipping_Rate_Card!B:F, Shipping_Rate_Card!A:A=$A665),
   MATCH($H665, FILTER(Shipping_Rate_Card!B:B, Shipping_Rate_Card!A:A=$A665), 1),
   IF( INDEX(Config!B:B, MATCH($A665, Config!A:A, 0))=""Local"", 2,
     IF( INDEX(Config!B"&amp;":B, MATCH($A665, Config!A:A, 0))=""Regional"", 3, 4 )
   )
 ),
"""")
"),67.0)</f>
        <v>67</v>
      </c>
      <c r="J665" s="16">
        <f>IFERROR(__xludf.DUMMYFUNCTION("IFERROR(
 ( E665 * INDEX(FILTER(Pricing_Rules!E:E, Pricing_Rules!A:A=A665, Pricing_Rules!B:B=B665, Pricing_Rules!C:C&lt;=E665, Pricing_Rules!D:D&gt;=E665), 1)
   + INDEX(FILTER(Pricing_Rules!F:F, Pricing_Rules!A:A=A665, Pricing_Rules!B:B=B665, Pricing_Rules!C:C"&amp;"&lt;=E665, Pricing_Rules!D:D&gt;=E665), 1)
 )
 * (1 + IFERROR( INDEX(Config!D:D, MATCH(A665, Config!A:A, 0)), 0 )),
"""")
"),5.8999999999999995)</f>
        <v>5.9</v>
      </c>
      <c r="K665" s="19">
        <f t="shared" si="3"/>
        <v>-74.9</v>
      </c>
      <c r="L665" s="20" t="str">
        <f t="shared" si="4"/>
        <v/>
      </c>
    </row>
    <row r="666" ht="15.75" customHeight="1">
      <c r="A666" s="9" t="s">
        <v>9</v>
      </c>
      <c r="B666" s="12" t="str">
        <f t="array" ref="B666">XLOOKUP(C666, Channel_Listings!C:C, Channel_Listings!B:B)
</f>
        <v>Apparel_Tshirts</v>
      </c>
      <c r="C666" s="22" t="s">
        <v>1094</v>
      </c>
      <c r="D666" s="14" t="str">
        <f t="array" ref="D666">XLOOKUP(C666, Channel_Listings!C:C, Channel_Listings!D:D)
</f>
        <v>TSHIRT-BLACK-XL</v>
      </c>
      <c r="E666" s="15"/>
      <c r="F666" s="16">
        <f t="array" ref="F666">IFERROR(
  VALUE( INDEX(Product_Master!$I:$I,
               MATCH( INDEX(Pack_Master!$B:$B, MATCH($D666, Pack_Master!$A:$A, 0)),
                      Product_Master!$B:$B, 0)
  )) 
  * VALUE( INDEX(Pack_Master!$C:$C, MATCH($D666, Pack_Master!$A:$A, 0)) )
  + VALUE( INDEX(Pack_Master!$D:$D, MATCH($D666, Pack_Master!$A:$A, 0)) ),
"")
</f>
        <v>2</v>
      </c>
      <c r="G666" s="17">
        <f t="array" ref="G666">IFERROR(
 ( INDEX(Pack_Master!E:E, MATCH($D666, Pack_Master!A:A, 0))
   * INDEX(Pack_Master!F:F, MATCH($D666, Pack_Master!A:A, 0))
   * INDEX(Pack_Master!G:G, MATCH($D666, Pack_Master!A:A, 0))
 ) / INDEX(Config!C:C, MATCH($A666, Config!A:A, 0)),
"")
</f>
        <v>0.375</v>
      </c>
      <c r="H666" s="17">
        <f t="array" ref="H666">MAX( INDEX(Pack_Master!H:H, MATCH($D666, Pack_Master!A:A, 0)),
      IFERROR(G666, 0) )
</f>
        <v>0.5</v>
      </c>
      <c r="I666" s="18">
        <f>IFERROR(__xludf.DUMMYFUNCTION("IFERROR(
 INDEX(
   FILTER(Shipping_Rate_Card!B:F, Shipping_Rate_Card!A:A=$A666),
   MATCH($H666, FILTER(Shipping_Rate_Card!B:B, Shipping_Rate_Card!A:A=$A666), 1),
   IF( INDEX(Config!B:B, MATCH($A666, Config!A:A, 0))=""Local"", 2,
     IF( INDEX(Config!B"&amp;":B, MATCH($A666, Config!A:A, 0))=""Regional"", 3, 4 )
   )
 ),
"""")
"),67.0)</f>
        <v>67</v>
      </c>
      <c r="J666" s="16">
        <f>IFERROR(__xludf.DUMMYFUNCTION("IFERROR(
 ( E666 * INDEX(FILTER(Pricing_Rules!E:E, Pricing_Rules!A:A=A666, Pricing_Rules!B:B=B666, Pricing_Rules!C:C&lt;=E666, Pricing_Rules!D:D&gt;=E666), 1)
   + INDEX(FILTER(Pricing_Rules!F:F, Pricing_Rules!A:A=A666, Pricing_Rules!B:B=B666, Pricing_Rules!C:C"&amp;"&lt;=E666, Pricing_Rules!D:D&gt;=E666), 1)
 )
 * (1 + IFERROR( INDEX(Config!D:D, MATCH(A666, Config!A:A, 0)), 0 )),
"""")
"),5.8999999999999995)</f>
        <v>5.9</v>
      </c>
      <c r="K666" s="19">
        <f t="shared" si="3"/>
        <v>-74.9</v>
      </c>
      <c r="L666" s="20" t="str">
        <f t="shared" si="4"/>
        <v/>
      </c>
    </row>
    <row r="667" ht="15.75" customHeight="1">
      <c r="A667" s="9" t="s">
        <v>9</v>
      </c>
      <c r="B667" s="12" t="str">
        <f t="array" ref="B667">XLOOKUP(C667, Channel_Listings!C:C, Channel_Listings!B:B)
</f>
        <v>Apparel_Tshirts</v>
      </c>
      <c r="C667" s="22" t="s">
        <v>1096</v>
      </c>
      <c r="D667" s="14" t="str">
        <f t="array" ref="D667">XLOOKUP(C667, Channel_Listings!C:C, Channel_Listings!D:D)
</f>
        <v>TSHIRT-BLACK-XXL</v>
      </c>
      <c r="E667" s="15"/>
      <c r="F667" s="16">
        <f t="array" ref="F667">IFERROR(
  VALUE( INDEX(Product_Master!$I:$I,
               MATCH( INDEX(Pack_Master!$B:$B, MATCH($D667, Pack_Master!$A:$A, 0)),
                      Product_Master!$B:$B, 0)
  )) 
  * VALUE( INDEX(Pack_Master!$C:$C, MATCH($D667, Pack_Master!$A:$A, 0)) )
  + VALUE( INDEX(Pack_Master!$D:$D, MATCH($D667, Pack_Master!$A:$A, 0)) ),
"")
</f>
        <v>2</v>
      </c>
      <c r="G667" s="17">
        <f t="array" ref="G667">IFERROR(
 ( INDEX(Pack_Master!E:E, MATCH($D667, Pack_Master!A:A, 0))
   * INDEX(Pack_Master!F:F, MATCH($D667, Pack_Master!A:A, 0))
   * INDEX(Pack_Master!G:G, MATCH($D667, Pack_Master!A:A, 0))
 ) / INDEX(Config!C:C, MATCH($A667, Config!A:A, 0)),
"")
</f>
        <v>0.375</v>
      </c>
      <c r="H667" s="17">
        <f t="array" ref="H667">MAX( INDEX(Pack_Master!H:H, MATCH($D667, Pack_Master!A:A, 0)),
      IFERROR(G667, 0) )
</f>
        <v>0.5</v>
      </c>
      <c r="I667" s="18">
        <f>IFERROR(__xludf.DUMMYFUNCTION("IFERROR(
 INDEX(
   FILTER(Shipping_Rate_Card!B:F, Shipping_Rate_Card!A:A=$A667),
   MATCH($H667, FILTER(Shipping_Rate_Card!B:B, Shipping_Rate_Card!A:A=$A667), 1),
   IF( INDEX(Config!B:B, MATCH($A667, Config!A:A, 0))=""Local"", 2,
     IF( INDEX(Config!B"&amp;":B, MATCH($A667, Config!A:A, 0))=""Regional"", 3, 4 )
   )
 ),
"""")
"),67.0)</f>
        <v>67</v>
      </c>
      <c r="J667" s="16">
        <f>IFERROR(__xludf.DUMMYFUNCTION("IFERROR(
 ( E667 * INDEX(FILTER(Pricing_Rules!E:E, Pricing_Rules!A:A=A667, Pricing_Rules!B:B=B667, Pricing_Rules!C:C&lt;=E667, Pricing_Rules!D:D&gt;=E667), 1)
   + INDEX(FILTER(Pricing_Rules!F:F, Pricing_Rules!A:A=A667, Pricing_Rules!B:B=B667, Pricing_Rules!C:C"&amp;"&lt;=E667, Pricing_Rules!D:D&gt;=E667), 1)
 )
 * (1 + IFERROR( INDEX(Config!D:D, MATCH(A667, Config!A:A, 0)), 0 )),
"""")
"),5.8999999999999995)</f>
        <v>5.9</v>
      </c>
      <c r="K667" s="19">
        <f t="shared" si="3"/>
        <v>-74.9</v>
      </c>
      <c r="L667" s="20" t="str">
        <f t="shared" si="4"/>
        <v/>
      </c>
    </row>
    <row r="668" ht="15.75" customHeight="1">
      <c r="A668" s="9" t="s">
        <v>9</v>
      </c>
      <c r="B668" s="12" t="str">
        <f t="array" ref="B668">XLOOKUP(C668, Channel_Listings!C:C, Channel_Listings!B:B)
</f>
        <v>Apparel_Tshirts</v>
      </c>
      <c r="C668" s="22" t="s">
        <v>1098</v>
      </c>
      <c r="D668" s="14" t="str">
        <f t="array" ref="D668">XLOOKUP(C668, Channel_Listings!C:C, Channel_Listings!D:D)
</f>
        <v>TSHIRT-BLACK-L</v>
      </c>
      <c r="E668" s="15"/>
      <c r="F668" s="16">
        <f t="array" ref="F668">IFERROR(
  VALUE( INDEX(Product_Master!$I:$I,
               MATCH( INDEX(Pack_Master!$B:$B, MATCH($D668, Pack_Master!$A:$A, 0)),
                      Product_Master!$B:$B, 0)
  )) 
  * VALUE( INDEX(Pack_Master!$C:$C, MATCH($D668, Pack_Master!$A:$A, 0)) )
  + VALUE( INDEX(Pack_Master!$D:$D, MATCH($D668, Pack_Master!$A:$A, 0)) ),
"")
</f>
        <v>2</v>
      </c>
      <c r="G668" s="17">
        <f t="array" ref="G668">IFERROR(
 ( INDEX(Pack_Master!E:E, MATCH($D668, Pack_Master!A:A, 0))
   * INDEX(Pack_Master!F:F, MATCH($D668, Pack_Master!A:A, 0))
   * INDEX(Pack_Master!G:G, MATCH($D668, Pack_Master!A:A, 0))
 ) / INDEX(Config!C:C, MATCH($A668, Config!A:A, 0)),
"")
</f>
        <v>0.375</v>
      </c>
      <c r="H668" s="17">
        <f t="array" ref="H668">MAX( INDEX(Pack_Master!H:H, MATCH($D668, Pack_Master!A:A, 0)),
      IFERROR(G668, 0) )
</f>
        <v>0.5</v>
      </c>
      <c r="I668" s="18">
        <f>IFERROR(__xludf.DUMMYFUNCTION("IFERROR(
 INDEX(
   FILTER(Shipping_Rate_Card!B:F, Shipping_Rate_Card!A:A=$A668),
   MATCH($H668, FILTER(Shipping_Rate_Card!B:B, Shipping_Rate_Card!A:A=$A668), 1),
   IF( INDEX(Config!B:B, MATCH($A668, Config!A:A, 0))=""Local"", 2,
     IF( INDEX(Config!B"&amp;":B, MATCH($A668, Config!A:A, 0))=""Regional"", 3, 4 )
   )
 ),
"""")
"),67.0)</f>
        <v>67</v>
      </c>
      <c r="J668" s="16">
        <f>IFERROR(__xludf.DUMMYFUNCTION("IFERROR(
 ( E668 * INDEX(FILTER(Pricing_Rules!E:E, Pricing_Rules!A:A=A668, Pricing_Rules!B:B=B668, Pricing_Rules!C:C&lt;=E668, Pricing_Rules!D:D&gt;=E668), 1)
   + INDEX(FILTER(Pricing_Rules!F:F, Pricing_Rules!A:A=A668, Pricing_Rules!B:B=B668, Pricing_Rules!C:C"&amp;"&lt;=E668, Pricing_Rules!D:D&gt;=E668), 1)
 )
 * (1 + IFERROR( INDEX(Config!D:D, MATCH(A668, Config!A:A, 0)), 0 )),
"""")
"),5.8999999999999995)</f>
        <v>5.9</v>
      </c>
      <c r="K668" s="19">
        <f t="shared" si="3"/>
        <v>-74.9</v>
      </c>
      <c r="L668" s="20" t="str">
        <f t="shared" si="4"/>
        <v/>
      </c>
    </row>
    <row r="669" ht="15.75" customHeight="1">
      <c r="A669" s="9" t="s">
        <v>9</v>
      </c>
      <c r="B669" s="12" t="str">
        <f t="array" ref="B669">XLOOKUP(C669, Channel_Listings!C:C, Channel_Listings!B:B)
</f>
        <v>Apparel_Tshirts</v>
      </c>
      <c r="C669" s="22" t="s">
        <v>1100</v>
      </c>
      <c r="D669" s="14" t="str">
        <f t="array" ref="D669">XLOOKUP(C669, Channel_Listings!C:C, Channel_Listings!D:D)
</f>
        <v>TSHIRT-BLACK-M</v>
      </c>
      <c r="E669" s="15"/>
      <c r="F669" s="16">
        <f t="array" ref="F669">IFERROR(
  VALUE( INDEX(Product_Master!$I:$I,
               MATCH( INDEX(Pack_Master!$B:$B, MATCH($D669, Pack_Master!$A:$A, 0)),
                      Product_Master!$B:$B, 0)
  )) 
  * VALUE( INDEX(Pack_Master!$C:$C, MATCH($D669, Pack_Master!$A:$A, 0)) )
  + VALUE( INDEX(Pack_Master!$D:$D, MATCH($D669, Pack_Master!$A:$A, 0)) ),
"")
</f>
        <v>2</v>
      </c>
      <c r="G669" s="17">
        <f t="array" ref="G669">IFERROR(
 ( INDEX(Pack_Master!E:E, MATCH($D669, Pack_Master!A:A, 0))
   * INDEX(Pack_Master!F:F, MATCH($D669, Pack_Master!A:A, 0))
   * INDEX(Pack_Master!G:G, MATCH($D669, Pack_Master!A:A, 0))
 ) / INDEX(Config!C:C, MATCH($A669, Config!A:A, 0)),
"")
</f>
        <v>0.375</v>
      </c>
      <c r="H669" s="17">
        <f t="array" ref="H669">MAX( INDEX(Pack_Master!H:H, MATCH($D669, Pack_Master!A:A, 0)),
      IFERROR(G669, 0) )
</f>
        <v>0.5</v>
      </c>
      <c r="I669" s="18">
        <f>IFERROR(__xludf.DUMMYFUNCTION("IFERROR(
 INDEX(
   FILTER(Shipping_Rate_Card!B:F, Shipping_Rate_Card!A:A=$A669),
   MATCH($H669, FILTER(Shipping_Rate_Card!B:B, Shipping_Rate_Card!A:A=$A669), 1),
   IF( INDEX(Config!B:B, MATCH($A669, Config!A:A, 0))=""Local"", 2,
     IF( INDEX(Config!B"&amp;":B, MATCH($A669, Config!A:A, 0))=""Regional"", 3, 4 )
   )
 ),
"""")
"),67.0)</f>
        <v>67</v>
      </c>
      <c r="J669" s="16">
        <f>IFERROR(__xludf.DUMMYFUNCTION("IFERROR(
 ( E669 * INDEX(FILTER(Pricing_Rules!E:E, Pricing_Rules!A:A=A669, Pricing_Rules!B:B=B669, Pricing_Rules!C:C&lt;=E669, Pricing_Rules!D:D&gt;=E669), 1)
   + INDEX(FILTER(Pricing_Rules!F:F, Pricing_Rules!A:A=A669, Pricing_Rules!B:B=B669, Pricing_Rules!C:C"&amp;"&lt;=E669, Pricing_Rules!D:D&gt;=E669), 1)
 )
 * (1 + IFERROR( INDEX(Config!D:D, MATCH(A669, Config!A:A, 0)), 0 )),
"""")
"),5.8999999999999995)</f>
        <v>5.9</v>
      </c>
      <c r="K669" s="19">
        <f t="shared" si="3"/>
        <v>-74.9</v>
      </c>
      <c r="L669" s="20" t="str">
        <f t="shared" si="4"/>
        <v/>
      </c>
    </row>
    <row r="670" ht="15.75" customHeight="1">
      <c r="A670" s="9" t="s">
        <v>9</v>
      </c>
      <c r="B670" s="12" t="str">
        <f t="array" ref="B670">XLOOKUP(C670, Channel_Listings!C:C, Channel_Listings!B:B)
</f>
        <v>Apparel_Tshirts</v>
      </c>
      <c r="C670" s="22" t="s">
        <v>1102</v>
      </c>
      <c r="D670" s="14" t="str">
        <f t="array" ref="D670">XLOOKUP(C670, Channel_Listings!C:C, Channel_Listings!D:D)
</f>
        <v>TSHIRT-BLACK-XL</v>
      </c>
      <c r="E670" s="15"/>
      <c r="F670" s="16">
        <f t="array" ref="F670">IFERROR(
  VALUE( INDEX(Product_Master!$I:$I,
               MATCH( INDEX(Pack_Master!$B:$B, MATCH($D670, Pack_Master!$A:$A, 0)),
                      Product_Master!$B:$B, 0)
  )) 
  * VALUE( INDEX(Pack_Master!$C:$C, MATCH($D670, Pack_Master!$A:$A, 0)) )
  + VALUE( INDEX(Pack_Master!$D:$D, MATCH($D670, Pack_Master!$A:$A, 0)) ),
"")
</f>
        <v>2</v>
      </c>
      <c r="G670" s="17">
        <f t="array" ref="G670">IFERROR(
 ( INDEX(Pack_Master!E:E, MATCH($D670, Pack_Master!A:A, 0))
   * INDEX(Pack_Master!F:F, MATCH($D670, Pack_Master!A:A, 0))
   * INDEX(Pack_Master!G:G, MATCH($D670, Pack_Master!A:A, 0))
 ) / INDEX(Config!C:C, MATCH($A670, Config!A:A, 0)),
"")
</f>
        <v>0.375</v>
      </c>
      <c r="H670" s="17">
        <f t="array" ref="H670">MAX( INDEX(Pack_Master!H:H, MATCH($D670, Pack_Master!A:A, 0)),
      IFERROR(G670, 0) )
</f>
        <v>0.5</v>
      </c>
      <c r="I670" s="18">
        <f>IFERROR(__xludf.DUMMYFUNCTION("IFERROR(
 INDEX(
   FILTER(Shipping_Rate_Card!B:F, Shipping_Rate_Card!A:A=$A670),
   MATCH($H670, FILTER(Shipping_Rate_Card!B:B, Shipping_Rate_Card!A:A=$A670), 1),
   IF( INDEX(Config!B:B, MATCH($A670, Config!A:A, 0))=""Local"", 2,
     IF( INDEX(Config!B"&amp;":B, MATCH($A670, Config!A:A, 0))=""Regional"", 3, 4 )
   )
 ),
"""")
"),67.0)</f>
        <v>67</v>
      </c>
      <c r="J670" s="16">
        <f>IFERROR(__xludf.DUMMYFUNCTION("IFERROR(
 ( E670 * INDEX(FILTER(Pricing_Rules!E:E, Pricing_Rules!A:A=A670, Pricing_Rules!B:B=B670, Pricing_Rules!C:C&lt;=E670, Pricing_Rules!D:D&gt;=E670), 1)
   + INDEX(FILTER(Pricing_Rules!F:F, Pricing_Rules!A:A=A670, Pricing_Rules!B:B=B670, Pricing_Rules!C:C"&amp;"&lt;=E670, Pricing_Rules!D:D&gt;=E670), 1)
 )
 * (1 + IFERROR( INDEX(Config!D:D, MATCH(A670, Config!A:A, 0)), 0 )),
"""")
"),5.8999999999999995)</f>
        <v>5.9</v>
      </c>
      <c r="K670" s="19">
        <f t="shared" si="3"/>
        <v>-74.9</v>
      </c>
      <c r="L670" s="20" t="str">
        <f t="shared" si="4"/>
        <v/>
      </c>
    </row>
    <row r="671" ht="15.75" customHeight="1">
      <c r="A671" s="9" t="s">
        <v>9</v>
      </c>
      <c r="B671" s="12" t="str">
        <f t="array" ref="B671">XLOOKUP(C671, Channel_Listings!C:C, Channel_Listings!B:B)
</f>
        <v>Apparel_Tshirts</v>
      </c>
      <c r="C671" s="22" t="s">
        <v>1104</v>
      </c>
      <c r="D671" s="14" t="str">
        <f t="array" ref="D671">XLOOKUP(C671, Channel_Listings!C:C, Channel_Listings!D:D)
</f>
        <v>TSHIRT-BLACK-XXL</v>
      </c>
      <c r="E671" s="15"/>
      <c r="F671" s="16">
        <f t="array" ref="F671">IFERROR(
  VALUE( INDEX(Product_Master!$I:$I,
               MATCH( INDEX(Pack_Master!$B:$B, MATCH($D671, Pack_Master!$A:$A, 0)),
                      Product_Master!$B:$B, 0)
  )) 
  * VALUE( INDEX(Pack_Master!$C:$C, MATCH($D671, Pack_Master!$A:$A, 0)) )
  + VALUE( INDEX(Pack_Master!$D:$D, MATCH($D671, Pack_Master!$A:$A, 0)) ),
"")
</f>
        <v>2</v>
      </c>
      <c r="G671" s="17">
        <f t="array" ref="G671">IFERROR(
 ( INDEX(Pack_Master!E:E, MATCH($D671, Pack_Master!A:A, 0))
   * INDEX(Pack_Master!F:F, MATCH($D671, Pack_Master!A:A, 0))
   * INDEX(Pack_Master!G:G, MATCH($D671, Pack_Master!A:A, 0))
 ) / INDEX(Config!C:C, MATCH($A671, Config!A:A, 0)),
"")
</f>
        <v>0.375</v>
      </c>
      <c r="H671" s="17">
        <f t="array" ref="H671">MAX( INDEX(Pack_Master!H:H, MATCH($D671, Pack_Master!A:A, 0)),
      IFERROR(G671, 0) )
</f>
        <v>0.5</v>
      </c>
      <c r="I671" s="18">
        <f>IFERROR(__xludf.DUMMYFUNCTION("IFERROR(
 INDEX(
   FILTER(Shipping_Rate_Card!B:F, Shipping_Rate_Card!A:A=$A671),
   MATCH($H671, FILTER(Shipping_Rate_Card!B:B, Shipping_Rate_Card!A:A=$A671), 1),
   IF( INDEX(Config!B:B, MATCH($A671, Config!A:A, 0))=""Local"", 2,
     IF( INDEX(Config!B"&amp;":B, MATCH($A671, Config!A:A, 0))=""Regional"", 3, 4 )
   )
 ),
"""")
"),67.0)</f>
        <v>67</v>
      </c>
      <c r="J671" s="16">
        <f>IFERROR(__xludf.DUMMYFUNCTION("IFERROR(
 ( E671 * INDEX(FILTER(Pricing_Rules!E:E, Pricing_Rules!A:A=A671, Pricing_Rules!B:B=B671, Pricing_Rules!C:C&lt;=E671, Pricing_Rules!D:D&gt;=E671), 1)
   + INDEX(FILTER(Pricing_Rules!F:F, Pricing_Rules!A:A=A671, Pricing_Rules!B:B=B671, Pricing_Rules!C:C"&amp;"&lt;=E671, Pricing_Rules!D:D&gt;=E671), 1)
 )
 * (1 + IFERROR( INDEX(Config!D:D, MATCH(A671, Config!A:A, 0)), 0 )),
"""")
"),5.8999999999999995)</f>
        <v>5.9</v>
      </c>
      <c r="K671" s="19">
        <f t="shared" si="3"/>
        <v>-74.9</v>
      </c>
      <c r="L671" s="20" t="str">
        <f t="shared" si="4"/>
        <v/>
      </c>
    </row>
    <row r="672" ht="15.75" customHeight="1">
      <c r="A672" s="9" t="s">
        <v>9</v>
      </c>
      <c r="B672" s="12" t="str">
        <f t="array" ref="B672">XLOOKUP(C672, Channel_Listings!C:C, Channel_Listings!B:B)
</f>
        <v>Apparel_Tshirts</v>
      </c>
      <c r="C672" s="22" t="s">
        <v>1106</v>
      </c>
      <c r="D672" s="14" t="str">
        <f t="array" ref="D672">XLOOKUP(C672, Channel_Listings!C:C, Channel_Listings!D:D)
</f>
        <v>TSHIRT-BLACK-L</v>
      </c>
      <c r="E672" s="15"/>
      <c r="F672" s="16">
        <f t="array" ref="F672">IFERROR(
  VALUE( INDEX(Product_Master!$I:$I,
               MATCH( INDEX(Pack_Master!$B:$B, MATCH($D672, Pack_Master!$A:$A, 0)),
                      Product_Master!$B:$B, 0)
  )) 
  * VALUE( INDEX(Pack_Master!$C:$C, MATCH($D672, Pack_Master!$A:$A, 0)) )
  + VALUE( INDEX(Pack_Master!$D:$D, MATCH($D672, Pack_Master!$A:$A, 0)) ),
"")
</f>
        <v>2</v>
      </c>
      <c r="G672" s="17">
        <f t="array" ref="G672">IFERROR(
 ( INDEX(Pack_Master!E:E, MATCH($D672, Pack_Master!A:A, 0))
   * INDEX(Pack_Master!F:F, MATCH($D672, Pack_Master!A:A, 0))
   * INDEX(Pack_Master!G:G, MATCH($D672, Pack_Master!A:A, 0))
 ) / INDEX(Config!C:C, MATCH($A672, Config!A:A, 0)),
"")
</f>
        <v>0.375</v>
      </c>
      <c r="H672" s="17">
        <f t="array" ref="H672">MAX( INDEX(Pack_Master!H:H, MATCH($D672, Pack_Master!A:A, 0)),
      IFERROR(G672, 0) )
</f>
        <v>0.5</v>
      </c>
      <c r="I672" s="18">
        <f>IFERROR(__xludf.DUMMYFUNCTION("IFERROR(
 INDEX(
   FILTER(Shipping_Rate_Card!B:F, Shipping_Rate_Card!A:A=$A672),
   MATCH($H672, FILTER(Shipping_Rate_Card!B:B, Shipping_Rate_Card!A:A=$A672), 1),
   IF( INDEX(Config!B:B, MATCH($A672, Config!A:A, 0))=""Local"", 2,
     IF( INDEX(Config!B"&amp;":B, MATCH($A672, Config!A:A, 0))=""Regional"", 3, 4 )
   )
 ),
"""")
"),67.0)</f>
        <v>67</v>
      </c>
      <c r="J672" s="16">
        <f>IFERROR(__xludf.DUMMYFUNCTION("IFERROR(
 ( E672 * INDEX(FILTER(Pricing_Rules!E:E, Pricing_Rules!A:A=A672, Pricing_Rules!B:B=B672, Pricing_Rules!C:C&lt;=E672, Pricing_Rules!D:D&gt;=E672), 1)
   + INDEX(FILTER(Pricing_Rules!F:F, Pricing_Rules!A:A=A672, Pricing_Rules!B:B=B672, Pricing_Rules!C:C"&amp;"&lt;=E672, Pricing_Rules!D:D&gt;=E672), 1)
 )
 * (1 + IFERROR( INDEX(Config!D:D, MATCH(A672, Config!A:A, 0)), 0 )),
"""")
"),5.8999999999999995)</f>
        <v>5.9</v>
      </c>
      <c r="K672" s="19">
        <f t="shared" si="3"/>
        <v>-74.9</v>
      </c>
      <c r="L672" s="20" t="str">
        <f t="shared" si="4"/>
        <v/>
      </c>
    </row>
    <row r="673" ht="15.75" customHeight="1">
      <c r="A673" s="9" t="s">
        <v>9</v>
      </c>
      <c r="B673" s="12" t="str">
        <f t="array" ref="B673">XLOOKUP(C673, Channel_Listings!C:C, Channel_Listings!B:B)
</f>
        <v>Apparel_Tshirts</v>
      </c>
      <c r="C673" s="22" t="s">
        <v>1108</v>
      </c>
      <c r="D673" s="14" t="str">
        <f t="array" ref="D673">XLOOKUP(C673, Channel_Listings!C:C, Channel_Listings!D:D)
</f>
        <v>TSHIRT-BLACK-M</v>
      </c>
      <c r="E673" s="15"/>
      <c r="F673" s="16">
        <f t="array" ref="F673">IFERROR(
  VALUE( INDEX(Product_Master!$I:$I,
               MATCH( INDEX(Pack_Master!$B:$B, MATCH($D673, Pack_Master!$A:$A, 0)),
                      Product_Master!$B:$B, 0)
  )) 
  * VALUE( INDEX(Pack_Master!$C:$C, MATCH($D673, Pack_Master!$A:$A, 0)) )
  + VALUE( INDEX(Pack_Master!$D:$D, MATCH($D673, Pack_Master!$A:$A, 0)) ),
"")
</f>
        <v>2</v>
      </c>
      <c r="G673" s="17">
        <f t="array" ref="G673">IFERROR(
 ( INDEX(Pack_Master!E:E, MATCH($D673, Pack_Master!A:A, 0))
   * INDEX(Pack_Master!F:F, MATCH($D673, Pack_Master!A:A, 0))
   * INDEX(Pack_Master!G:G, MATCH($D673, Pack_Master!A:A, 0))
 ) / INDEX(Config!C:C, MATCH($A673, Config!A:A, 0)),
"")
</f>
        <v>0.375</v>
      </c>
      <c r="H673" s="17">
        <f t="array" ref="H673">MAX( INDEX(Pack_Master!H:H, MATCH($D673, Pack_Master!A:A, 0)),
      IFERROR(G673, 0) )
</f>
        <v>0.5</v>
      </c>
      <c r="I673" s="18">
        <f>IFERROR(__xludf.DUMMYFUNCTION("IFERROR(
 INDEX(
   FILTER(Shipping_Rate_Card!B:F, Shipping_Rate_Card!A:A=$A673),
   MATCH($H673, FILTER(Shipping_Rate_Card!B:B, Shipping_Rate_Card!A:A=$A673), 1),
   IF( INDEX(Config!B:B, MATCH($A673, Config!A:A, 0))=""Local"", 2,
     IF( INDEX(Config!B"&amp;":B, MATCH($A673, Config!A:A, 0))=""Regional"", 3, 4 )
   )
 ),
"""")
"),67.0)</f>
        <v>67</v>
      </c>
      <c r="J673" s="16">
        <f>IFERROR(__xludf.DUMMYFUNCTION("IFERROR(
 ( E673 * INDEX(FILTER(Pricing_Rules!E:E, Pricing_Rules!A:A=A673, Pricing_Rules!B:B=B673, Pricing_Rules!C:C&lt;=E673, Pricing_Rules!D:D&gt;=E673), 1)
   + INDEX(FILTER(Pricing_Rules!F:F, Pricing_Rules!A:A=A673, Pricing_Rules!B:B=B673, Pricing_Rules!C:C"&amp;"&lt;=E673, Pricing_Rules!D:D&gt;=E673), 1)
 )
 * (1 + IFERROR( INDEX(Config!D:D, MATCH(A673, Config!A:A, 0)), 0 )),
"""")
"),5.8999999999999995)</f>
        <v>5.9</v>
      </c>
      <c r="K673" s="19">
        <f t="shared" si="3"/>
        <v>-74.9</v>
      </c>
      <c r="L673" s="20" t="str">
        <f t="shared" si="4"/>
        <v/>
      </c>
    </row>
    <row r="674" ht="15.75" customHeight="1">
      <c r="A674" s="9" t="s">
        <v>9</v>
      </c>
      <c r="B674" s="12" t="str">
        <f t="array" ref="B674">XLOOKUP(C674, Channel_Listings!C:C, Channel_Listings!B:B)
</f>
        <v>Apparel_Tshirts</v>
      </c>
      <c r="C674" s="22" t="s">
        <v>1110</v>
      </c>
      <c r="D674" s="14" t="str">
        <f t="array" ref="D674">XLOOKUP(C674, Channel_Listings!C:C, Channel_Listings!D:D)
</f>
        <v>TSHIRT-BLACK-XL</v>
      </c>
      <c r="E674" s="15"/>
      <c r="F674" s="16">
        <f t="array" ref="F674">IFERROR(
  VALUE( INDEX(Product_Master!$I:$I,
               MATCH( INDEX(Pack_Master!$B:$B, MATCH($D674, Pack_Master!$A:$A, 0)),
                      Product_Master!$B:$B, 0)
  )) 
  * VALUE( INDEX(Pack_Master!$C:$C, MATCH($D674, Pack_Master!$A:$A, 0)) )
  + VALUE( INDEX(Pack_Master!$D:$D, MATCH($D674, Pack_Master!$A:$A, 0)) ),
"")
</f>
        <v>2</v>
      </c>
      <c r="G674" s="17">
        <f t="array" ref="G674">IFERROR(
 ( INDEX(Pack_Master!E:E, MATCH($D674, Pack_Master!A:A, 0))
   * INDEX(Pack_Master!F:F, MATCH($D674, Pack_Master!A:A, 0))
   * INDEX(Pack_Master!G:G, MATCH($D674, Pack_Master!A:A, 0))
 ) / INDEX(Config!C:C, MATCH($A674, Config!A:A, 0)),
"")
</f>
        <v>0.375</v>
      </c>
      <c r="H674" s="17">
        <f t="array" ref="H674">MAX( INDEX(Pack_Master!H:H, MATCH($D674, Pack_Master!A:A, 0)),
      IFERROR(G674, 0) )
</f>
        <v>0.5</v>
      </c>
      <c r="I674" s="18">
        <f>IFERROR(__xludf.DUMMYFUNCTION("IFERROR(
 INDEX(
   FILTER(Shipping_Rate_Card!B:F, Shipping_Rate_Card!A:A=$A674),
   MATCH($H674, FILTER(Shipping_Rate_Card!B:B, Shipping_Rate_Card!A:A=$A674), 1),
   IF( INDEX(Config!B:B, MATCH($A674, Config!A:A, 0))=""Local"", 2,
     IF( INDEX(Config!B"&amp;":B, MATCH($A674, Config!A:A, 0))=""Regional"", 3, 4 )
   )
 ),
"""")
"),67.0)</f>
        <v>67</v>
      </c>
      <c r="J674" s="16">
        <f>IFERROR(__xludf.DUMMYFUNCTION("IFERROR(
 ( E674 * INDEX(FILTER(Pricing_Rules!E:E, Pricing_Rules!A:A=A674, Pricing_Rules!B:B=B674, Pricing_Rules!C:C&lt;=E674, Pricing_Rules!D:D&gt;=E674), 1)
   + INDEX(FILTER(Pricing_Rules!F:F, Pricing_Rules!A:A=A674, Pricing_Rules!B:B=B674, Pricing_Rules!C:C"&amp;"&lt;=E674, Pricing_Rules!D:D&gt;=E674), 1)
 )
 * (1 + IFERROR( INDEX(Config!D:D, MATCH(A674, Config!A:A, 0)), 0 )),
"""")
"),5.8999999999999995)</f>
        <v>5.9</v>
      </c>
      <c r="K674" s="19">
        <f t="shared" si="3"/>
        <v>-74.9</v>
      </c>
      <c r="L674" s="20" t="str">
        <f t="shared" si="4"/>
        <v/>
      </c>
    </row>
    <row r="675" ht="15.75" customHeight="1">
      <c r="A675" s="9" t="s">
        <v>9</v>
      </c>
      <c r="B675" s="12" t="str">
        <f t="array" ref="B675">XLOOKUP(C675, Channel_Listings!C:C, Channel_Listings!B:B)
</f>
        <v>Apparel_Tshirts</v>
      </c>
      <c r="C675" s="22" t="s">
        <v>1112</v>
      </c>
      <c r="D675" s="14" t="str">
        <f t="array" ref="D675">XLOOKUP(C675, Channel_Listings!C:C, Channel_Listings!D:D)
</f>
        <v>TSHIRT-BLACK-XXL</v>
      </c>
      <c r="E675" s="15"/>
      <c r="F675" s="16">
        <f t="array" ref="F675">IFERROR(
  VALUE( INDEX(Product_Master!$I:$I,
               MATCH( INDEX(Pack_Master!$B:$B, MATCH($D675, Pack_Master!$A:$A, 0)),
                      Product_Master!$B:$B, 0)
  )) 
  * VALUE( INDEX(Pack_Master!$C:$C, MATCH($D675, Pack_Master!$A:$A, 0)) )
  + VALUE( INDEX(Pack_Master!$D:$D, MATCH($D675, Pack_Master!$A:$A, 0)) ),
"")
</f>
        <v>2</v>
      </c>
      <c r="G675" s="17">
        <f t="array" ref="G675">IFERROR(
 ( INDEX(Pack_Master!E:E, MATCH($D675, Pack_Master!A:A, 0))
   * INDEX(Pack_Master!F:F, MATCH($D675, Pack_Master!A:A, 0))
   * INDEX(Pack_Master!G:G, MATCH($D675, Pack_Master!A:A, 0))
 ) / INDEX(Config!C:C, MATCH($A675, Config!A:A, 0)),
"")
</f>
        <v>0.375</v>
      </c>
      <c r="H675" s="17">
        <f t="array" ref="H675">MAX( INDEX(Pack_Master!H:H, MATCH($D675, Pack_Master!A:A, 0)),
      IFERROR(G675, 0) )
</f>
        <v>0.5</v>
      </c>
      <c r="I675" s="18">
        <f>IFERROR(__xludf.DUMMYFUNCTION("IFERROR(
 INDEX(
   FILTER(Shipping_Rate_Card!B:F, Shipping_Rate_Card!A:A=$A675),
   MATCH($H675, FILTER(Shipping_Rate_Card!B:B, Shipping_Rate_Card!A:A=$A675), 1),
   IF( INDEX(Config!B:B, MATCH($A675, Config!A:A, 0))=""Local"", 2,
     IF( INDEX(Config!B"&amp;":B, MATCH($A675, Config!A:A, 0))=""Regional"", 3, 4 )
   )
 ),
"""")
"),67.0)</f>
        <v>67</v>
      </c>
      <c r="J675" s="16">
        <f>IFERROR(__xludf.DUMMYFUNCTION("IFERROR(
 ( E675 * INDEX(FILTER(Pricing_Rules!E:E, Pricing_Rules!A:A=A675, Pricing_Rules!B:B=B675, Pricing_Rules!C:C&lt;=E675, Pricing_Rules!D:D&gt;=E675), 1)
   + INDEX(FILTER(Pricing_Rules!F:F, Pricing_Rules!A:A=A675, Pricing_Rules!B:B=B675, Pricing_Rules!C:C"&amp;"&lt;=E675, Pricing_Rules!D:D&gt;=E675), 1)
 )
 * (1 + IFERROR( INDEX(Config!D:D, MATCH(A675, Config!A:A, 0)), 0 )),
"""")
"),5.8999999999999995)</f>
        <v>5.9</v>
      </c>
      <c r="K675" s="19">
        <f t="shared" si="3"/>
        <v>-74.9</v>
      </c>
      <c r="L675" s="20" t="str">
        <f t="shared" si="4"/>
        <v/>
      </c>
    </row>
    <row r="676" ht="15.75" customHeight="1">
      <c r="A676" s="9" t="s">
        <v>9</v>
      </c>
      <c r="B676" s="12" t="str">
        <f t="array" ref="B676">XLOOKUP(C676, Channel_Listings!C:C, Channel_Listings!B:B)
</f>
        <v>Apparel_Tshirts</v>
      </c>
      <c r="C676" s="22" t="s">
        <v>1114</v>
      </c>
      <c r="D676" s="14" t="str">
        <f t="array" ref="D676">XLOOKUP(C676, Channel_Listings!C:C, Channel_Listings!D:D)
</f>
        <v>TSHIRT-BLACK-L</v>
      </c>
      <c r="E676" s="15"/>
      <c r="F676" s="16">
        <f t="array" ref="F676">IFERROR(
  VALUE( INDEX(Product_Master!$I:$I,
               MATCH( INDEX(Pack_Master!$B:$B, MATCH($D676, Pack_Master!$A:$A, 0)),
                      Product_Master!$B:$B, 0)
  )) 
  * VALUE( INDEX(Pack_Master!$C:$C, MATCH($D676, Pack_Master!$A:$A, 0)) )
  + VALUE( INDEX(Pack_Master!$D:$D, MATCH($D676, Pack_Master!$A:$A, 0)) ),
"")
</f>
        <v>2</v>
      </c>
      <c r="G676" s="17">
        <f t="array" ref="G676">IFERROR(
 ( INDEX(Pack_Master!E:E, MATCH($D676, Pack_Master!A:A, 0))
   * INDEX(Pack_Master!F:F, MATCH($D676, Pack_Master!A:A, 0))
   * INDEX(Pack_Master!G:G, MATCH($D676, Pack_Master!A:A, 0))
 ) / INDEX(Config!C:C, MATCH($A676, Config!A:A, 0)),
"")
</f>
        <v>0.375</v>
      </c>
      <c r="H676" s="17">
        <f t="array" ref="H676">MAX( INDEX(Pack_Master!H:H, MATCH($D676, Pack_Master!A:A, 0)),
      IFERROR(G676, 0) )
</f>
        <v>0.5</v>
      </c>
      <c r="I676" s="18">
        <f>IFERROR(__xludf.DUMMYFUNCTION("IFERROR(
 INDEX(
   FILTER(Shipping_Rate_Card!B:F, Shipping_Rate_Card!A:A=$A676),
   MATCH($H676, FILTER(Shipping_Rate_Card!B:B, Shipping_Rate_Card!A:A=$A676), 1),
   IF( INDEX(Config!B:B, MATCH($A676, Config!A:A, 0))=""Local"", 2,
     IF( INDEX(Config!B"&amp;":B, MATCH($A676, Config!A:A, 0))=""Regional"", 3, 4 )
   )
 ),
"""")
"),67.0)</f>
        <v>67</v>
      </c>
      <c r="J676" s="16">
        <f>IFERROR(__xludf.DUMMYFUNCTION("IFERROR(
 ( E676 * INDEX(FILTER(Pricing_Rules!E:E, Pricing_Rules!A:A=A676, Pricing_Rules!B:B=B676, Pricing_Rules!C:C&lt;=E676, Pricing_Rules!D:D&gt;=E676), 1)
   + INDEX(FILTER(Pricing_Rules!F:F, Pricing_Rules!A:A=A676, Pricing_Rules!B:B=B676, Pricing_Rules!C:C"&amp;"&lt;=E676, Pricing_Rules!D:D&gt;=E676), 1)
 )
 * (1 + IFERROR( INDEX(Config!D:D, MATCH(A676, Config!A:A, 0)), 0 )),
"""")
"),5.8999999999999995)</f>
        <v>5.9</v>
      </c>
      <c r="K676" s="19">
        <f t="shared" si="3"/>
        <v>-74.9</v>
      </c>
      <c r="L676" s="20" t="str">
        <f t="shared" si="4"/>
        <v/>
      </c>
    </row>
    <row r="677" ht="15.75" customHeight="1">
      <c r="A677" s="9" t="s">
        <v>9</v>
      </c>
      <c r="B677" s="12" t="str">
        <f t="array" ref="B677">XLOOKUP(C677, Channel_Listings!C:C, Channel_Listings!B:B)
</f>
        <v>Apparel_Tshirts</v>
      </c>
      <c r="C677" s="22" t="s">
        <v>1115</v>
      </c>
      <c r="D677" s="14" t="str">
        <f t="array" ref="D677">XLOOKUP(C677, Channel_Listings!C:C, Channel_Listings!D:D)
</f>
        <v>TSHIRT-BLACK-M</v>
      </c>
      <c r="E677" s="15"/>
      <c r="F677" s="16">
        <f t="array" ref="F677">IFERROR(
  VALUE( INDEX(Product_Master!$I:$I,
               MATCH( INDEX(Pack_Master!$B:$B, MATCH($D677, Pack_Master!$A:$A, 0)),
                      Product_Master!$B:$B, 0)
  )) 
  * VALUE( INDEX(Pack_Master!$C:$C, MATCH($D677, Pack_Master!$A:$A, 0)) )
  + VALUE( INDEX(Pack_Master!$D:$D, MATCH($D677, Pack_Master!$A:$A, 0)) ),
"")
</f>
        <v>2</v>
      </c>
      <c r="G677" s="17">
        <f t="array" ref="G677">IFERROR(
 ( INDEX(Pack_Master!E:E, MATCH($D677, Pack_Master!A:A, 0))
   * INDEX(Pack_Master!F:F, MATCH($D677, Pack_Master!A:A, 0))
   * INDEX(Pack_Master!G:G, MATCH($D677, Pack_Master!A:A, 0))
 ) / INDEX(Config!C:C, MATCH($A677, Config!A:A, 0)),
"")
</f>
        <v>0.375</v>
      </c>
      <c r="H677" s="17">
        <f t="array" ref="H677">MAX( INDEX(Pack_Master!H:H, MATCH($D677, Pack_Master!A:A, 0)),
      IFERROR(G677, 0) )
</f>
        <v>0.5</v>
      </c>
      <c r="I677" s="18">
        <f>IFERROR(__xludf.DUMMYFUNCTION("IFERROR(
 INDEX(
   FILTER(Shipping_Rate_Card!B:F, Shipping_Rate_Card!A:A=$A677),
   MATCH($H677, FILTER(Shipping_Rate_Card!B:B, Shipping_Rate_Card!A:A=$A677), 1),
   IF( INDEX(Config!B:B, MATCH($A677, Config!A:A, 0))=""Local"", 2,
     IF( INDEX(Config!B"&amp;":B, MATCH($A677, Config!A:A, 0))=""Regional"", 3, 4 )
   )
 ),
"""")
"),67.0)</f>
        <v>67</v>
      </c>
      <c r="J677" s="16">
        <f>IFERROR(__xludf.DUMMYFUNCTION("IFERROR(
 ( E677 * INDEX(FILTER(Pricing_Rules!E:E, Pricing_Rules!A:A=A677, Pricing_Rules!B:B=B677, Pricing_Rules!C:C&lt;=E677, Pricing_Rules!D:D&gt;=E677), 1)
   + INDEX(FILTER(Pricing_Rules!F:F, Pricing_Rules!A:A=A677, Pricing_Rules!B:B=B677, Pricing_Rules!C:C"&amp;"&lt;=E677, Pricing_Rules!D:D&gt;=E677), 1)
 )
 * (1 + IFERROR( INDEX(Config!D:D, MATCH(A677, Config!A:A, 0)), 0 )),
"""")
"),5.8999999999999995)</f>
        <v>5.9</v>
      </c>
      <c r="K677" s="19">
        <f t="shared" si="3"/>
        <v>-74.9</v>
      </c>
      <c r="L677" s="20" t="str">
        <f t="shared" si="4"/>
        <v/>
      </c>
    </row>
    <row r="678" ht="15.75" customHeight="1">
      <c r="A678" s="9" t="s">
        <v>9</v>
      </c>
      <c r="B678" s="12" t="str">
        <f t="array" ref="B678">XLOOKUP(C678, Channel_Listings!C:C, Channel_Listings!B:B)
</f>
        <v>Apparel_Tshirts</v>
      </c>
      <c r="C678" s="22" t="s">
        <v>1116</v>
      </c>
      <c r="D678" s="14" t="str">
        <f t="array" ref="D678">XLOOKUP(C678, Channel_Listings!C:C, Channel_Listings!D:D)
</f>
        <v>TSHIRT-BLACK-XL</v>
      </c>
      <c r="E678" s="15"/>
      <c r="F678" s="16">
        <f t="array" ref="F678">IFERROR(
  VALUE( INDEX(Product_Master!$I:$I,
               MATCH( INDEX(Pack_Master!$B:$B, MATCH($D678, Pack_Master!$A:$A, 0)),
                      Product_Master!$B:$B, 0)
  )) 
  * VALUE( INDEX(Pack_Master!$C:$C, MATCH($D678, Pack_Master!$A:$A, 0)) )
  + VALUE( INDEX(Pack_Master!$D:$D, MATCH($D678, Pack_Master!$A:$A, 0)) ),
"")
</f>
        <v>2</v>
      </c>
      <c r="G678" s="17">
        <f t="array" ref="G678">IFERROR(
 ( INDEX(Pack_Master!E:E, MATCH($D678, Pack_Master!A:A, 0))
   * INDEX(Pack_Master!F:F, MATCH($D678, Pack_Master!A:A, 0))
   * INDEX(Pack_Master!G:G, MATCH($D678, Pack_Master!A:A, 0))
 ) / INDEX(Config!C:C, MATCH($A678, Config!A:A, 0)),
"")
</f>
        <v>0.375</v>
      </c>
      <c r="H678" s="17">
        <f t="array" ref="H678">MAX( INDEX(Pack_Master!H:H, MATCH($D678, Pack_Master!A:A, 0)),
      IFERROR(G678, 0) )
</f>
        <v>0.5</v>
      </c>
      <c r="I678" s="18">
        <f>IFERROR(__xludf.DUMMYFUNCTION("IFERROR(
 INDEX(
   FILTER(Shipping_Rate_Card!B:F, Shipping_Rate_Card!A:A=$A678),
   MATCH($H678, FILTER(Shipping_Rate_Card!B:B, Shipping_Rate_Card!A:A=$A678), 1),
   IF( INDEX(Config!B:B, MATCH($A678, Config!A:A, 0))=""Local"", 2,
     IF( INDEX(Config!B"&amp;":B, MATCH($A678, Config!A:A, 0))=""Regional"", 3, 4 )
   )
 ),
"""")
"),67.0)</f>
        <v>67</v>
      </c>
      <c r="J678" s="16">
        <f>IFERROR(__xludf.DUMMYFUNCTION("IFERROR(
 ( E678 * INDEX(FILTER(Pricing_Rules!E:E, Pricing_Rules!A:A=A678, Pricing_Rules!B:B=B678, Pricing_Rules!C:C&lt;=E678, Pricing_Rules!D:D&gt;=E678), 1)
   + INDEX(FILTER(Pricing_Rules!F:F, Pricing_Rules!A:A=A678, Pricing_Rules!B:B=B678, Pricing_Rules!C:C"&amp;"&lt;=E678, Pricing_Rules!D:D&gt;=E678), 1)
 )
 * (1 + IFERROR( INDEX(Config!D:D, MATCH(A678, Config!A:A, 0)), 0 )),
"""")
"),5.8999999999999995)</f>
        <v>5.9</v>
      </c>
      <c r="K678" s="19">
        <f t="shared" si="3"/>
        <v>-74.9</v>
      </c>
      <c r="L678" s="20" t="str">
        <f t="shared" si="4"/>
        <v/>
      </c>
    </row>
    <row r="679" ht="15.75" customHeight="1">
      <c r="A679" s="9" t="s">
        <v>9</v>
      </c>
      <c r="B679" s="12" t="str">
        <f t="array" ref="B679">XLOOKUP(C679, Channel_Listings!C:C, Channel_Listings!B:B)
</f>
        <v>Apparel_Tshirts</v>
      </c>
      <c r="C679" s="22" t="s">
        <v>1117</v>
      </c>
      <c r="D679" s="14" t="str">
        <f t="array" ref="D679">XLOOKUP(C679, Channel_Listings!C:C, Channel_Listings!D:D)
</f>
        <v>TSHIRT-BLACK-XXL</v>
      </c>
      <c r="E679" s="15"/>
      <c r="F679" s="16">
        <f t="array" ref="F679">IFERROR(
  VALUE( INDEX(Product_Master!$I:$I,
               MATCH( INDEX(Pack_Master!$B:$B, MATCH($D679, Pack_Master!$A:$A, 0)),
                      Product_Master!$B:$B, 0)
  )) 
  * VALUE( INDEX(Pack_Master!$C:$C, MATCH($D679, Pack_Master!$A:$A, 0)) )
  + VALUE( INDEX(Pack_Master!$D:$D, MATCH($D679, Pack_Master!$A:$A, 0)) ),
"")
</f>
        <v>2</v>
      </c>
      <c r="G679" s="17">
        <f t="array" ref="G679">IFERROR(
 ( INDEX(Pack_Master!E:E, MATCH($D679, Pack_Master!A:A, 0))
   * INDEX(Pack_Master!F:F, MATCH($D679, Pack_Master!A:A, 0))
   * INDEX(Pack_Master!G:G, MATCH($D679, Pack_Master!A:A, 0))
 ) / INDEX(Config!C:C, MATCH($A679, Config!A:A, 0)),
"")
</f>
        <v>0.375</v>
      </c>
      <c r="H679" s="17">
        <f t="array" ref="H679">MAX( INDEX(Pack_Master!H:H, MATCH($D679, Pack_Master!A:A, 0)),
      IFERROR(G679, 0) )
</f>
        <v>0.5</v>
      </c>
      <c r="I679" s="18">
        <f>IFERROR(__xludf.DUMMYFUNCTION("IFERROR(
 INDEX(
   FILTER(Shipping_Rate_Card!B:F, Shipping_Rate_Card!A:A=$A679),
   MATCH($H679, FILTER(Shipping_Rate_Card!B:B, Shipping_Rate_Card!A:A=$A679), 1),
   IF( INDEX(Config!B:B, MATCH($A679, Config!A:A, 0))=""Local"", 2,
     IF( INDEX(Config!B"&amp;":B, MATCH($A679, Config!A:A, 0))=""Regional"", 3, 4 )
   )
 ),
"""")
"),67.0)</f>
        <v>67</v>
      </c>
      <c r="J679" s="16">
        <f>IFERROR(__xludf.DUMMYFUNCTION("IFERROR(
 ( E679 * INDEX(FILTER(Pricing_Rules!E:E, Pricing_Rules!A:A=A679, Pricing_Rules!B:B=B679, Pricing_Rules!C:C&lt;=E679, Pricing_Rules!D:D&gt;=E679), 1)
   + INDEX(FILTER(Pricing_Rules!F:F, Pricing_Rules!A:A=A679, Pricing_Rules!B:B=B679, Pricing_Rules!C:C"&amp;"&lt;=E679, Pricing_Rules!D:D&gt;=E679), 1)
 )
 * (1 + IFERROR( INDEX(Config!D:D, MATCH(A679, Config!A:A, 0)), 0 )),
"""")
"),5.8999999999999995)</f>
        <v>5.9</v>
      </c>
      <c r="K679" s="19">
        <f t="shared" si="3"/>
        <v>-74.9</v>
      </c>
      <c r="L679" s="20" t="str">
        <f t="shared" si="4"/>
        <v/>
      </c>
    </row>
    <row r="680" ht="15.75" customHeight="1">
      <c r="A680" s="9" t="s">
        <v>9</v>
      </c>
      <c r="B680" s="12" t="str">
        <f t="array" ref="B680">XLOOKUP(C680, Channel_Listings!C:C, Channel_Listings!B:B)
</f>
        <v>Apparel_Tshirts</v>
      </c>
      <c r="C680" s="22" t="s">
        <v>1118</v>
      </c>
      <c r="D680" s="14" t="str">
        <f t="array" ref="D680">XLOOKUP(C680, Channel_Listings!C:C, Channel_Listings!D:D)
</f>
        <v>TSHIRT-BLACK-L</v>
      </c>
      <c r="E680" s="15"/>
      <c r="F680" s="16">
        <f t="array" ref="F680">IFERROR(
  VALUE( INDEX(Product_Master!$I:$I,
               MATCH( INDEX(Pack_Master!$B:$B, MATCH($D680, Pack_Master!$A:$A, 0)),
                      Product_Master!$B:$B, 0)
  )) 
  * VALUE( INDEX(Pack_Master!$C:$C, MATCH($D680, Pack_Master!$A:$A, 0)) )
  + VALUE( INDEX(Pack_Master!$D:$D, MATCH($D680, Pack_Master!$A:$A, 0)) ),
"")
</f>
        <v>2</v>
      </c>
      <c r="G680" s="17">
        <f t="array" ref="G680">IFERROR(
 ( INDEX(Pack_Master!E:E, MATCH($D680, Pack_Master!A:A, 0))
   * INDEX(Pack_Master!F:F, MATCH($D680, Pack_Master!A:A, 0))
   * INDEX(Pack_Master!G:G, MATCH($D680, Pack_Master!A:A, 0))
 ) / INDEX(Config!C:C, MATCH($A680, Config!A:A, 0)),
"")
</f>
        <v>0.375</v>
      </c>
      <c r="H680" s="17">
        <f t="array" ref="H680">MAX( INDEX(Pack_Master!H:H, MATCH($D680, Pack_Master!A:A, 0)),
      IFERROR(G680, 0) )
</f>
        <v>0.5</v>
      </c>
      <c r="I680" s="18">
        <f>IFERROR(__xludf.DUMMYFUNCTION("IFERROR(
 INDEX(
   FILTER(Shipping_Rate_Card!B:F, Shipping_Rate_Card!A:A=$A680),
   MATCH($H680, FILTER(Shipping_Rate_Card!B:B, Shipping_Rate_Card!A:A=$A680), 1),
   IF( INDEX(Config!B:B, MATCH($A680, Config!A:A, 0))=""Local"", 2,
     IF( INDEX(Config!B"&amp;":B, MATCH($A680, Config!A:A, 0))=""Regional"", 3, 4 )
   )
 ),
"""")
"),67.0)</f>
        <v>67</v>
      </c>
      <c r="J680" s="16">
        <f>IFERROR(__xludf.DUMMYFUNCTION("IFERROR(
 ( E680 * INDEX(FILTER(Pricing_Rules!E:E, Pricing_Rules!A:A=A680, Pricing_Rules!B:B=B680, Pricing_Rules!C:C&lt;=E680, Pricing_Rules!D:D&gt;=E680), 1)
   + INDEX(FILTER(Pricing_Rules!F:F, Pricing_Rules!A:A=A680, Pricing_Rules!B:B=B680, Pricing_Rules!C:C"&amp;"&lt;=E680, Pricing_Rules!D:D&gt;=E680), 1)
 )
 * (1 + IFERROR( INDEX(Config!D:D, MATCH(A680, Config!A:A, 0)), 0 )),
"""")
"),5.8999999999999995)</f>
        <v>5.9</v>
      </c>
      <c r="K680" s="19">
        <f t="shared" si="3"/>
        <v>-74.9</v>
      </c>
      <c r="L680" s="20" t="str">
        <f t="shared" si="4"/>
        <v/>
      </c>
    </row>
    <row r="681" ht="15.75" customHeight="1">
      <c r="A681" s="9" t="s">
        <v>9</v>
      </c>
      <c r="B681" s="12" t="str">
        <f t="array" ref="B681">XLOOKUP(C681, Channel_Listings!C:C, Channel_Listings!B:B)
</f>
        <v>Apparel_Tshirts</v>
      </c>
      <c r="C681" s="22" t="s">
        <v>1119</v>
      </c>
      <c r="D681" s="14" t="str">
        <f t="array" ref="D681">XLOOKUP(C681, Channel_Listings!C:C, Channel_Listings!D:D)
</f>
        <v>TSHIRT-BLACK-M</v>
      </c>
      <c r="E681" s="15"/>
      <c r="F681" s="16">
        <f t="array" ref="F681">IFERROR(
  VALUE( INDEX(Product_Master!$I:$I,
               MATCH( INDEX(Pack_Master!$B:$B, MATCH($D681, Pack_Master!$A:$A, 0)),
                      Product_Master!$B:$B, 0)
  )) 
  * VALUE( INDEX(Pack_Master!$C:$C, MATCH($D681, Pack_Master!$A:$A, 0)) )
  + VALUE( INDEX(Pack_Master!$D:$D, MATCH($D681, Pack_Master!$A:$A, 0)) ),
"")
</f>
        <v>2</v>
      </c>
      <c r="G681" s="17">
        <f t="array" ref="G681">IFERROR(
 ( INDEX(Pack_Master!E:E, MATCH($D681, Pack_Master!A:A, 0))
   * INDEX(Pack_Master!F:F, MATCH($D681, Pack_Master!A:A, 0))
   * INDEX(Pack_Master!G:G, MATCH($D681, Pack_Master!A:A, 0))
 ) / INDEX(Config!C:C, MATCH($A681, Config!A:A, 0)),
"")
</f>
        <v>0.375</v>
      </c>
      <c r="H681" s="17">
        <f t="array" ref="H681">MAX( INDEX(Pack_Master!H:H, MATCH($D681, Pack_Master!A:A, 0)),
      IFERROR(G681, 0) )
</f>
        <v>0.5</v>
      </c>
      <c r="I681" s="18">
        <f>IFERROR(__xludf.DUMMYFUNCTION("IFERROR(
 INDEX(
   FILTER(Shipping_Rate_Card!B:F, Shipping_Rate_Card!A:A=$A681),
   MATCH($H681, FILTER(Shipping_Rate_Card!B:B, Shipping_Rate_Card!A:A=$A681), 1),
   IF( INDEX(Config!B:B, MATCH($A681, Config!A:A, 0))=""Local"", 2,
     IF( INDEX(Config!B"&amp;":B, MATCH($A681, Config!A:A, 0))=""Regional"", 3, 4 )
   )
 ),
"""")
"),67.0)</f>
        <v>67</v>
      </c>
      <c r="J681" s="16">
        <f>IFERROR(__xludf.DUMMYFUNCTION("IFERROR(
 ( E681 * INDEX(FILTER(Pricing_Rules!E:E, Pricing_Rules!A:A=A681, Pricing_Rules!B:B=B681, Pricing_Rules!C:C&lt;=E681, Pricing_Rules!D:D&gt;=E681), 1)
   + INDEX(FILTER(Pricing_Rules!F:F, Pricing_Rules!A:A=A681, Pricing_Rules!B:B=B681, Pricing_Rules!C:C"&amp;"&lt;=E681, Pricing_Rules!D:D&gt;=E681), 1)
 )
 * (1 + IFERROR( INDEX(Config!D:D, MATCH(A681, Config!A:A, 0)), 0 )),
"""")
"),5.8999999999999995)</f>
        <v>5.9</v>
      </c>
      <c r="K681" s="19">
        <f t="shared" si="3"/>
        <v>-74.9</v>
      </c>
      <c r="L681" s="20" t="str">
        <f t="shared" si="4"/>
        <v/>
      </c>
    </row>
    <row r="682" ht="15.75" customHeight="1">
      <c r="A682" s="9" t="s">
        <v>9</v>
      </c>
      <c r="B682" s="12" t="str">
        <f t="array" ref="B682">XLOOKUP(C682, Channel_Listings!C:C, Channel_Listings!B:B)
</f>
        <v>Apparel_Tshirts</v>
      </c>
      <c r="C682" s="22" t="s">
        <v>1120</v>
      </c>
      <c r="D682" s="14" t="str">
        <f t="array" ref="D682">XLOOKUP(C682, Channel_Listings!C:C, Channel_Listings!D:D)
</f>
        <v>TSHIRT-BLACK-XL</v>
      </c>
      <c r="E682" s="15"/>
      <c r="F682" s="16">
        <f t="array" ref="F682">IFERROR(
  VALUE( INDEX(Product_Master!$I:$I,
               MATCH( INDEX(Pack_Master!$B:$B, MATCH($D682, Pack_Master!$A:$A, 0)),
                      Product_Master!$B:$B, 0)
  )) 
  * VALUE( INDEX(Pack_Master!$C:$C, MATCH($D682, Pack_Master!$A:$A, 0)) )
  + VALUE( INDEX(Pack_Master!$D:$D, MATCH($D682, Pack_Master!$A:$A, 0)) ),
"")
</f>
        <v>2</v>
      </c>
      <c r="G682" s="17">
        <f t="array" ref="G682">IFERROR(
 ( INDEX(Pack_Master!E:E, MATCH($D682, Pack_Master!A:A, 0))
   * INDEX(Pack_Master!F:F, MATCH($D682, Pack_Master!A:A, 0))
   * INDEX(Pack_Master!G:G, MATCH($D682, Pack_Master!A:A, 0))
 ) / INDEX(Config!C:C, MATCH($A682, Config!A:A, 0)),
"")
</f>
        <v>0.375</v>
      </c>
      <c r="H682" s="17">
        <f t="array" ref="H682">MAX( INDEX(Pack_Master!H:H, MATCH($D682, Pack_Master!A:A, 0)),
      IFERROR(G682, 0) )
</f>
        <v>0.5</v>
      </c>
      <c r="I682" s="18">
        <f>IFERROR(__xludf.DUMMYFUNCTION("IFERROR(
 INDEX(
   FILTER(Shipping_Rate_Card!B:F, Shipping_Rate_Card!A:A=$A682),
   MATCH($H682, FILTER(Shipping_Rate_Card!B:B, Shipping_Rate_Card!A:A=$A682), 1),
   IF( INDEX(Config!B:B, MATCH($A682, Config!A:A, 0))=""Local"", 2,
     IF( INDEX(Config!B"&amp;":B, MATCH($A682, Config!A:A, 0))=""Regional"", 3, 4 )
   )
 ),
"""")
"),67.0)</f>
        <v>67</v>
      </c>
      <c r="J682" s="16">
        <f>IFERROR(__xludf.DUMMYFUNCTION("IFERROR(
 ( E682 * INDEX(FILTER(Pricing_Rules!E:E, Pricing_Rules!A:A=A682, Pricing_Rules!B:B=B682, Pricing_Rules!C:C&lt;=E682, Pricing_Rules!D:D&gt;=E682), 1)
   + INDEX(FILTER(Pricing_Rules!F:F, Pricing_Rules!A:A=A682, Pricing_Rules!B:B=B682, Pricing_Rules!C:C"&amp;"&lt;=E682, Pricing_Rules!D:D&gt;=E682), 1)
 )
 * (1 + IFERROR( INDEX(Config!D:D, MATCH(A682, Config!A:A, 0)), 0 )),
"""")
"),5.8999999999999995)</f>
        <v>5.9</v>
      </c>
      <c r="K682" s="19">
        <f t="shared" si="3"/>
        <v>-74.9</v>
      </c>
      <c r="L682" s="20" t="str">
        <f t="shared" si="4"/>
        <v/>
      </c>
    </row>
    <row r="683" ht="15.75" customHeight="1">
      <c r="A683" s="9" t="s">
        <v>9</v>
      </c>
      <c r="B683" s="12" t="str">
        <f t="array" ref="B683">XLOOKUP(C683, Channel_Listings!C:C, Channel_Listings!B:B)
</f>
        <v>Apparel_Tshirts</v>
      </c>
      <c r="C683" s="22" t="s">
        <v>1121</v>
      </c>
      <c r="D683" s="14" t="str">
        <f t="array" ref="D683">XLOOKUP(C683, Channel_Listings!C:C, Channel_Listings!D:D)
</f>
        <v>TSHIRT-BLACK-XXL</v>
      </c>
      <c r="E683" s="15"/>
      <c r="F683" s="16">
        <f t="array" ref="F683">IFERROR(
  VALUE( INDEX(Product_Master!$I:$I,
               MATCH( INDEX(Pack_Master!$B:$B, MATCH($D683, Pack_Master!$A:$A, 0)),
                      Product_Master!$B:$B, 0)
  )) 
  * VALUE( INDEX(Pack_Master!$C:$C, MATCH($D683, Pack_Master!$A:$A, 0)) )
  + VALUE( INDEX(Pack_Master!$D:$D, MATCH($D683, Pack_Master!$A:$A, 0)) ),
"")
</f>
        <v>2</v>
      </c>
      <c r="G683" s="17">
        <f t="array" ref="G683">IFERROR(
 ( INDEX(Pack_Master!E:E, MATCH($D683, Pack_Master!A:A, 0))
   * INDEX(Pack_Master!F:F, MATCH($D683, Pack_Master!A:A, 0))
   * INDEX(Pack_Master!G:G, MATCH($D683, Pack_Master!A:A, 0))
 ) / INDEX(Config!C:C, MATCH($A683, Config!A:A, 0)),
"")
</f>
        <v>0.375</v>
      </c>
      <c r="H683" s="17">
        <f t="array" ref="H683">MAX( INDEX(Pack_Master!H:H, MATCH($D683, Pack_Master!A:A, 0)),
      IFERROR(G683, 0) )
</f>
        <v>0.5</v>
      </c>
      <c r="I683" s="18">
        <f>IFERROR(__xludf.DUMMYFUNCTION("IFERROR(
 INDEX(
   FILTER(Shipping_Rate_Card!B:F, Shipping_Rate_Card!A:A=$A683),
   MATCH($H683, FILTER(Shipping_Rate_Card!B:B, Shipping_Rate_Card!A:A=$A683), 1),
   IF( INDEX(Config!B:B, MATCH($A683, Config!A:A, 0))=""Local"", 2,
     IF( INDEX(Config!B"&amp;":B, MATCH($A683, Config!A:A, 0))=""Regional"", 3, 4 )
   )
 ),
"""")
"),67.0)</f>
        <v>67</v>
      </c>
      <c r="J683" s="16">
        <f>IFERROR(__xludf.DUMMYFUNCTION("IFERROR(
 ( E683 * INDEX(FILTER(Pricing_Rules!E:E, Pricing_Rules!A:A=A683, Pricing_Rules!B:B=B683, Pricing_Rules!C:C&lt;=E683, Pricing_Rules!D:D&gt;=E683), 1)
   + INDEX(FILTER(Pricing_Rules!F:F, Pricing_Rules!A:A=A683, Pricing_Rules!B:B=B683, Pricing_Rules!C:C"&amp;"&lt;=E683, Pricing_Rules!D:D&gt;=E683), 1)
 )
 * (1 + IFERROR( INDEX(Config!D:D, MATCH(A683, Config!A:A, 0)), 0 )),
"""")
"),5.8999999999999995)</f>
        <v>5.9</v>
      </c>
      <c r="K683" s="19">
        <f t="shared" si="3"/>
        <v>-74.9</v>
      </c>
      <c r="L683" s="20" t="str">
        <f t="shared" si="4"/>
        <v/>
      </c>
    </row>
    <row r="684" ht="15.75" customHeight="1">
      <c r="A684" s="9" t="s">
        <v>9</v>
      </c>
      <c r="B684" s="12" t="str">
        <f t="array" ref="B684">XLOOKUP(C684, Channel_Listings!C:C, Channel_Listings!B:B)
</f>
        <v>Apparel_Tshirts</v>
      </c>
      <c r="C684" s="22" t="s">
        <v>1123</v>
      </c>
      <c r="D684" s="14" t="str">
        <f t="array" ref="D684">XLOOKUP(C684, Channel_Listings!C:C, Channel_Listings!D:D)
</f>
        <v>TSHIRT-BLACK-L</v>
      </c>
      <c r="E684" s="15"/>
      <c r="F684" s="16">
        <f t="array" ref="F684">IFERROR(
  VALUE( INDEX(Product_Master!$I:$I,
               MATCH( INDEX(Pack_Master!$B:$B, MATCH($D684, Pack_Master!$A:$A, 0)),
                      Product_Master!$B:$B, 0)
  )) 
  * VALUE( INDEX(Pack_Master!$C:$C, MATCH($D684, Pack_Master!$A:$A, 0)) )
  + VALUE( INDEX(Pack_Master!$D:$D, MATCH($D684, Pack_Master!$A:$A, 0)) ),
"")
</f>
        <v>2</v>
      </c>
      <c r="G684" s="17">
        <f t="array" ref="G684">IFERROR(
 ( INDEX(Pack_Master!E:E, MATCH($D684, Pack_Master!A:A, 0))
   * INDEX(Pack_Master!F:F, MATCH($D684, Pack_Master!A:A, 0))
   * INDEX(Pack_Master!G:G, MATCH($D684, Pack_Master!A:A, 0))
 ) / INDEX(Config!C:C, MATCH($A684, Config!A:A, 0)),
"")
</f>
        <v>0.375</v>
      </c>
      <c r="H684" s="17">
        <f t="array" ref="H684">MAX( INDEX(Pack_Master!H:H, MATCH($D684, Pack_Master!A:A, 0)),
      IFERROR(G684, 0) )
</f>
        <v>0.5</v>
      </c>
      <c r="I684" s="18">
        <f>IFERROR(__xludf.DUMMYFUNCTION("IFERROR(
 INDEX(
   FILTER(Shipping_Rate_Card!B:F, Shipping_Rate_Card!A:A=$A684),
   MATCH($H684, FILTER(Shipping_Rate_Card!B:B, Shipping_Rate_Card!A:A=$A684), 1),
   IF( INDEX(Config!B:B, MATCH($A684, Config!A:A, 0))=""Local"", 2,
     IF( INDEX(Config!B"&amp;":B, MATCH($A684, Config!A:A, 0))=""Regional"", 3, 4 )
   )
 ),
"""")
"),67.0)</f>
        <v>67</v>
      </c>
      <c r="J684" s="16">
        <f>IFERROR(__xludf.DUMMYFUNCTION("IFERROR(
 ( E684 * INDEX(FILTER(Pricing_Rules!E:E, Pricing_Rules!A:A=A684, Pricing_Rules!B:B=B684, Pricing_Rules!C:C&lt;=E684, Pricing_Rules!D:D&gt;=E684), 1)
   + INDEX(FILTER(Pricing_Rules!F:F, Pricing_Rules!A:A=A684, Pricing_Rules!B:B=B684, Pricing_Rules!C:C"&amp;"&lt;=E684, Pricing_Rules!D:D&gt;=E684), 1)
 )
 * (1 + IFERROR( INDEX(Config!D:D, MATCH(A684, Config!A:A, 0)), 0 )),
"""")
"),5.8999999999999995)</f>
        <v>5.9</v>
      </c>
      <c r="K684" s="19">
        <f t="shared" si="3"/>
        <v>-74.9</v>
      </c>
      <c r="L684" s="20" t="str">
        <f t="shared" si="4"/>
        <v/>
      </c>
    </row>
    <row r="685" ht="15.75" customHeight="1">
      <c r="A685" s="9" t="s">
        <v>9</v>
      </c>
      <c r="B685" s="12" t="str">
        <f t="array" ref="B685">XLOOKUP(C685, Channel_Listings!C:C, Channel_Listings!B:B)
</f>
        <v>Apparel_Tshirts</v>
      </c>
      <c r="C685" s="22" t="s">
        <v>1125</v>
      </c>
      <c r="D685" s="14" t="str">
        <f t="array" ref="D685">XLOOKUP(C685, Channel_Listings!C:C, Channel_Listings!D:D)
</f>
        <v>TSHIRT-BLACK-M</v>
      </c>
      <c r="E685" s="15"/>
      <c r="F685" s="16">
        <f t="array" ref="F685">IFERROR(
  VALUE( INDEX(Product_Master!$I:$I,
               MATCH( INDEX(Pack_Master!$B:$B, MATCH($D685, Pack_Master!$A:$A, 0)),
                      Product_Master!$B:$B, 0)
  )) 
  * VALUE( INDEX(Pack_Master!$C:$C, MATCH($D685, Pack_Master!$A:$A, 0)) )
  + VALUE( INDEX(Pack_Master!$D:$D, MATCH($D685, Pack_Master!$A:$A, 0)) ),
"")
</f>
        <v>2</v>
      </c>
      <c r="G685" s="17">
        <f t="array" ref="G685">IFERROR(
 ( INDEX(Pack_Master!E:E, MATCH($D685, Pack_Master!A:A, 0))
   * INDEX(Pack_Master!F:F, MATCH($D685, Pack_Master!A:A, 0))
   * INDEX(Pack_Master!G:G, MATCH($D685, Pack_Master!A:A, 0))
 ) / INDEX(Config!C:C, MATCH($A685, Config!A:A, 0)),
"")
</f>
        <v>0.375</v>
      </c>
      <c r="H685" s="17">
        <f t="array" ref="H685">MAX( INDEX(Pack_Master!H:H, MATCH($D685, Pack_Master!A:A, 0)),
      IFERROR(G685, 0) )
</f>
        <v>0.5</v>
      </c>
      <c r="I685" s="18">
        <f>IFERROR(__xludf.DUMMYFUNCTION("IFERROR(
 INDEX(
   FILTER(Shipping_Rate_Card!B:F, Shipping_Rate_Card!A:A=$A685),
   MATCH($H685, FILTER(Shipping_Rate_Card!B:B, Shipping_Rate_Card!A:A=$A685), 1),
   IF( INDEX(Config!B:B, MATCH($A685, Config!A:A, 0))=""Local"", 2,
     IF( INDEX(Config!B"&amp;":B, MATCH($A685, Config!A:A, 0))=""Regional"", 3, 4 )
   )
 ),
"""")
"),67.0)</f>
        <v>67</v>
      </c>
      <c r="J685" s="16">
        <f>IFERROR(__xludf.DUMMYFUNCTION("IFERROR(
 ( E685 * INDEX(FILTER(Pricing_Rules!E:E, Pricing_Rules!A:A=A685, Pricing_Rules!B:B=B685, Pricing_Rules!C:C&lt;=E685, Pricing_Rules!D:D&gt;=E685), 1)
   + INDEX(FILTER(Pricing_Rules!F:F, Pricing_Rules!A:A=A685, Pricing_Rules!B:B=B685, Pricing_Rules!C:C"&amp;"&lt;=E685, Pricing_Rules!D:D&gt;=E685), 1)
 )
 * (1 + IFERROR( INDEX(Config!D:D, MATCH(A685, Config!A:A, 0)), 0 )),
"""")
"),5.8999999999999995)</f>
        <v>5.9</v>
      </c>
      <c r="K685" s="19">
        <f t="shared" si="3"/>
        <v>-74.9</v>
      </c>
      <c r="L685" s="20" t="str">
        <f t="shared" si="4"/>
        <v/>
      </c>
    </row>
    <row r="686" ht="15.75" customHeight="1">
      <c r="A686" s="9" t="s">
        <v>9</v>
      </c>
      <c r="B686" s="12" t="str">
        <f t="array" ref="B686">XLOOKUP(C686, Channel_Listings!C:C, Channel_Listings!B:B)
</f>
        <v>Apparel_Tshirts</v>
      </c>
      <c r="C686" s="22" t="s">
        <v>1127</v>
      </c>
      <c r="D686" s="14" t="str">
        <f t="array" ref="D686">XLOOKUP(C686, Channel_Listings!C:C, Channel_Listings!D:D)
</f>
        <v>TSHIRT-BLACK-XL</v>
      </c>
      <c r="E686" s="15"/>
      <c r="F686" s="16">
        <f t="array" ref="F686">IFERROR(
  VALUE( INDEX(Product_Master!$I:$I,
               MATCH( INDEX(Pack_Master!$B:$B, MATCH($D686, Pack_Master!$A:$A, 0)),
                      Product_Master!$B:$B, 0)
  )) 
  * VALUE( INDEX(Pack_Master!$C:$C, MATCH($D686, Pack_Master!$A:$A, 0)) )
  + VALUE( INDEX(Pack_Master!$D:$D, MATCH($D686, Pack_Master!$A:$A, 0)) ),
"")
</f>
        <v>2</v>
      </c>
      <c r="G686" s="17">
        <f t="array" ref="G686">IFERROR(
 ( INDEX(Pack_Master!E:E, MATCH($D686, Pack_Master!A:A, 0))
   * INDEX(Pack_Master!F:F, MATCH($D686, Pack_Master!A:A, 0))
   * INDEX(Pack_Master!G:G, MATCH($D686, Pack_Master!A:A, 0))
 ) / INDEX(Config!C:C, MATCH($A686, Config!A:A, 0)),
"")
</f>
        <v>0.375</v>
      </c>
      <c r="H686" s="17">
        <f t="array" ref="H686">MAX( INDEX(Pack_Master!H:H, MATCH($D686, Pack_Master!A:A, 0)),
      IFERROR(G686, 0) )
</f>
        <v>0.5</v>
      </c>
      <c r="I686" s="18">
        <f>IFERROR(__xludf.DUMMYFUNCTION("IFERROR(
 INDEX(
   FILTER(Shipping_Rate_Card!B:F, Shipping_Rate_Card!A:A=$A686),
   MATCH($H686, FILTER(Shipping_Rate_Card!B:B, Shipping_Rate_Card!A:A=$A686), 1),
   IF( INDEX(Config!B:B, MATCH($A686, Config!A:A, 0))=""Local"", 2,
     IF( INDEX(Config!B"&amp;":B, MATCH($A686, Config!A:A, 0))=""Regional"", 3, 4 )
   )
 ),
"""")
"),67.0)</f>
        <v>67</v>
      </c>
      <c r="J686" s="16">
        <f>IFERROR(__xludf.DUMMYFUNCTION("IFERROR(
 ( E686 * INDEX(FILTER(Pricing_Rules!E:E, Pricing_Rules!A:A=A686, Pricing_Rules!B:B=B686, Pricing_Rules!C:C&lt;=E686, Pricing_Rules!D:D&gt;=E686), 1)
   + INDEX(FILTER(Pricing_Rules!F:F, Pricing_Rules!A:A=A686, Pricing_Rules!B:B=B686, Pricing_Rules!C:C"&amp;"&lt;=E686, Pricing_Rules!D:D&gt;=E686), 1)
 )
 * (1 + IFERROR( INDEX(Config!D:D, MATCH(A686, Config!A:A, 0)), 0 )),
"""")
"),5.8999999999999995)</f>
        <v>5.9</v>
      </c>
      <c r="K686" s="19">
        <f t="shared" si="3"/>
        <v>-74.9</v>
      </c>
      <c r="L686" s="20" t="str">
        <f t="shared" si="4"/>
        <v/>
      </c>
    </row>
    <row r="687" ht="15.75" customHeight="1">
      <c r="A687" s="9" t="s">
        <v>9</v>
      </c>
      <c r="B687" s="12" t="str">
        <f t="array" ref="B687">XLOOKUP(C687, Channel_Listings!C:C, Channel_Listings!B:B)
</f>
        <v>Apparel_Tshirts</v>
      </c>
      <c r="C687" s="22" t="s">
        <v>1129</v>
      </c>
      <c r="D687" s="14" t="str">
        <f t="array" ref="D687">XLOOKUP(C687, Channel_Listings!C:C, Channel_Listings!D:D)
</f>
        <v>TSHIRT-BLACK-XXL</v>
      </c>
      <c r="E687" s="15"/>
      <c r="F687" s="16">
        <f t="array" ref="F687">IFERROR(
  VALUE( INDEX(Product_Master!$I:$I,
               MATCH( INDEX(Pack_Master!$B:$B, MATCH($D687, Pack_Master!$A:$A, 0)),
                      Product_Master!$B:$B, 0)
  )) 
  * VALUE( INDEX(Pack_Master!$C:$C, MATCH($D687, Pack_Master!$A:$A, 0)) )
  + VALUE( INDEX(Pack_Master!$D:$D, MATCH($D687, Pack_Master!$A:$A, 0)) ),
"")
</f>
        <v>2</v>
      </c>
      <c r="G687" s="17">
        <f t="array" ref="G687">IFERROR(
 ( INDEX(Pack_Master!E:E, MATCH($D687, Pack_Master!A:A, 0))
   * INDEX(Pack_Master!F:F, MATCH($D687, Pack_Master!A:A, 0))
   * INDEX(Pack_Master!G:G, MATCH($D687, Pack_Master!A:A, 0))
 ) / INDEX(Config!C:C, MATCH($A687, Config!A:A, 0)),
"")
</f>
        <v>0.375</v>
      </c>
      <c r="H687" s="17">
        <f t="array" ref="H687">MAX( INDEX(Pack_Master!H:H, MATCH($D687, Pack_Master!A:A, 0)),
      IFERROR(G687, 0) )
</f>
        <v>0.5</v>
      </c>
      <c r="I687" s="18">
        <f>IFERROR(__xludf.DUMMYFUNCTION("IFERROR(
 INDEX(
   FILTER(Shipping_Rate_Card!B:F, Shipping_Rate_Card!A:A=$A687),
   MATCH($H687, FILTER(Shipping_Rate_Card!B:B, Shipping_Rate_Card!A:A=$A687), 1),
   IF( INDEX(Config!B:B, MATCH($A687, Config!A:A, 0))=""Local"", 2,
     IF( INDEX(Config!B"&amp;":B, MATCH($A687, Config!A:A, 0))=""Regional"", 3, 4 )
   )
 ),
"""")
"),67.0)</f>
        <v>67</v>
      </c>
      <c r="J687" s="16">
        <f>IFERROR(__xludf.DUMMYFUNCTION("IFERROR(
 ( E687 * INDEX(FILTER(Pricing_Rules!E:E, Pricing_Rules!A:A=A687, Pricing_Rules!B:B=B687, Pricing_Rules!C:C&lt;=E687, Pricing_Rules!D:D&gt;=E687), 1)
   + INDEX(FILTER(Pricing_Rules!F:F, Pricing_Rules!A:A=A687, Pricing_Rules!B:B=B687, Pricing_Rules!C:C"&amp;"&lt;=E687, Pricing_Rules!D:D&gt;=E687), 1)
 )
 * (1 + IFERROR( INDEX(Config!D:D, MATCH(A687, Config!A:A, 0)), 0 )),
"""")
"),5.8999999999999995)</f>
        <v>5.9</v>
      </c>
      <c r="K687" s="19">
        <f t="shared" si="3"/>
        <v>-74.9</v>
      </c>
      <c r="L687" s="20" t="str">
        <f t="shared" si="4"/>
        <v/>
      </c>
    </row>
    <row r="688" ht="15.75" customHeight="1">
      <c r="A688" s="9" t="s">
        <v>9</v>
      </c>
      <c r="B688" s="12" t="str">
        <f t="array" ref="B688">XLOOKUP(C688, Channel_Listings!C:C, Channel_Listings!B:B)
</f>
        <v>Apparel_Tshirts</v>
      </c>
      <c r="C688" s="22" t="s">
        <v>1130</v>
      </c>
      <c r="D688" s="14" t="str">
        <f t="array" ref="D688">XLOOKUP(C688, Channel_Listings!C:C, Channel_Listings!D:D)
</f>
        <v>TSHIRT-BLACK-L</v>
      </c>
      <c r="E688" s="15"/>
      <c r="F688" s="16">
        <f t="array" ref="F688">IFERROR(
  VALUE( INDEX(Product_Master!$I:$I,
               MATCH( INDEX(Pack_Master!$B:$B, MATCH($D688, Pack_Master!$A:$A, 0)),
                      Product_Master!$B:$B, 0)
  )) 
  * VALUE( INDEX(Pack_Master!$C:$C, MATCH($D688, Pack_Master!$A:$A, 0)) )
  + VALUE( INDEX(Pack_Master!$D:$D, MATCH($D688, Pack_Master!$A:$A, 0)) ),
"")
</f>
        <v>2</v>
      </c>
      <c r="G688" s="17">
        <f t="array" ref="G688">IFERROR(
 ( INDEX(Pack_Master!E:E, MATCH($D688, Pack_Master!A:A, 0))
   * INDEX(Pack_Master!F:F, MATCH($D688, Pack_Master!A:A, 0))
   * INDEX(Pack_Master!G:G, MATCH($D688, Pack_Master!A:A, 0))
 ) / INDEX(Config!C:C, MATCH($A688, Config!A:A, 0)),
"")
</f>
        <v>0.375</v>
      </c>
      <c r="H688" s="17">
        <f t="array" ref="H688">MAX( INDEX(Pack_Master!H:H, MATCH($D688, Pack_Master!A:A, 0)),
      IFERROR(G688, 0) )
</f>
        <v>0.5</v>
      </c>
      <c r="I688" s="18">
        <f>IFERROR(__xludf.DUMMYFUNCTION("IFERROR(
 INDEX(
   FILTER(Shipping_Rate_Card!B:F, Shipping_Rate_Card!A:A=$A688),
   MATCH($H688, FILTER(Shipping_Rate_Card!B:B, Shipping_Rate_Card!A:A=$A688), 1),
   IF( INDEX(Config!B:B, MATCH($A688, Config!A:A, 0))=""Local"", 2,
     IF( INDEX(Config!B"&amp;":B, MATCH($A688, Config!A:A, 0))=""Regional"", 3, 4 )
   )
 ),
"""")
"),67.0)</f>
        <v>67</v>
      </c>
      <c r="J688" s="16">
        <f>IFERROR(__xludf.DUMMYFUNCTION("IFERROR(
 ( E688 * INDEX(FILTER(Pricing_Rules!E:E, Pricing_Rules!A:A=A688, Pricing_Rules!B:B=B688, Pricing_Rules!C:C&lt;=E688, Pricing_Rules!D:D&gt;=E688), 1)
   + INDEX(FILTER(Pricing_Rules!F:F, Pricing_Rules!A:A=A688, Pricing_Rules!B:B=B688, Pricing_Rules!C:C"&amp;"&lt;=E688, Pricing_Rules!D:D&gt;=E688), 1)
 )
 * (1 + IFERROR( INDEX(Config!D:D, MATCH(A688, Config!A:A, 0)), 0 )),
"""")
"),5.8999999999999995)</f>
        <v>5.9</v>
      </c>
      <c r="K688" s="19">
        <f t="shared" si="3"/>
        <v>-74.9</v>
      </c>
      <c r="L688" s="20" t="str">
        <f t="shared" si="4"/>
        <v/>
      </c>
    </row>
    <row r="689" ht="15.75" customHeight="1">
      <c r="A689" s="9" t="s">
        <v>9</v>
      </c>
      <c r="B689" s="12" t="str">
        <f t="array" ref="B689">XLOOKUP(C689, Channel_Listings!C:C, Channel_Listings!B:B)
</f>
        <v>Apparel_Tshirts</v>
      </c>
      <c r="C689" s="22" t="s">
        <v>1132</v>
      </c>
      <c r="D689" s="14" t="str">
        <f t="array" ref="D689">XLOOKUP(C689, Channel_Listings!C:C, Channel_Listings!D:D)
</f>
        <v>TSHIRT-BLACK-M</v>
      </c>
      <c r="E689" s="15"/>
      <c r="F689" s="16">
        <f t="array" ref="F689">IFERROR(
  VALUE( INDEX(Product_Master!$I:$I,
               MATCH( INDEX(Pack_Master!$B:$B, MATCH($D689, Pack_Master!$A:$A, 0)),
                      Product_Master!$B:$B, 0)
  )) 
  * VALUE( INDEX(Pack_Master!$C:$C, MATCH($D689, Pack_Master!$A:$A, 0)) )
  + VALUE( INDEX(Pack_Master!$D:$D, MATCH($D689, Pack_Master!$A:$A, 0)) ),
"")
</f>
        <v>2</v>
      </c>
      <c r="G689" s="17">
        <f t="array" ref="G689">IFERROR(
 ( INDEX(Pack_Master!E:E, MATCH($D689, Pack_Master!A:A, 0))
   * INDEX(Pack_Master!F:F, MATCH($D689, Pack_Master!A:A, 0))
   * INDEX(Pack_Master!G:G, MATCH($D689, Pack_Master!A:A, 0))
 ) / INDEX(Config!C:C, MATCH($A689, Config!A:A, 0)),
"")
</f>
        <v>0.375</v>
      </c>
      <c r="H689" s="17">
        <f t="array" ref="H689">MAX( INDEX(Pack_Master!H:H, MATCH($D689, Pack_Master!A:A, 0)),
      IFERROR(G689, 0) )
</f>
        <v>0.5</v>
      </c>
      <c r="I689" s="18">
        <f>IFERROR(__xludf.DUMMYFUNCTION("IFERROR(
 INDEX(
   FILTER(Shipping_Rate_Card!B:F, Shipping_Rate_Card!A:A=$A689),
   MATCH($H689, FILTER(Shipping_Rate_Card!B:B, Shipping_Rate_Card!A:A=$A689), 1),
   IF( INDEX(Config!B:B, MATCH($A689, Config!A:A, 0))=""Local"", 2,
     IF( INDEX(Config!B"&amp;":B, MATCH($A689, Config!A:A, 0))=""Regional"", 3, 4 )
   )
 ),
"""")
"),67.0)</f>
        <v>67</v>
      </c>
      <c r="J689" s="16">
        <f>IFERROR(__xludf.DUMMYFUNCTION("IFERROR(
 ( E689 * INDEX(FILTER(Pricing_Rules!E:E, Pricing_Rules!A:A=A689, Pricing_Rules!B:B=B689, Pricing_Rules!C:C&lt;=E689, Pricing_Rules!D:D&gt;=E689), 1)
   + INDEX(FILTER(Pricing_Rules!F:F, Pricing_Rules!A:A=A689, Pricing_Rules!B:B=B689, Pricing_Rules!C:C"&amp;"&lt;=E689, Pricing_Rules!D:D&gt;=E689), 1)
 )
 * (1 + IFERROR( INDEX(Config!D:D, MATCH(A689, Config!A:A, 0)), 0 )),
"""")
"),5.8999999999999995)</f>
        <v>5.9</v>
      </c>
      <c r="K689" s="19">
        <f t="shared" si="3"/>
        <v>-74.9</v>
      </c>
      <c r="L689" s="20" t="str">
        <f t="shared" si="4"/>
        <v/>
      </c>
    </row>
    <row r="690" ht="15.75" customHeight="1">
      <c r="A690" s="9" t="s">
        <v>9</v>
      </c>
      <c r="B690" s="12" t="str">
        <f t="array" ref="B690">XLOOKUP(C690, Channel_Listings!C:C, Channel_Listings!B:B)
</f>
        <v>Apparel_Tshirts</v>
      </c>
      <c r="C690" s="22" t="s">
        <v>1134</v>
      </c>
      <c r="D690" s="14" t="str">
        <f t="array" ref="D690">XLOOKUP(C690, Channel_Listings!C:C, Channel_Listings!D:D)
</f>
        <v>TSHIRT-BLACK-XL</v>
      </c>
      <c r="E690" s="15"/>
      <c r="F690" s="16">
        <f t="array" ref="F690">IFERROR(
  VALUE( INDEX(Product_Master!$I:$I,
               MATCH( INDEX(Pack_Master!$B:$B, MATCH($D690, Pack_Master!$A:$A, 0)),
                      Product_Master!$B:$B, 0)
  )) 
  * VALUE( INDEX(Pack_Master!$C:$C, MATCH($D690, Pack_Master!$A:$A, 0)) )
  + VALUE( INDEX(Pack_Master!$D:$D, MATCH($D690, Pack_Master!$A:$A, 0)) ),
"")
</f>
        <v>2</v>
      </c>
      <c r="G690" s="17">
        <f t="array" ref="G690">IFERROR(
 ( INDEX(Pack_Master!E:E, MATCH($D690, Pack_Master!A:A, 0))
   * INDEX(Pack_Master!F:F, MATCH($D690, Pack_Master!A:A, 0))
   * INDEX(Pack_Master!G:G, MATCH($D690, Pack_Master!A:A, 0))
 ) / INDEX(Config!C:C, MATCH($A690, Config!A:A, 0)),
"")
</f>
        <v>0.375</v>
      </c>
      <c r="H690" s="17">
        <f t="array" ref="H690">MAX( INDEX(Pack_Master!H:H, MATCH($D690, Pack_Master!A:A, 0)),
      IFERROR(G690, 0) )
</f>
        <v>0.5</v>
      </c>
      <c r="I690" s="18">
        <f>IFERROR(__xludf.DUMMYFUNCTION("IFERROR(
 INDEX(
   FILTER(Shipping_Rate_Card!B:F, Shipping_Rate_Card!A:A=$A690),
   MATCH($H690, FILTER(Shipping_Rate_Card!B:B, Shipping_Rate_Card!A:A=$A690), 1),
   IF( INDEX(Config!B:B, MATCH($A690, Config!A:A, 0))=""Local"", 2,
     IF( INDEX(Config!B"&amp;":B, MATCH($A690, Config!A:A, 0))=""Regional"", 3, 4 )
   )
 ),
"""")
"),67.0)</f>
        <v>67</v>
      </c>
      <c r="J690" s="16">
        <f>IFERROR(__xludf.DUMMYFUNCTION("IFERROR(
 ( E690 * INDEX(FILTER(Pricing_Rules!E:E, Pricing_Rules!A:A=A690, Pricing_Rules!B:B=B690, Pricing_Rules!C:C&lt;=E690, Pricing_Rules!D:D&gt;=E690), 1)
   + INDEX(FILTER(Pricing_Rules!F:F, Pricing_Rules!A:A=A690, Pricing_Rules!B:B=B690, Pricing_Rules!C:C"&amp;"&lt;=E690, Pricing_Rules!D:D&gt;=E690), 1)
 )
 * (1 + IFERROR( INDEX(Config!D:D, MATCH(A690, Config!A:A, 0)), 0 )),
"""")
"),5.8999999999999995)</f>
        <v>5.9</v>
      </c>
      <c r="K690" s="19">
        <f t="shared" si="3"/>
        <v>-74.9</v>
      </c>
      <c r="L690" s="20" t="str">
        <f t="shared" si="4"/>
        <v/>
      </c>
    </row>
    <row r="691" ht="15.75" customHeight="1">
      <c r="A691" s="9" t="s">
        <v>9</v>
      </c>
      <c r="B691" s="12" t="str">
        <f t="array" ref="B691">XLOOKUP(C691, Channel_Listings!C:C, Channel_Listings!B:B)
</f>
        <v>Apparel_Tshirts</v>
      </c>
      <c r="C691" s="22" t="s">
        <v>1136</v>
      </c>
      <c r="D691" s="14" t="str">
        <f t="array" ref="D691">XLOOKUP(C691, Channel_Listings!C:C, Channel_Listings!D:D)
</f>
        <v>TSHIRT-BLACK-XXL</v>
      </c>
      <c r="E691" s="15"/>
      <c r="F691" s="16">
        <f t="array" ref="F691">IFERROR(
  VALUE( INDEX(Product_Master!$I:$I,
               MATCH( INDEX(Pack_Master!$B:$B, MATCH($D691, Pack_Master!$A:$A, 0)),
                      Product_Master!$B:$B, 0)
  )) 
  * VALUE( INDEX(Pack_Master!$C:$C, MATCH($D691, Pack_Master!$A:$A, 0)) )
  + VALUE( INDEX(Pack_Master!$D:$D, MATCH($D691, Pack_Master!$A:$A, 0)) ),
"")
</f>
        <v>2</v>
      </c>
      <c r="G691" s="17">
        <f t="array" ref="G691">IFERROR(
 ( INDEX(Pack_Master!E:E, MATCH($D691, Pack_Master!A:A, 0))
   * INDEX(Pack_Master!F:F, MATCH($D691, Pack_Master!A:A, 0))
   * INDEX(Pack_Master!G:G, MATCH($D691, Pack_Master!A:A, 0))
 ) / INDEX(Config!C:C, MATCH($A691, Config!A:A, 0)),
"")
</f>
        <v>0.375</v>
      </c>
      <c r="H691" s="17">
        <f t="array" ref="H691">MAX( INDEX(Pack_Master!H:H, MATCH($D691, Pack_Master!A:A, 0)),
      IFERROR(G691, 0) )
</f>
        <v>0.5</v>
      </c>
      <c r="I691" s="18">
        <f>IFERROR(__xludf.DUMMYFUNCTION("IFERROR(
 INDEX(
   FILTER(Shipping_Rate_Card!B:F, Shipping_Rate_Card!A:A=$A691),
   MATCH($H691, FILTER(Shipping_Rate_Card!B:B, Shipping_Rate_Card!A:A=$A691), 1),
   IF( INDEX(Config!B:B, MATCH($A691, Config!A:A, 0))=""Local"", 2,
     IF( INDEX(Config!B"&amp;":B, MATCH($A691, Config!A:A, 0))=""Regional"", 3, 4 )
   )
 ),
"""")
"),67.0)</f>
        <v>67</v>
      </c>
      <c r="J691" s="16">
        <f>IFERROR(__xludf.DUMMYFUNCTION("IFERROR(
 ( E691 * INDEX(FILTER(Pricing_Rules!E:E, Pricing_Rules!A:A=A691, Pricing_Rules!B:B=B691, Pricing_Rules!C:C&lt;=E691, Pricing_Rules!D:D&gt;=E691), 1)
   + INDEX(FILTER(Pricing_Rules!F:F, Pricing_Rules!A:A=A691, Pricing_Rules!B:B=B691, Pricing_Rules!C:C"&amp;"&lt;=E691, Pricing_Rules!D:D&gt;=E691), 1)
 )
 * (1 + IFERROR( INDEX(Config!D:D, MATCH(A691, Config!A:A, 0)), 0 )),
"""")
"),5.8999999999999995)</f>
        <v>5.9</v>
      </c>
      <c r="K691" s="19">
        <f t="shared" si="3"/>
        <v>-74.9</v>
      </c>
      <c r="L691" s="20" t="str">
        <f t="shared" si="4"/>
        <v/>
      </c>
    </row>
    <row r="692" ht="15.75" customHeight="1">
      <c r="A692" s="9" t="s">
        <v>9</v>
      </c>
      <c r="B692" s="12" t="str">
        <f t="array" ref="B692">XLOOKUP(C692, Channel_Listings!C:C, Channel_Listings!B:B)
</f>
        <v>Apparel_Tshirts</v>
      </c>
      <c r="C692" s="22" t="s">
        <v>1138</v>
      </c>
      <c r="D692" s="14" t="str">
        <f t="array" ref="D692">XLOOKUP(C692, Channel_Listings!C:C, Channel_Listings!D:D)
</f>
        <v>TSHIRT-BLACK-L</v>
      </c>
      <c r="E692" s="15"/>
      <c r="F692" s="16">
        <f t="array" ref="F692">IFERROR(
  VALUE( INDEX(Product_Master!$I:$I,
               MATCH( INDEX(Pack_Master!$B:$B, MATCH($D692, Pack_Master!$A:$A, 0)),
                      Product_Master!$B:$B, 0)
  )) 
  * VALUE( INDEX(Pack_Master!$C:$C, MATCH($D692, Pack_Master!$A:$A, 0)) )
  + VALUE( INDEX(Pack_Master!$D:$D, MATCH($D692, Pack_Master!$A:$A, 0)) ),
"")
</f>
        <v>2</v>
      </c>
      <c r="G692" s="17">
        <f t="array" ref="G692">IFERROR(
 ( INDEX(Pack_Master!E:E, MATCH($D692, Pack_Master!A:A, 0))
   * INDEX(Pack_Master!F:F, MATCH($D692, Pack_Master!A:A, 0))
   * INDEX(Pack_Master!G:G, MATCH($D692, Pack_Master!A:A, 0))
 ) / INDEX(Config!C:C, MATCH($A692, Config!A:A, 0)),
"")
</f>
        <v>0.375</v>
      </c>
      <c r="H692" s="17">
        <f t="array" ref="H692">MAX( INDEX(Pack_Master!H:H, MATCH($D692, Pack_Master!A:A, 0)),
      IFERROR(G692, 0) )
</f>
        <v>0.5</v>
      </c>
      <c r="I692" s="18">
        <f>IFERROR(__xludf.DUMMYFUNCTION("IFERROR(
 INDEX(
   FILTER(Shipping_Rate_Card!B:F, Shipping_Rate_Card!A:A=$A692),
   MATCH($H692, FILTER(Shipping_Rate_Card!B:B, Shipping_Rate_Card!A:A=$A692), 1),
   IF( INDEX(Config!B:B, MATCH($A692, Config!A:A, 0))=""Local"", 2,
     IF( INDEX(Config!B"&amp;":B, MATCH($A692, Config!A:A, 0))=""Regional"", 3, 4 )
   )
 ),
"""")
"),67.0)</f>
        <v>67</v>
      </c>
      <c r="J692" s="16">
        <f>IFERROR(__xludf.DUMMYFUNCTION("IFERROR(
 ( E692 * INDEX(FILTER(Pricing_Rules!E:E, Pricing_Rules!A:A=A692, Pricing_Rules!B:B=B692, Pricing_Rules!C:C&lt;=E692, Pricing_Rules!D:D&gt;=E692), 1)
   + INDEX(FILTER(Pricing_Rules!F:F, Pricing_Rules!A:A=A692, Pricing_Rules!B:B=B692, Pricing_Rules!C:C"&amp;"&lt;=E692, Pricing_Rules!D:D&gt;=E692), 1)
 )
 * (1 + IFERROR( INDEX(Config!D:D, MATCH(A692, Config!A:A, 0)), 0 )),
"""")
"),5.8999999999999995)</f>
        <v>5.9</v>
      </c>
      <c r="K692" s="19">
        <f t="shared" si="3"/>
        <v>-74.9</v>
      </c>
      <c r="L692" s="20" t="str">
        <f t="shared" si="4"/>
        <v/>
      </c>
    </row>
    <row r="693" ht="15.75" customHeight="1">
      <c r="A693" s="9" t="s">
        <v>9</v>
      </c>
      <c r="B693" s="12" t="str">
        <f t="array" ref="B693">XLOOKUP(C693, Channel_Listings!C:C, Channel_Listings!B:B)
</f>
        <v>Apparel_Tshirts</v>
      </c>
      <c r="C693" s="22" t="s">
        <v>1140</v>
      </c>
      <c r="D693" s="14" t="str">
        <f t="array" ref="D693">XLOOKUP(C693, Channel_Listings!C:C, Channel_Listings!D:D)
</f>
        <v>TSHIRT-BLACK-M</v>
      </c>
      <c r="E693" s="15"/>
      <c r="F693" s="16">
        <f t="array" ref="F693">IFERROR(
  VALUE( INDEX(Product_Master!$I:$I,
               MATCH( INDEX(Pack_Master!$B:$B, MATCH($D693, Pack_Master!$A:$A, 0)),
                      Product_Master!$B:$B, 0)
  )) 
  * VALUE( INDEX(Pack_Master!$C:$C, MATCH($D693, Pack_Master!$A:$A, 0)) )
  + VALUE( INDEX(Pack_Master!$D:$D, MATCH($D693, Pack_Master!$A:$A, 0)) ),
"")
</f>
        <v>2</v>
      </c>
      <c r="G693" s="17">
        <f t="array" ref="G693">IFERROR(
 ( INDEX(Pack_Master!E:E, MATCH($D693, Pack_Master!A:A, 0))
   * INDEX(Pack_Master!F:F, MATCH($D693, Pack_Master!A:A, 0))
   * INDEX(Pack_Master!G:G, MATCH($D693, Pack_Master!A:A, 0))
 ) / INDEX(Config!C:C, MATCH($A693, Config!A:A, 0)),
"")
</f>
        <v>0.375</v>
      </c>
      <c r="H693" s="17">
        <f t="array" ref="H693">MAX( INDEX(Pack_Master!H:H, MATCH($D693, Pack_Master!A:A, 0)),
      IFERROR(G693, 0) )
</f>
        <v>0.5</v>
      </c>
      <c r="I693" s="18">
        <f>IFERROR(__xludf.DUMMYFUNCTION("IFERROR(
 INDEX(
   FILTER(Shipping_Rate_Card!B:F, Shipping_Rate_Card!A:A=$A693),
   MATCH($H693, FILTER(Shipping_Rate_Card!B:B, Shipping_Rate_Card!A:A=$A693), 1),
   IF( INDEX(Config!B:B, MATCH($A693, Config!A:A, 0))=""Local"", 2,
     IF( INDEX(Config!B"&amp;":B, MATCH($A693, Config!A:A, 0))=""Regional"", 3, 4 )
   )
 ),
"""")
"),67.0)</f>
        <v>67</v>
      </c>
      <c r="J693" s="16">
        <f>IFERROR(__xludf.DUMMYFUNCTION("IFERROR(
 ( E693 * INDEX(FILTER(Pricing_Rules!E:E, Pricing_Rules!A:A=A693, Pricing_Rules!B:B=B693, Pricing_Rules!C:C&lt;=E693, Pricing_Rules!D:D&gt;=E693), 1)
   + INDEX(FILTER(Pricing_Rules!F:F, Pricing_Rules!A:A=A693, Pricing_Rules!B:B=B693, Pricing_Rules!C:C"&amp;"&lt;=E693, Pricing_Rules!D:D&gt;=E693), 1)
 )
 * (1 + IFERROR( INDEX(Config!D:D, MATCH(A693, Config!A:A, 0)), 0 )),
"""")
"),5.8999999999999995)</f>
        <v>5.9</v>
      </c>
      <c r="K693" s="19">
        <f t="shared" si="3"/>
        <v>-74.9</v>
      </c>
      <c r="L693" s="20" t="str">
        <f t="shared" si="4"/>
        <v/>
      </c>
    </row>
    <row r="694" ht="15.75" customHeight="1">
      <c r="A694" s="9" t="s">
        <v>9</v>
      </c>
      <c r="B694" s="12" t="str">
        <f t="array" ref="B694">XLOOKUP(C694, Channel_Listings!C:C, Channel_Listings!B:B)
</f>
        <v>Apparel_Tshirts</v>
      </c>
      <c r="C694" s="22" t="s">
        <v>1142</v>
      </c>
      <c r="D694" s="14" t="str">
        <f t="array" ref="D694">XLOOKUP(C694, Channel_Listings!C:C, Channel_Listings!D:D)
</f>
        <v>TSHIRT-BLACK-XL</v>
      </c>
      <c r="E694" s="15"/>
      <c r="F694" s="16">
        <f t="array" ref="F694">IFERROR(
  VALUE( INDEX(Product_Master!$I:$I,
               MATCH( INDEX(Pack_Master!$B:$B, MATCH($D694, Pack_Master!$A:$A, 0)),
                      Product_Master!$B:$B, 0)
  )) 
  * VALUE( INDEX(Pack_Master!$C:$C, MATCH($D694, Pack_Master!$A:$A, 0)) )
  + VALUE( INDEX(Pack_Master!$D:$D, MATCH($D694, Pack_Master!$A:$A, 0)) ),
"")
</f>
        <v>2</v>
      </c>
      <c r="G694" s="17">
        <f t="array" ref="G694">IFERROR(
 ( INDEX(Pack_Master!E:E, MATCH($D694, Pack_Master!A:A, 0))
   * INDEX(Pack_Master!F:F, MATCH($D694, Pack_Master!A:A, 0))
   * INDEX(Pack_Master!G:G, MATCH($D694, Pack_Master!A:A, 0))
 ) / INDEX(Config!C:C, MATCH($A694, Config!A:A, 0)),
"")
</f>
        <v>0.375</v>
      </c>
      <c r="H694" s="17">
        <f t="array" ref="H694">MAX( INDEX(Pack_Master!H:H, MATCH($D694, Pack_Master!A:A, 0)),
      IFERROR(G694, 0) )
</f>
        <v>0.5</v>
      </c>
      <c r="I694" s="18">
        <f>IFERROR(__xludf.DUMMYFUNCTION("IFERROR(
 INDEX(
   FILTER(Shipping_Rate_Card!B:F, Shipping_Rate_Card!A:A=$A694),
   MATCH($H694, FILTER(Shipping_Rate_Card!B:B, Shipping_Rate_Card!A:A=$A694), 1),
   IF( INDEX(Config!B:B, MATCH($A694, Config!A:A, 0))=""Local"", 2,
     IF( INDEX(Config!B"&amp;":B, MATCH($A694, Config!A:A, 0))=""Regional"", 3, 4 )
   )
 ),
"""")
"),67.0)</f>
        <v>67</v>
      </c>
      <c r="J694" s="16">
        <f>IFERROR(__xludf.DUMMYFUNCTION("IFERROR(
 ( E694 * INDEX(FILTER(Pricing_Rules!E:E, Pricing_Rules!A:A=A694, Pricing_Rules!B:B=B694, Pricing_Rules!C:C&lt;=E694, Pricing_Rules!D:D&gt;=E694), 1)
   + INDEX(FILTER(Pricing_Rules!F:F, Pricing_Rules!A:A=A694, Pricing_Rules!B:B=B694, Pricing_Rules!C:C"&amp;"&lt;=E694, Pricing_Rules!D:D&gt;=E694), 1)
 )
 * (1 + IFERROR( INDEX(Config!D:D, MATCH(A694, Config!A:A, 0)), 0 )),
"""")
"),5.8999999999999995)</f>
        <v>5.9</v>
      </c>
      <c r="K694" s="19">
        <f t="shared" si="3"/>
        <v>-74.9</v>
      </c>
      <c r="L694" s="20" t="str">
        <f t="shared" si="4"/>
        <v/>
      </c>
    </row>
    <row r="695" ht="15.75" customHeight="1">
      <c r="A695" s="9" t="s">
        <v>9</v>
      </c>
      <c r="B695" s="12" t="str">
        <f t="array" ref="B695">XLOOKUP(C695, Channel_Listings!C:C, Channel_Listings!B:B)
</f>
        <v>Apparel_Tshirts</v>
      </c>
      <c r="C695" s="22" t="s">
        <v>1144</v>
      </c>
      <c r="D695" s="14" t="str">
        <f t="array" ref="D695">XLOOKUP(C695, Channel_Listings!C:C, Channel_Listings!D:D)
</f>
        <v>TSHIRT-BLACK-XXL</v>
      </c>
      <c r="E695" s="15"/>
      <c r="F695" s="16">
        <f t="array" ref="F695">IFERROR(
  VALUE( INDEX(Product_Master!$I:$I,
               MATCH( INDEX(Pack_Master!$B:$B, MATCH($D695, Pack_Master!$A:$A, 0)),
                      Product_Master!$B:$B, 0)
  )) 
  * VALUE( INDEX(Pack_Master!$C:$C, MATCH($D695, Pack_Master!$A:$A, 0)) )
  + VALUE( INDEX(Pack_Master!$D:$D, MATCH($D695, Pack_Master!$A:$A, 0)) ),
"")
</f>
        <v>2</v>
      </c>
      <c r="G695" s="17">
        <f t="array" ref="G695">IFERROR(
 ( INDEX(Pack_Master!E:E, MATCH($D695, Pack_Master!A:A, 0))
   * INDEX(Pack_Master!F:F, MATCH($D695, Pack_Master!A:A, 0))
   * INDEX(Pack_Master!G:G, MATCH($D695, Pack_Master!A:A, 0))
 ) / INDEX(Config!C:C, MATCH($A695, Config!A:A, 0)),
"")
</f>
        <v>0.375</v>
      </c>
      <c r="H695" s="17">
        <f t="array" ref="H695">MAX( INDEX(Pack_Master!H:H, MATCH($D695, Pack_Master!A:A, 0)),
      IFERROR(G695, 0) )
</f>
        <v>0.5</v>
      </c>
      <c r="I695" s="18">
        <f>IFERROR(__xludf.DUMMYFUNCTION("IFERROR(
 INDEX(
   FILTER(Shipping_Rate_Card!B:F, Shipping_Rate_Card!A:A=$A695),
   MATCH($H695, FILTER(Shipping_Rate_Card!B:B, Shipping_Rate_Card!A:A=$A695), 1),
   IF( INDEX(Config!B:B, MATCH($A695, Config!A:A, 0))=""Local"", 2,
     IF( INDEX(Config!B"&amp;":B, MATCH($A695, Config!A:A, 0))=""Regional"", 3, 4 )
   )
 ),
"""")
"),67.0)</f>
        <v>67</v>
      </c>
      <c r="J695" s="16">
        <f>IFERROR(__xludf.DUMMYFUNCTION("IFERROR(
 ( E695 * INDEX(FILTER(Pricing_Rules!E:E, Pricing_Rules!A:A=A695, Pricing_Rules!B:B=B695, Pricing_Rules!C:C&lt;=E695, Pricing_Rules!D:D&gt;=E695), 1)
   + INDEX(FILTER(Pricing_Rules!F:F, Pricing_Rules!A:A=A695, Pricing_Rules!B:B=B695, Pricing_Rules!C:C"&amp;"&lt;=E695, Pricing_Rules!D:D&gt;=E695), 1)
 )
 * (1 + IFERROR( INDEX(Config!D:D, MATCH(A695, Config!A:A, 0)), 0 )),
"""")
"),5.8999999999999995)</f>
        <v>5.9</v>
      </c>
      <c r="K695" s="19">
        <f t="shared" si="3"/>
        <v>-74.9</v>
      </c>
      <c r="L695" s="20" t="str">
        <f t="shared" si="4"/>
        <v/>
      </c>
    </row>
    <row r="696" ht="15.75" customHeight="1">
      <c r="A696" s="9" t="s">
        <v>9</v>
      </c>
      <c r="B696" s="12" t="str">
        <f t="array" ref="B696">XLOOKUP(C696, Channel_Listings!C:C, Channel_Listings!B:B)
</f>
        <v>Apparel_Tshirts</v>
      </c>
      <c r="C696" s="22" t="s">
        <v>1146</v>
      </c>
      <c r="D696" s="14" t="str">
        <f t="array" ref="D696">XLOOKUP(C696, Channel_Listings!C:C, Channel_Listings!D:D)
</f>
        <v>TSHIRT-BLACK-L</v>
      </c>
      <c r="E696" s="15"/>
      <c r="F696" s="16">
        <f t="array" ref="F696">IFERROR(
  VALUE( INDEX(Product_Master!$I:$I,
               MATCH( INDEX(Pack_Master!$B:$B, MATCH($D696, Pack_Master!$A:$A, 0)),
                      Product_Master!$B:$B, 0)
  )) 
  * VALUE( INDEX(Pack_Master!$C:$C, MATCH($D696, Pack_Master!$A:$A, 0)) )
  + VALUE( INDEX(Pack_Master!$D:$D, MATCH($D696, Pack_Master!$A:$A, 0)) ),
"")
</f>
        <v>2</v>
      </c>
      <c r="G696" s="17">
        <f t="array" ref="G696">IFERROR(
 ( INDEX(Pack_Master!E:E, MATCH($D696, Pack_Master!A:A, 0))
   * INDEX(Pack_Master!F:F, MATCH($D696, Pack_Master!A:A, 0))
   * INDEX(Pack_Master!G:G, MATCH($D696, Pack_Master!A:A, 0))
 ) / INDEX(Config!C:C, MATCH($A696, Config!A:A, 0)),
"")
</f>
        <v>0.375</v>
      </c>
      <c r="H696" s="17">
        <f t="array" ref="H696">MAX( INDEX(Pack_Master!H:H, MATCH($D696, Pack_Master!A:A, 0)),
      IFERROR(G696, 0) )
</f>
        <v>0.5</v>
      </c>
      <c r="I696" s="18">
        <f>IFERROR(__xludf.DUMMYFUNCTION("IFERROR(
 INDEX(
   FILTER(Shipping_Rate_Card!B:F, Shipping_Rate_Card!A:A=$A696),
   MATCH($H696, FILTER(Shipping_Rate_Card!B:B, Shipping_Rate_Card!A:A=$A696), 1),
   IF( INDEX(Config!B:B, MATCH($A696, Config!A:A, 0))=""Local"", 2,
     IF( INDEX(Config!B"&amp;":B, MATCH($A696, Config!A:A, 0))=""Regional"", 3, 4 )
   )
 ),
"""")
"),67.0)</f>
        <v>67</v>
      </c>
      <c r="J696" s="16">
        <f>IFERROR(__xludf.DUMMYFUNCTION("IFERROR(
 ( E696 * INDEX(FILTER(Pricing_Rules!E:E, Pricing_Rules!A:A=A696, Pricing_Rules!B:B=B696, Pricing_Rules!C:C&lt;=E696, Pricing_Rules!D:D&gt;=E696), 1)
   + INDEX(FILTER(Pricing_Rules!F:F, Pricing_Rules!A:A=A696, Pricing_Rules!B:B=B696, Pricing_Rules!C:C"&amp;"&lt;=E696, Pricing_Rules!D:D&gt;=E696), 1)
 )
 * (1 + IFERROR( INDEX(Config!D:D, MATCH(A696, Config!A:A, 0)), 0 )),
"""")
"),5.8999999999999995)</f>
        <v>5.9</v>
      </c>
      <c r="K696" s="19">
        <f t="shared" si="3"/>
        <v>-74.9</v>
      </c>
      <c r="L696" s="20" t="str">
        <f t="shared" si="4"/>
        <v/>
      </c>
    </row>
    <row r="697" ht="15.75" customHeight="1">
      <c r="A697" s="9" t="s">
        <v>9</v>
      </c>
      <c r="B697" s="12" t="str">
        <f t="array" ref="B697">XLOOKUP(C697, Channel_Listings!C:C, Channel_Listings!B:B)
</f>
        <v>Apparel_Tshirts</v>
      </c>
      <c r="C697" s="22" t="s">
        <v>1148</v>
      </c>
      <c r="D697" s="14" t="str">
        <f t="array" ref="D697">XLOOKUP(C697, Channel_Listings!C:C, Channel_Listings!D:D)
</f>
        <v>TSHIRT-BLACK-M</v>
      </c>
      <c r="E697" s="15"/>
      <c r="F697" s="16">
        <f t="array" ref="F697">IFERROR(
  VALUE( INDEX(Product_Master!$I:$I,
               MATCH( INDEX(Pack_Master!$B:$B, MATCH($D697, Pack_Master!$A:$A, 0)),
                      Product_Master!$B:$B, 0)
  )) 
  * VALUE( INDEX(Pack_Master!$C:$C, MATCH($D697, Pack_Master!$A:$A, 0)) )
  + VALUE( INDEX(Pack_Master!$D:$D, MATCH($D697, Pack_Master!$A:$A, 0)) ),
"")
</f>
        <v>2</v>
      </c>
      <c r="G697" s="17">
        <f t="array" ref="G697">IFERROR(
 ( INDEX(Pack_Master!E:E, MATCH($D697, Pack_Master!A:A, 0))
   * INDEX(Pack_Master!F:F, MATCH($D697, Pack_Master!A:A, 0))
   * INDEX(Pack_Master!G:G, MATCH($D697, Pack_Master!A:A, 0))
 ) / INDEX(Config!C:C, MATCH($A697, Config!A:A, 0)),
"")
</f>
        <v>0.375</v>
      </c>
      <c r="H697" s="17">
        <f t="array" ref="H697">MAX( INDEX(Pack_Master!H:H, MATCH($D697, Pack_Master!A:A, 0)),
      IFERROR(G697, 0) )
</f>
        <v>0.5</v>
      </c>
      <c r="I697" s="18">
        <f>IFERROR(__xludf.DUMMYFUNCTION("IFERROR(
 INDEX(
   FILTER(Shipping_Rate_Card!B:F, Shipping_Rate_Card!A:A=$A697),
   MATCH($H697, FILTER(Shipping_Rate_Card!B:B, Shipping_Rate_Card!A:A=$A697), 1),
   IF( INDEX(Config!B:B, MATCH($A697, Config!A:A, 0))=""Local"", 2,
     IF( INDEX(Config!B"&amp;":B, MATCH($A697, Config!A:A, 0))=""Regional"", 3, 4 )
   )
 ),
"""")
"),67.0)</f>
        <v>67</v>
      </c>
      <c r="J697" s="16">
        <f>IFERROR(__xludf.DUMMYFUNCTION("IFERROR(
 ( E697 * INDEX(FILTER(Pricing_Rules!E:E, Pricing_Rules!A:A=A697, Pricing_Rules!B:B=B697, Pricing_Rules!C:C&lt;=E697, Pricing_Rules!D:D&gt;=E697), 1)
   + INDEX(FILTER(Pricing_Rules!F:F, Pricing_Rules!A:A=A697, Pricing_Rules!B:B=B697, Pricing_Rules!C:C"&amp;"&lt;=E697, Pricing_Rules!D:D&gt;=E697), 1)
 )
 * (1 + IFERROR( INDEX(Config!D:D, MATCH(A697, Config!A:A, 0)), 0 )),
"""")
"),5.8999999999999995)</f>
        <v>5.9</v>
      </c>
      <c r="K697" s="19">
        <f t="shared" si="3"/>
        <v>-74.9</v>
      </c>
      <c r="L697" s="20" t="str">
        <f t="shared" si="4"/>
        <v/>
      </c>
    </row>
    <row r="698" ht="15.75" customHeight="1">
      <c r="A698" s="9" t="s">
        <v>9</v>
      </c>
      <c r="B698" s="12" t="str">
        <f t="array" ref="B698">XLOOKUP(C698, Channel_Listings!C:C, Channel_Listings!B:B)
</f>
        <v>Apparel_Tshirts</v>
      </c>
      <c r="C698" s="22" t="s">
        <v>1150</v>
      </c>
      <c r="D698" s="14" t="str">
        <f t="array" ref="D698">XLOOKUP(C698, Channel_Listings!C:C, Channel_Listings!D:D)
</f>
        <v>TSHIRT-BLACK-XL</v>
      </c>
      <c r="E698" s="15"/>
      <c r="F698" s="16">
        <f t="array" ref="F698">IFERROR(
  VALUE( INDEX(Product_Master!$I:$I,
               MATCH( INDEX(Pack_Master!$B:$B, MATCH($D698, Pack_Master!$A:$A, 0)),
                      Product_Master!$B:$B, 0)
  )) 
  * VALUE( INDEX(Pack_Master!$C:$C, MATCH($D698, Pack_Master!$A:$A, 0)) )
  + VALUE( INDEX(Pack_Master!$D:$D, MATCH($D698, Pack_Master!$A:$A, 0)) ),
"")
</f>
        <v>2</v>
      </c>
      <c r="G698" s="17">
        <f t="array" ref="G698">IFERROR(
 ( INDEX(Pack_Master!E:E, MATCH($D698, Pack_Master!A:A, 0))
   * INDEX(Pack_Master!F:F, MATCH($D698, Pack_Master!A:A, 0))
   * INDEX(Pack_Master!G:G, MATCH($D698, Pack_Master!A:A, 0))
 ) / INDEX(Config!C:C, MATCH($A698, Config!A:A, 0)),
"")
</f>
        <v>0.375</v>
      </c>
      <c r="H698" s="17">
        <f t="array" ref="H698">MAX( INDEX(Pack_Master!H:H, MATCH($D698, Pack_Master!A:A, 0)),
      IFERROR(G698, 0) )
</f>
        <v>0.5</v>
      </c>
      <c r="I698" s="18">
        <f>IFERROR(__xludf.DUMMYFUNCTION("IFERROR(
 INDEX(
   FILTER(Shipping_Rate_Card!B:F, Shipping_Rate_Card!A:A=$A698),
   MATCH($H698, FILTER(Shipping_Rate_Card!B:B, Shipping_Rate_Card!A:A=$A698), 1),
   IF( INDEX(Config!B:B, MATCH($A698, Config!A:A, 0))=""Local"", 2,
     IF( INDEX(Config!B"&amp;":B, MATCH($A698, Config!A:A, 0))=""Regional"", 3, 4 )
   )
 ),
"""")
"),67.0)</f>
        <v>67</v>
      </c>
      <c r="J698" s="16">
        <f>IFERROR(__xludf.DUMMYFUNCTION("IFERROR(
 ( E698 * INDEX(FILTER(Pricing_Rules!E:E, Pricing_Rules!A:A=A698, Pricing_Rules!B:B=B698, Pricing_Rules!C:C&lt;=E698, Pricing_Rules!D:D&gt;=E698), 1)
   + INDEX(FILTER(Pricing_Rules!F:F, Pricing_Rules!A:A=A698, Pricing_Rules!B:B=B698, Pricing_Rules!C:C"&amp;"&lt;=E698, Pricing_Rules!D:D&gt;=E698), 1)
 )
 * (1 + IFERROR( INDEX(Config!D:D, MATCH(A698, Config!A:A, 0)), 0 )),
"""")
"),5.8999999999999995)</f>
        <v>5.9</v>
      </c>
      <c r="K698" s="19">
        <f t="shared" si="3"/>
        <v>-74.9</v>
      </c>
      <c r="L698" s="20" t="str">
        <f t="shared" si="4"/>
        <v/>
      </c>
    </row>
    <row r="699" ht="15.75" customHeight="1">
      <c r="A699" s="9" t="s">
        <v>9</v>
      </c>
      <c r="B699" s="12" t="str">
        <f t="array" ref="B699">XLOOKUP(C699, Channel_Listings!C:C, Channel_Listings!B:B)
</f>
        <v>Apparel_Tshirts</v>
      </c>
      <c r="C699" s="22" t="s">
        <v>1152</v>
      </c>
      <c r="D699" s="14" t="str">
        <f t="array" ref="D699">XLOOKUP(C699, Channel_Listings!C:C, Channel_Listings!D:D)
</f>
        <v>TSHIRT-BLACK-XXL</v>
      </c>
      <c r="E699" s="15"/>
      <c r="F699" s="16">
        <f t="array" ref="F699">IFERROR(
  VALUE( INDEX(Product_Master!$I:$I,
               MATCH( INDEX(Pack_Master!$B:$B, MATCH($D699, Pack_Master!$A:$A, 0)),
                      Product_Master!$B:$B, 0)
  )) 
  * VALUE( INDEX(Pack_Master!$C:$C, MATCH($D699, Pack_Master!$A:$A, 0)) )
  + VALUE( INDEX(Pack_Master!$D:$D, MATCH($D699, Pack_Master!$A:$A, 0)) ),
"")
</f>
        <v>2</v>
      </c>
      <c r="G699" s="17">
        <f t="array" ref="G699">IFERROR(
 ( INDEX(Pack_Master!E:E, MATCH($D699, Pack_Master!A:A, 0))
   * INDEX(Pack_Master!F:F, MATCH($D699, Pack_Master!A:A, 0))
   * INDEX(Pack_Master!G:G, MATCH($D699, Pack_Master!A:A, 0))
 ) / INDEX(Config!C:C, MATCH($A699, Config!A:A, 0)),
"")
</f>
        <v>0.375</v>
      </c>
      <c r="H699" s="17">
        <f t="array" ref="H699">MAX( INDEX(Pack_Master!H:H, MATCH($D699, Pack_Master!A:A, 0)),
      IFERROR(G699, 0) )
</f>
        <v>0.5</v>
      </c>
      <c r="I699" s="18">
        <f>IFERROR(__xludf.DUMMYFUNCTION("IFERROR(
 INDEX(
   FILTER(Shipping_Rate_Card!B:F, Shipping_Rate_Card!A:A=$A699),
   MATCH($H699, FILTER(Shipping_Rate_Card!B:B, Shipping_Rate_Card!A:A=$A699), 1),
   IF( INDEX(Config!B:B, MATCH($A699, Config!A:A, 0))=""Local"", 2,
     IF( INDEX(Config!B"&amp;":B, MATCH($A699, Config!A:A, 0))=""Regional"", 3, 4 )
   )
 ),
"""")
"),67.0)</f>
        <v>67</v>
      </c>
      <c r="J699" s="16">
        <f>IFERROR(__xludf.DUMMYFUNCTION("IFERROR(
 ( E699 * INDEX(FILTER(Pricing_Rules!E:E, Pricing_Rules!A:A=A699, Pricing_Rules!B:B=B699, Pricing_Rules!C:C&lt;=E699, Pricing_Rules!D:D&gt;=E699), 1)
   + INDEX(FILTER(Pricing_Rules!F:F, Pricing_Rules!A:A=A699, Pricing_Rules!B:B=B699, Pricing_Rules!C:C"&amp;"&lt;=E699, Pricing_Rules!D:D&gt;=E699), 1)
 )
 * (1 + IFERROR( INDEX(Config!D:D, MATCH(A699, Config!A:A, 0)), 0 )),
"""")
"),5.8999999999999995)</f>
        <v>5.9</v>
      </c>
      <c r="K699" s="19">
        <f t="shared" si="3"/>
        <v>-74.9</v>
      </c>
      <c r="L699" s="20" t="str">
        <f t="shared" si="4"/>
        <v/>
      </c>
    </row>
    <row r="700" ht="15.75" customHeight="1">
      <c r="A700" s="9" t="s">
        <v>9</v>
      </c>
      <c r="B700" s="12" t="str">
        <f t="array" ref="B700">XLOOKUP(C700, Channel_Listings!C:C, Channel_Listings!B:B)
</f>
        <v>Apparel_Caps_Beanies</v>
      </c>
      <c r="C700" s="23" t="s">
        <v>1154</v>
      </c>
      <c r="D700" s="14" t="str">
        <f t="array" ref="D700">XLOOKUP(C700, Channel_Listings!C:C, Channel_Listings!D:D)
</f>
        <v>CAP-BASEBALL-NET-HALF-CHARCOAL</v>
      </c>
      <c r="E700" s="15"/>
      <c r="F700" s="16">
        <f t="array" ref="F700">IFERROR(
  VALUE( INDEX(Product_Master!$I:$I,
               MATCH( INDEX(Pack_Master!$B:$B, MATCH($D700, Pack_Master!$A:$A, 0)),
                      Product_Master!$B:$B, 0)
  )) 
  * VALUE( INDEX(Pack_Master!$C:$C, MATCH($D700, Pack_Master!$A:$A, 0)) )
  + VALUE( INDEX(Pack_Master!$D:$D, MATCH($D700, Pack_Master!$A:$A, 0)) ),
"")
</f>
        <v>2</v>
      </c>
      <c r="G700" s="17">
        <f t="array" ref="G700">IFERROR(
 ( INDEX(Pack_Master!E:E, MATCH($D700, Pack_Master!A:A, 0))
   * INDEX(Pack_Master!F:F, MATCH($D700, Pack_Master!A:A, 0))
   * INDEX(Pack_Master!G:G, MATCH($D700, Pack_Master!A:A, 0))
 ) / INDEX(Config!C:C, MATCH($A700, Config!A:A, 0)),
"")
</f>
        <v>0.375</v>
      </c>
      <c r="H700" s="17">
        <f t="array" ref="H700">MAX( INDEX(Pack_Master!H:H, MATCH($D700, Pack_Master!A:A, 0)),
      IFERROR(G700, 0) )
</f>
        <v>0.5</v>
      </c>
      <c r="I700" s="18">
        <f>IFERROR(__xludf.DUMMYFUNCTION("IFERROR(
 INDEX(
   FILTER(Shipping_Rate_Card!B:F, Shipping_Rate_Card!A:A=$A700),
   MATCH($H700, FILTER(Shipping_Rate_Card!B:B, Shipping_Rate_Card!A:A=$A700), 1),
   IF( INDEX(Config!B:B, MATCH($A700, Config!A:A, 0))=""Local"", 2,
     IF( INDEX(Config!B"&amp;":B, MATCH($A700, Config!A:A, 0))=""Regional"", 3, 4 )
   )
 ),
"""")
"),67.0)</f>
        <v>67</v>
      </c>
      <c r="J700" s="16">
        <f>IFERROR(__xludf.DUMMYFUNCTION("IFERROR(
 ( E700 * INDEX(FILTER(Pricing_Rules!E:E, Pricing_Rules!A:A=A700, Pricing_Rules!B:B=B700, Pricing_Rules!C:C&lt;=E700, Pricing_Rules!D:D&gt;=E700), 1)
   + INDEX(FILTER(Pricing_Rules!F:F, Pricing_Rules!A:A=A700, Pricing_Rules!B:B=B700, Pricing_Rules!C:C"&amp;"&lt;=E700, Pricing_Rules!D:D&gt;=E700), 1)
 )
 * (1 + IFERROR( INDEX(Config!D:D, MATCH(A700, Config!A:A, 0)), 0 )),
"""")
"),5.8999999999999995)</f>
        <v>5.9</v>
      </c>
      <c r="K700" s="19">
        <f t="shared" si="3"/>
        <v>-74.9</v>
      </c>
      <c r="L700" s="20" t="str">
        <f t="shared" si="4"/>
        <v/>
      </c>
    </row>
    <row r="701" ht="15.75" customHeight="1">
      <c r="A701" s="9" t="s">
        <v>9</v>
      </c>
      <c r="B701" s="12" t="str">
        <f t="array" ref="B701">XLOOKUP(C701, Channel_Listings!C:C, Channel_Listings!B:B)
</f>
        <v>Apparel_Caps_Beanies</v>
      </c>
      <c r="C701" s="23" t="s">
        <v>1155</v>
      </c>
      <c r="D701" s="14" t="str">
        <f t="array" ref="D701">XLOOKUP(C701, Channel_Listings!C:C, Channel_Listings!D:D)
</f>
        <v>CAP-BASEBALL-NET-HALF-GREY</v>
      </c>
      <c r="E701" s="15"/>
      <c r="F701" s="16">
        <f t="array" ref="F701">IFERROR(
  VALUE( INDEX(Product_Master!$I:$I,
               MATCH( INDEX(Pack_Master!$B:$B, MATCH($D701, Pack_Master!$A:$A, 0)),
                      Product_Master!$B:$B, 0)
  )) 
  * VALUE( INDEX(Pack_Master!$C:$C, MATCH($D701, Pack_Master!$A:$A, 0)) )
  + VALUE( INDEX(Pack_Master!$D:$D, MATCH($D701, Pack_Master!$A:$A, 0)) ),
"")
</f>
        <v>2</v>
      </c>
      <c r="G701" s="17">
        <f t="array" ref="G701">IFERROR(
 ( INDEX(Pack_Master!E:E, MATCH($D701, Pack_Master!A:A, 0))
   * INDEX(Pack_Master!F:F, MATCH($D701, Pack_Master!A:A, 0))
   * INDEX(Pack_Master!G:G, MATCH($D701, Pack_Master!A:A, 0))
 ) / INDEX(Config!C:C, MATCH($A701, Config!A:A, 0)),
"")
</f>
        <v>0.375</v>
      </c>
      <c r="H701" s="17">
        <f t="array" ref="H701">MAX( INDEX(Pack_Master!H:H, MATCH($D701, Pack_Master!A:A, 0)),
      IFERROR(G701, 0) )
</f>
        <v>0.5</v>
      </c>
      <c r="I701" s="18">
        <f>IFERROR(__xludf.DUMMYFUNCTION("IFERROR(
 INDEX(
   FILTER(Shipping_Rate_Card!B:F, Shipping_Rate_Card!A:A=$A701),
   MATCH($H701, FILTER(Shipping_Rate_Card!B:B, Shipping_Rate_Card!A:A=$A701), 1),
   IF( INDEX(Config!B:B, MATCH($A701, Config!A:A, 0))=""Local"", 2,
     IF( INDEX(Config!B"&amp;":B, MATCH($A701, Config!A:A, 0))=""Regional"", 3, 4 )
   )
 ),
"""")
"),67.0)</f>
        <v>67</v>
      </c>
      <c r="J701" s="16">
        <f>IFERROR(__xludf.DUMMYFUNCTION("IFERROR(
 ( E701 * INDEX(FILTER(Pricing_Rules!E:E, Pricing_Rules!A:A=A701, Pricing_Rules!B:B=B701, Pricing_Rules!C:C&lt;=E701, Pricing_Rules!D:D&gt;=E701), 1)
   + INDEX(FILTER(Pricing_Rules!F:F, Pricing_Rules!A:A=A701, Pricing_Rules!B:B=B701, Pricing_Rules!C:C"&amp;"&lt;=E701, Pricing_Rules!D:D&gt;=E701), 1)
 )
 * (1 + IFERROR( INDEX(Config!D:D, MATCH(A701, Config!A:A, 0)), 0 )),
"""")
"),5.8999999999999995)</f>
        <v>5.9</v>
      </c>
      <c r="K701" s="19">
        <f t="shared" si="3"/>
        <v>-74.9</v>
      </c>
      <c r="L701" s="20" t="str">
        <f t="shared" si="4"/>
        <v/>
      </c>
    </row>
    <row r="702" ht="15.75" customHeight="1">
      <c r="A702" s="9" t="s">
        <v>9</v>
      </c>
      <c r="B702" s="12" t="str">
        <f t="array" ref="B702">XLOOKUP(C702, Channel_Listings!C:C, Channel_Listings!B:B)
</f>
        <v>Apparel_Caps_Beanies</v>
      </c>
      <c r="C702" s="22" t="s">
        <v>1156</v>
      </c>
      <c r="D702" s="14" t="str">
        <f t="array" ref="D702">XLOOKUP(C702, Channel_Listings!C:C, Channel_Listings!D:D)
</f>
        <v>HAT-UMPIRE-BEIGE</v>
      </c>
      <c r="E702" s="15"/>
      <c r="F702" s="16">
        <f t="array" ref="F702">IFERROR(
  VALUE( INDEX(Product_Master!$I:$I,
               MATCH( INDEX(Pack_Master!$B:$B, MATCH($D702, Pack_Master!$A:$A, 0)),
                      Product_Master!$B:$B, 0)
  )) 
  * VALUE( INDEX(Pack_Master!$C:$C, MATCH($D702, Pack_Master!$A:$A, 0)) )
  + VALUE( INDEX(Pack_Master!$D:$D, MATCH($D702, Pack_Master!$A:$A, 0)) ),
"")
</f>
        <v>0</v>
      </c>
      <c r="G702" s="17">
        <f t="array" ref="G702">IFERROR(
 ( INDEX(Pack_Master!E:E, MATCH($D702, Pack_Master!A:A, 0))
   * INDEX(Pack_Master!F:F, MATCH($D702, Pack_Master!A:A, 0))
   * INDEX(Pack_Master!G:G, MATCH($D702, Pack_Master!A:A, 0))
 ) / INDEX(Config!C:C, MATCH($A702, Config!A:A, 0)),
"")
</f>
        <v>0</v>
      </c>
      <c r="H702" s="17">
        <f t="array" ref="H702">MAX( INDEX(Pack_Master!H:H, MATCH($D702, Pack_Master!A:A, 0)),
      IFERROR(G702, 0) )
</f>
        <v>0</v>
      </c>
      <c r="I702" s="18" t="str">
        <f>IFERROR(__xludf.DUMMYFUNCTION("IFERROR(
 INDEX(
   FILTER(Shipping_Rate_Card!B:F, Shipping_Rate_Card!A:A=$A702),
   MATCH($H702, FILTER(Shipping_Rate_Card!B:B, Shipping_Rate_Card!A:A=$A702), 1),
   IF( INDEX(Config!B:B, MATCH($A702, Config!A:A, 0))=""Local"", 2,
     IF( INDEX(Config!B"&amp;":B, MATCH($A702, Config!A:A, 0))=""Regional"", 3, 4 )
   )
 ),
"""")
"),"")</f>
        <v/>
      </c>
      <c r="J702" s="16">
        <f>IFERROR(__xludf.DUMMYFUNCTION("IFERROR(
 ( E702 * INDEX(FILTER(Pricing_Rules!E:E, Pricing_Rules!A:A=A702, Pricing_Rules!B:B=B702, Pricing_Rules!C:C&lt;=E702, Pricing_Rules!D:D&gt;=E702), 1)
   + INDEX(FILTER(Pricing_Rules!F:F, Pricing_Rules!A:A=A702, Pricing_Rules!B:B=B702, Pricing_Rules!C:C"&amp;"&lt;=E702, Pricing_Rules!D:D&gt;=E702), 1)
 )
 * (1 + IFERROR( INDEX(Config!D:D, MATCH(A702, Config!A:A, 0)), 0 )),
"""")
"),5.8999999999999995)</f>
        <v>5.9</v>
      </c>
      <c r="K702" s="19">
        <f t="shared" si="3"/>
        <v>-5.9</v>
      </c>
      <c r="L702" s="20" t="str">
        <f t="shared" si="4"/>
        <v/>
      </c>
    </row>
    <row r="703" ht="15.75" customHeight="1">
      <c r="A703" s="9" t="s">
        <v>9</v>
      </c>
      <c r="B703" s="12" t="str">
        <f t="array" ref="B703">XLOOKUP(C703, Channel_Listings!C:C, Channel_Listings!B:B)
</f>
        <v>Apparel_Caps_Beanies</v>
      </c>
      <c r="C703" s="22" t="s">
        <v>1158</v>
      </c>
      <c r="D703" s="14" t="str">
        <f t="array" ref="D703">XLOOKUP(C703, Channel_Listings!C:C, Channel_Listings!D:D)
</f>
        <v>CAP-BASEBALL-PLAIN-BLACK</v>
      </c>
      <c r="E703" s="15"/>
      <c r="F703" s="16">
        <f t="array" ref="F703">IFERROR(
  VALUE( INDEX(Product_Master!$I:$I,
               MATCH( INDEX(Pack_Master!$B:$B, MATCH($D703, Pack_Master!$A:$A, 0)),
                      Product_Master!$B:$B, 0)
  )) 
  * VALUE( INDEX(Pack_Master!$C:$C, MATCH($D703, Pack_Master!$A:$A, 0)) )
  + VALUE( INDEX(Pack_Master!$D:$D, MATCH($D703, Pack_Master!$A:$A, 0)) ),
"")
</f>
        <v>89</v>
      </c>
      <c r="G703" s="17">
        <f t="array" ref="G703">IFERROR(
 ( INDEX(Pack_Master!E:E, MATCH($D703, Pack_Master!A:A, 0))
   * INDEX(Pack_Master!F:F, MATCH($D703, Pack_Master!A:A, 0))
   * INDEX(Pack_Master!G:G, MATCH($D703, Pack_Master!A:A, 0))
 ) / INDEX(Config!C:C, MATCH($A703, Config!A:A, 0)),
"")
</f>
        <v>0.375</v>
      </c>
      <c r="H703" s="17">
        <f t="array" ref="H703">MAX( INDEX(Pack_Master!H:H, MATCH($D703, Pack_Master!A:A, 0)),
      IFERROR(G703, 0) )
</f>
        <v>0.5</v>
      </c>
      <c r="I703" s="18">
        <f>IFERROR(__xludf.DUMMYFUNCTION("IFERROR(
 INDEX(
   FILTER(Shipping_Rate_Card!B:F, Shipping_Rate_Card!A:A=$A703),
   MATCH($H703, FILTER(Shipping_Rate_Card!B:B, Shipping_Rate_Card!A:A=$A703), 1),
   IF( INDEX(Config!B:B, MATCH($A703, Config!A:A, 0))=""Local"", 2,
     IF( INDEX(Config!B"&amp;":B, MATCH($A703, Config!A:A, 0))=""Regional"", 3, 4 )
   )
 ),
"""")
"),67.0)</f>
        <v>67</v>
      </c>
      <c r="J703" s="16">
        <f>IFERROR(__xludf.DUMMYFUNCTION("IFERROR(
 ( E703 * INDEX(FILTER(Pricing_Rules!E:E, Pricing_Rules!A:A=A703, Pricing_Rules!B:B=B703, Pricing_Rules!C:C&lt;=E703, Pricing_Rules!D:D&gt;=E703), 1)
   + INDEX(FILTER(Pricing_Rules!F:F, Pricing_Rules!A:A=A703, Pricing_Rules!B:B=B703, Pricing_Rules!C:C"&amp;"&lt;=E703, Pricing_Rules!D:D&gt;=E703), 1)
 )
 * (1 + IFERROR( INDEX(Config!D:D, MATCH(A703, Config!A:A, 0)), 0 )),
"""")
"),5.8999999999999995)</f>
        <v>5.9</v>
      </c>
      <c r="K703" s="19">
        <f t="shared" si="3"/>
        <v>-161.9</v>
      </c>
      <c r="L703" s="20" t="str">
        <f t="shared" si="4"/>
        <v/>
      </c>
    </row>
    <row r="704" ht="15.75" customHeight="1">
      <c r="A704" s="9" t="s">
        <v>9</v>
      </c>
      <c r="B704" s="12" t="str">
        <f t="array" ref="B704">XLOOKUP(C704, Channel_Listings!C:C, Channel_Listings!B:B)
</f>
        <v>Apparel_Caps_Beanies</v>
      </c>
      <c r="C704" s="22" t="s">
        <v>1159</v>
      </c>
      <c r="D704" s="14" t="str">
        <f t="array" ref="D704">XLOOKUP(C704, Channel_Listings!C:C, Channel_Listings!D:D)
</f>
        <v>BEANIE-LONGFUR-CHARCOAL</v>
      </c>
      <c r="E704" s="15"/>
      <c r="F704" s="16">
        <f t="array" ref="F704">IFERROR(
  VALUE( INDEX(Product_Master!$I:$I,
               MATCH( INDEX(Pack_Master!$B:$B, MATCH($D704, Pack_Master!$A:$A, 0)),
                      Product_Master!$B:$B, 0)
  )) 
  * VALUE( INDEX(Pack_Master!$C:$C, MATCH($D704, Pack_Master!$A:$A, 0)) )
  + VALUE( INDEX(Pack_Master!$D:$D, MATCH($D704, Pack_Master!$A:$A, 0)) ),
"")
</f>
        <v>109</v>
      </c>
      <c r="G704" s="17">
        <f t="array" ref="G704">IFERROR(
 ( INDEX(Pack_Master!E:E, MATCH($D704, Pack_Master!A:A, 0))
   * INDEX(Pack_Master!F:F, MATCH($D704, Pack_Master!A:A, 0))
   * INDEX(Pack_Master!G:G, MATCH($D704, Pack_Master!A:A, 0))
 ) / INDEX(Config!C:C, MATCH($A704, Config!A:A, 0)),
"")
</f>
        <v>0.375</v>
      </c>
      <c r="H704" s="17">
        <f t="array" ref="H704">MAX( INDEX(Pack_Master!H:H, MATCH($D704, Pack_Master!A:A, 0)),
      IFERROR(G704, 0) )
</f>
        <v>0.5</v>
      </c>
      <c r="I704" s="18">
        <f>IFERROR(__xludf.DUMMYFUNCTION("IFERROR(
 INDEX(
   FILTER(Shipping_Rate_Card!B:F, Shipping_Rate_Card!A:A=$A704),
   MATCH($H704, FILTER(Shipping_Rate_Card!B:B, Shipping_Rate_Card!A:A=$A704), 1),
   IF( INDEX(Config!B:B, MATCH($A704, Config!A:A, 0))=""Local"", 2,
     IF( INDEX(Config!B"&amp;":B, MATCH($A704, Config!A:A, 0))=""Regional"", 3, 4 )
   )
 ),
"""")
"),67.0)</f>
        <v>67</v>
      </c>
      <c r="J704" s="16">
        <f>IFERROR(__xludf.DUMMYFUNCTION("IFERROR(
 ( E704 * INDEX(FILTER(Pricing_Rules!E:E, Pricing_Rules!A:A=A704, Pricing_Rules!B:B=B704, Pricing_Rules!C:C&lt;=E704, Pricing_Rules!D:D&gt;=E704), 1)
   + INDEX(FILTER(Pricing_Rules!F:F, Pricing_Rules!A:A=A704, Pricing_Rules!B:B=B704, Pricing_Rules!C:C"&amp;"&lt;=E704, Pricing_Rules!D:D&gt;=E704), 1)
 )
 * (1 + IFERROR( INDEX(Config!D:D, MATCH(A704, Config!A:A, 0)), 0 )),
"""")
"),5.8999999999999995)</f>
        <v>5.9</v>
      </c>
      <c r="K704" s="19">
        <f t="shared" si="3"/>
        <v>-181.9</v>
      </c>
      <c r="L704" s="20" t="str">
        <f t="shared" si="4"/>
        <v/>
      </c>
    </row>
    <row r="705" ht="15.75" customHeight="1">
      <c r="A705" s="9" t="s">
        <v>9</v>
      </c>
      <c r="B705" s="12" t="str">
        <f t="array" ref="B705">XLOOKUP(C705, Channel_Listings!C:C, Channel_Listings!B:B)
</f>
        <v>Automotive_FaceMasks</v>
      </c>
      <c r="C705" s="22" t="s">
        <v>1160</v>
      </c>
      <c r="D705" s="14" t="str">
        <f t="array" ref="D705">XLOOKUP(C705, Channel_Listings!C:C, Channel_Listings!D:D)
</f>
        <v>MASK-FULL-BLACK-PK1</v>
      </c>
      <c r="E705" s="15"/>
      <c r="F705" s="16">
        <f t="array" ref="F705">IFERROR(
  VALUE( INDEX(Product_Master!$I:$I,
               MATCH( INDEX(Pack_Master!$B:$B, MATCH($D705, Pack_Master!$A:$A, 0)),
                      Product_Master!$B:$B, 0)
  )) 
  * VALUE( INDEX(Pack_Master!$C:$C, MATCH($D705, Pack_Master!$A:$A, 0)) )
  + VALUE( INDEX(Pack_Master!$D:$D, MATCH($D705, Pack_Master!$A:$A, 0)) ),
"")
</f>
        <v>0</v>
      </c>
      <c r="G705" s="17">
        <f t="array" ref="G705">IFERROR(
 ( INDEX(Pack_Master!E:E, MATCH($D705, Pack_Master!A:A, 0))
   * INDEX(Pack_Master!F:F, MATCH($D705, Pack_Master!A:A, 0))
   * INDEX(Pack_Master!G:G, MATCH($D705, Pack_Master!A:A, 0))
 ) / INDEX(Config!C:C, MATCH($A705, Config!A:A, 0)),
"")
</f>
        <v>0</v>
      </c>
      <c r="H705" s="17">
        <f t="array" ref="H705">MAX( INDEX(Pack_Master!H:H, MATCH($D705, Pack_Master!A:A, 0)),
      IFERROR(G705, 0) )
</f>
        <v>0</v>
      </c>
      <c r="I705" s="18" t="str">
        <f>IFERROR(__xludf.DUMMYFUNCTION("IFERROR(
 INDEX(
   FILTER(Shipping_Rate_Card!B:F, Shipping_Rate_Card!A:A=$A705),
   MATCH($H705, FILTER(Shipping_Rate_Card!B:B, Shipping_Rate_Card!A:A=$A705), 1),
   IF( INDEX(Config!B:B, MATCH($A705, Config!A:A, 0))=""Local"", 2,
     IF( INDEX(Config!B"&amp;":B, MATCH($A705, Config!A:A, 0))=""Regional"", 3, 4 )
   )
 ),
"""")
"),"")</f>
        <v/>
      </c>
      <c r="J705" s="16">
        <f>IFERROR(__xludf.DUMMYFUNCTION("IFERROR(
 ( E705 * INDEX(FILTER(Pricing_Rules!E:E, Pricing_Rules!A:A=A705, Pricing_Rules!B:B=B705, Pricing_Rules!C:C&lt;=E705, Pricing_Rules!D:D&gt;=E705), 1)
   + INDEX(FILTER(Pricing_Rules!F:F, Pricing_Rules!A:A=A705, Pricing_Rules!B:B=B705, Pricing_Rules!C:C"&amp;"&lt;=E705, Pricing_Rules!D:D&gt;=E705), 1)
 )
 * (1 + IFERROR( INDEX(Config!D:D, MATCH(A705, Config!A:A, 0)), 0 )),
"""")
"),5.8999999999999995)</f>
        <v>5.9</v>
      </c>
      <c r="K705" s="19">
        <f t="shared" si="3"/>
        <v>-5.9</v>
      </c>
      <c r="L705" s="20" t="str">
        <f t="shared" si="4"/>
        <v/>
      </c>
    </row>
    <row r="706" ht="15.75" customHeight="1">
      <c r="A706" s="9" t="s">
        <v>1162</v>
      </c>
      <c r="B706" s="12" t="str">
        <f t="array" ref="B706">XLOOKUP(C706, Channel_Listings!C:C, Channel_Listings!B:B)
</f>
        <v>Apparel_ArmSleeves</v>
      </c>
      <c r="C706" s="23" t="s">
        <v>1163</v>
      </c>
      <c r="D706" s="14" t="str">
        <f t="array" ref="D706">XLOOKUP(C706, Channel_Listings!C:C, Channel_Listings!D:D)
</f>
        <v>ARMSLEEVES-HALF-BLACK</v>
      </c>
      <c r="E706" s="15"/>
      <c r="F706" s="16">
        <f t="array" ref="F706">IFERROR(
  VALUE( INDEX(Product_Master!$I:$I,
               MATCH( INDEX(Pack_Master!$B:$B, MATCH($D706, Pack_Master!$A:$A, 0)),
                      Product_Master!$B:$B, 0)
  )) 
  * VALUE( INDEX(Pack_Master!$C:$C, MATCH($D706, Pack_Master!$A:$A, 0)) )
  + VALUE( INDEX(Pack_Master!$D:$D, MATCH($D706, Pack_Master!$A:$A, 0)) ),
"")
</f>
        <v>0</v>
      </c>
      <c r="G706" s="17">
        <f t="array" ref="G706">IFERROR(
 ( INDEX(Pack_Master!E:E, MATCH($D706, Pack_Master!A:A, 0))
   * INDEX(Pack_Master!F:F, MATCH($D706, Pack_Master!A:A, 0))
   * INDEX(Pack_Master!G:G, MATCH($D706, Pack_Master!A:A, 0))
 ) / INDEX(Config!C:C, MATCH($A706, Config!A:A, 0)),
"")
</f>
        <v>0</v>
      </c>
      <c r="H706" s="17">
        <f t="array" ref="H706">MAX( INDEX(Pack_Master!H:H, MATCH($D706, Pack_Master!A:A, 0)),
      IFERROR(G706, 0) )
</f>
        <v>0</v>
      </c>
      <c r="I706" s="18" t="str">
        <f>IFERROR(__xludf.DUMMYFUNCTION("IFERROR(
 INDEX(
   FILTER(Shipping_Rate_Card!B:F, Shipping_Rate_Card!A:A=$A706),
   MATCH($H706, FILTER(Shipping_Rate_Card!B:B, Shipping_Rate_Card!A:A=$A706), 1),
   IF( INDEX(Config!B:B, MATCH($A706, Config!A:A, 0))=""Local"", 2,
     IF( INDEX(Config!B"&amp;":B, MATCH($A706, Config!A:A, 0))=""Regional"", 3, 4 )
   )
 ),
"""")
"),"")</f>
        <v/>
      </c>
      <c r="J706" s="16">
        <f>IFERROR(__xludf.DUMMYFUNCTION("IFERROR(
 ( E706 * INDEX(FILTER(Pricing_Rules!E:E, Pricing_Rules!A:A=A706, Pricing_Rules!B:B=B706, Pricing_Rules!C:C&lt;=E706, Pricing_Rules!D:D&gt;=E706), 1)
   + INDEX(FILTER(Pricing_Rules!F:F, Pricing_Rules!A:A=A706, Pricing_Rules!B:B=B706, Pricing_Rules!C:C"&amp;"&lt;=E706, Pricing_Rules!D:D&gt;=E706), 1)
 )
 * (1 + IFERROR( INDEX(Config!D:D, MATCH(A706, Config!A:A, 0)), 0 )),
"""")
"),0.0)</f>
        <v>0</v>
      </c>
      <c r="K706" s="19">
        <f t="shared" si="3"/>
        <v>0</v>
      </c>
      <c r="L706" s="20" t="str">
        <f t="shared" si="4"/>
        <v/>
      </c>
    </row>
    <row r="707" ht="15.75" customHeight="1">
      <c r="A707" s="9" t="s">
        <v>1162</v>
      </c>
      <c r="B707" s="12" t="str">
        <f t="array" ref="B707">XLOOKUP(C707, Channel_Listings!C:C, Channel_Listings!B:B)
</f>
        <v>Automotive_FaceMasks</v>
      </c>
      <c r="C707" s="23" t="s">
        <v>1165</v>
      </c>
      <c r="D707" s="14" t="str">
        <f t="array" ref="D707">XLOOKUP(C707, Channel_Listings!C:C, Channel_Listings!D:D)
</f>
        <v>BANDANA-PATTERN-MULTICOLOR-PK5</v>
      </c>
      <c r="E707" s="15"/>
      <c r="F707" s="16">
        <f t="array" ref="F707">IFERROR(
  VALUE( INDEX(Product_Master!$I:$I,
               MATCH( INDEX(Pack_Master!$B:$B, MATCH($D707, Pack_Master!$A:$A, 0)),
                      Product_Master!$B:$B, 0)
  )) 
  * VALUE( INDEX(Pack_Master!$C:$C, MATCH($D707, Pack_Master!$A:$A, 0)) )
  + VALUE( INDEX(Pack_Master!$D:$D, MATCH($D707, Pack_Master!$A:$A, 0)) ),
"")
</f>
        <v>0</v>
      </c>
      <c r="G707" s="17">
        <f t="array" ref="G707">IFERROR(
 ( INDEX(Pack_Master!E:E, MATCH($D707, Pack_Master!A:A, 0))
   * INDEX(Pack_Master!F:F, MATCH($D707, Pack_Master!A:A, 0))
   * INDEX(Pack_Master!G:G, MATCH($D707, Pack_Master!A:A, 0))
 ) / INDEX(Config!C:C, MATCH($A707, Config!A:A, 0)),
"")
</f>
        <v>0</v>
      </c>
      <c r="H707" s="17">
        <f t="array" ref="H707">MAX( INDEX(Pack_Master!H:H, MATCH($D707, Pack_Master!A:A, 0)),
      IFERROR(G707, 0) )
</f>
        <v>0</v>
      </c>
      <c r="I707" s="18" t="str">
        <f>IFERROR(__xludf.DUMMYFUNCTION("IFERROR(
 INDEX(
   FILTER(Shipping_Rate_Card!B:F, Shipping_Rate_Card!A:A=$A707),
   MATCH($H707, FILTER(Shipping_Rate_Card!B:B, Shipping_Rate_Card!A:A=$A707), 1),
   IF( INDEX(Config!B:B, MATCH($A707, Config!A:A, 0))=""Local"", 2,
     IF( INDEX(Config!B"&amp;":B, MATCH($A707, Config!A:A, 0))=""Regional"", 3, 4 )
   )
 ),
"""")
"),"")</f>
        <v/>
      </c>
      <c r="J707" s="16">
        <f>IFERROR(__xludf.DUMMYFUNCTION("IFERROR(
 ( E707 * INDEX(FILTER(Pricing_Rules!E:E, Pricing_Rules!A:A=A707, Pricing_Rules!B:B=B707, Pricing_Rules!C:C&lt;=E707, Pricing_Rules!D:D&gt;=E707), 1)
   + INDEX(FILTER(Pricing_Rules!F:F, Pricing_Rules!A:A=A707, Pricing_Rules!B:B=B707, Pricing_Rules!C:C"&amp;"&lt;=E707, Pricing_Rules!D:D&gt;=E707), 1)
 )
 * (1 + IFERROR( INDEX(Config!D:D, MATCH(A707, Config!A:A, 0)), 0 )),
"""")
"),0.0)</f>
        <v>0</v>
      </c>
      <c r="K707" s="19">
        <f t="shared" si="3"/>
        <v>0</v>
      </c>
      <c r="L707" s="20" t="str">
        <f t="shared" si="4"/>
        <v/>
      </c>
    </row>
    <row r="708" ht="15.75" customHeight="1">
      <c r="A708" s="9" t="s">
        <v>1162</v>
      </c>
      <c r="B708" s="12" t="str">
        <f t="array" ref="B708">XLOOKUP(C708, Channel_Listings!C:C, Channel_Listings!B:B)
</f>
        <v>Apparel_Accessories_Winter</v>
      </c>
      <c r="C708" s="23" t="s">
        <v>141</v>
      </c>
      <c r="D708" s="14" t="str">
        <f t="array" ref="D708">XLOOKUP(C708, Channel_Listings!C:C, Channel_Listings!D:D)
</f>
        <v>BANDANA-HANKY-PAISLEY-BLACK</v>
      </c>
      <c r="E708" s="15"/>
      <c r="F708" s="16">
        <f t="array" ref="F708">IFERROR(
  VALUE( INDEX(Product_Master!$I:$I,
               MATCH( INDEX(Pack_Master!$B:$B, MATCH($D708, Pack_Master!$A:$A, 0)),
                      Product_Master!$B:$B, 0)
  )) 
  * VALUE( INDEX(Pack_Master!$C:$C, MATCH($D708, Pack_Master!$A:$A, 0)) )
  + VALUE( INDEX(Pack_Master!$D:$D, MATCH($D708, Pack_Master!$A:$A, 0)) ),
"")
</f>
        <v>0</v>
      </c>
      <c r="G708" s="17">
        <f t="array" ref="G708">IFERROR(
 ( INDEX(Pack_Master!E:E, MATCH($D708, Pack_Master!A:A, 0))
   * INDEX(Pack_Master!F:F, MATCH($D708, Pack_Master!A:A, 0))
   * INDEX(Pack_Master!G:G, MATCH($D708, Pack_Master!A:A, 0))
 ) / INDEX(Config!C:C, MATCH($A708, Config!A:A, 0)),
"")
</f>
        <v>0</v>
      </c>
      <c r="H708" s="17">
        <f t="array" ref="H708">MAX( INDEX(Pack_Master!H:H, MATCH($D708, Pack_Master!A:A, 0)),
      IFERROR(G708, 0) )
</f>
        <v>0</v>
      </c>
      <c r="I708" s="18" t="str">
        <f>IFERROR(__xludf.DUMMYFUNCTION("IFERROR(
 INDEX(
   FILTER(Shipping_Rate_Card!B:F, Shipping_Rate_Card!A:A=$A708),
   MATCH($H708, FILTER(Shipping_Rate_Card!B:B, Shipping_Rate_Card!A:A=$A708), 1),
   IF( INDEX(Config!B:B, MATCH($A708, Config!A:A, 0))=""Local"", 2,
     IF( INDEX(Config!B"&amp;":B, MATCH($A708, Config!A:A, 0))=""Regional"", 3, 4 )
   )
 ),
"""")
"),"")</f>
        <v/>
      </c>
      <c r="J708" s="16">
        <f>IFERROR(__xludf.DUMMYFUNCTION("IFERROR(
 ( E708 * INDEX(FILTER(Pricing_Rules!E:E, Pricing_Rules!A:A=A708, Pricing_Rules!B:B=B708, Pricing_Rules!C:C&lt;=E708, Pricing_Rules!D:D&gt;=E708), 1)
   + INDEX(FILTER(Pricing_Rules!F:F, Pricing_Rules!A:A=A708, Pricing_Rules!B:B=B708, Pricing_Rules!C:C"&amp;"&lt;=E708, Pricing_Rules!D:D&gt;=E708), 1)
 )
 * (1 + IFERROR( INDEX(Config!D:D, MATCH(A708, Config!A:A, 0)), 0 )),
"""")
"),0.0)</f>
        <v>0</v>
      </c>
      <c r="K708" s="19">
        <f t="shared" si="3"/>
        <v>0</v>
      </c>
      <c r="L708" s="20" t="str">
        <f t="shared" si="4"/>
        <v/>
      </c>
    </row>
    <row r="709" ht="15.75" customHeight="1">
      <c r="A709" s="9" t="s">
        <v>1162</v>
      </c>
      <c r="B709" s="12" t="str">
        <f t="array" ref="B709">XLOOKUP(C709, Channel_Listings!C:C, Channel_Listings!B:B)
</f>
        <v>Apparel_Accessories_Winter</v>
      </c>
      <c r="C709" s="23" t="s">
        <v>157</v>
      </c>
      <c r="D709" s="14" t="str">
        <f t="array" ref="D709">XLOOKUP(C709, Channel_Listings!C:C, Channel_Listings!D:D)
</f>
        <v>BANDANA-HANKY-PAISLEY-WHITE</v>
      </c>
      <c r="E709" s="15"/>
      <c r="F709" s="16">
        <f t="array" ref="F709">IFERROR(
  VALUE( INDEX(Product_Master!$I:$I,
               MATCH( INDEX(Pack_Master!$B:$B, MATCH($D709, Pack_Master!$A:$A, 0)),
                      Product_Master!$B:$B, 0)
  )) 
  * VALUE( INDEX(Pack_Master!$C:$C, MATCH($D709, Pack_Master!$A:$A, 0)) )
  + VALUE( INDEX(Pack_Master!$D:$D, MATCH($D709, Pack_Master!$A:$A, 0)) ),
"")
</f>
        <v>0</v>
      </c>
      <c r="G709" s="17">
        <f t="array" ref="G709">IFERROR(
 ( INDEX(Pack_Master!E:E, MATCH($D709, Pack_Master!A:A, 0))
   * INDEX(Pack_Master!F:F, MATCH($D709, Pack_Master!A:A, 0))
   * INDEX(Pack_Master!G:G, MATCH($D709, Pack_Master!A:A, 0))
 ) / INDEX(Config!C:C, MATCH($A709, Config!A:A, 0)),
"")
</f>
        <v>0</v>
      </c>
      <c r="H709" s="17">
        <f t="array" ref="H709">MAX( INDEX(Pack_Master!H:H, MATCH($D709, Pack_Master!A:A, 0)),
      IFERROR(G709, 0) )
</f>
        <v>0</v>
      </c>
      <c r="I709" s="18" t="str">
        <f>IFERROR(__xludf.DUMMYFUNCTION("IFERROR(
 INDEX(
   FILTER(Shipping_Rate_Card!B:F, Shipping_Rate_Card!A:A=$A709),
   MATCH($H709, FILTER(Shipping_Rate_Card!B:B, Shipping_Rate_Card!A:A=$A709), 1),
   IF( INDEX(Config!B:B, MATCH($A709, Config!A:A, 0))=""Local"", 2,
     IF( INDEX(Config!B"&amp;":B, MATCH($A709, Config!A:A, 0))=""Regional"", 3, 4 )
   )
 ),
"""")
"),"")</f>
        <v/>
      </c>
      <c r="J709" s="16">
        <f>IFERROR(__xludf.DUMMYFUNCTION("IFERROR(
 ( E709 * INDEX(FILTER(Pricing_Rules!E:E, Pricing_Rules!A:A=A709, Pricing_Rules!B:B=B709, Pricing_Rules!C:C&lt;=E709, Pricing_Rules!D:D&gt;=E709), 1)
   + INDEX(FILTER(Pricing_Rules!F:F, Pricing_Rules!A:A=A709, Pricing_Rules!B:B=B709, Pricing_Rules!C:C"&amp;"&lt;=E709, Pricing_Rules!D:D&gt;=E709), 1)
 )
 * (1 + IFERROR( INDEX(Config!D:D, MATCH(A709, Config!A:A, 0)), 0 )),
"""")
"),0.0)</f>
        <v>0</v>
      </c>
      <c r="K709" s="19">
        <f t="shared" si="3"/>
        <v>0</v>
      </c>
      <c r="L709" s="20" t="str">
        <f t="shared" si="4"/>
        <v/>
      </c>
    </row>
    <row r="710" ht="15.75" customHeight="1">
      <c r="A710" s="9" t="s">
        <v>1162</v>
      </c>
      <c r="B710" s="12" t="str">
        <f t="array" ref="B710">XLOOKUP(C710, Channel_Listings!C:C, Channel_Listings!B:B)
</f>
        <v>Apparel_Accessories_Winter</v>
      </c>
      <c r="C710" s="23" t="s">
        <v>161</v>
      </c>
      <c r="D710" s="14" t="str">
        <f t="array" ref="D710">XLOOKUP(C710, Channel_Listings!C:C, Channel_Listings!D:D)
</f>
        <v>BANDANA-HANKY-PAISLEYPO3-BLACKBLUEORANGE</v>
      </c>
      <c r="E710" s="15"/>
      <c r="F710" s="16">
        <f t="array" ref="F710">IFERROR(
  VALUE( INDEX(Product_Master!$I:$I,
               MATCH( INDEX(Pack_Master!$B:$B, MATCH($D710, Pack_Master!$A:$A, 0)),
                      Product_Master!$B:$B, 0)
  )) 
  * VALUE( INDEX(Pack_Master!$C:$C, MATCH($D710, Pack_Master!$A:$A, 0)) )
  + VALUE( INDEX(Pack_Master!$D:$D, MATCH($D710, Pack_Master!$A:$A, 0)) ),
"")
</f>
        <v>0</v>
      </c>
      <c r="G710" s="17">
        <f t="array" ref="G710">IFERROR(
 ( INDEX(Pack_Master!E:E, MATCH($D710, Pack_Master!A:A, 0))
   * INDEX(Pack_Master!F:F, MATCH($D710, Pack_Master!A:A, 0))
   * INDEX(Pack_Master!G:G, MATCH($D710, Pack_Master!A:A, 0))
 ) / INDEX(Config!C:C, MATCH($A710, Config!A:A, 0)),
"")
</f>
        <v>0</v>
      </c>
      <c r="H710" s="17">
        <f t="array" ref="H710">MAX( INDEX(Pack_Master!H:H, MATCH($D710, Pack_Master!A:A, 0)),
      IFERROR(G710, 0) )
</f>
        <v>0</v>
      </c>
      <c r="I710" s="18" t="str">
        <f>IFERROR(__xludf.DUMMYFUNCTION("IFERROR(
 INDEX(
   FILTER(Shipping_Rate_Card!B:F, Shipping_Rate_Card!A:A=$A710),
   MATCH($H710, FILTER(Shipping_Rate_Card!B:B, Shipping_Rate_Card!A:A=$A710), 1),
   IF( INDEX(Config!B:B, MATCH($A710, Config!A:A, 0))=""Local"", 2,
     IF( INDEX(Config!B"&amp;":B, MATCH($A710, Config!A:A, 0))=""Regional"", 3, 4 )
   )
 ),
"""")
"),"")</f>
        <v/>
      </c>
      <c r="J710" s="16">
        <f>IFERROR(__xludf.DUMMYFUNCTION("IFERROR(
 ( E710 * INDEX(FILTER(Pricing_Rules!E:E, Pricing_Rules!A:A=A710, Pricing_Rules!B:B=B710, Pricing_Rules!C:C&lt;=E710, Pricing_Rules!D:D&gt;=E710), 1)
   + INDEX(FILTER(Pricing_Rules!F:F, Pricing_Rules!A:A=A710, Pricing_Rules!B:B=B710, Pricing_Rules!C:C"&amp;"&lt;=E710, Pricing_Rules!D:D&gt;=E710), 1)
 )
 * (1 + IFERROR( INDEX(Config!D:D, MATCH(A710, Config!A:A, 0)), 0 )),
"""")
"),0.0)</f>
        <v>0</v>
      </c>
      <c r="K710" s="19">
        <f t="shared" si="3"/>
        <v>0</v>
      </c>
      <c r="L710" s="20" t="str">
        <f t="shared" si="4"/>
        <v/>
      </c>
    </row>
    <row r="711" ht="15.75" customHeight="1">
      <c r="A711" s="9" t="s">
        <v>1162</v>
      </c>
      <c r="B711" s="12" t="str">
        <f t="array" ref="B711">XLOOKUP(C711, Channel_Listings!C:C, Channel_Listings!B:B)
</f>
        <v>Apparel_Accessories_Winter</v>
      </c>
      <c r="C711" s="23" t="s">
        <v>162</v>
      </c>
      <c r="D711" s="14" t="str">
        <f t="array" ref="D711">XLOOKUP(C711, Channel_Listings!C:C, Channel_Listings!D:D)
</f>
        <v>BANDANA-HANKY-PAISLEYPO3-BLACKNAVYWHITE</v>
      </c>
      <c r="E711" s="15"/>
      <c r="F711" s="16">
        <f t="array" ref="F711">IFERROR(
  VALUE( INDEX(Product_Master!$I:$I,
               MATCH( INDEX(Pack_Master!$B:$B, MATCH($D711, Pack_Master!$A:$A, 0)),
                      Product_Master!$B:$B, 0)
  )) 
  * VALUE( INDEX(Pack_Master!$C:$C, MATCH($D711, Pack_Master!$A:$A, 0)) )
  + VALUE( INDEX(Pack_Master!$D:$D, MATCH($D711, Pack_Master!$A:$A, 0)) ),
"")
</f>
        <v>0</v>
      </c>
      <c r="G711" s="17">
        <f t="array" ref="G711">IFERROR(
 ( INDEX(Pack_Master!E:E, MATCH($D711, Pack_Master!A:A, 0))
   * INDEX(Pack_Master!F:F, MATCH($D711, Pack_Master!A:A, 0))
   * INDEX(Pack_Master!G:G, MATCH($D711, Pack_Master!A:A, 0))
 ) / INDEX(Config!C:C, MATCH($A711, Config!A:A, 0)),
"")
</f>
        <v>0</v>
      </c>
      <c r="H711" s="17">
        <f t="array" ref="H711">MAX( INDEX(Pack_Master!H:H, MATCH($D711, Pack_Master!A:A, 0)),
      IFERROR(G711, 0) )
</f>
        <v>0</v>
      </c>
      <c r="I711" s="18" t="str">
        <f>IFERROR(__xludf.DUMMYFUNCTION("IFERROR(
 INDEX(
   FILTER(Shipping_Rate_Card!B:F, Shipping_Rate_Card!A:A=$A711),
   MATCH($H711, FILTER(Shipping_Rate_Card!B:B, Shipping_Rate_Card!A:A=$A711), 1),
   IF( INDEX(Config!B:B, MATCH($A711, Config!A:A, 0))=""Local"", 2,
     IF( INDEX(Config!B"&amp;":B, MATCH($A711, Config!A:A, 0))=""Regional"", 3, 4 )
   )
 ),
"""")
"),"")</f>
        <v/>
      </c>
      <c r="J711" s="16">
        <f>IFERROR(__xludf.DUMMYFUNCTION("IFERROR(
 ( E711 * INDEX(FILTER(Pricing_Rules!E:E, Pricing_Rules!A:A=A711, Pricing_Rules!B:B=B711, Pricing_Rules!C:C&lt;=E711, Pricing_Rules!D:D&gt;=E711), 1)
   + INDEX(FILTER(Pricing_Rules!F:F, Pricing_Rules!A:A=A711, Pricing_Rules!B:B=B711, Pricing_Rules!C:C"&amp;"&lt;=E711, Pricing_Rules!D:D&gt;=E711), 1)
 )
 * (1 + IFERROR( INDEX(Config!D:D, MATCH(A711, Config!A:A, 0)), 0 )),
"""")
"),0.0)</f>
        <v>0</v>
      </c>
      <c r="K711" s="19">
        <f t="shared" si="3"/>
        <v>0</v>
      </c>
      <c r="L711" s="20" t="str">
        <f t="shared" si="4"/>
        <v/>
      </c>
    </row>
    <row r="712" ht="15.75" customHeight="1">
      <c r="A712" s="9" t="s">
        <v>1162</v>
      </c>
      <c r="B712" s="12" t="str">
        <f t="array" ref="B712">XLOOKUP(C712, Channel_Listings!C:C, Channel_Listings!B:B)
</f>
        <v>Apparel_Accessories_Winter</v>
      </c>
      <c r="C712" s="23" t="s">
        <v>163</v>
      </c>
      <c r="D712" s="14" t="str">
        <f t="array" ref="D712">XLOOKUP(C712, Channel_Listings!C:C, Channel_Listings!D:D)
</f>
        <v>BANDANA-HANKY-PAISLEYPO3-BLACKREDWHITE</v>
      </c>
      <c r="E712" s="15"/>
      <c r="F712" s="16">
        <f t="array" ref="F712">IFERROR(
  VALUE( INDEX(Product_Master!$I:$I,
               MATCH( INDEX(Pack_Master!$B:$B, MATCH($D712, Pack_Master!$A:$A, 0)),
                      Product_Master!$B:$B, 0)
  )) 
  * VALUE( INDEX(Pack_Master!$C:$C, MATCH($D712, Pack_Master!$A:$A, 0)) )
  + VALUE( INDEX(Pack_Master!$D:$D, MATCH($D712, Pack_Master!$A:$A, 0)) ),
"")
</f>
        <v>0</v>
      </c>
      <c r="G712" s="17">
        <f t="array" ref="G712">IFERROR(
 ( INDEX(Pack_Master!E:E, MATCH($D712, Pack_Master!A:A, 0))
   * INDEX(Pack_Master!F:F, MATCH($D712, Pack_Master!A:A, 0))
   * INDEX(Pack_Master!G:G, MATCH($D712, Pack_Master!A:A, 0))
 ) / INDEX(Config!C:C, MATCH($A712, Config!A:A, 0)),
"")
</f>
        <v>0</v>
      </c>
      <c r="H712" s="17">
        <f t="array" ref="H712">MAX( INDEX(Pack_Master!H:H, MATCH($D712, Pack_Master!A:A, 0)),
      IFERROR(G712, 0) )
</f>
        <v>0</v>
      </c>
      <c r="I712" s="18" t="str">
        <f>IFERROR(__xludf.DUMMYFUNCTION("IFERROR(
 INDEX(
   FILTER(Shipping_Rate_Card!B:F, Shipping_Rate_Card!A:A=$A712),
   MATCH($H712, FILTER(Shipping_Rate_Card!B:B, Shipping_Rate_Card!A:A=$A712), 1),
   IF( INDEX(Config!B:B, MATCH($A712, Config!A:A, 0))=""Local"", 2,
     IF( INDEX(Config!B"&amp;":B, MATCH($A712, Config!A:A, 0))=""Regional"", 3, 4 )
   )
 ),
"""")
"),"")</f>
        <v/>
      </c>
      <c r="J712" s="16">
        <f>IFERROR(__xludf.DUMMYFUNCTION("IFERROR(
 ( E712 * INDEX(FILTER(Pricing_Rules!E:E, Pricing_Rules!A:A=A712, Pricing_Rules!B:B=B712, Pricing_Rules!C:C&lt;=E712, Pricing_Rules!D:D&gt;=E712), 1)
   + INDEX(FILTER(Pricing_Rules!F:F, Pricing_Rules!A:A=A712, Pricing_Rules!B:B=B712, Pricing_Rules!C:C"&amp;"&lt;=E712, Pricing_Rules!D:D&gt;=E712), 1)
 )
 * (1 + IFERROR( INDEX(Config!D:D, MATCH(A712, Config!A:A, 0)), 0 )),
"""")
"),0.0)</f>
        <v>0</v>
      </c>
      <c r="K712" s="19">
        <f t="shared" si="3"/>
        <v>0</v>
      </c>
      <c r="L712" s="20" t="str">
        <f t="shared" si="4"/>
        <v/>
      </c>
    </row>
    <row r="713" ht="15.75" customHeight="1">
      <c r="A713" s="9" t="s">
        <v>1162</v>
      </c>
      <c r="B713" s="12" t="str">
        <f t="array" ref="B713">XLOOKUP(C713, Channel_Listings!C:C, Channel_Listings!B:B)
</f>
        <v>Apparel_Accessories_Winter</v>
      </c>
      <c r="C713" s="23" t="s">
        <v>164</v>
      </c>
      <c r="D713" s="14" t="str">
        <f t="array" ref="D713">XLOOKUP(C713, Channel_Listings!C:C, Channel_Listings!D:D)
</f>
        <v>BANDANA-HANKY-PAISLEYPO3-ORANGENAVYWHITE</v>
      </c>
      <c r="E713" s="15"/>
      <c r="F713" s="16">
        <f t="array" ref="F713">IFERROR(
  VALUE( INDEX(Product_Master!$I:$I,
               MATCH( INDEX(Pack_Master!$B:$B, MATCH($D713, Pack_Master!$A:$A, 0)),
                      Product_Master!$B:$B, 0)
  )) 
  * VALUE( INDEX(Pack_Master!$C:$C, MATCH($D713, Pack_Master!$A:$A, 0)) )
  + VALUE( INDEX(Pack_Master!$D:$D, MATCH($D713, Pack_Master!$A:$A, 0)) ),
"")
</f>
        <v>0</v>
      </c>
      <c r="G713" s="17">
        <f t="array" ref="G713">IFERROR(
 ( INDEX(Pack_Master!E:E, MATCH($D713, Pack_Master!A:A, 0))
   * INDEX(Pack_Master!F:F, MATCH($D713, Pack_Master!A:A, 0))
   * INDEX(Pack_Master!G:G, MATCH($D713, Pack_Master!A:A, 0))
 ) / INDEX(Config!C:C, MATCH($A713, Config!A:A, 0)),
"")
</f>
        <v>0</v>
      </c>
      <c r="H713" s="17">
        <f t="array" ref="H713">MAX( INDEX(Pack_Master!H:H, MATCH($D713, Pack_Master!A:A, 0)),
      IFERROR(G713, 0) )
</f>
        <v>0</v>
      </c>
      <c r="I713" s="18" t="str">
        <f>IFERROR(__xludf.DUMMYFUNCTION("IFERROR(
 INDEX(
   FILTER(Shipping_Rate_Card!B:F, Shipping_Rate_Card!A:A=$A713),
   MATCH($H713, FILTER(Shipping_Rate_Card!B:B, Shipping_Rate_Card!A:A=$A713), 1),
   IF( INDEX(Config!B:B, MATCH($A713, Config!A:A, 0))=""Local"", 2,
     IF( INDEX(Config!B"&amp;":B, MATCH($A713, Config!A:A, 0))=""Regional"", 3, 4 )
   )
 ),
"""")
"),"")</f>
        <v/>
      </c>
      <c r="J713" s="16">
        <f>IFERROR(__xludf.DUMMYFUNCTION("IFERROR(
 ( E713 * INDEX(FILTER(Pricing_Rules!E:E, Pricing_Rules!A:A=A713, Pricing_Rules!B:B=B713, Pricing_Rules!C:C&lt;=E713, Pricing_Rules!D:D&gt;=E713), 1)
   + INDEX(FILTER(Pricing_Rules!F:F, Pricing_Rules!A:A=A713, Pricing_Rules!B:B=B713, Pricing_Rules!C:C"&amp;"&lt;=E713, Pricing_Rules!D:D&gt;=E713), 1)
 )
 * (1 + IFERROR( INDEX(Config!D:D, MATCH(A713, Config!A:A, 0)), 0 )),
"""")
"),0.0)</f>
        <v>0</v>
      </c>
      <c r="K713" s="19">
        <f t="shared" si="3"/>
        <v>0</v>
      </c>
      <c r="L713" s="20" t="str">
        <f t="shared" si="4"/>
        <v/>
      </c>
    </row>
    <row r="714" ht="15.75" customHeight="1">
      <c r="A714" s="9" t="s">
        <v>1162</v>
      </c>
      <c r="B714" s="12" t="str">
        <f t="array" ref="B714">XLOOKUP(C714, Channel_Listings!C:C, Channel_Listings!B:B)
</f>
        <v>Apparel_Accessories_Winter</v>
      </c>
      <c r="C714" s="23" t="s">
        <v>165</v>
      </c>
      <c r="D714" s="14" t="str">
        <f t="array" ref="D714">XLOOKUP(C714, Channel_Listings!C:C, Channel_Listings!D:D)
</f>
        <v>BANDANA-HANKY-PAISLEYPO3-ORANGEREDMAROON</v>
      </c>
      <c r="E714" s="15"/>
      <c r="F714" s="16">
        <f t="array" ref="F714">IFERROR(
  VALUE( INDEX(Product_Master!$I:$I,
               MATCH( INDEX(Pack_Master!$B:$B, MATCH($D714, Pack_Master!$A:$A, 0)),
                      Product_Master!$B:$B, 0)
  )) 
  * VALUE( INDEX(Pack_Master!$C:$C, MATCH($D714, Pack_Master!$A:$A, 0)) )
  + VALUE( INDEX(Pack_Master!$D:$D, MATCH($D714, Pack_Master!$A:$A, 0)) ),
"")
</f>
        <v>0</v>
      </c>
      <c r="G714" s="17">
        <f t="array" ref="G714">IFERROR(
 ( INDEX(Pack_Master!E:E, MATCH($D714, Pack_Master!A:A, 0))
   * INDEX(Pack_Master!F:F, MATCH($D714, Pack_Master!A:A, 0))
   * INDEX(Pack_Master!G:G, MATCH($D714, Pack_Master!A:A, 0))
 ) / INDEX(Config!C:C, MATCH($A714, Config!A:A, 0)),
"")
</f>
        <v>0</v>
      </c>
      <c r="H714" s="17">
        <f t="array" ref="H714">MAX( INDEX(Pack_Master!H:H, MATCH($D714, Pack_Master!A:A, 0)),
      IFERROR(G714, 0) )
</f>
        <v>0</v>
      </c>
      <c r="I714" s="18" t="str">
        <f>IFERROR(__xludf.DUMMYFUNCTION("IFERROR(
 INDEX(
   FILTER(Shipping_Rate_Card!B:F, Shipping_Rate_Card!A:A=$A714),
   MATCH($H714, FILTER(Shipping_Rate_Card!B:B, Shipping_Rate_Card!A:A=$A714), 1),
   IF( INDEX(Config!B:B, MATCH($A714, Config!A:A, 0))=""Local"", 2,
     IF( INDEX(Config!B"&amp;":B, MATCH($A714, Config!A:A, 0))=""Regional"", 3, 4 )
   )
 ),
"""")
"),"")</f>
        <v/>
      </c>
      <c r="J714" s="16">
        <f>IFERROR(__xludf.DUMMYFUNCTION("IFERROR(
 ( E714 * INDEX(FILTER(Pricing_Rules!E:E, Pricing_Rules!A:A=A714, Pricing_Rules!B:B=B714, Pricing_Rules!C:C&lt;=E714, Pricing_Rules!D:D&gt;=E714), 1)
   + INDEX(FILTER(Pricing_Rules!F:F, Pricing_Rules!A:A=A714, Pricing_Rules!B:B=B714, Pricing_Rules!C:C"&amp;"&lt;=E714, Pricing_Rules!D:D&gt;=E714), 1)
 )
 * (1 + IFERROR( INDEX(Config!D:D, MATCH(A714, Config!A:A, 0)), 0 )),
"""")
"),0.0)</f>
        <v>0</v>
      </c>
      <c r="K714" s="19">
        <f t="shared" si="3"/>
        <v>0</v>
      </c>
      <c r="L714" s="20" t="str">
        <f t="shared" si="4"/>
        <v/>
      </c>
    </row>
    <row r="715" ht="15.75" customHeight="1">
      <c r="A715" s="9" t="s">
        <v>1162</v>
      </c>
      <c r="B715" s="12" t="str">
        <f t="array" ref="B715">XLOOKUP(C715, Channel_Listings!C:C, Channel_Listings!B:B)
</f>
        <v>Apparel_Accessories_Winter</v>
      </c>
      <c r="C715" s="23" t="s">
        <v>166</v>
      </c>
      <c r="D715" s="14" t="str">
        <f t="array" ref="D715">XLOOKUP(C715, Channel_Listings!C:C, Channel_Listings!D:D)
</f>
        <v>BANDANA-HANKY-PAISLEYPO3-REDNAVYWHITE</v>
      </c>
      <c r="E715" s="15"/>
      <c r="F715" s="16">
        <f t="array" ref="F715">IFERROR(
  VALUE( INDEX(Product_Master!$I:$I,
               MATCH( INDEX(Pack_Master!$B:$B, MATCH($D715, Pack_Master!$A:$A, 0)),
                      Product_Master!$B:$B, 0)
  )) 
  * VALUE( INDEX(Pack_Master!$C:$C, MATCH($D715, Pack_Master!$A:$A, 0)) )
  + VALUE( INDEX(Pack_Master!$D:$D, MATCH($D715, Pack_Master!$A:$A, 0)) ),
"")
</f>
        <v>0</v>
      </c>
      <c r="G715" s="17">
        <f t="array" ref="G715">IFERROR(
 ( INDEX(Pack_Master!E:E, MATCH($D715, Pack_Master!A:A, 0))
   * INDEX(Pack_Master!F:F, MATCH($D715, Pack_Master!A:A, 0))
   * INDEX(Pack_Master!G:G, MATCH($D715, Pack_Master!A:A, 0))
 ) / INDEX(Config!C:C, MATCH($A715, Config!A:A, 0)),
"")
</f>
        <v>0</v>
      </c>
      <c r="H715" s="17">
        <f t="array" ref="H715">MAX( INDEX(Pack_Master!H:H, MATCH($D715, Pack_Master!A:A, 0)),
      IFERROR(G715, 0) )
</f>
        <v>0</v>
      </c>
      <c r="I715" s="18" t="str">
        <f>IFERROR(__xludf.DUMMYFUNCTION("IFERROR(
 INDEX(
   FILTER(Shipping_Rate_Card!B:F, Shipping_Rate_Card!A:A=$A715),
   MATCH($H715, FILTER(Shipping_Rate_Card!B:B, Shipping_Rate_Card!A:A=$A715), 1),
   IF( INDEX(Config!B:B, MATCH($A715, Config!A:A, 0))=""Local"", 2,
     IF( INDEX(Config!B"&amp;":B, MATCH($A715, Config!A:A, 0))=""Regional"", 3, 4 )
   )
 ),
"""")
"),"")</f>
        <v/>
      </c>
      <c r="J715" s="16">
        <f>IFERROR(__xludf.DUMMYFUNCTION("IFERROR(
 ( E715 * INDEX(FILTER(Pricing_Rules!E:E, Pricing_Rules!A:A=A715, Pricing_Rules!B:B=B715, Pricing_Rules!C:C&lt;=E715, Pricing_Rules!D:D&gt;=E715), 1)
   + INDEX(FILTER(Pricing_Rules!F:F, Pricing_Rules!A:A=A715, Pricing_Rules!B:B=B715, Pricing_Rules!C:C"&amp;"&lt;=E715, Pricing_Rules!D:D&gt;=E715), 1)
 )
 * (1 + IFERROR( INDEX(Config!D:D, MATCH(A715, Config!A:A, 0)), 0 )),
"""")
"),0.0)</f>
        <v>0</v>
      </c>
      <c r="K715" s="19">
        <f t="shared" si="3"/>
        <v>0</v>
      </c>
      <c r="L715" s="20" t="str">
        <f t="shared" si="4"/>
        <v/>
      </c>
    </row>
    <row r="716" ht="15.75" customHeight="1">
      <c r="A716" s="9" t="s">
        <v>1162</v>
      </c>
      <c r="B716" s="12" t="str">
        <f t="array" ref="B716">XLOOKUP(C716, Channel_Listings!C:C, Channel_Listings!B:B)
</f>
        <v>Automotive_FaceMasks</v>
      </c>
      <c r="C716" s="23" t="s">
        <v>170</v>
      </c>
      <c r="D716" s="14" t="str">
        <f t="array" ref="D716">XLOOKUP(C716, Channel_Listings!C:C, Channel_Listings!D:D)
</f>
        <v>BANDANA-PATTERN-BLUE-PK5</v>
      </c>
      <c r="E716" s="15"/>
      <c r="F716" s="16">
        <f t="array" ref="F716">IFERROR(
  VALUE( INDEX(Product_Master!$I:$I,
               MATCH( INDEX(Pack_Master!$B:$B, MATCH($D716, Pack_Master!$A:$A, 0)),
                      Product_Master!$B:$B, 0)
  )) 
  * VALUE( INDEX(Pack_Master!$C:$C, MATCH($D716, Pack_Master!$A:$A, 0)) )
  + VALUE( INDEX(Pack_Master!$D:$D, MATCH($D716, Pack_Master!$A:$A, 0)) ),
"")
</f>
        <v>0</v>
      </c>
      <c r="G716" s="17">
        <f t="array" ref="G716">IFERROR(
 ( INDEX(Pack_Master!E:E, MATCH($D716, Pack_Master!A:A, 0))
   * INDEX(Pack_Master!F:F, MATCH($D716, Pack_Master!A:A, 0))
   * INDEX(Pack_Master!G:G, MATCH($D716, Pack_Master!A:A, 0))
 ) / INDEX(Config!C:C, MATCH($A716, Config!A:A, 0)),
"")
</f>
        <v>0</v>
      </c>
      <c r="H716" s="17">
        <f t="array" ref="H716">MAX( INDEX(Pack_Master!H:H, MATCH($D716, Pack_Master!A:A, 0)),
      IFERROR(G716, 0) )
</f>
        <v>0</v>
      </c>
      <c r="I716" s="18" t="str">
        <f>IFERROR(__xludf.DUMMYFUNCTION("IFERROR(
 INDEX(
   FILTER(Shipping_Rate_Card!B:F, Shipping_Rate_Card!A:A=$A716),
   MATCH($H716, FILTER(Shipping_Rate_Card!B:B, Shipping_Rate_Card!A:A=$A716), 1),
   IF( INDEX(Config!B:B, MATCH($A716, Config!A:A, 0))=""Local"", 2,
     IF( INDEX(Config!B"&amp;":B, MATCH($A716, Config!A:A, 0))=""Regional"", 3, 4 )
   )
 ),
"""")
"),"")</f>
        <v/>
      </c>
      <c r="J716" s="16">
        <f>IFERROR(__xludf.DUMMYFUNCTION("IFERROR(
 ( E716 * INDEX(FILTER(Pricing_Rules!E:E, Pricing_Rules!A:A=A716, Pricing_Rules!B:B=B716, Pricing_Rules!C:C&lt;=E716, Pricing_Rules!D:D&gt;=E716), 1)
   + INDEX(FILTER(Pricing_Rules!F:F, Pricing_Rules!A:A=A716, Pricing_Rules!B:B=B716, Pricing_Rules!C:C"&amp;"&lt;=E716, Pricing_Rules!D:D&gt;=E716), 1)
 )
 * (1 + IFERROR( INDEX(Config!D:D, MATCH(A716, Config!A:A, 0)), 0 )),
"""")
"),0.0)</f>
        <v>0</v>
      </c>
      <c r="K716" s="19">
        <f t="shared" si="3"/>
        <v>0</v>
      </c>
      <c r="L716" s="20" t="str">
        <f t="shared" si="4"/>
        <v/>
      </c>
    </row>
    <row r="717" ht="15.75" customHeight="1">
      <c r="A717" s="9" t="s">
        <v>1162</v>
      </c>
      <c r="B717" s="12" t="str">
        <f t="array" ref="B717">XLOOKUP(C717, Channel_Listings!C:C, Channel_Listings!B:B)
</f>
        <v>Automotive_FaceMasks</v>
      </c>
      <c r="C717" s="23" t="s">
        <v>1176</v>
      </c>
      <c r="D717" s="14" t="str">
        <f t="array" ref="D717">XLOOKUP(C717, Channel_Listings!C:C, Channel_Listings!D:D)
</f>
        <v>BANDANA-PATTERN-CAMOREGULAR-PK5</v>
      </c>
      <c r="E717" s="15"/>
      <c r="F717" s="16">
        <f t="array" ref="F717">IFERROR(
  VALUE( INDEX(Product_Master!$I:$I,
               MATCH( INDEX(Pack_Master!$B:$B, MATCH($D717, Pack_Master!$A:$A, 0)),
                      Product_Master!$B:$B, 0)
  )) 
  * VALUE( INDEX(Pack_Master!$C:$C, MATCH($D717, Pack_Master!$A:$A, 0)) )
  + VALUE( INDEX(Pack_Master!$D:$D, MATCH($D717, Pack_Master!$A:$A, 0)) ),
"")
</f>
        <v>0</v>
      </c>
      <c r="G717" s="17">
        <f t="array" ref="G717">IFERROR(
 ( INDEX(Pack_Master!E:E, MATCH($D717, Pack_Master!A:A, 0))
   * INDEX(Pack_Master!F:F, MATCH($D717, Pack_Master!A:A, 0))
   * INDEX(Pack_Master!G:G, MATCH($D717, Pack_Master!A:A, 0))
 ) / INDEX(Config!C:C, MATCH($A717, Config!A:A, 0)),
"")
</f>
        <v>0</v>
      </c>
      <c r="H717" s="17">
        <f t="array" ref="H717">MAX( INDEX(Pack_Master!H:H, MATCH($D717, Pack_Master!A:A, 0)),
      IFERROR(G717, 0) )
</f>
        <v>0</v>
      </c>
      <c r="I717" s="18" t="str">
        <f>IFERROR(__xludf.DUMMYFUNCTION("IFERROR(
 INDEX(
   FILTER(Shipping_Rate_Card!B:F, Shipping_Rate_Card!A:A=$A717),
   MATCH($H717, FILTER(Shipping_Rate_Card!B:B, Shipping_Rate_Card!A:A=$A717), 1),
   IF( INDEX(Config!B:B, MATCH($A717, Config!A:A, 0))=""Local"", 2,
     IF( INDEX(Config!B"&amp;":B, MATCH($A717, Config!A:A, 0))=""Regional"", 3, 4 )
   )
 ),
"""")
"),"")</f>
        <v/>
      </c>
      <c r="J717" s="16">
        <f>IFERROR(__xludf.DUMMYFUNCTION("IFERROR(
 ( E717 * INDEX(FILTER(Pricing_Rules!E:E, Pricing_Rules!A:A=A717, Pricing_Rules!B:B=B717, Pricing_Rules!C:C&lt;=E717, Pricing_Rules!D:D&gt;=E717), 1)
   + INDEX(FILTER(Pricing_Rules!F:F, Pricing_Rules!A:A=A717, Pricing_Rules!B:B=B717, Pricing_Rules!C:C"&amp;"&lt;=E717, Pricing_Rules!D:D&gt;=E717), 1)
 )
 * (1 + IFERROR( INDEX(Config!D:D, MATCH(A717, Config!A:A, 0)), 0 )),
"""")
"),0.0)</f>
        <v>0</v>
      </c>
      <c r="K717" s="19">
        <f t="shared" si="3"/>
        <v>0</v>
      </c>
      <c r="L717" s="20" t="str">
        <f t="shared" si="4"/>
        <v/>
      </c>
    </row>
    <row r="718" ht="15.75" customHeight="1">
      <c r="A718" s="9" t="s">
        <v>1162</v>
      </c>
      <c r="B718" s="12" t="str">
        <f t="array" ref="B718">XLOOKUP(C718, Channel_Listings!C:C, Channel_Listings!B:B)
</f>
        <v>Automotive_FaceMasks</v>
      </c>
      <c r="C718" s="23" t="s">
        <v>172</v>
      </c>
      <c r="D718" s="14" t="str">
        <f t="array" ref="D718">XLOOKUP(C718, Channel_Listings!C:C, Channel_Listings!D:D)
</f>
        <v>BANDANA-PATTERN-CAMOREGULAR-PK5</v>
      </c>
      <c r="E718" s="15"/>
      <c r="F718" s="16">
        <f t="array" ref="F718">IFERROR(
  VALUE( INDEX(Product_Master!$I:$I,
               MATCH( INDEX(Pack_Master!$B:$B, MATCH($D718, Pack_Master!$A:$A, 0)),
                      Product_Master!$B:$B, 0)
  )) 
  * VALUE( INDEX(Pack_Master!$C:$C, MATCH($D718, Pack_Master!$A:$A, 0)) )
  + VALUE( INDEX(Pack_Master!$D:$D, MATCH($D718, Pack_Master!$A:$A, 0)) ),
"")
</f>
        <v>0</v>
      </c>
      <c r="G718" s="17">
        <f t="array" ref="G718">IFERROR(
 ( INDEX(Pack_Master!E:E, MATCH($D718, Pack_Master!A:A, 0))
   * INDEX(Pack_Master!F:F, MATCH($D718, Pack_Master!A:A, 0))
   * INDEX(Pack_Master!G:G, MATCH($D718, Pack_Master!A:A, 0))
 ) / INDEX(Config!C:C, MATCH($A718, Config!A:A, 0)),
"")
</f>
        <v>0</v>
      </c>
      <c r="H718" s="17">
        <f t="array" ref="H718">MAX( INDEX(Pack_Master!H:H, MATCH($D718, Pack_Master!A:A, 0)),
      IFERROR(G718, 0) )
</f>
        <v>0</v>
      </c>
      <c r="I718" s="18" t="str">
        <f>IFERROR(__xludf.DUMMYFUNCTION("IFERROR(
 INDEX(
   FILTER(Shipping_Rate_Card!B:F, Shipping_Rate_Card!A:A=$A718),
   MATCH($H718, FILTER(Shipping_Rate_Card!B:B, Shipping_Rate_Card!A:A=$A718), 1),
   IF( INDEX(Config!B:B, MATCH($A718, Config!A:A, 0))=""Local"", 2,
     IF( INDEX(Config!B"&amp;":B, MATCH($A718, Config!A:A, 0))=""Regional"", 3, 4 )
   )
 ),
"""")
"),"")</f>
        <v/>
      </c>
      <c r="J718" s="16">
        <f>IFERROR(__xludf.DUMMYFUNCTION("IFERROR(
 ( E718 * INDEX(FILTER(Pricing_Rules!E:E, Pricing_Rules!A:A=A718, Pricing_Rules!B:B=B718, Pricing_Rules!C:C&lt;=E718, Pricing_Rules!D:D&gt;=E718), 1)
   + INDEX(FILTER(Pricing_Rules!F:F, Pricing_Rules!A:A=A718, Pricing_Rules!B:B=B718, Pricing_Rules!C:C"&amp;"&lt;=E718, Pricing_Rules!D:D&gt;=E718), 1)
 )
 * (1 + IFERROR( INDEX(Config!D:D, MATCH(A718, Config!A:A, 0)), 0 )),
"""")
"),0.0)</f>
        <v>0</v>
      </c>
      <c r="K718" s="19">
        <f t="shared" si="3"/>
        <v>0</v>
      </c>
      <c r="L718" s="20" t="str">
        <f t="shared" si="4"/>
        <v/>
      </c>
    </row>
    <row r="719" ht="15.75" customHeight="1">
      <c r="A719" s="9" t="s">
        <v>1162</v>
      </c>
      <c r="B719" s="12" t="str">
        <f t="array" ref="B719">XLOOKUP(C719, Channel_Listings!C:C, Channel_Listings!B:B)
</f>
        <v>Automotive_FaceMasks</v>
      </c>
      <c r="C719" s="23" t="s">
        <v>177</v>
      </c>
      <c r="D719" s="14" t="str">
        <f t="array" ref="D719">XLOOKUP(C719, Channel_Listings!C:C, Channel_Listings!D:D)
</f>
        <v>BANDANA-SOLID-BLACK-PK5</v>
      </c>
      <c r="E719" s="15"/>
      <c r="F719" s="16">
        <f t="array" ref="F719">IFERROR(
  VALUE( INDEX(Product_Master!$I:$I,
               MATCH( INDEX(Pack_Master!$B:$B, MATCH($D719, Pack_Master!$A:$A, 0)),
                      Product_Master!$B:$B, 0)
  )) 
  * VALUE( INDEX(Pack_Master!$C:$C, MATCH($D719, Pack_Master!$A:$A, 0)) )
  + VALUE( INDEX(Pack_Master!$D:$D, MATCH($D719, Pack_Master!$A:$A, 0)) ),
"")
</f>
        <v>0</v>
      </c>
      <c r="G719" s="17">
        <f t="array" ref="G719">IFERROR(
 ( INDEX(Pack_Master!E:E, MATCH($D719, Pack_Master!A:A, 0))
   * INDEX(Pack_Master!F:F, MATCH($D719, Pack_Master!A:A, 0))
   * INDEX(Pack_Master!G:G, MATCH($D719, Pack_Master!A:A, 0))
 ) / INDEX(Config!C:C, MATCH($A719, Config!A:A, 0)),
"")
</f>
        <v>0</v>
      </c>
      <c r="H719" s="17">
        <f t="array" ref="H719">MAX( INDEX(Pack_Master!H:H, MATCH($D719, Pack_Master!A:A, 0)),
      IFERROR(G719, 0) )
</f>
        <v>0</v>
      </c>
      <c r="I719" s="18" t="str">
        <f>IFERROR(__xludf.DUMMYFUNCTION("IFERROR(
 INDEX(
   FILTER(Shipping_Rate_Card!B:F, Shipping_Rate_Card!A:A=$A719),
   MATCH($H719, FILTER(Shipping_Rate_Card!B:B, Shipping_Rate_Card!A:A=$A719), 1),
   IF( INDEX(Config!B:B, MATCH($A719, Config!A:A, 0))=""Local"", 2,
     IF( INDEX(Config!B"&amp;":B, MATCH($A719, Config!A:A, 0))=""Regional"", 3, 4 )
   )
 ),
"""")
"),"")</f>
        <v/>
      </c>
      <c r="J719" s="16">
        <f>IFERROR(__xludf.DUMMYFUNCTION("IFERROR(
 ( E719 * INDEX(FILTER(Pricing_Rules!E:E, Pricing_Rules!A:A=A719, Pricing_Rules!B:B=B719, Pricing_Rules!C:C&lt;=E719, Pricing_Rules!D:D&gt;=E719), 1)
   + INDEX(FILTER(Pricing_Rules!F:F, Pricing_Rules!A:A=A719, Pricing_Rules!B:B=B719, Pricing_Rules!C:C"&amp;"&lt;=E719, Pricing_Rules!D:D&gt;=E719), 1)
 )
 * (1 + IFERROR( INDEX(Config!D:D, MATCH(A719, Config!A:A, 0)), 0 )),
"""")
"),0.0)</f>
        <v>0</v>
      </c>
      <c r="K719" s="19">
        <f t="shared" si="3"/>
        <v>0</v>
      </c>
      <c r="L719" s="20" t="str">
        <f t="shared" si="4"/>
        <v/>
      </c>
    </row>
    <row r="720" ht="15.75" customHeight="1">
      <c r="A720" s="9" t="s">
        <v>1162</v>
      </c>
      <c r="B720" s="12" t="str">
        <f t="array" ref="B720">XLOOKUP(C720, Channel_Listings!C:C, Channel_Listings!B:B)
</f>
        <v>Apparel_Caps_Beanies</v>
      </c>
      <c r="C720" s="23" t="s">
        <v>179</v>
      </c>
      <c r="D720" s="14" t="str">
        <f t="array" ref="D720">XLOOKUP(C720, Channel_Listings!C:C, Channel_Listings!D:D)
</f>
        <v>BEANIE-FOLD-2PLAIN-BLUE</v>
      </c>
      <c r="E720" s="15"/>
      <c r="F720" s="16">
        <f t="array" ref="F720">IFERROR(
  VALUE( INDEX(Product_Master!$I:$I,
               MATCH( INDEX(Pack_Master!$B:$B, MATCH($D720, Pack_Master!$A:$A, 0)),
                      Product_Master!$B:$B, 0)
  )) 
  * VALUE( INDEX(Pack_Master!$C:$C, MATCH($D720, Pack_Master!$A:$A, 0)) )
  + VALUE( INDEX(Pack_Master!$D:$D, MATCH($D720, Pack_Master!$A:$A, 0)) ),
"")
</f>
        <v>109</v>
      </c>
      <c r="G720" s="17">
        <f t="array" ref="G720">IFERROR(
 ( INDEX(Pack_Master!E:E, MATCH($D720, Pack_Master!A:A, 0))
   * INDEX(Pack_Master!F:F, MATCH($D720, Pack_Master!A:A, 0))
   * INDEX(Pack_Master!G:G, MATCH($D720, Pack_Master!A:A, 0))
 ) / INDEX(Config!C:C, MATCH($A720, Config!A:A, 0)),
"")
</f>
        <v>0.375</v>
      </c>
      <c r="H720" s="17">
        <f t="array" ref="H720">MAX( INDEX(Pack_Master!H:H, MATCH($D720, Pack_Master!A:A, 0)),
      IFERROR(G720, 0) )
</f>
        <v>0.5</v>
      </c>
      <c r="I720" s="18">
        <f>IFERROR(__xludf.DUMMYFUNCTION("IFERROR(
 INDEX(
   FILTER(Shipping_Rate_Card!B:F, Shipping_Rate_Card!A:A=$A720),
   MATCH($H720, FILTER(Shipping_Rate_Card!B:B, Shipping_Rate_Card!A:A=$A720), 1),
   IF( INDEX(Config!B:B, MATCH($A720, Config!A:A, 0))=""Local"", 2,
     IF( INDEX(Config!B"&amp;":B, MATCH($A720, Config!A:A, 0))=""Regional"", 3, 4 )
   )
 ),
"""")
"),75.0)</f>
        <v>75</v>
      </c>
      <c r="J720" s="16">
        <f>IFERROR(__xludf.DUMMYFUNCTION("IFERROR(
 ( E720 * INDEX(FILTER(Pricing_Rules!E:E, Pricing_Rules!A:A=A720, Pricing_Rules!B:B=B720, Pricing_Rules!C:C&lt;=E720, Pricing_Rules!D:D&gt;=E720), 1)
   + INDEX(FILTER(Pricing_Rules!F:F, Pricing_Rules!A:A=A720, Pricing_Rules!B:B=B720, Pricing_Rules!C:C"&amp;"&lt;=E720, Pricing_Rules!D:D&gt;=E720), 1)
 )
 * (1 + IFERROR( INDEX(Config!D:D, MATCH(A720, Config!A:A, 0)), 0 )),
"""")
"),15.34)</f>
        <v>15.34</v>
      </c>
      <c r="K720" s="19">
        <f t="shared" si="3"/>
        <v>-199.34</v>
      </c>
      <c r="L720" s="20" t="str">
        <f t="shared" si="4"/>
        <v/>
      </c>
    </row>
    <row r="721" ht="15.75" customHeight="1">
      <c r="A721" s="9" t="s">
        <v>1162</v>
      </c>
      <c r="B721" s="12" t="str">
        <f t="array" ref="B721">XLOOKUP(C721, Channel_Listings!C:C, Channel_Listings!B:B)
</f>
        <v>Apparel_Caps_Beanies</v>
      </c>
      <c r="C721" s="23" t="s">
        <v>181</v>
      </c>
      <c r="D721" s="14" t="str">
        <f t="array" ref="D721">XLOOKUP(C721, Channel_Listings!C:C, Channel_Listings!D:D)
</f>
        <v>BEANIE-FOLD-2PLAIN-BROWN</v>
      </c>
      <c r="E721" s="15"/>
      <c r="F721" s="16">
        <f t="array" ref="F721">IFERROR(
  VALUE( INDEX(Product_Master!$I:$I,
               MATCH( INDEX(Pack_Master!$B:$B, MATCH($D721, Pack_Master!$A:$A, 0)),
                      Product_Master!$B:$B, 0)
  )) 
  * VALUE( INDEX(Pack_Master!$C:$C, MATCH($D721, Pack_Master!$A:$A, 0)) )
  + VALUE( INDEX(Pack_Master!$D:$D, MATCH($D721, Pack_Master!$A:$A, 0)) ),
"")
</f>
        <v>109</v>
      </c>
      <c r="G721" s="17">
        <f t="array" ref="G721">IFERROR(
 ( INDEX(Pack_Master!E:E, MATCH($D721, Pack_Master!A:A, 0))
   * INDEX(Pack_Master!F:F, MATCH($D721, Pack_Master!A:A, 0))
   * INDEX(Pack_Master!G:G, MATCH($D721, Pack_Master!A:A, 0))
 ) / INDEX(Config!C:C, MATCH($A721, Config!A:A, 0)),
"")
</f>
        <v>0.375</v>
      </c>
      <c r="H721" s="17">
        <f t="array" ref="H721">MAX( INDEX(Pack_Master!H:H, MATCH($D721, Pack_Master!A:A, 0)),
      IFERROR(G721, 0) )
</f>
        <v>0.5</v>
      </c>
      <c r="I721" s="18">
        <f>IFERROR(__xludf.DUMMYFUNCTION("IFERROR(
 INDEX(
   FILTER(Shipping_Rate_Card!B:F, Shipping_Rate_Card!A:A=$A721),
   MATCH($H721, FILTER(Shipping_Rate_Card!B:B, Shipping_Rate_Card!A:A=$A721), 1),
   IF( INDEX(Config!B:B, MATCH($A721, Config!A:A, 0))=""Local"", 2,
     IF( INDEX(Config!B"&amp;":B, MATCH($A721, Config!A:A, 0))=""Regional"", 3, 4 )
   )
 ),
"""")
"),75.0)</f>
        <v>75</v>
      </c>
      <c r="J721" s="16">
        <f>IFERROR(__xludf.DUMMYFUNCTION("IFERROR(
 ( E721 * INDEX(FILTER(Pricing_Rules!E:E, Pricing_Rules!A:A=A721, Pricing_Rules!B:B=B721, Pricing_Rules!C:C&lt;=E721, Pricing_Rules!D:D&gt;=E721), 1)
   + INDEX(FILTER(Pricing_Rules!F:F, Pricing_Rules!A:A=A721, Pricing_Rules!B:B=B721, Pricing_Rules!C:C"&amp;"&lt;=E721, Pricing_Rules!D:D&gt;=E721), 1)
 )
 * (1 + IFERROR( INDEX(Config!D:D, MATCH(A721, Config!A:A, 0)), 0 )),
"""")
"),15.34)</f>
        <v>15.34</v>
      </c>
      <c r="K721" s="19">
        <f t="shared" si="3"/>
        <v>-199.34</v>
      </c>
      <c r="L721" s="20" t="str">
        <f t="shared" si="4"/>
        <v/>
      </c>
    </row>
    <row r="722" ht="15.75" customHeight="1">
      <c r="A722" s="9" t="s">
        <v>1162</v>
      </c>
      <c r="B722" s="12" t="str">
        <f t="array" ref="B722">XLOOKUP(C722, Channel_Listings!C:C, Channel_Listings!B:B)
</f>
        <v>Apparel_Caps_Beanies</v>
      </c>
      <c r="C722" s="23" t="s">
        <v>183</v>
      </c>
      <c r="D722" s="14" t="str">
        <f t="array" ref="D722">XLOOKUP(C722, Channel_Listings!C:C, Channel_Listings!D:D)
</f>
        <v>BEANIE-FOLD-2PLAIN-GREEN</v>
      </c>
      <c r="E722" s="15"/>
      <c r="F722" s="16">
        <f t="array" ref="F722">IFERROR(
  VALUE( INDEX(Product_Master!$I:$I,
               MATCH( INDEX(Pack_Master!$B:$B, MATCH($D722, Pack_Master!$A:$A, 0)),
                      Product_Master!$B:$B, 0)
  )) 
  * VALUE( INDEX(Pack_Master!$C:$C, MATCH($D722, Pack_Master!$A:$A, 0)) )
  + VALUE( INDEX(Pack_Master!$D:$D, MATCH($D722, Pack_Master!$A:$A, 0)) ),
"")
</f>
        <v>109</v>
      </c>
      <c r="G722" s="17">
        <f t="array" ref="G722">IFERROR(
 ( INDEX(Pack_Master!E:E, MATCH($D722, Pack_Master!A:A, 0))
   * INDEX(Pack_Master!F:F, MATCH($D722, Pack_Master!A:A, 0))
   * INDEX(Pack_Master!G:G, MATCH($D722, Pack_Master!A:A, 0))
 ) / INDEX(Config!C:C, MATCH($A722, Config!A:A, 0)),
"")
</f>
        <v>0.375</v>
      </c>
      <c r="H722" s="17">
        <f t="array" ref="H722">MAX( INDEX(Pack_Master!H:H, MATCH($D722, Pack_Master!A:A, 0)),
      IFERROR(G722, 0) )
</f>
        <v>0.5</v>
      </c>
      <c r="I722" s="18">
        <f>IFERROR(__xludf.DUMMYFUNCTION("IFERROR(
 INDEX(
   FILTER(Shipping_Rate_Card!B:F, Shipping_Rate_Card!A:A=$A722),
   MATCH($H722, FILTER(Shipping_Rate_Card!B:B, Shipping_Rate_Card!A:A=$A722), 1),
   IF( INDEX(Config!B:B, MATCH($A722, Config!A:A, 0))=""Local"", 2,
     IF( INDEX(Config!B"&amp;":B, MATCH($A722, Config!A:A, 0))=""Regional"", 3, 4 )
   )
 ),
"""")
"),75.0)</f>
        <v>75</v>
      </c>
      <c r="J722" s="16">
        <f>IFERROR(__xludf.DUMMYFUNCTION("IFERROR(
 ( E722 * INDEX(FILTER(Pricing_Rules!E:E, Pricing_Rules!A:A=A722, Pricing_Rules!B:B=B722, Pricing_Rules!C:C&lt;=E722, Pricing_Rules!D:D&gt;=E722), 1)
   + INDEX(FILTER(Pricing_Rules!F:F, Pricing_Rules!A:A=A722, Pricing_Rules!B:B=B722, Pricing_Rules!C:C"&amp;"&lt;=E722, Pricing_Rules!D:D&gt;=E722), 1)
 )
 * (1 + IFERROR( INDEX(Config!D:D, MATCH(A722, Config!A:A, 0)), 0 )),
"""")
"),15.34)</f>
        <v>15.34</v>
      </c>
      <c r="K722" s="19">
        <f t="shared" si="3"/>
        <v>-199.34</v>
      </c>
      <c r="L722" s="20" t="str">
        <f t="shared" si="4"/>
        <v/>
      </c>
    </row>
    <row r="723" ht="15.75" customHeight="1">
      <c r="A723" s="9" t="s">
        <v>1162</v>
      </c>
      <c r="B723" s="12" t="str">
        <f t="array" ref="B723">XLOOKUP(C723, Channel_Listings!C:C, Channel_Listings!B:B)
</f>
        <v>Apparel_Caps_Beanies</v>
      </c>
      <c r="C723" s="23" t="s">
        <v>185</v>
      </c>
      <c r="D723" s="14" t="str">
        <f t="array" ref="D723">XLOOKUP(C723, Channel_Listings!C:C, Channel_Listings!D:D)
</f>
        <v>BEANIE-FOLD-2PLAIN-MAROON</v>
      </c>
      <c r="E723" s="15"/>
      <c r="F723" s="16">
        <f t="array" ref="F723">IFERROR(
  VALUE( INDEX(Product_Master!$I:$I,
               MATCH( INDEX(Pack_Master!$B:$B, MATCH($D723, Pack_Master!$A:$A, 0)),
                      Product_Master!$B:$B, 0)
  )) 
  * VALUE( INDEX(Pack_Master!$C:$C, MATCH($D723, Pack_Master!$A:$A, 0)) )
  + VALUE( INDEX(Pack_Master!$D:$D, MATCH($D723, Pack_Master!$A:$A, 0)) ),
"")
</f>
        <v>109</v>
      </c>
      <c r="G723" s="17">
        <f t="array" ref="G723">IFERROR(
 ( INDEX(Pack_Master!E:E, MATCH($D723, Pack_Master!A:A, 0))
   * INDEX(Pack_Master!F:F, MATCH($D723, Pack_Master!A:A, 0))
   * INDEX(Pack_Master!G:G, MATCH($D723, Pack_Master!A:A, 0))
 ) / INDEX(Config!C:C, MATCH($A723, Config!A:A, 0)),
"")
</f>
        <v>0.375</v>
      </c>
      <c r="H723" s="17">
        <f t="array" ref="H723">MAX( INDEX(Pack_Master!H:H, MATCH($D723, Pack_Master!A:A, 0)),
      IFERROR(G723, 0) )
</f>
        <v>0.5</v>
      </c>
      <c r="I723" s="18">
        <f>IFERROR(__xludf.DUMMYFUNCTION("IFERROR(
 INDEX(
   FILTER(Shipping_Rate_Card!B:F, Shipping_Rate_Card!A:A=$A723),
   MATCH($H723, FILTER(Shipping_Rate_Card!B:B, Shipping_Rate_Card!A:A=$A723), 1),
   IF( INDEX(Config!B:B, MATCH($A723, Config!A:A, 0))=""Local"", 2,
     IF( INDEX(Config!B"&amp;":B, MATCH($A723, Config!A:A, 0))=""Regional"", 3, 4 )
   )
 ),
"""")
"),75.0)</f>
        <v>75</v>
      </c>
      <c r="J723" s="16">
        <f>IFERROR(__xludf.DUMMYFUNCTION("IFERROR(
 ( E723 * INDEX(FILTER(Pricing_Rules!E:E, Pricing_Rules!A:A=A723, Pricing_Rules!B:B=B723, Pricing_Rules!C:C&lt;=E723, Pricing_Rules!D:D&gt;=E723), 1)
   + INDEX(FILTER(Pricing_Rules!F:F, Pricing_Rules!A:A=A723, Pricing_Rules!B:B=B723, Pricing_Rules!C:C"&amp;"&lt;=E723, Pricing_Rules!D:D&gt;=E723), 1)
 )
 * (1 + IFERROR( INDEX(Config!D:D, MATCH(A723, Config!A:A, 0)), 0 )),
"""")
"),15.34)</f>
        <v>15.34</v>
      </c>
      <c r="K723" s="19">
        <f t="shared" si="3"/>
        <v>-199.34</v>
      </c>
      <c r="L723" s="20" t="str">
        <f t="shared" si="4"/>
        <v/>
      </c>
    </row>
    <row r="724" ht="15.75" customHeight="1">
      <c r="A724" s="9" t="s">
        <v>1162</v>
      </c>
      <c r="B724" s="12" t="str">
        <f t="array" ref="B724">XLOOKUP(C724, Channel_Listings!C:C, Channel_Listings!B:B)
</f>
        <v>Apparel_Caps_Beanies</v>
      </c>
      <c r="C724" s="23" t="s">
        <v>187</v>
      </c>
      <c r="D724" s="14" t="str">
        <f t="array" ref="D724">XLOOKUP(C724, Channel_Listings!C:C, Channel_Listings!D:D)
</f>
        <v>BEANIE-FOLD-2PLAIN-OLIVE</v>
      </c>
      <c r="E724" s="15"/>
      <c r="F724" s="16">
        <f t="array" ref="F724">IFERROR(
  VALUE( INDEX(Product_Master!$I:$I,
               MATCH( INDEX(Pack_Master!$B:$B, MATCH($D724, Pack_Master!$A:$A, 0)),
                      Product_Master!$B:$B, 0)
  )) 
  * VALUE( INDEX(Pack_Master!$C:$C, MATCH($D724, Pack_Master!$A:$A, 0)) )
  + VALUE( INDEX(Pack_Master!$D:$D, MATCH($D724, Pack_Master!$A:$A, 0)) ),
"")
</f>
        <v>109</v>
      </c>
      <c r="G724" s="17">
        <f t="array" ref="G724">IFERROR(
 ( INDEX(Pack_Master!E:E, MATCH($D724, Pack_Master!A:A, 0))
   * INDEX(Pack_Master!F:F, MATCH($D724, Pack_Master!A:A, 0))
   * INDEX(Pack_Master!G:G, MATCH($D724, Pack_Master!A:A, 0))
 ) / INDEX(Config!C:C, MATCH($A724, Config!A:A, 0)),
"")
</f>
        <v>0.375</v>
      </c>
      <c r="H724" s="17">
        <f t="array" ref="H724">MAX( INDEX(Pack_Master!H:H, MATCH($D724, Pack_Master!A:A, 0)),
      IFERROR(G724, 0) )
</f>
        <v>0.5</v>
      </c>
      <c r="I724" s="18">
        <f>IFERROR(__xludf.DUMMYFUNCTION("IFERROR(
 INDEX(
   FILTER(Shipping_Rate_Card!B:F, Shipping_Rate_Card!A:A=$A724),
   MATCH($H724, FILTER(Shipping_Rate_Card!B:B, Shipping_Rate_Card!A:A=$A724), 1),
   IF( INDEX(Config!B:B, MATCH($A724, Config!A:A, 0))=""Local"", 2,
     IF( INDEX(Config!B"&amp;":B, MATCH($A724, Config!A:A, 0))=""Regional"", 3, 4 )
   )
 ),
"""")
"),75.0)</f>
        <v>75</v>
      </c>
      <c r="J724" s="16">
        <f>IFERROR(__xludf.DUMMYFUNCTION("IFERROR(
 ( E724 * INDEX(FILTER(Pricing_Rules!E:E, Pricing_Rules!A:A=A724, Pricing_Rules!B:B=B724, Pricing_Rules!C:C&lt;=E724, Pricing_Rules!D:D&gt;=E724), 1)
   + INDEX(FILTER(Pricing_Rules!F:F, Pricing_Rules!A:A=A724, Pricing_Rules!B:B=B724, Pricing_Rules!C:C"&amp;"&lt;=E724, Pricing_Rules!D:D&gt;=E724), 1)
 )
 * (1 + IFERROR( INDEX(Config!D:D, MATCH(A724, Config!A:A, 0)), 0 )),
"""")
"),15.34)</f>
        <v>15.34</v>
      </c>
      <c r="K724" s="19">
        <f t="shared" si="3"/>
        <v>-199.34</v>
      </c>
      <c r="L724" s="20" t="str">
        <f t="shared" si="4"/>
        <v/>
      </c>
    </row>
    <row r="725" ht="15.75" customHeight="1">
      <c r="A725" s="9" t="s">
        <v>1162</v>
      </c>
      <c r="B725" s="12" t="str">
        <f t="array" ref="B725">XLOOKUP(C725, Channel_Listings!C:C, Channel_Listings!B:B)
</f>
        <v>Apparel_Caps_Beanies</v>
      </c>
      <c r="C725" s="23" t="s">
        <v>189</v>
      </c>
      <c r="D725" s="14" t="str">
        <f t="array" ref="D725">XLOOKUP(C725, Channel_Listings!C:C, Channel_Listings!D:D)
</f>
        <v>BEANIE-FOLD-2PLAIN-YELLOW</v>
      </c>
      <c r="E725" s="15"/>
      <c r="F725" s="16">
        <f t="array" ref="F725">IFERROR(
  VALUE( INDEX(Product_Master!$I:$I,
               MATCH( INDEX(Pack_Master!$B:$B, MATCH($D725, Pack_Master!$A:$A, 0)),
                      Product_Master!$B:$B, 0)
  )) 
  * VALUE( INDEX(Pack_Master!$C:$C, MATCH($D725, Pack_Master!$A:$A, 0)) )
  + VALUE( INDEX(Pack_Master!$D:$D, MATCH($D725, Pack_Master!$A:$A, 0)) ),
"")
</f>
        <v>109</v>
      </c>
      <c r="G725" s="17">
        <f t="array" ref="G725">IFERROR(
 ( INDEX(Pack_Master!E:E, MATCH($D725, Pack_Master!A:A, 0))
   * INDEX(Pack_Master!F:F, MATCH($D725, Pack_Master!A:A, 0))
   * INDEX(Pack_Master!G:G, MATCH($D725, Pack_Master!A:A, 0))
 ) / INDEX(Config!C:C, MATCH($A725, Config!A:A, 0)),
"")
</f>
        <v>0.375</v>
      </c>
      <c r="H725" s="17">
        <f t="array" ref="H725">MAX( INDEX(Pack_Master!H:H, MATCH($D725, Pack_Master!A:A, 0)),
      IFERROR(G725, 0) )
</f>
        <v>0.5</v>
      </c>
      <c r="I725" s="18">
        <f>IFERROR(__xludf.DUMMYFUNCTION("IFERROR(
 INDEX(
   FILTER(Shipping_Rate_Card!B:F, Shipping_Rate_Card!A:A=$A725),
   MATCH($H725, FILTER(Shipping_Rate_Card!B:B, Shipping_Rate_Card!A:A=$A725), 1),
   IF( INDEX(Config!B:B, MATCH($A725, Config!A:A, 0))=""Local"", 2,
     IF( INDEX(Config!B"&amp;":B, MATCH($A725, Config!A:A, 0))=""Regional"", 3, 4 )
   )
 ),
"""")
"),75.0)</f>
        <v>75</v>
      </c>
      <c r="J725" s="16">
        <f>IFERROR(__xludf.DUMMYFUNCTION("IFERROR(
 ( E725 * INDEX(FILTER(Pricing_Rules!E:E, Pricing_Rules!A:A=A725, Pricing_Rules!B:B=B725, Pricing_Rules!C:C&lt;=E725, Pricing_Rules!D:D&gt;=E725), 1)
   + INDEX(FILTER(Pricing_Rules!F:F, Pricing_Rules!A:A=A725, Pricing_Rules!B:B=B725, Pricing_Rules!C:C"&amp;"&lt;=E725, Pricing_Rules!D:D&gt;=E725), 1)
 )
 * (1 + IFERROR( INDEX(Config!D:D, MATCH(A725, Config!A:A, 0)), 0 )),
"""")
"),15.34)</f>
        <v>15.34</v>
      </c>
      <c r="K725" s="19">
        <f t="shared" si="3"/>
        <v>-199.34</v>
      </c>
      <c r="L725" s="20" t="str">
        <f t="shared" si="4"/>
        <v/>
      </c>
    </row>
    <row r="726" ht="15.75" customHeight="1">
      <c r="A726" s="9" t="s">
        <v>1162</v>
      </c>
      <c r="B726" s="12" t="str">
        <f t="array" ref="B726">XLOOKUP(C726, Channel_Listings!C:C, Channel_Listings!B:B)
</f>
        <v>Apparel_Caps_Beanies</v>
      </c>
      <c r="C726" s="23" t="s">
        <v>191</v>
      </c>
      <c r="D726" s="14" t="str">
        <f t="array" ref="D726">XLOOKUP(C726, Channel_Listings!C:C, Channel_Listings!D:D)
</f>
        <v>BEANIE-FOLD-BINGO-BLUE</v>
      </c>
      <c r="E726" s="15"/>
      <c r="F726" s="16">
        <f t="array" ref="F726">IFERROR(
  VALUE( INDEX(Product_Master!$I:$I,
               MATCH( INDEX(Pack_Master!$B:$B, MATCH($D726, Pack_Master!$A:$A, 0)),
                      Product_Master!$B:$B, 0)
  )) 
  * VALUE( INDEX(Pack_Master!$C:$C, MATCH($D726, Pack_Master!$A:$A, 0)) )
  + VALUE( INDEX(Pack_Master!$D:$D, MATCH($D726, Pack_Master!$A:$A, 0)) ),
"")
</f>
        <v>109</v>
      </c>
      <c r="G726" s="17">
        <f t="array" ref="G726">IFERROR(
 ( INDEX(Pack_Master!E:E, MATCH($D726, Pack_Master!A:A, 0))
   * INDEX(Pack_Master!F:F, MATCH($D726, Pack_Master!A:A, 0))
   * INDEX(Pack_Master!G:G, MATCH($D726, Pack_Master!A:A, 0))
 ) / INDEX(Config!C:C, MATCH($A726, Config!A:A, 0)),
"")
</f>
        <v>0.375</v>
      </c>
      <c r="H726" s="17">
        <f t="array" ref="H726">MAX( INDEX(Pack_Master!H:H, MATCH($D726, Pack_Master!A:A, 0)),
      IFERROR(G726, 0) )
</f>
        <v>0.5</v>
      </c>
      <c r="I726" s="18">
        <f>IFERROR(__xludf.DUMMYFUNCTION("IFERROR(
 INDEX(
   FILTER(Shipping_Rate_Card!B:F, Shipping_Rate_Card!A:A=$A726),
   MATCH($H726, FILTER(Shipping_Rate_Card!B:B, Shipping_Rate_Card!A:A=$A726), 1),
   IF( INDEX(Config!B:B, MATCH($A726, Config!A:A, 0))=""Local"", 2,
     IF( INDEX(Config!B"&amp;":B, MATCH($A726, Config!A:A, 0))=""Regional"", 3, 4 )
   )
 ),
"""")
"),75.0)</f>
        <v>75</v>
      </c>
      <c r="J726" s="16">
        <f>IFERROR(__xludf.DUMMYFUNCTION("IFERROR(
 ( E726 * INDEX(FILTER(Pricing_Rules!E:E, Pricing_Rules!A:A=A726, Pricing_Rules!B:B=B726, Pricing_Rules!C:C&lt;=E726, Pricing_Rules!D:D&gt;=E726), 1)
   + INDEX(FILTER(Pricing_Rules!F:F, Pricing_Rules!A:A=A726, Pricing_Rules!B:B=B726, Pricing_Rules!C:C"&amp;"&lt;=E726, Pricing_Rules!D:D&gt;=E726), 1)
 )
 * (1 + IFERROR( INDEX(Config!D:D, MATCH(A726, Config!A:A, 0)), 0 )),
"""")
"),15.34)</f>
        <v>15.34</v>
      </c>
      <c r="K726" s="19">
        <f t="shared" si="3"/>
        <v>-199.34</v>
      </c>
      <c r="L726" s="20" t="str">
        <f t="shared" si="4"/>
        <v/>
      </c>
    </row>
    <row r="727" ht="15.75" customHeight="1">
      <c r="A727" s="9" t="s">
        <v>1162</v>
      </c>
      <c r="B727" s="12" t="str">
        <f t="array" ref="B727">XLOOKUP(C727, Channel_Listings!C:C, Channel_Listings!B:B)
</f>
        <v>Apparel_Caps_Beanies</v>
      </c>
      <c r="C727" s="23" t="s">
        <v>193</v>
      </c>
      <c r="D727" s="14" t="str">
        <f t="array" ref="D727">XLOOKUP(C727, Channel_Listings!C:C, Channel_Listings!D:D)
</f>
        <v>BEANIE-FOLD-BINGO-BRICK</v>
      </c>
      <c r="E727" s="15"/>
      <c r="F727" s="16">
        <f t="array" ref="F727">IFERROR(
  VALUE( INDEX(Product_Master!$I:$I,
               MATCH( INDEX(Pack_Master!$B:$B, MATCH($D727, Pack_Master!$A:$A, 0)),
                      Product_Master!$B:$B, 0)
  )) 
  * VALUE( INDEX(Pack_Master!$C:$C, MATCH($D727, Pack_Master!$A:$A, 0)) )
  + VALUE( INDEX(Pack_Master!$D:$D, MATCH($D727, Pack_Master!$A:$A, 0)) ),
"")
</f>
        <v>109</v>
      </c>
      <c r="G727" s="17">
        <f t="array" ref="G727">IFERROR(
 ( INDEX(Pack_Master!E:E, MATCH($D727, Pack_Master!A:A, 0))
   * INDEX(Pack_Master!F:F, MATCH($D727, Pack_Master!A:A, 0))
   * INDEX(Pack_Master!G:G, MATCH($D727, Pack_Master!A:A, 0))
 ) / INDEX(Config!C:C, MATCH($A727, Config!A:A, 0)),
"")
</f>
        <v>0.375</v>
      </c>
      <c r="H727" s="17">
        <f t="array" ref="H727">MAX( INDEX(Pack_Master!H:H, MATCH($D727, Pack_Master!A:A, 0)),
      IFERROR(G727, 0) )
</f>
        <v>0.5</v>
      </c>
      <c r="I727" s="18">
        <f>IFERROR(__xludf.DUMMYFUNCTION("IFERROR(
 INDEX(
   FILTER(Shipping_Rate_Card!B:F, Shipping_Rate_Card!A:A=$A727),
   MATCH($H727, FILTER(Shipping_Rate_Card!B:B, Shipping_Rate_Card!A:A=$A727), 1),
   IF( INDEX(Config!B:B, MATCH($A727, Config!A:A, 0))=""Local"", 2,
     IF( INDEX(Config!B"&amp;":B, MATCH($A727, Config!A:A, 0))=""Regional"", 3, 4 )
   )
 ),
"""")
"),75.0)</f>
        <v>75</v>
      </c>
      <c r="J727" s="16">
        <f>IFERROR(__xludf.DUMMYFUNCTION("IFERROR(
 ( E727 * INDEX(FILTER(Pricing_Rules!E:E, Pricing_Rules!A:A=A727, Pricing_Rules!B:B=B727, Pricing_Rules!C:C&lt;=E727, Pricing_Rules!D:D&gt;=E727), 1)
   + INDEX(FILTER(Pricing_Rules!F:F, Pricing_Rules!A:A=A727, Pricing_Rules!B:B=B727, Pricing_Rules!C:C"&amp;"&lt;=E727, Pricing_Rules!D:D&gt;=E727), 1)
 )
 * (1 + IFERROR( INDEX(Config!D:D, MATCH(A727, Config!A:A, 0)), 0 )),
"""")
"),15.34)</f>
        <v>15.34</v>
      </c>
      <c r="K727" s="19">
        <f t="shared" si="3"/>
        <v>-199.34</v>
      </c>
      <c r="L727" s="20" t="str">
        <f t="shared" si="4"/>
        <v/>
      </c>
    </row>
    <row r="728" ht="15.75" customHeight="1">
      <c r="A728" s="9" t="s">
        <v>1162</v>
      </c>
      <c r="B728" s="12" t="str">
        <f t="array" ref="B728">XLOOKUP(C728, Channel_Listings!C:C, Channel_Listings!B:B)
</f>
        <v>Apparel_Caps_Beanies</v>
      </c>
      <c r="C728" s="23" t="s">
        <v>195</v>
      </c>
      <c r="D728" s="14" t="str">
        <f t="array" ref="D728">XLOOKUP(C728, Channel_Listings!C:C, Channel_Listings!D:D)
</f>
        <v>BEANIE-FOLD-BINGO-BROWN</v>
      </c>
      <c r="E728" s="15"/>
      <c r="F728" s="16">
        <f t="array" ref="F728">IFERROR(
  VALUE( INDEX(Product_Master!$I:$I,
               MATCH( INDEX(Pack_Master!$B:$B, MATCH($D728, Pack_Master!$A:$A, 0)),
                      Product_Master!$B:$B, 0)
  )) 
  * VALUE( INDEX(Pack_Master!$C:$C, MATCH($D728, Pack_Master!$A:$A, 0)) )
  + VALUE( INDEX(Pack_Master!$D:$D, MATCH($D728, Pack_Master!$A:$A, 0)) ),
"")
</f>
        <v>109</v>
      </c>
      <c r="G728" s="17">
        <f t="array" ref="G728">IFERROR(
 ( INDEX(Pack_Master!E:E, MATCH($D728, Pack_Master!A:A, 0))
   * INDEX(Pack_Master!F:F, MATCH($D728, Pack_Master!A:A, 0))
   * INDEX(Pack_Master!G:G, MATCH($D728, Pack_Master!A:A, 0))
 ) / INDEX(Config!C:C, MATCH($A728, Config!A:A, 0)),
"")
</f>
        <v>0.375</v>
      </c>
      <c r="H728" s="17">
        <f t="array" ref="H728">MAX( INDEX(Pack_Master!H:H, MATCH($D728, Pack_Master!A:A, 0)),
      IFERROR(G728, 0) )
</f>
        <v>0.5</v>
      </c>
      <c r="I728" s="18">
        <f>IFERROR(__xludf.DUMMYFUNCTION("IFERROR(
 INDEX(
   FILTER(Shipping_Rate_Card!B:F, Shipping_Rate_Card!A:A=$A728),
   MATCH($H728, FILTER(Shipping_Rate_Card!B:B, Shipping_Rate_Card!A:A=$A728), 1),
   IF( INDEX(Config!B:B, MATCH($A728, Config!A:A, 0))=""Local"", 2,
     IF( INDEX(Config!B"&amp;":B, MATCH($A728, Config!A:A, 0))=""Regional"", 3, 4 )
   )
 ),
"""")
"),75.0)</f>
        <v>75</v>
      </c>
      <c r="J728" s="16">
        <f>IFERROR(__xludf.DUMMYFUNCTION("IFERROR(
 ( E728 * INDEX(FILTER(Pricing_Rules!E:E, Pricing_Rules!A:A=A728, Pricing_Rules!B:B=B728, Pricing_Rules!C:C&lt;=E728, Pricing_Rules!D:D&gt;=E728), 1)
   + INDEX(FILTER(Pricing_Rules!F:F, Pricing_Rules!A:A=A728, Pricing_Rules!B:B=B728, Pricing_Rules!C:C"&amp;"&lt;=E728, Pricing_Rules!D:D&gt;=E728), 1)
 )
 * (1 + IFERROR( INDEX(Config!D:D, MATCH(A728, Config!A:A, 0)), 0 )),
"""")
"),15.34)</f>
        <v>15.34</v>
      </c>
      <c r="K728" s="19">
        <f t="shared" si="3"/>
        <v>-199.34</v>
      </c>
      <c r="L728" s="20" t="str">
        <f t="shared" si="4"/>
        <v/>
      </c>
    </row>
    <row r="729" ht="15.75" customHeight="1">
      <c r="A729" s="9" t="s">
        <v>1162</v>
      </c>
      <c r="B729" s="12" t="str">
        <f t="array" ref="B729">XLOOKUP(C729, Channel_Listings!C:C, Channel_Listings!B:B)
</f>
        <v>Apparel_Caps_Beanies</v>
      </c>
      <c r="C729" s="23" t="s">
        <v>197</v>
      </c>
      <c r="D729" s="14" t="str">
        <f t="array" ref="D729">XLOOKUP(C729, Channel_Listings!C:C, Channel_Listings!D:D)
</f>
        <v>BEANIE-FOLD-BINGO-GREEN</v>
      </c>
      <c r="E729" s="15"/>
      <c r="F729" s="16">
        <f t="array" ref="F729">IFERROR(
  VALUE( INDEX(Product_Master!$I:$I,
               MATCH( INDEX(Pack_Master!$B:$B, MATCH($D729, Pack_Master!$A:$A, 0)),
                      Product_Master!$B:$B, 0)
  )) 
  * VALUE( INDEX(Pack_Master!$C:$C, MATCH($D729, Pack_Master!$A:$A, 0)) )
  + VALUE( INDEX(Pack_Master!$D:$D, MATCH($D729, Pack_Master!$A:$A, 0)) ),
"")
</f>
        <v>109</v>
      </c>
      <c r="G729" s="17">
        <f t="array" ref="G729">IFERROR(
 ( INDEX(Pack_Master!E:E, MATCH($D729, Pack_Master!A:A, 0))
   * INDEX(Pack_Master!F:F, MATCH($D729, Pack_Master!A:A, 0))
   * INDEX(Pack_Master!G:G, MATCH($D729, Pack_Master!A:A, 0))
 ) / INDEX(Config!C:C, MATCH($A729, Config!A:A, 0)),
"")
</f>
        <v>0.375</v>
      </c>
      <c r="H729" s="17">
        <f t="array" ref="H729">MAX( INDEX(Pack_Master!H:H, MATCH($D729, Pack_Master!A:A, 0)),
      IFERROR(G729, 0) )
</f>
        <v>0.5</v>
      </c>
      <c r="I729" s="18">
        <f>IFERROR(__xludf.DUMMYFUNCTION("IFERROR(
 INDEX(
   FILTER(Shipping_Rate_Card!B:F, Shipping_Rate_Card!A:A=$A729),
   MATCH($H729, FILTER(Shipping_Rate_Card!B:B, Shipping_Rate_Card!A:A=$A729), 1),
   IF( INDEX(Config!B:B, MATCH($A729, Config!A:A, 0))=""Local"", 2,
     IF( INDEX(Config!B"&amp;":B, MATCH($A729, Config!A:A, 0))=""Regional"", 3, 4 )
   )
 ),
"""")
"),75.0)</f>
        <v>75</v>
      </c>
      <c r="J729" s="16">
        <f>IFERROR(__xludf.DUMMYFUNCTION("IFERROR(
 ( E729 * INDEX(FILTER(Pricing_Rules!E:E, Pricing_Rules!A:A=A729, Pricing_Rules!B:B=B729, Pricing_Rules!C:C&lt;=E729, Pricing_Rules!D:D&gt;=E729), 1)
   + INDEX(FILTER(Pricing_Rules!F:F, Pricing_Rules!A:A=A729, Pricing_Rules!B:B=B729, Pricing_Rules!C:C"&amp;"&lt;=E729, Pricing_Rules!D:D&gt;=E729), 1)
 )
 * (1 + IFERROR( INDEX(Config!D:D, MATCH(A729, Config!A:A, 0)), 0 )),
"""")
"),15.34)</f>
        <v>15.34</v>
      </c>
      <c r="K729" s="19">
        <f t="shared" si="3"/>
        <v>-199.34</v>
      </c>
      <c r="L729" s="20" t="str">
        <f t="shared" si="4"/>
        <v/>
      </c>
    </row>
    <row r="730" ht="15.75" customHeight="1">
      <c r="A730" s="9" t="s">
        <v>1162</v>
      </c>
      <c r="B730" s="12" t="str">
        <f t="array" ref="B730">XLOOKUP(C730, Channel_Listings!C:C, Channel_Listings!B:B)
</f>
        <v>Apparel_Caps_Beanies</v>
      </c>
      <c r="C730" s="23" t="s">
        <v>199</v>
      </c>
      <c r="D730" s="14" t="str">
        <f t="array" ref="D730">XLOOKUP(C730, Channel_Listings!C:C, Channel_Listings!D:D)
</f>
        <v>BEANIE-FOLD-BINGO-GREY</v>
      </c>
      <c r="E730" s="15"/>
      <c r="F730" s="16">
        <f t="array" ref="F730">IFERROR(
  VALUE( INDEX(Product_Master!$I:$I,
               MATCH( INDEX(Pack_Master!$B:$B, MATCH($D730, Pack_Master!$A:$A, 0)),
                      Product_Master!$B:$B, 0)
  )) 
  * VALUE( INDEX(Pack_Master!$C:$C, MATCH($D730, Pack_Master!$A:$A, 0)) )
  + VALUE( INDEX(Pack_Master!$D:$D, MATCH($D730, Pack_Master!$A:$A, 0)) ),
"")
</f>
        <v>109</v>
      </c>
      <c r="G730" s="17">
        <f t="array" ref="G730">IFERROR(
 ( INDEX(Pack_Master!E:E, MATCH($D730, Pack_Master!A:A, 0))
   * INDEX(Pack_Master!F:F, MATCH($D730, Pack_Master!A:A, 0))
   * INDEX(Pack_Master!G:G, MATCH($D730, Pack_Master!A:A, 0))
 ) / INDEX(Config!C:C, MATCH($A730, Config!A:A, 0)),
"")
</f>
        <v>0.375</v>
      </c>
      <c r="H730" s="17">
        <f t="array" ref="H730">MAX( INDEX(Pack_Master!H:H, MATCH($D730, Pack_Master!A:A, 0)),
      IFERROR(G730, 0) )
</f>
        <v>0.5</v>
      </c>
      <c r="I730" s="18">
        <f>IFERROR(__xludf.DUMMYFUNCTION("IFERROR(
 INDEX(
   FILTER(Shipping_Rate_Card!B:F, Shipping_Rate_Card!A:A=$A730),
   MATCH($H730, FILTER(Shipping_Rate_Card!B:B, Shipping_Rate_Card!A:A=$A730), 1),
   IF( INDEX(Config!B:B, MATCH($A730, Config!A:A, 0))=""Local"", 2,
     IF( INDEX(Config!B"&amp;":B, MATCH($A730, Config!A:A, 0))=""Regional"", 3, 4 )
   )
 ),
"""")
"),75.0)</f>
        <v>75</v>
      </c>
      <c r="J730" s="16">
        <f>IFERROR(__xludf.DUMMYFUNCTION("IFERROR(
 ( E730 * INDEX(FILTER(Pricing_Rules!E:E, Pricing_Rules!A:A=A730, Pricing_Rules!B:B=B730, Pricing_Rules!C:C&lt;=E730, Pricing_Rules!D:D&gt;=E730), 1)
   + INDEX(FILTER(Pricing_Rules!F:F, Pricing_Rules!A:A=A730, Pricing_Rules!B:B=B730, Pricing_Rules!C:C"&amp;"&lt;=E730, Pricing_Rules!D:D&gt;=E730), 1)
 )
 * (1 + IFERROR( INDEX(Config!D:D, MATCH(A730, Config!A:A, 0)), 0 )),
"""")
"),15.34)</f>
        <v>15.34</v>
      </c>
      <c r="K730" s="19">
        <f t="shared" si="3"/>
        <v>-199.34</v>
      </c>
      <c r="L730" s="20" t="str">
        <f t="shared" si="4"/>
        <v/>
      </c>
    </row>
    <row r="731" ht="15.75" customHeight="1">
      <c r="A731" s="9" t="s">
        <v>1162</v>
      </c>
      <c r="B731" s="12" t="str">
        <f t="array" ref="B731">XLOOKUP(C731, Channel_Listings!C:C, Channel_Listings!B:B)
</f>
        <v>Apparel_Caps_Beanies</v>
      </c>
      <c r="C731" s="23" t="s">
        <v>201</v>
      </c>
      <c r="D731" s="14" t="str">
        <f t="array" ref="D731">XLOOKUP(C731, Channel_Listings!C:C, Channel_Listings!D:D)
</f>
        <v>BEANIE-FOLD-BINGO-LIGHTBROWN</v>
      </c>
      <c r="E731" s="15"/>
      <c r="F731" s="16">
        <f t="array" ref="F731">IFERROR(
  VALUE( INDEX(Product_Master!$I:$I,
               MATCH( INDEX(Pack_Master!$B:$B, MATCH($D731, Pack_Master!$A:$A, 0)),
                      Product_Master!$B:$B, 0)
  )) 
  * VALUE( INDEX(Pack_Master!$C:$C, MATCH($D731, Pack_Master!$A:$A, 0)) )
  + VALUE( INDEX(Pack_Master!$D:$D, MATCH($D731, Pack_Master!$A:$A, 0)) ),
"")
</f>
        <v>109</v>
      </c>
      <c r="G731" s="17">
        <f t="array" ref="G731">IFERROR(
 ( INDEX(Pack_Master!E:E, MATCH($D731, Pack_Master!A:A, 0))
   * INDEX(Pack_Master!F:F, MATCH($D731, Pack_Master!A:A, 0))
   * INDEX(Pack_Master!G:G, MATCH($D731, Pack_Master!A:A, 0))
 ) / INDEX(Config!C:C, MATCH($A731, Config!A:A, 0)),
"")
</f>
        <v>0.375</v>
      </c>
      <c r="H731" s="17">
        <f t="array" ref="H731">MAX( INDEX(Pack_Master!H:H, MATCH($D731, Pack_Master!A:A, 0)),
      IFERROR(G731, 0) )
</f>
        <v>0.5</v>
      </c>
      <c r="I731" s="18">
        <f>IFERROR(__xludf.DUMMYFUNCTION("IFERROR(
 INDEX(
   FILTER(Shipping_Rate_Card!B:F, Shipping_Rate_Card!A:A=$A731),
   MATCH($H731, FILTER(Shipping_Rate_Card!B:B, Shipping_Rate_Card!A:A=$A731), 1),
   IF( INDEX(Config!B:B, MATCH($A731, Config!A:A, 0))=""Local"", 2,
     IF( INDEX(Config!B"&amp;":B, MATCH($A731, Config!A:A, 0))=""Regional"", 3, 4 )
   )
 ),
"""")
"),75.0)</f>
        <v>75</v>
      </c>
      <c r="J731" s="16">
        <f>IFERROR(__xludf.DUMMYFUNCTION("IFERROR(
 ( E731 * INDEX(FILTER(Pricing_Rules!E:E, Pricing_Rules!A:A=A731, Pricing_Rules!B:B=B731, Pricing_Rules!C:C&lt;=E731, Pricing_Rules!D:D&gt;=E731), 1)
   + INDEX(FILTER(Pricing_Rules!F:F, Pricing_Rules!A:A=A731, Pricing_Rules!B:B=B731, Pricing_Rules!C:C"&amp;"&lt;=E731, Pricing_Rules!D:D&gt;=E731), 1)
 )
 * (1 + IFERROR( INDEX(Config!D:D, MATCH(A731, Config!A:A, 0)), 0 )),
"""")
"),15.34)</f>
        <v>15.34</v>
      </c>
      <c r="K731" s="19">
        <f t="shared" si="3"/>
        <v>-199.34</v>
      </c>
      <c r="L731" s="20" t="str">
        <f t="shared" si="4"/>
        <v/>
      </c>
    </row>
    <row r="732" ht="15.75" customHeight="1">
      <c r="A732" s="9" t="s">
        <v>1162</v>
      </c>
      <c r="B732" s="12" t="str">
        <f t="array" ref="B732">XLOOKUP(C732, Channel_Listings!C:C, Channel_Listings!B:B)
</f>
        <v>Apparel_Caps_Beanies</v>
      </c>
      <c r="C732" s="23" t="s">
        <v>216</v>
      </c>
      <c r="D732" s="14" t="str">
        <f t="array" ref="D732">XLOOKUP(C732, Channel_Listings!C:C, Channel_Listings!D:D)
</f>
        <v>BEANIE-FOLD-CHECK-BLUE</v>
      </c>
      <c r="E732" s="15"/>
      <c r="F732" s="16">
        <f t="array" ref="F732">IFERROR(
  VALUE( INDEX(Product_Master!$I:$I,
               MATCH( INDEX(Pack_Master!$B:$B, MATCH($D732, Pack_Master!$A:$A, 0)),
                      Product_Master!$B:$B, 0)
  )) 
  * VALUE( INDEX(Pack_Master!$C:$C, MATCH($D732, Pack_Master!$A:$A, 0)) )
  + VALUE( INDEX(Pack_Master!$D:$D, MATCH($D732, Pack_Master!$A:$A, 0)) ),
"")
</f>
        <v>109</v>
      </c>
      <c r="G732" s="17">
        <f t="array" ref="G732">IFERROR(
 ( INDEX(Pack_Master!E:E, MATCH($D732, Pack_Master!A:A, 0))
   * INDEX(Pack_Master!F:F, MATCH($D732, Pack_Master!A:A, 0))
   * INDEX(Pack_Master!G:G, MATCH($D732, Pack_Master!A:A, 0))
 ) / INDEX(Config!C:C, MATCH($A732, Config!A:A, 0)),
"")
</f>
        <v>0.375</v>
      </c>
      <c r="H732" s="17">
        <f t="array" ref="H732">MAX( INDEX(Pack_Master!H:H, MATCH($D732, Pack_Master!A:A, 0)),
      IFERROR(G732, 0) )
</f>
        <v>0.5</v>
      </c>
      <c r="I732" s="18">
        <f>IFERROR(__xludf.DUMMYFUNCTION("IFERROR(
 INDEX(
   FILTER(Shipping_Rate_Card!B:F, Shipping_Rate_Card!A:A=$A732),
   MATCH($H732, FILTER(Shipping_Rate_Card!B:B, Shipping_Rate_Card!A:A=$A732), 1),
   IF( INDEX(Config!B:B, MATCH($A732, Config!A:A, 0))=""Local"", 2,
     IF( INDEX(Config!B"&amp;":B, MATCH($A732, Config!A:A, 0))=""Regional"", 3, 4 )
   )
 ),
"""")
"),75.0)</f>
        <v>75</v>
      </c>
      <c r="J732" s="16">
        <f>IFERROR(__xludf.DUMMYFUNCTION("IFERROR(
 ( E732 * INDEX(FILTER(Pricing_Rules!E:E, Pricing_Rules!A:A=A732, Pricing_Rules!B:B=B732, Pricing_Rules!C:C&lt;=E732, Pricing_Rules!D:D&gt;=E732), 1)
   + INDEX(FILTER(Pricing_Rules!F:F, Pricing_Rules!A:A=A732, Pricing_Rules!B:B=B732, Pricing_Rules!C:C"&amp;"&lt;=E732, Pricing_Rules!D:D&gt;=E732), 1)
 )
 * (1 + IFERROR( INDEX(Config!D:D, MATCH(A732, Config!A:A, 0)), 0 )),
"""")
"),15.34)</f>
        <v>15.34</v>
      </c>
      <c r="K732" s="19">
        <f t="shared" si="3"/>
        <v>-199.34</v>
      </c>
      <c r="L732" s="20" t="str">
        <f t="shared" si="4"/>
        <v/>
      </c>
    </row>
    <row r="733" ht="15.75" customHeight="1">
      <c r="A733" s="9" t="s">
        <v>1162</v>
      </c>
      <c r="B733" s="12" t="str">
        <f t="array" ref="B733">XLOOKUP(C733, Channel_Listings!C:C, Channel_Listings!B:B)
</f>
        <v>Apparel_Caps_Beanies</v>
      </c>
      <c r="C733" s="23" t="s">
        <v>219</v>
      </c>
      <c r="D733" s="14" t="str">
        <f t="array" ref="D733">XLOOKUP(C733, Channel_Listings!C:C, Channel_Listings!D:D)
</f>
        <v>BEANIE-FOLD-CHECK-GREY</v>
      </c>
      <c r="E733" s="15"/>
      <c r="F733" s="16">
        <f t="array" ref="F733">IFERROR(
  VALUE( INDEX(Product_Master!$I:$I,
               MATCH( INDEX(Pack_Master!$B:$B, MATCH($D733, Pack_Master!$A:$A, 0)),
                      Product_Master!$B:$B, 0)
  )) 
  * VALUE( INDEX(Pack_Master!$C:$C, MATCH($D733, Pack_Master!$A:$A, 0)) )
  + VALUE( INDEX(Pack_Master!$D:$D, MATCH($D733, Pack_Master!$A:$A, 0)) ),
"")
</f>
        <v>109</v>
      </c>
      <c r="G733" s="17">
        <f t="array" ref="G733">IFERROR(
 ( INDEX(Pack_Master!E:E, MATCH($D733, Pack_Master!A:A, 0))
   * INDEX(Pack_Master!F:F, MATCH($D733, Pack_Master!A:A, 0))
   * INDEX(Pack_Master!G:G, MATCH($D733, Pack_Master!A:A, 0))
 ) / INDEX(Config!C:C, MATCH($A733, Config!A:A, 0)),
"")
</f>
        <v>0.375</v>
      </c>
      <c r="H733" s="17">
        <f t="array" ref="H733">MAX( INDEX(Pack_Master!H:H, MATCH($D733, Pack_Master!A:A, 0)),
      IFERROR(G733, 0) )
</f>
        <v>0.5</v>
      </c>
      <c r="I733" s="18">
        <f>IFERROR(__xludf.DUMMYFUNCTION("IFERROR(
 INDEX(
   FILTER(Shipping_Rate_Card!B:F, Shipping_Rate_Card!A:A=$A733),
   MATCH($H733, FILTER(Shipping_Rate_Card!B:B, Shipping_Rate_Card!A:A=$A733), 1),
   IF( INDEX(Config!B:B, MATCH($A733, Config!A:A, 0))=""Local"", 2,
     IF( INDEX(Config!B"&amp;":B, MATCH($A733, Config!A:A, 0))=""Regional"", 3, 4 )
   )
 ),
"""")
"),75.0)</f>
        <v>75</v>
      </c>
      <c r="J733" s="16">
        <f>IFERROR(__xludf.DUMMYFUNCTION("IFERROR(
 ( E733 * INDEX(FILTER(Pricing_Rules!E:E, Pricing_Rules!A:A=A733, Pricing_Rules!B:B=B733, Pricing_Rules!C:C&lt;=E733, Pricing_Rules!D:D&gt;=E733), 1)
   + INDEX(FILTER(Pricing_Rules!F:F, Pricing_Rules!A:A=A733, Pricing_Rules!B:B=B733, Pricing_Rules!C:C"&amp;"&lt;=E733, Pricing_Rules!D:D&gt;=E733), 1)
 )
 * (1 + IFERROR( INDEX(Config!D:D, MATCH(A733, Config!A:A, 0)), 0 )),
"""")
"),15.34)</f>
        <v>15.34</v>
      </c>
      <c r="K733" s="19">
        <f t="shared" si="3"/>
        <v>-199.34</v>
      </c>
      <c r="L733" s="20" t="str">
        <f t="shared" si="4"/>
        <v/>
      </c>
    </row>
    <row r="734" ht="15.75" customHeight="1">
      <c r="A734" s="9" t="s">
        <v>1162</v>
      </c>
      <c r="B734" s="12" t="str">
        <f t="array" ref="B734">XLOOKUP(C734, Channel_Listings!C:C, Channel_Listings!B:B)
</f>
        <v>Apparel_Caps_Beanies</v>
      </c>
      <c r="C734" s="23" t="s">
        <v>222</v>
      </c>
      <c r="D734" s="14" t="str">
        <f t="array" ref="D734">XLOOKUP(C734, Channel_Listings!C:C, Channel_Listings!D:D)
</f>
        <v>BEANIE-FOLD-CHECK-LIGHTBROWN</v>
      </c>
      <c r="E734" s="15"/>
      <c r="F734" s="16">
        <f t="array" ref="F734">IFERROR(
  VALUE( INDEX(Product_Master!$I:$I,
               MATCH( INDEX(Pack_Master!$B:$B, MATCH($D734, Pack_Master!$A:$A, 0)),
                      Product_Master!$B:$B, 0)
  )) 
  * VALUE( INDEX(Pack_Master!$C:$C, MATCH($D734, Pack_Master!$A:$A, 0)) )
  + VALUE( INDEX(Pack_Master!$D:$D, MATCH($D734, Pack_Master!$A:$A, 0)) ),
"")
</f>
        <v>109</v>
      </c>
      <c r="G734" s="17">
        <f t="array" ref="G734">IFERROR(
 ( INDEX(Pack_Master!E:E, MATCH($D734, Pack_Master!A:A, 0))
   * INDEX(Pack_Master!F:F, MATCH($D734, Pack_Master!A:A, 0))
   * INDEX(Pack_Master!G:G, MATCH($D734, Pack_Master!A:A, 0))
 ) / INDEX(Config!C:C, MATCH($A734, Config!A:A, 0)),
"")
</f>
        <v>0.375</v>
      </c>
      <c r="H734" s="17">
        <f t="array" ref="H734">MAX( INDEX(Pack_Master!H:H, MATCH($D734, Pack_Master!A:A, 0)),
      IFERROR(G734, 0) )
</f>
        <v>0.5</v>
      </c>
      <c r="I734" s="18">
        <f>IFERROR(__xludf.DUMMYFUNCTION("IFERROR(
 INDEX(
   FILTER(Shipping_Rate_Card!B:F, Shipping_Rate_Card!A:A=$A734),
   MATCH($H734, FILTER(Shipping_Rate_Card!B:B, Shipping_Rate_Card!A:A=$A734), 1),
   IF( INDEX(Config!B:B, MATCH($A734, Config!A:A, 0))=""Local"", 2,
     IF( INDEX(Config!B"&amp;":B, MATCH($A734, Config!A:A, 0))=""Regional"", 3, 4 )
   )
 ),
"""")
"),75.0)</f>
        <v>75</v>
      </c>
      <c r="J734" s="16">
        <f>IFERROR(__xludf.DUMMYFUNCTION("IFERROR(
 ( E734 * INDEX(FILTER(Pricing_Rules!E:E, Pricing_Rules!A:A=A734, Pricing_Rules!B:B=B734, Pricing_Rules!C:C&lt;=E734, Pricing_Rules!D:D&gt;=E734), 1)
   + INDEX(FILTER(Pricing_Rules!F:F, Pricing_Rules!A:A=A734, Pricing_Rules!B:B=B734, Pricing_Rules!C:C"&amp;"&lt;=E734, Pricing_Rules!D:D&gt;=E734), 1)
 )
 * (1 + IFERROR( INDEX(Config!D:D, MATCH(A734, Config!A:A, 0)), 0 )),
"""")
"),15.34)</f>
        <v>15.34</v>
      </c>
      <c r="K734" s="19">
        <f t="shared" si="3"/>
        <v>-199.34</v>
      </c>
      <c r="L734" s="20" t="str">
        <f t="shared" si="4"/>
        <v/>
      </c>
    </row>
    <row r="735" ht="15.75" customHeight="1">
      <c r="A735" s="9" t="s">
        <v>1162</v>
      </c>
      <c r="B735" s="12" t="str">
        <f t="array" ref="B735">XLOOKUP(C735, Channel_Listings!C:C, Channel_Listings!B:B)
</f>
        <v>Apparel_Caps_Beanies</v>
      </c>
      <c r="C735" s="23" t="s">
        <v>225</v>
      </c>
      <c r="D735" s="14" t="str">
        <f t="array" ref="D735">XLOOKUP(C735, Channel_Listings!C:C, Channel_Listings!D:D)
</f>
        <v>BEANIE-FOLD-CHECK-MAROON</v>
      </c>
      <c r="E735" s="15"/>
      <c r="F735" s="16">
        <f t="array" ref="F735">IFERROR(
  VALUE( INDEX(Product_Master!$I:$I,
               MATCH( INDEX(Pack_Master!$B:$B, MATCH($D735, Pack_Master!$A:$A, 0)),
                      Product_Master!$B:$B, 0)
  )) 
  * VALUE( INDEX(Pack_Master!$C:$C, MATCH($D735, Pack_Master!$A:$A, 0)) )
  + VALUE( INDEX(Pack_Master!$D:$D, MATCH($D735, Pack_Master!$A:$A, 0)) ),
"")
</f>
        <v>109</v>
      </c>
      <c r="G735" s="17">
        <f t="array" ref="G735">IFERROR(
 ( INDEX(Pack_Master!E:E, MATCH($D735, Pack_Master!A:A, 0))
   * INDEX(Pack_Master!F:F, MATCH($D735, Pack_Master!A:A, 0))
   * INDEX(Pack_Master!G:G, MATCH($D735, Pack_Master!A:A, 0))
 ) / INDEX(Config!C:C, MATCH($A735, Config!A:A, 0)),
"")
</f>
        <v>0.375</v>
      </c>
      <c r="H735" s="17">
        <f t="array" ref="H735">MAX( INDEX(Pack_Master!H:H, MATCH($D735, Pack_Master!A:A, 0)),
      IFERROR(G735, 0) )
</f>
        <v>0.5</v>
      </c>
      <c r="I735" s="18">
        <f>IFERROR(__xludf.DUMMYFUNCTION("IFERROR(
 INDEX(
   FILTER(Shipping_Rate_Card!B:F, Shipping_Rate_Card!A:A=$A735),
   MATCH($H735, FILTER(Shipping_Rate_Card!B:B, Shipping_Rate_Card!A:A=$A735), 1),
   IF( INDEX(Config!B:B, MATCH($A735, Config!A:A, 0))=""Local"", 2,
     IF( INDEX(Config!B"&amp;":B, MATCH($A735, Config!A:A, 0))=""Regional"", 3, 4 )
   )
 ),
"""")
"),75.0)</f>
        <v>75</v>
      </c>
      <c r="J735" s="16">
        <f>IFERROR(__xludf.DUMMYFUNCTION("IFERROR(
 ( E735 * INDEX(FILTER(Pricing_Rules!E:E, Pricing_Rules!A:A=A735, Pricing_Rules!B:B=B735, Pricing_Rules!C:C&lt;=E735, Pricing_Rules!D:D&gt;=E735), 1)
   + INDEX(FILTER(Pricing_Rules!F:F, Pricing_Rules!A:A=A735, Pricing_Rules!B:B=B735, Pricing_Rules!C:C"&amp;"&lt;=E735, Pricing_Rules!D:D&gt;=E735), 1)
 )
 * (1 + IFERROR( INDEX(Config!D:D, MATCH(A735, Config!A:A, 0)), 0 )),
"""")
"),15.34)</f>
        <v>15.34</v>
      </c>
      <c r="K735" s="19">
        <f t="shared" si="3"/>
        <v>-199.34</v>
      </c>
      <c r="L735" s="20" t="str">
        <f t="shared" si="4"/>
        <v/>
      </c>
    </row>
    <row r="736" ht="15.75" customHeight="1">
      <c r="A736" s="9" t="s">
        <v>1162</v>
      </c>
      <c r="B736" s="12" t="str">
        <f t="array" ref="B736">XLOOKUP(C736, Channel_Listings!C:C, Channel_Listings!B:B)
</f>
        <v>Apparel_Caps_Beanies</v>
      </c>
      <c r="C736" s="23" t="s">
        <v>228</v>
      </c>
      <c r="D736" s="14" t="str">
        <f t="array" ref="D736">XLOOKUP(C736, Channel_Listings!C:C, Channel_Listings!D:D)
</f>
        <v>BEANIE-FOLD-CHECK-OLIVE</v>
      </c>
      <c r="E736" s="15"/>
      <c r="F736" s="16">
        <f t="array" ref="F736">IFERROR(
  VALUE( INDEX(Product_Master!$I:$I,
               MATCH( INDEX(Pack_Master!$B:$B, MATCH($D736, Pack_Master!$A:$A, 0)),
                      Product_Master!$B:$B, 0)
  )) 
  * VALUE( INDEX(Pack_Master!$C:$C, MATCH($D736, Pack_Master!$A:$A, 0)) )
  + VALUE( INDEX(Pack_Master!$D:$D, MATCH($D736, Pack_Master!$A:$A, 0)) ),
"")
</f>
        <v>109</v>
      </c>
      <c r="G736" s="17">
        <f t="array" ref="G736">IFERROR(
 ( INDEX(Pack_Master!E:E, MATCH($D736, Pack_Master!A:A, 0))
   * INDEX(Pack_Master!F:F, MATCH($D736, Pack_Master!A:A, 0))
   * INDEX(Pack_Master!G:G, MATCH($D736, Pack_Master!A:A, 0))
 ) / INDEX(Config!C:C, MATCH($A736, Config!A:A, 0)),
"")
</f>
        <v>0.375</v>
      </c>
      <c r="H736" s="17">
        <f t="array" ref="H736">MAX( INDEX(Pack_Master!H:H, MATCH($D736, Pack_Master!A:A, 0)),
      IFERROR(G736, 0) )
</f>
        <v>0.5</v>
      </c>
      <c r="I736" s="18">
        <f>IFERROR(__xludf.DUMMYFUNCTION("IFERROR(
 INDEX(
   FILTER(Shipping_Rate_Card!B:F, Shipping_Rate_Card!A:A=$A736),
   MATCH($H736, FILTER(Shipping_Rate_Card!B:B, Shipping_Rate_Card!A:A=$A736), 1),
   IF( INDEX(Config!B:B, MATCH($A736, Config!A:A, 0))=""Local"", 2,
     IF( INDEX(Config!B"&amp;":B, MATCH($A736, Config!A:A, 0))=""Regional"", 3, 4 )
   )
 ),
"""")
"),75.0)</f>
        <v>75</v>
      </c>
      <c r="J736" s="16">
        <f>IFERROR(__xludf.DUMMYFUNCTION("IFERROR(
 ( E736 * INDEX(FILTER(Pricing_Rules!E:E, Pricing_Rules!A:A=A736, Pricing_Rules!B:B=B736, Pricing_Rules!C:C&lt;=E736, Pricing_Rules!D:D&gt;=E736), 1)
   + INDEX(FILTER(Pricing_Rules!F:F, Pricing_Rules!A:A=A736, Pricing_Rules!B:B=B736, Pricing_Rules!C:C"&amp;"&lt;=E736, Pricing_Rules!D:D&gt;=E736), 1)
 )
 * (1 + IFERROR( INDEX(Config!D:D, MATCH(A736, Config!A:A, 0)), 0 )),
"""")
"),15.34)</f>
        <v>15.34</v>
      </c>
      <c r="K736" s="19">
        <f t="shared" si="3"/>
        <v>-199.34</v>
      </c>
      <c r="L736" s="20" t="str">
        <f t="shared" si="4"/>
        <v/>
      </c>
    </row>
    <row r="737" ht="15.75" customHeight="1">
      <c r="A737" s="9" t="s">
        <v>1162</v>
      </c>
      <c r="B737" s="12" t="str">
        <f t="array" ref="B737">XLOOKUP(C737, Channel_Listings!C:C, Channel_Listings!B:B)
</f>
        <v>Apparel_Caps_Beanies</v>
      </c>
      <c r="C737" s="23" t="s">
        <v>232</v>
      </c>
      <c r="D737" s="14" t="str">
        <f t="array" ref="D737">XLOOKUP(C737, Channel_Listings!C:C, Channel_Listings!D:D)
</f>
        <v>BEANIE-FOLD-KING-BLUE</v>
      </c>
      <c r="E737" s="15"/>
      <c r="F737" s="16">
        <f t="array" ref="F737">IFERROR(
  VALUE( INDEX(Product_Master!$I:$I,
               MATCH( INDEX(Pack_Master!$B:$B, MATCH($D737, Pack_Master!$A:$A, 0)),
                      Product_Master!$B:$B, 0)
  )) 
  * VALUE( INDEX(Pack_Master!$C:$C, MATCH($D737, Pack_Master!$A:$A, 0)) )
  + VALUE( INDEX(Pack_Master!$D:$D, MATCH($D737, Pack_Master!$A:$A, 0)) ),
"")
</f>
        <v>109</v>
      </c>
      <c r="G737" s="17">
        <f t="array" ref="G737">IFERROR(
 ( INDEX(Pack_Master!E:E, MATCH($D737, Pack_Master!A:A, 0))
   * INDEX(Pack_Master!F:F, MATCH($D737, Pack_Master!A:A, 0))
   * INDEX(Pack_Master!G:G, MATCH($D737, Pack_Master!A:A, 0))
 ) / INDEX(Config!C:C, MATCH($A737, Config!A:A, 0)),
"")
</f>
        <v>0.375</v>
      </c>
      <c r="H737" s="17">
        <f t="array" ref="H737">MAX( INDEX(Pack_Master!H:H, MATCH($D737, Pack_Master!A:A, 0)),
      IFERROR(G737, 0) )
</f>
        <v>0.5</v>
      </c>
      <c r="I737" s="18">
        <f>IFERROR(__xludf.DUMMYFUNCTION("IFERROR(
 INDEX(
   FILTER(Shipping_Rate_Card!B:F, Shipping_Rate_Card!A:A=$A737),
   MATCH($H737, FILTER(Shipping_Rate_Card!B:B, Shipping_Rate_Card!A:A=$A737), 1),
   IF( INDEX(Config!B:B, MATCH($A737, Config!A:A, 0))=""Local"", 2,
     IF( INDEX(Config!B"&amp;":B, MATCH($A737, Config!A:A, 0))=""Regional"", 3, 4 )
   )
 ),
"""")
"),75.0)</f>
        <v>75</v>
      </c>
      <c r="J737" s="16">
        <f>IFERROR(__xludf.DUMMYFUNCTION("IFERROR(
 ( E737 * INDEX(FILTER(Pricing_Rules!E:E, Pricing_Rules!A:A=A737, Pricing_Rules!B:B=B737, Pricing_Rules!C:C&lt;=E737, Pricing_Rules!D:D&gt;=E737), 1)
   + INDEX(FILTER(Pricing_Rules!F:F, Pricing_Rules!A:A=A737, Pricing_Rules!B:B=B737, Pricing_Rules!C:C"&amp;"&lt;=E737, Pricing_Rules!D:D&gt;=E737), 1)
 )
 * (1 + IFERROR( INDEX(Config!D:D, MATCH(A737, Config!A:A, 0)), 0 )),
"""")
"),15.34)</f>
        <v>15.34</v>
      </c>
      <c r="K737" s="19">
        <f t="shared" si="3"/>
        <v>-199.34</v>
      </c>
      <c r="L737" s="20" t="str">
        <f t="shared" si="4"/>
        <v/>
      </c>
    </row>
    <row r="738" ht="15.75" customHeight="1">
      <c r="A738" s="9" t="s">
        <v>1162</v>
      </c>
      <c r="B738" s="12" t="str">
        <f t="array" ref="B738">XLOOKUP(C738, Channel_Listings!C:C, Channel_Listings!B:B)
</f>
        <v>Apparel_Caps_Beanies</v>
      </c>
      <c r="C738" s="23" t="s">
        <v>234</v>
      </c>
      <c r="D738" s="14" t="str">
        <f t="array" ref="D738">XLOOKUP(C738, Channel_Listings!C:C, Channel_Listings!D:D)
</f>
        <v>BEANIE-FOLD-KING-BROWN</v>
      </c>
      <c r="E738" s="15"/>
      <c r="F738" s="16">
        <f t="array" ref="F738">IFERROR(
  VALUE( INDEX(Product_Master!$I:$I,
               MATCH( INDEX(Pack_Master!$B:$B, MATCH($D738, Pack_Master!$A:$A, 0)),
                      Product_Master!$B:$B, 0)
  )) 
  * VALUE( INDEX(Pack_Master!$C:$C, MATCH($D738, Pack_Master!$A:$A, 0)) )
  + VALUE( INDEX(Pack_Master!$D:$D, MATCH($D738, Pack_Master!$A:$A, 0)) ),
"")
</f>
        <v>109</v>
      </c>
      <c r="G738" s="17">
        <f t="array" ref="G738">IFERROR(
 ( INDEX(Pack_Master!E:E, MATCH($D738, Pack_Master!A:A, 0))
   * INDEX(Pack_Master!F:F, MATCH($D738, Pack_Master!A:A, 0))
   * INDEX(Pack_Master!G:G, MATCH($D738, Pack_Master!A:A, 0))
 ) / INDEX(Config!C:C, MATCH($A738, Config!A:A, 0)),
"")
</f>
        <v>0.375</v>
      </c>
      <c r="H738" s="17">
        <f t="array" ref="H738">MAX( INDEX(Pack_Master!H:H, MATCH($D738, Pack_Master!A:A, 0)),
      IFERROR(G738, 0) )
</f>
        <v>0.5</v>
      </c>
      <c r="I738" s="18">
        <f>IFERROR(__xludf.DUMMYFUNCTION("IFERROR(
 INDEX(
   FILTER(Shipping_Rate_Card!B:F, Shipping_Rate_Card!A:A=$A738),
   MATCH($H738, FILTER(Shipping_Rate_Card!B:B, Shipping_Rate_Card!A:A=$A738), 1),
   IF( INDEX(Config!B:B, MATCH($A738, Config!A:A, 0))=""Local"", 2,
     IF( INDEX(Config!B"&amp;":B, MATCH($A738, Config!A:A, 0))=""Regional"", 3, 4 )
   )
 ),
"""")
"),75.0)</f>
        <v>75</v>
      </c>
      <c r="J738" s="16">
        <f>IFERROR(__xludf.DUMMYFUNCTION("IFERROR(
 ( E738 * INDEX(FILTER(Pricing_Rules!E:E, Pricing_Rules!A:A=A738, Pricing_Rules!B:B=B738, Pricing_Rules!C:C&lt;=E738, Pricing_Rules!D:D&gt;=E738), 1)
   + INDEX(FILTER(Pricing_Rules!F:F, Pricing_Rules!A:A=A738, Pricing_Rules!B:B=B738, Pricing_Rules!C:C"&amp;"&lt;=E738, Pricing_Rules!D:D&gt;=E738), 1)
 )
 * (1 + IFERROR( INDEX(Config!D:D, MATCH(A738, Config!A:A, 0)), 0 )),
"""")
"),15.34)</f>
        <v>15.34</v>
      </c>
      <c r="K738" s="19">
        <f t="shared" si="3"/>
        <v>-199.34</v>
      </c>
      <c r="L738" s="20" t="str">
        <f t="shared" si="4"/>
        <v/>
      </c>
    </row>
    <row r="739" ht="15.75" customHeight="1">
      <c r="A739" s="9" t="s">
        <v>1162</v>
      </c>
      <c r="B739" s="12" t="str">
        <f t="array" ref="B739">XLOOKUP(C739, Channel_Listings!C:C, Channel_Listings!B:B)
</f>
        <v>Apparel_Caps_Beanies</v>
      </c>
      <c r="C739" s="23" t="s">
        <v>236</v>
      </c>
      <c r="D739" s="14" t="str">
        <f t="array" ref="D739">XLOOKUP(C739, Channel_Listings!C:C, Channel_Listings!D:D)
</f>
        <v>BEANIE-FOLD-KING-GREEN</v>
      </c>
      <c r="E739" s="15"/>
      <c r="F739" s="16">
        <f t="array" ref="F739">IFERROR(
  VALUE( INDEX(Product_Master!$I:$I,
               MATCH( INDEX(Pack_Master!$B:$B, MATCH($D739, Pack_Master!$A:$A, 0)),
                      Product_Master!$B:$B, 0)
  )) 
  * VALUE( INDEX(Pack_Master!$C:$C, MATCH($D739, Pack_Master!$A:$A, 0)) )
  + VALUE( INDEX(Pack_Master!$D:$D, MATCH($D739, Pack_Master!$A:$A, 0)) ),
"")
</f>
        <v>109</v>
      </c>
      <c r="G739" s="17">
        <f t="array" ref="G739">IFERROR(
 ( INDEX(Pack_Master!E:E, MATCH($D739, Pack_Master!A:A, 0))
   * INDEX(Pack_Master!F:F, MATCH($D739, Pack_Master!A:A, 0))
   * INDEX(Pack_Master!G:G, MATCH($D739, Pack_Master!A:A, 0))
 ) / INDEX(Config!C:C, MATCH($A739, Config!A:A, 0)),
"")
</f>
        <v>0.375</v>
      </c>
      <c r="H739" s="17">
        <f t="array" ref="H739">MAX( INDEX(Pack_Master!H:H, MATCH($D739, Pack_Master!A:A, 0)),
      IFERROR(G739, 0) )
</f>
        <v>0.5</v>
      </c>
      <c r="I739" s="18">
        <f>IFERROR(__xludf.DUMMYFUNCTION("IFERROR(
 INDEX(
   FILTER(Shipping_Rate_Card!B:F, Shipping_Rate_Card!A:A=$A739),
   MATCH($H739, FILTER(Shipping_Rate_Card!B:B, Shipping_Rate_Card!A:A=$A739), 1),
   IF( INDEX(Config!B:B, MATCH($A739, Config!A:A, 0))=""Local"", 2,
     IF( INDEX(Config!B"&amp;":B, MATCH($A739, Config!A:A, 0))=""Regional"", 3, 4 )
   )
 ),
"""")
"),75.0)</f>
        <v>75</v>
      </c>
      <c r="J739" s="16">
        <f>IFERROR(__xludf.DUMMYFUNCTION("IFERROR(
 ( E739 * INDEX(FILTER(Pricing_Rules!E:E, Pricing_Rules!A:A=A739, Pricing_Rules!B:B=B739, Pricing_Rules!C:C&lt;=E739, Pricing_Rules!D:D&gt;=E739), 1)
   + INDEX(FILTER(Pricing_Rules!F:F, Pricing_Rules!A:A=A739, Pricing_Rules!B:B=B739, Pricing_Rules!C:C"&amp;"&lt;=E739, Pricing_Rules!D:D&gt;=E739), 1)
 )
 * (1 + IFERROR( INDEX(Config!D:D, MATCH(A739, Config!A:A, 0)), 0 )),
"""")
"),15.34)</f>
        <v>15.34</v>
      </c>
      <c r="K739" s="19">
        <f t="shared" si="3"/>
        <v>-199.34</v>
      </c>
      <c r="L739" s="20" t="str">
        <f t="shared" si="4"/>
        <v/>
      </c>
    </row>
    <row r="740" ht="15.75" customHeight="1">
      <c r="A740" s="9" t="s">
        <v>1162</v>
      </c>
      <c r="B740" s="12" t="str">
        <f t="array" ref="B740">XLOOKUP(C740, Channel_Listings!C:C, Channel_Listings!B:B)
</f>
        <v>Apparel_Caps_Beanies</v>
      </c>
      <c r="C740" s="23" t="s">
        <v>1200</v>
      </c>
      <c r="D740" s="14" t="str">
        <f t="array" ref="D740">XLOOKUP(C740, Channel_Listings!C:C, Channel_Listings!D:D)
</f>
        <v>BEANIE-FOLD-KING-GREY</v>
      </c>
      <c r="E740" s="15"/>
      <c r="F740" s="16">
        <f t="array" ref="F740">IFERROR(
  VALUE( INDEX(Product_Master!$I:$I,
               MATCH( INDEX(Pack_Master!$B:$B, MATCH($D740, Pack_Master!$A:$A, 0)),
                      Product_Master!$B:$B, 0)
  )) 
  * VALUE( INDEX(Pack_Master!$C:$C, MATCH($D740, Pack_Master!$A:$A, 0)) )
  + VALUE( INDEX(Pack_Master!$D:$D, MATCH($D740, Pack_Master!$A:$A, 0)) ),
"")
</f>
        <v>109</v>
      </c>
      <c r="G740" s="17">
        <f t="array" ref="G740">IFERROR(
 ( INDEX(Pack_Master!E:E, MATCH($D740, Pack_Master!A:A, 0))
   * INDEX(Pack_Master!F:F, MATCH($D740, Pack_Master!A:A, 0))
   * INDEX(Pack_Master!G:G, MATCH($D740, Pack_Master!A:A, 0))
 ) / INDEX(Config!C:C, MATCH($A740, Config!A:A, 0)),
"")
</f>
        <v>0.375</v>
      </c>
      <c r="H740" s="17">
        <f t="array" ref="H740">MAX( INDEX(Pack_Master!H:H, MATCH($D740, Pack_Master!A:A, 0)),
      IFERROR(G740, 0) )
</f>
        <v>0.5</v>
      </c>
      <c r="I740" s="18">
        <f>IFERROR(__xludf.DUMMYFUNCTION("IFERROR(
 INDEX(
   FILTER(Shipping_Rate_Card!B:F, Shipping_Rate_Card!A:A=$A740),
   MATCH($H740, FILTER(Shipping_Rate_Card!B:B, Shipping_Rate_Card!A:A=$A740), 1),
   IF( INDEX(Config!B:B, MATCH($A740, Config!A:A, 0))=""Local"", 2,
     IF( INDEX(Config!B"&amp;":B, MATCH($A740, Config!A:A, 0))=""Regional"", 3, 4 )
   )
 ),
"""")
"),75.0)</f>
        <v>75</v>
      </c>
      <c r="J740" s="16">
        <f>IFERROR(__xludf.DUMMYFUNCTION("IFERROR(
 ( E740 * INDEX(FILTER(Pricing_Rules!E:E, Pricing_Rules!A:A=A740, Pricing_Rules!B:B=B740, Pricing_Rules!C:C&lt;=E740, Pricing_Rules!D:D&gt;=E740), 1)
   + INDEX(FILTER(Pricing_Rules!F:F, Pricing_Rules!A:A=A740, Pricing_Rules!B:B=B740, Pricing_Rules!C:C"&amp;"&lt;=E740, Pricing_Rules!D:D&gt;=E740), 1)
 )
 * (1 + IFERROR( INDEX(Config!D:D, MATCH(A740, Config!A:A, 0)), 0 )),
"""")
"),15.34)</f>
        <v>15.34</v>
      </c>
      <c r="K740" s="19">
        <f t="shared" si="3"/>
        <v>-199.34</v>
      </c>
      <c r="L740" s="20" t="str">
        <f t="shared" si="4"/>
        <v/>
      </c>
    </row>
    <row r="741" ht="15.75" customHeight="1">
      <c r="A741" s="9" t="s">
        <v>1162</v>
      </c>
      <c r="B741" s="12" t="str">
        <f t="array" ref="B741">XLOOKUP(C741, Channel_Listings!C:C, Channel_Listings!B:B)
</f>
        <v>Apparel_Caps_Beanies</v>
      </c>
      <c r="C741" s="23" t="s">
        <v>1202</v>
      </c>
      <c r="D741" s="14" t="str">
        <f t="array" ref="D741">XLOOKUP(C741, Channel_Listings!C:C, Channel_Listings!D:D)
</f>
        <v>BEANIE-FOLD-KING-LIGHT GREEN</v>
      </c>
      <c r="E741" s="15"/>
      <c r="F741" s="16">
        <f t="array" ref="F741">IFERROR(
  VALUE( INDEX(Product_Master!$I:$I,
               MATCH( INDEX(Pack_Master!$B:$B, MATCH($D741, Pack_Master!$A:$A, 0)),
                      Product_Master!$B:$B, 0)
  )) 
  * VALUE( INDEX(Pack_Master!$C:$C, MATCH($D741, Pack_Master!$A:$A, 0)) )
  + VALUE( INDEX(Pack_Master!$D:$D, MATCH($D741, Pack_Master!$A:$A, 0)) ),
"")
</f>
        <v>109</v>
      </c>
      <c r="G741" s="17">
        <f t="array" ref="G741">IFERROR(
 ( INDEX(Pack_Master!E:E, MATCH($D741, Pack_Master!A:A, 0))
   * INDEX(Pack_Master!F:F, MATCH($D741, Pack_Master!A:A, 0))
   * INDEX(Pack_Master!G:G, MATCH($D741, Pack_Master!A:A, 0))
 ) / INDEX(Config!C:C, MATCH($A741, Config!A:A, 0)),
"")
</f>
        <v>0.375</v>
      </c>
      <c r="H741" s="17">
        <f t="array" ref="H741">MAX( INDEX(Pack_Master!H:H, MATCH($D741, Pack_Master!A:A, 0)),
      IFERROR(G741, 0) )
</f>
        <v>0.5</v>
      </c>
      <c r="I741" s="18">
        <f>IFERROR(__xludf.DUMMYFUNCTION("IFERROR(
 INDEX(
   FILTER(Shipping_Rate_Card!B:F, Shipping_Rate_Card!A:A=$A741),
   MATCH($H741, FILTER(Shipping_Rate_Card!B:B, Shipping_Rate_Card!A:A=$A741), 1),
   IF( INDEX(Config!B:B, MATCH($A741, Config!A:A, 0))=""Local"", 2,
     IF( INDEX(Config!B"&amp;":B, MATCH($A741, Config!A:A, 0))=""Regional"", 3, 4 )
   )
 ),
"""")
"),75.0)</f>
        <v>75</v>
      </c>
      <c r="J741" s="16">
        <f>IFERROR(__xludf.DUMMYFUNCTION("IFERROR(
 ( E741 * INDEX(FILTER(Pricing_Rules!E:E, Pricing_Rules!A:A=A741, Pricing_Rules!B:B=B741, Pricing_Rules!C:C&lt;=E741, Pricing_Rules!D:D&gt;=E741), 1)
   + INDEX(FILTER(Pricing_Rules!F:F, Pricing_Rules!A:A=A741, Pricing_Rules!B:B=B741, Pricing_Rules!C:C"&amp;"&lt;=E741, Pricing_Rules!D:D&gt;=E741), 1)
 )
 * (1 + IFERROR( INDEX(Config!D:D, MATCH(A741, Config!A:A, 0)), 0 )),
"""")
"),15.34)</f>
        <v>15.34</v>
      </c>
      <c r="K741" s="19">
        <f t="shared" si="3"/>
        <v>-199.34</v>
      </c>
      <c r="L741" s="20" t="str">
        <f t="shared" si="4"/>
        <v/>
      </c>
    </row>
    <row r="742" ht="15.75" customHeight="1">
      <c r="A742" s="9" t="s">
        <v>1162</v>
      </c>
      <c r="B742" s="12" t="str">
        <f t="array" ref="B742">XLOOKUP(C742, Channel_Listings!C:C, Channel_Listings!B:B)
</f>
        <v>Apparel_Caps_Beanies</v>
      </c>
      <c r="C742" s="23" t="s">
        <v>240</v>
      </c>
      <c r="D742" s="14" t="str">
        <f t="array" ref="D742">XLOOKUP(C742, Channel_Listings!C:C, Channel_Listings!D:D)
</f>
        <v>BEANIE-FOLD-KING-MAROON</v>
      </c>
      <c r="E742" s="15"/>
      <c r="F742" s="16">
        <f t="array" ref="F742">IFERROR(
  VALUE( INDEX(Product_Master!$I:$I,
               MATCH( INDEX(Pack_Master!$B:$B, MATCH($D742, Pack_Master!$A:$A, 0)),
                      Product_Master!$B:$B, 0)
  )) 
  * VALUE( INDEX(Pack_Master!$C:$C, MATCH($D742, Pack_Master!$A:$A, 0)) )
  + VALUE( INDEX(Pack_Master!$D:$D, MATCH($D742, Pack_Master!$A:$A, 0)) ),
"")
</f>
        <v>109</v>
      </c>
      <c r="G742" s="17">
        <f t="array" ref="G742">IFERROR(
 ( INDEX(Pack_Master!E:E, MATCH($D742, Pack_Master!A:A, 0))
   * INDEX(Pack_Master!F:F, MATCH($D742, Pack_Master!A:A, 0))
   * INDEX(Pack_Master!G:G, MATCH($D742, Pack_Master!A:A, 0))
 ) / INDEX(Config!C:C, MATCH($A742, Config!A:A, 0)),
"")
</f>
        <v>0.375</v>
      </c>
      <c r="H742" s="17">
        <f t="array" ref="H742">MAX( INDEX(Pack_Master!H:H, MATCH($D742, Pack_Master!A:A, 0)),
      IFERROR(G742, 0) )
</f>
        <v>0.5</v>
      </c>
      <c r="I742" s="18">
        <f>IFERROR(__xludf.DUMMYFUNCTION("IFERROR(
 INDEX(
   FILTER(Shipping_Rate_Card!B:F, Shipping_Rate_Card!A:A=$A742),
   MATCH($H742, FILTER(Shipping_Rate_Card!B:B, Shipping_Rate_Card!A:A=$A742), 1),
   IF( INDEX(Config!B:B, MATCH($A742, Config!A:A, 0))=""Local"", 2,
     IF( INDEX(Config!B"&amp;":B, MATCH($A742, Config!A:A, 0))=""Regional"", 3, 4 )
   )
 ),
"""")
"),75.0)</f>
        <v>75</v>
      </c>
      <c r="J742" s="16">
        <f>IFERROR(__xludf.DUMMYFUNCTION("IFERROR(
 ( E742 * INDEX(FILTER(Pricing_Rules!E:E, Pricing_Rules!A:A=A742, Pricing_Rules!B:B=B742, Pricing_Rules!C:C&lt;=E742, Pricing_Rules!D:D&gt;=E742), 1)
   + INDEX(FILTER(Pricing_Rules!F:F, Pricing_Rules!A:A=A742, Pricing_Rules!B:B=B742, Pricing_Rules!C:C"&amp;"&lt;=E742, Pricing_Rules!D:D&gt;=E742), 1)
 )
 * (1 + IFERROR( INDEX(Config!D:D, MATCH(A742, Config!A:A, 0)), 0 )),
"""")
"),15.34)</f>
        <v>15.34</v>
      </c>
      <c r="K742" s="19">
        <f t="shared" si="3"/>
        <v>-199.34</v>
      </c>
      <c r="L742" s="20" t="str">
        <f t="shared" si="4"/>
        <v/>
      </c>
    </row>
    <row r="743" ht="15.75" customHeight="1">
      <c r="A743" s="9" t="s">
        <v>1162</v>
      </c>
      <c r="B743" s="12" t="str">
        <f t="array" ref="B743">XLOOKUP(C743, Channel_Listings!C:C, Channel_Listings!B:B)
</f>
        <v>Apparel_Caps_Beanies</v>
      </c>
      <c r="C743" s="23" t="s">
        <v>256</v>
      </c>
      <c r="D743" s="14" t="str">
        <f t="array" ref="D743">XLOOKUP(C743, Channel_Listings!C:C, Channel_Listings!D:D)
</f>
        <v>BEANIE-SHORTFUR-BEIGE</v>
      </c>
      <c r="E743" s="15"/>
      <c r="F743" s="16">
        <f t="array" ref="F743">IFERROR(
  VALUE( INDEX(Product_Master!$I:$I,
               MATCH( INDEX(Pack_Master!$B:$B, MATCH($D743, Pack_Master!$A:$A, 0)),
                      Product_Master!$B:$B, 0)
  )) 
  * VALUE( INDEX(Pack_Master!$C:$C, MATCH($D743, Pack_Master!$A:$A, 0)) )
  + VALUE( INDEX(Pack_Master!$D:$D, MATCH($D743, Pack_Master!$A:$A, 0)) ),
"")
</f>
        <v>109</v>
      </c>
      <c r="G743" s="17">
        <f t="array" ref="G743">IFERROR(
 ( INDEX(Pack_Master!E:E, MATCH($D743, Pack_Master!A:A, 0))
   * INDEX(Pack_Master!F:F, MATCH($D743, Pack_Master!A:A, 0))
   * INDEX(Pack_Master!G:G, MATCH($D743, Pack_Master!A:A, 0))
 ) / INDEX(Config!C:C, MATCH($A743, Config!A:A, 0)),
"")
</f>
        <v>0.375</v>
      </c>
      <c r="H743" s="17">
        <f t="array" ref="H743">MAX( INDEX(Pack_Master!H:H, MATCH($D743, Pack_Master!A:A, 0)),
      IFERROR(G743, 0) )
</f>
        <v>0.5</v>
      </c>
      <c r="I743" s="18">
        <f>IFERROR(__xludf.DUMMYFUNCTION("IFERROR(
 INDEX(
   FILTER(Shipping_Rate_Card!B:F, Shipping_Rate_Card!A:A=$A743),
   MATCH($H743, FILTER(Shipping_Rate_Card!B:B, Shipping_Rate_Card!A:A=$A743), 1),
   IF( INDEX(Config!B:B, MATCH($A743, Config!A:A, 0))=""Local"", 2,
     IF( INDEX(Config!B"&amp;":B, MATCH($A743, Config!A:A, 0))=""Regional"", 3, 4 )
   )
 ),
"""")
"),75.0)</f>
        <v>75</v>
      </c>
      <c r="J743" s="16">
        <f>IFERROR(__xludf.DUMMYFUNCTION("IFERROR(
 ( E743 * INDEX(FILTER(Pricing_Rules!E:E, Pricing_Rules!A:A=A743, Pricing_Rules!B:B=B743, Pricing_Rules!C:C&lt;=E743, Pricing_Rules!D:D&gt;=E743), 1)
   + INDEX(FILTER(Pricing_Rules!F:F, Pricing_Rules!A:A=A743, Pricing_Rules!B:B=B743, Pricing_Rules!C:C"&amp;"&lt;=E743, Pricing_Rules!D:D&gt;=E743), 1)
 )
 * (1 + IFERROR( INDEX(Config!D:D, MATCH(A743, Config!A:A, 0)), 0 )),
"""")
"),15.34)</f>
        <v>15.34</v>
      </c>
      <c r="K743" s="19">
        <f t="shared" si="3"/>
        <v>-199.34</v>
      </c>
      <c r="L743" s="20" t="str">
        <f t="shared" si="4"/>
        <v/>
      </c>
    </row>
    <row r="744" ht="15.75" customHeight="1">
      <c r="A744" s="9" t="s">
        <v>1162</v>
      </c>
      <c r="B744" s="12" t="str">
        <f t="array" ref="B744">XLOOKUP(C744, Channel_Listings!C:C, Channel_Listings!B:B)
</f>
        <v>Apparel_Caps_Beanies</v>
      </c>
      <c r="C744" s="23" t="s">
        <v>258</v>
      </c>
      <c r="D744" s="14" t="str">
        <f t="array" ref="D744">XLOOKUP(C744, Channel_Listings!C:C, Channel_Listings!D:D)
</f>
        <v>BEANIE-SHORTFUR-BLACK</v>
      </c>
      <c r="E744" s="15"/>
      <c r="F744" s="16">
        <f t="array" ref="F744">IFERROR(
  VALUE( INDEX(Product_Master!$I:$I,
               MATCH( INDEX(Pack_Master!$B:$B, MATCH($D744, Pack_Master!$A:$A, 0)),
                      Product_Master!$B:$B, 0)
  )) 
  * VALUE( INDEX(Pack_Master!$C:$C, MATCH($D744, Pack_Master!$A:$A, 0)) )
  + VALUE( INDEX(Pack_Master!$D:$D, MATCH($D744, Pack_Master!$A:$A, 0)) ),
"")
</f>
        <v>109</v>
      </c>
      <c r="G744" s="17">
        <f t="array" ref="G744">IFERROR(
 ( INDEX(Pack_Master!E:E, MATCH($D744, Pack_Master!A:A, 0))
   * INDEX(Pack_Master!F:F, MATCH($D744, Pack_Master!A:A, 0))
   * INDEX(Pack_Master!G:G, MATCH($D744, Pack_Master!A:A, 0))
 ) / INDEX(Config!C:C, MATCH($A744, Config!A:A, 0)),
"")
</f>
        <v>0.375</v>
      </c>
      <c r="H744" s="17">
        <f t="array" ref="H744">MAX( INDEX(Pack_Master!H:H, MATCH($D744, Pack_Master!A:A, 0)),
      IFERROR(G744, 0) )
</f>
        <v>0.5</v>
      </c>
      <c r="I744" s="18">
        <f>IFERROR(__xludf.DUMMYFUNCTION("IFERROR(
 INDEX(
   FILTER(Shipping_Rate_Card!B:F, Shipping_Rate_Card!A:A=$A744),
   MATCH($H744, FILTER(Shipping_Rate_Card!B:B, Shipping_Rate_Card!A:A=$A744), 1),
   IF( INDEX(Config!B:B, MATCH($A744, Config!A:A, 0))=""Local"", 2,
     IF( INDEX(Config!B"&amp;":B, MATCH($A744, Config!A:A, 0))=""Regional"", 3, 4 )
   )
 ),
"""")
"),75.0)</f>
        <v>75</v>
      </c>
      <c r="J744" s="16">
        <f>IFERROR(__xludf.DUMMYFUNCTION("IFERROR(
 ( E744 * INDEX(FILTER(Pricing_Rules!E:E, Pricing_Rules!A:A=A744, Pricing_Rules!B:B=B744, Pricing_Rules!C:C&lt;=E744, Pricing_Rules!D:D&gt;=E744), 1)
   + INDEX(FILTER(Pricing_Rules!F:F, Pricing_Rules!A:A=A744, Pricing_Rules!B:B=B744, Pricing_Rules!C:C"&amp;"&lt;=E744, Pricing_Rules!D:D&gt;=E744), 1)
 )
 * (1 + IFERROR( INDEX(Config!D:D, MATCH(A744, Config!A:A, 0)), 0 )),
"""")
"),15.34)</f>
        <v>15.34</v>
      </c>
      <c r="K744" s="19">
        <f t="shared" si="3"/>
        <v>-199.34</v>
      </c>
      <c r="L744" s="20" t="str">
        <f t="shared" si="4"/>
        <v/>
      </c>
    </row>
    <row r="745" ht="15.75" customHeight="1">
      <c r="A745" s="9" t="s">
        <v>1162</v>
      </c>
      <c r="B745" s="12" t="str">
        <f t="array" ref="B745">XLOOKUP(C745, Channel_Listings!C:C, Channel_Listings!B:B)
</f>
        <v>Apparel_Caps_Beanies</v>
      </c>
      <c r="C745" s="23" t="s">
        <v>264</v>
      </c>
      <c r="D745" s="14" t="str">
        <f t="array" ref="D745">XLOOKUP(C745, Channel_Listings!C:C, Channel_Listings!D:D)
</f>
        <v>BEANIE-LONGFUR-GREEN</v>
      </c>
      <c r="E745" s="15"/>
      <c r="F745" s="16">
        <f t="array" ref="F745">IFERROR(
  VALUE( INDEX(Product_Master!$I:$I,
               MATCH( INDEX(Pack_Master!$B:$B, MATCH($D745, Pack_Master!$A:$A, 0)),
                      Product_Master!$B:$B, 0)
  )) 
  * VALUE( INDEX(Pack_Master!$C:$C, MATCH($D745, Pack_Master!$A:$A, 0)) )
  + VALUE( INDEX(Pack_Master!$D:$D, MATCH($D745, Pack_Master!$A:$A, 0)) ),
"")
</f>
        <v>109</v>
      </c>
      <c r="G745" s="17">
        <f t="array" ref="G745">IFERROR(
 ( INDEX(Pack_Master!E:E, MATCH($D745, Pack_Master!A:A, 0))
   * INDEX(Pack_Master!F:F, MATCH($D745, Pack_Master!A:A, 0))
   * INDEX(Pack_Master!G:G, MATCH($D745, Pack_Master!A:A, 0))
 ) / INDEX(Config!C:C, MATCH($A745, Config!A:A, 0)),
"")
</f>
        <v>0.375</v>
      </c>
      <c r="H745" s="17">
        <f t="array" ref="H745">MAX( INDEX(Pack_Master!H:H, MATCH($D745, Pack_Master!A:A, 0)),
      IFERROR(G745, 0) )
</f>
        <v>0.5</v>
      </c>
      <c r="I745" s="18">
        <f>IFERROR(__xludf.DUMMYFUNCTION("IFERROR(
 INDEX(
   FILTER(Shipping_Rate_Card!B:F, Shipping_Rate_Card!A:A=$A745),
   MATCH($H745, FILTER(Shipping_Rate_Card!B:B, Shipping_Rate_Card!A:A=$A745), 1),
   IF( INDEX(Config!B:B, MATCH($A745, Config!A:A, 0))=""Local"", 2,
     IF( INDEX(Config!B"&amp;":B, MATCH($A745, Config!A:A, 0))=""Regional"", 3, 4 )
   )
 ),
"""")
"),75.0)</f>
        <v>75</v>
      </c>
      <c r="J745" s="16">
        <f>IFERROR(__xludf.DUMMYFUNCTION("IFERROR(
 ( E745 * INDEX(FILTER(Pricing_Rules!E:E, Pricing_Rules!A:A=A745, Pricing_Rules!B:B=B745, Pricing_Rules!C:C&lt;=E745, Pricing_Rules!D:D&gt;=E745), 1)
   + INDEX(FILTER(Pricing_Rules!F:F, Pricing_Rules!A:A=A745, Pricing_Rules!B:B=B745, Pricing_Rules!C:C"&amp;"&lt;=E745, Pricing_Rules!D:D&gt;=E745), 1)
 )
 * (1 + IFERROR( INDEX(Config!D:D, MATCH(A745, Config!A:A, 0)), 0 )),
"""")
"),15.34)</f>
        <v>15.34</v>
      </c>
      <c r="K745" s="19">
        <f t="shared" si="3"/>
        <v>-199.34</v>
      </c>
      <c r="L745" s="20" t="str">
        <f t="shared" si="4"/>
        <v/>
      </c>
    </row>
    <row r="746" ht="15.75" customHeight="1">
      <c r="A746" s="9" t="s">
        <v>1162</v>
      </c>
      <c r="B746" s="12" t="str">
        <f t="array" ref="B746">XLOOKUP(C746, Channel_Listings!C:C, Channel_Listings!B:B)
</f>
        <v>Apparel_Caps_Beanies</v>
      </c>
      <c r="C746" s="23" t="s">
        <v>272</v>
      </c>
      <c r="D746" s="14" t="str">
        <f t="array" ref="D746">XLOOKUP(C746, Channel_Listings!C:C, Channel_Listings!D:D)
</f>
        <v>BEANIE-SHORTFUR-RED</v>
      </c>
      <c r="E746" s="15"/>
      <c r="F746" s="16">
        <f t="array" ref="F746">IFERROR(
  VALUE( INDEX(Product_Master!$I:$I,
               MATCH( INDEX(Pack_Master!$B:$B, MATCH($D746, Pack_Master!$A:$A, 0)),
                      Product_Master!$B:$B, 0)
  )) 
  * VALUE( INDEX(Pack_Master!$C:$C, MATCH($D746, Pack_Master!$A:$A, 0)) )
  + VALUE( INDEX(Pack_Master!$D:$D, MATCH($D746, Pack_Master!$A:$A, 0)) ),
"")
</f>
        <v>109</v>
      </c>
      <c r="G746" s="17">
        <f t="array" ref="G746">IFERROR(
 ( INDEX(Pack_Master!E:E, MATCH($D746, Pack_Master!A:A, 0))
   * INDEX(Pack_Master!F:F, MATCH($D746, Pack_Master!A:A, 0))
   * INDEX(Pack_Master!G:G, MATCH($D746, Pack_Master!A:A, 0))
 ) / INDEX(Config!C:C, MATCH($A746, Config!A:A, 0)),
"")
</f>
        <v>0.375</v>
      </c>
      <c r="H746" s="17">
        <f t="array" ref="H746">MAX( INDEX(Pack_Master!H:H, MATCH($D746, Pack_Master!A:A, 0)),
      IFERROR(G746, 0) )
</f>
        <v>0.5</v>
      </c>
      <c r="I746" s="18">
        <f>IFERROR(__xludf.DUMMYFUNCTION("IFERROR(
 INDEX(
   FILTER(Shipping_Rate_Card!B:F, Shipping_Rate_Card!A:A=$A746),
   MATCH($H746, FILTER(Shipping_Rate_Card!B:B, Shipping_Rate_Card!A:A=$A746), 1),
   IF( INDEX(Config!B:B, MATCH($A746, Config!A:A, 0))=""Local"", 2,
     IF( INDEX(Config!B"&amp;":B, MATCH($A746, Config!A:A, 0))=""Regional"", 3, 4 )
   )
 ),
"""")
"),75.0)</f>
        <v>75</v>
      </c>
      <c r="J746" s="16">
        <f>IFERROR(__xludf.DUMMYFUNCTION("IFERROR(
 ( E746 * INDEX(FILTER(Pricing_Rules!E:E, Pricing_Rules!A:A=A746, Pricing_Rules!B:B=B746, Pricing_Rules!C:C&lt;=E746, Pricing_Rules!D:D&gt;=E746), 1)
   + INDEX(FILTER(Pricing_Rules!F:F, Pricing_Rules!A:A=A746, Pricing_Rules!B:B=B746, Pricing_Rules!C:C"&amp;"&lt;=E746, Pricing_Rules!D:D&gt;=E746), 1)
 )
 * (1 + IFERROR( INDEX(Config!D:D, MATCH(A746, Config!A:A, 0)), 0 )),
"""")
"),15.34)</f>
        <v>15.34</v>
      </c>
      <c r="K746" s="19">
        <f t="shared" si="3"/>
        <v>-199.34</v>
      </c>
      <c r="L746" s="20" t="str">
        <f t="shared" si="4"/>
        <v/>
      </c>
    </row>
    <row r="747" ht="15.75" customHeight="1">
      <c r="A747" s="9" t="s">
        <v>1162</v>
      </c>
      <c r="B747" s="12" t="str">
        <f t="array" ref="B747">XLOOKUP(C747, Channel_Listings!C:C, Channel_Listings!B:B)
</f>
        <v>Apparel_Caps_Beanies</v>
      </c>
      <c r="C747" s="23" t="s">
        <v>273</v>
      </c>
      <c r="D747" s="14" t="str">
        <f t="array" ref="D747">XLOOKUP(C747, Channel_Listings!C:C, Channel_Listings!D:D)
</f>
        <v>BEANIE-FUR-SHORT-YELLOW</v>
      </c>
      <c r="E747" s="15"/>
      <c r="F747" s="16">
        <f t="array" ref="F747">IFERROR(
  VALUE( INDEX(Product_Master!$I:$I,
               MATCH( INDEX(Pack_Master!$B:$B, MATCH($D747, Pack_Master!$A:$A, 0)),
                      Product_Master!$B:$B, 0)
  )) 
  * VALUE( INDEX(Pack_Master!$C:$C, MATCH($D747, Pack_Master!$A:$A, 0)) )
  + VALUE( INDEX(Pack_Master!$D:$D, MATCH($D747, Pack_Master!$A:$A, 0)) ),
"")
</f>
        <v>109</v>
      </c>
      <c r="G747" s="17">
        <f t="array" ref="G747">IFERROR(
 ( INDEX(Pack_Master!E:E, MATCH($D747, Pack_Master!A:A, 0))
   * INDEX(Pack_Master!F:F, MATCH($D747, Pack_Master!A:A, 0))
   * INDEX(Pack_Master!G:G, MATCH($D747, Pack_Master!A:A, 0))
 ) / INDEX(Config!C:C, MATCH($A747, Config!A:A, 0)),
"")
</f>
        <v>0.375</v>
      </c>
      <c r="H747" s="17">
        <f t="array" ref="H747">MAX( INDEX(Pack_Master!H:H, MATCH($D747, Pack_Master!A:A, 0)),
      IFERROR(G747, 0) )
</f>
        <v>0.5</v>
      </c>
      <c r="I747" s="18">
        <f>IFERROR(__xludf.DUMMYFUNCTION("IFERROR(
 INDEX(
   FILTER(Shipping_Rate_Card!B:F, Shipping_Rate_Card!A:A=$A747),
   MATCH($H747, FILTER(Shipping_Rate_Card!B:B, Shipping_Rate_Card!A:A=$A747), 1),
   IF( INDEX(Config!B:B, MATCH($A747, Config!A:A, 0))=""Local"", 2,
     IF( INDEX(Config!B"&amp;":B, MATCH($A747, Config!A:A, 0))=""Regional"", 3, 4 )
   )
 ),
"""")
"),75.0)</f>
        <v>75</v>
      </c>
      <c r="J747" s="16">
        <f>IFERROR(__xludf.DUMMYFUNCTION("IFERROR(
 ( E747 * INDEX(FILTER(Pricing_Rules!E:E, Pricing_Rules!A:A=A747, Pricing_Rules!B:B=B747, Pricing_Rules!C:C&lt;=E747, Pricing_Rules!D:D&gt;=E747), 1)
   + INDEX(FILTER(Pricing_Rules!F:F, Pricing_Rules!A:A=A747, Pricing_Rules!B:B=B747, Pricing_Rules!C:C"&amp;"&lt;=E747, Pricing_Rules!D:D&gt;=E747), 1)
 )
 * (1 + IFERROR( INDEX(Config!D:D, MATCH(A747, Config!A:A, 0)), 0 )),
"""")
"),15.34)</f>
        <v>15.34</v>
      </c>
      <c r="K747" s="19">
        <f t="shared" si="3"/>
        <v>-199.34</v>
      </c>
      <c r="L747" s="20" t="str">
        <f t="shared" si="4"/>
        <v/>
      </c>
    </row>
    <row r="748" ht="15.75" customHeight="1">
      <c r="A748" s="9" t="s">
        <v>1162</v>
      </c>
      <c r="B748" s="12" t="str">
        <f t="array" ref="B748">XLOOKUP(C748, Channel_Listings!C:C, Channel_Listings!B:B)
</f>
        <v>Apparel_Caps_Beanies</v>
      </c>
      <c r="C748" s="23" t="s">
        <v>283</v>
      </c>
      <c r="D748" s="14" t="str">
        <f t="array" ref="D748">XLOOKUP(C748, Channel_Listings!C:C, Channel_Listings!D:D)
</f>
        <v>BEANIE-LONGFUR-BEIGE</v>
      </c>
      <c r="E748" s="15"/>
      <c r="F748" s="16">
        <f t="array" ref="F748">IFERROR(
  VALUE( INDEX(Product_Master!$I:$I,
               MATCH( INDEX(Pack_Master!$B:$B, MATCH($D748, Pack_Master!$A:$A, 0)),
                      Product_Master!$B:$B, 0)
  )) 
  * VALUE( INDEX(Pack_Master!$C:$C, MATCH($D748, Pack_Master!$A:$A, 0)) )
  + VALUE( INDEX(Pack_Master!$D:$D, MATCH($D748, Pack_Master!$A:$A, 0)) ),
"")
</f>
        <v>109</v>
      </c>
      <c r="G748" s="17">
        <f t="array" ref="G748">IFERROR(
 ( INDEX(Pack_Master!E:E, MATCH($D748, Pack_Master!A:A, 0))
   * INDEX(Pack_Master!F:F, MATCH($D748, Pack_Master!A:A, 0))
   * INDEX(Pack_Master!G:G, MATCH($D748, Pack_Master!A:A, 0))
 ) / INDEX(Config!C:C, MATCH($A748, Config!A:A, 0)),
"")
</f>
        <v>0.375</v>
      </c>
      <c r="H748" s="17">
        <f t="array" ref="H748">MAX( INDEX(Pack_Master!H:H, MATCH($D748, Pack_Master!A:A, 0)),
      IFERROR(G748, 0) )
</f>
        <v>0.5</v>
      </c>
      <c r="I748" s="18">
        <f>IFERROR(__xludf.DUMMYFUNCTION("IFERROR(
 INDEX(
   FILTER(Shipping_Rate_Card!B:F, Shipping_Rate_Card!A:A=$A748),
   MATCH($H748, FILTER(Shipping_Rate_Card!B:B, Shipping_Rate_Card!A:A=$A748), 1),
   IF( INDEX(Config!B:B, MATCH($A748, Config!A:A, 0))=""Local"", 2,
     IF( INDEX(Config!B"&amp;":B, MATCH($A748, Config!A:A, 0))=""Regional"", 3, 4 )
   )
 ),
"""")
"),75.0)</f>
        <v>75</v>
      </c>
      <c r="J748" s="16">
        <f>IFERROR(__xludf.DUMMYFUNCTION("IFERROR(
 ( E748 * INDEX(FILTER(Pricing_Rules!E:E, Pricing_Rules!A:A=A748, Pricing_Rules!B:B=B748, Pricing_Rules!C:C&lt;=E748, Pricing_Rules!D:D&gt;=E748), 1)
   + INDEX(FILTER(Pricing_Rules!F:F, Pricing_Rules!A:A=A748, Pricing_Rules!B:B=B748, Pricing_Rules!C:C"&amp;"&lt;=E748, Pricing_Rules!D:D&gt;=E748), 1)
 )
 * (1 + IFERROR( INDEX(Config!D:D, MATCH(A748, Config!A:A, 0)), 0 )),
"""")
"),15.34)</f>
        <v>15.34</v>
      </c>
      <c r="K748" s="19">
        <f t="shared" si="3"/>
        <v>-199.34</v>
      </c>
      <c r="L748" s="20" t="str">
        <f t="shared" si="4"/>
        <v/>
      </c>
    </row>
    <row r="749" ht="15.75" customHeight="1">
      <c r="A749" s="9" t="s">
        <v>1162</v>
      </c>
      <c r="B749" s="12" t="str">
        <f t="array" ref="B749">XLOOKUP(C749, Channel_Listings!C:C, Channel_Listings!B:B)
</f>
        <v>Apparel_Caps_Beanies</v>
      </c>
      <c r="C749" s="23" t="s">
        <v>281</v>
      </c>
      <c r="D749" s="14" t="str">
        <f t="array" ref="D749">XLOOKUP(C749, Channel_Listings!C:C, Channel_Listings!D:D)
</f>
        <v>BEANIE-LONGFUR-BLACK</v>
      </c>
      <c r="E749" s="15"/>
      <c r="F749" s="16">
        <f t="array" ref="F749">IFERROR(
  VALUE( INDEX(Product_Master!$I:$I,
               MATCH( INDEX(Pack_Master!$B:$B, MATCH($D749, Pack_Master!$A:$A, 0)),
                      Product_Master!$B:$B, 0)
  )) 
  * VALUE( INDEX(Pack_Master!$C:$C, MATCH($D749, Pack_Master!$A:$A, 0)) )
  + VALUE( INDEX(Pack_Master!$D:$D, MATCH($D749, Pack_Master!$A:$A, 0)) ),
"")
</f>
        <v>109</v>
      </c>
      <c r="G749" s="17">
        <f t="array" ref="G749">IFERROR(
 ( INDEX(Pack_Master!E:E, MATCH($D749, Pack_Master!A:A, 0))
   * INDEX(Pack_Master!F:F, MATCH($D749, Pack_Master!A:A, 0))
   * INDEX(Pack_Master!G:G, MATCH($D749, Pack_Master!A:A, 0))
 ) / INDEX(Config!C:C, MATCH($A749, Config!A:A, 0)),
"")
</f>
        <v>0.375</v>
      </c>
      <c r="H749" s="17">
        <f t="array" ref="H749">MAX( INDEX(Pack_Master!H:H, MATCH($D749, Pack_Master!A:A, 0)),
      IFERROR(G749, 0) )
</f>
        <v>0.5</v>
      </c>
      <c r="I749" s="18">
        <f>IFERROR(__xludf.DUMMYFUNCTION("IFERROR(
 INDEX(
   FILTER(Shipping_Rate_Card!B:F, Shipping_Rate_Card!A:A=$A749),
   MATCH($H749, FILTER(Shipping_Rate_Card!B:B, Shipping_Rate_Card!A:A=$A749), 1),
   IF( INDEX(Config!B:B, MATCH($A749, Config!A:A, 0))=""Local"", 2,
     IF( INDEX(Config!B"&amp;":B, MATCH($A749, Config!A:A, 0))=""Regional"", 3, 4 )
   )
 ),
"""")
"),75.0)</f>
        <v>75</v>
      </c>
      <c r="J749" s="16">
        <f>IFERROR(__xludf.DUMMYFUNCTION("IFERROR(
 ( E749 * INDEX(FILTER(Pricing_Rules!E:E, Pricing_Rules!A:A=A749, Pricing_Rules!B:B=B749, Pricing_Rules!C:C&lt;=E749, Pricing_Rules!D:D&gt;=E749), 1)
   + INDEX(FILTER(Pricing_Rules!F:F, Pricing_Rules!A:A=A749, Pricing_Rules!B:B=B749, Pricing_Rules!C:C"&amp;"&lt;=E749, Pricing_Rules!D:D&gt;=E749), 1)
 )
 * (1 + IFERROR( INDEX(Config!D:D, MATCH(A749, Config!A:A, 0)), 0 )),
"""")
"),15.34)</f>
        <v>15.34</v>
      </c>
      <c r="K749" s="19">
        <f t="shared" si="3"/>
        <v>-199.34</v>
      </c>
      <c r="L749" s="20" t="str">
        <f t="shared" si="4"/>
        <v/>
      </c>
    </row>
    <row r="750" ht="15.75" customHeight="1">
      <c r="A750" s="9" t="s">
        <v>1162</v>
      </c>
      <c r="B750" s="12" t="str">
        <f t="array" ref="B750">XLOOKUP(C750, Channel_Listings!C:C, Channel_Listings!B:B)
</f>
        <v>Apparel_Caps_Beanies</v>
      </c>
      <c r="C750" s="23" t="s">
        <v>1213</v>
      </c>
      <c r="D750" s="14" t="str">
        <f t="array" ref="D750">XLOOKUP(C750, Channel_Listings!C:C, Channel_Listings!D:D)
</f>
        <v>BEANIE-LONGFUR-BROWN</v>
      </c>
      <c r="E750" s="15"/>
      <c r="F750" s="16">
        <f t="array" ref="F750">IFERROR(
  VALUE( INDEX(Product_Master!$I:$I,
               MATCH( INDEX(Pack_Master!$B:$B, MATCH($D750, Pack_Master!$A:$A, 0)),
                      Product_Master!$B:$B, 0)
  )) 
  * VALUE( INDEX(Pack_Master!$C:$C, MATCH($D750, Pack_Master!$A:$A, 0)) )
  + VALUE( INDEX(Pack_Master!$D:$D, MATCH($D750, Pack_Master!$A:$A, 0)) ),
"")
</f>
        <v>109</v>
      </c>
      <c r="G750" s="17">
        <f t="array" ref="G750">IFERROR(
 ( INDEX(Pack_Master!E:E, MATCH($D750, Pack_Master!A:A, 0))
   * INDEX(Pack_Master!F:F, MATCH($D750, Pack_Master!A:A, 0))
   * INDEX(Pack_Master!G:G, MATCH($D750, Pack_Master!A:A, 0))
 ) / INDEX(Config!C:C, MATCH($A750, Config!A:A, 0)),
"")
</f>
        <v>0.375</v>
      </c>
      <c r="H750" s="17">
        <f t="array" ref="H750">MAX( INDEX(Pack_Master!H:H, MATCH($D750, Pack_Master!A:A, 0)),
      IFERROR(G750, 0) )
</f>
        <v>0.5</v>
      </c>
      <c r="I750" s="18">
        <f>IFERROR(__xludf.DUMMYFUNCTION("IFERROR(
 INDEX(
   FILTER(Shipping_Rate_Card!B:F, Shipping_Rate_Card!A:A=$A750),
   MATCH($H750, FILTER(Shipping_Rate_Card!B:B, Shipping_Rate_Card!A:A=$A750), 1),
   IF( INDEX(Config!B:B, MATCH($A750, Config!A:A, 0))=""Local"", 2,
     IF( INDEX(Config!B"&amp;":B, MATCH($A750, Config!A:A, 0))=""Regional"", 3, 4 )
   )
 ),
"""")
"),75.0)</f>
        <v>75</v>
      </c>
      <c r="J750" s="16">
        <f>IFERROR(__xludf.DUMMYFUNCTION("IFERROR(
 ( E750 * INDEX(FILTER(Pricing_Rules!E:E, Pricing_Rules!A:A=A750, Pricing_Rules!B:B=B750, Pricing_Rules!C:C&lt;=E750, Pricing_Rules!D:D&gt;=E750), 1)
   + INDEX(FILTER(Pricing_Rules!F:F, Pricing_Rules!A:A=A750, Pricing_Rules!B:B=B750, Pricing_Rules!C:C"&amp;"&lt;=E750, Pricing_Rules!D:D&gt;=E750), 1)
 )
 * (1 + IFERROR( INDEX(Config!D:D, MATCH(A750, Config!A:A, 0)), 0 )),
"""")
"),15.34)</f>
        <v>15.34</v>
      </c>
      <c r="K750" s="19">
        <f t="shared" si="3"/>
        <v>-199.34</v>
      </c>
      <c r="L750" s="20" t="str">
        <f t="shared" si="4"/>
        <v/>
      </c>
    </row>
    <row r="751" ht="15.75" customHeight="1">
      <c r="A751" s="9" t="s">
        <v>1162</v>
      </c>
      <c r="B751" s="12" t="str">
        <f t="array" ref="B751">XLOOKUP(C751, Channel_Listings!C:C, Channel_Listings!B:B)
</f>
        <v>Apparel_Caps_Beanies</v>
      </c>
      <c r="C751" s="23" t="s">
        <v>288</v>
      </c>
      <c r="D751" s="14" t="str">
        <f t="array" ref="D751">XLOOKUP(C751, Channel_Listings!C:C, Channel_Listings!D:D)
</f>
        <v>BEANIE-LONGFUR-CHARCOAL</v>
      </c>
      <c r="E751" s="15"/>
      <c r="F751" s="16">
        <f t="array" ref="F751">IFERROR(
  VALUE( INDEX(Product_Master!$I:$I,
               MATCH( INDEX(Pack_Master!$B:$B, MATCH($D751, Pack_Master!$A:$A, 0)),
                      Product_Master!$B:$B, 0)
  )) 
  * VALUE( INDEX(Pack_Master!$C:$C, MATCH($D751, Pack_Master!$A:$A, 0)) )
  + VALUE( INDEX(Pack_Master!$D:$D, MATCH($D751, Pack_Master!$A:$A, 0)) ),
"")
</f>
        <v>109</v>
      </c>
      <c r="G751" s="17">
        <f t="array" ref="G751">IFERROR(
 ( INDEX(Pack_Master!E:E, MATCH($D751, Pack_Master!A:A, 0))
   * INDEX(Pack_Master!F:F, MATCH($D751, Pack_Master!A:A, 0))
   * INDEX(Pack_Master!G:G, MATCH($D751, Pack_Master!A:A, 0))
 ) / INDEX(Config!C:C, MATCH($A751, Config!A:A, 0)),
"")
</f>
        <v>0.375</v>
      </c>
      <c r="H751" s="17">
        <f t="array" ref="H751">MAX( INDEX(Pack_Master!H:H, MATCH($D751, Pack_Master!A:A, 0)),
      IFERROR(G751, 0) )
</f>
        <v>0.5</v>
      </c>
      <c r="I751" s="18">
        <f>IFERROR(__xludf.DUMMYFUNCTION("IFERROR(
 INDEX(
   FILTER(Shipping_Rate_Card!B:F, Shipping_Rate_Card!A:A=$A751),
   MATCH($H751, FILTER(Shipping_Rate_Card!B:B, Shipping_Rate_Card!A:A=$A751), 1),
   IF( INDEX(Config!B:B, MATCH($A751, Config!A:A, 0))=""Local"", 2,
     IF( INDEX(Config!B"&amp;":B, MATCH($A751, Config!A:A, 0))=""Regional"", 3, 4 )
   )
 ),
"""")
"),75.0)</f>
        <v>75</v>
      </c>
      <c r="J751" s="16">
        <f>IFERROR(__xludf.DUMMYFUNCTION("IFERROR(
 ( E751 * INDEX(FILTER(Pricing_Rules!E:E, Pricing_Rules!A:A=A751, Pricing_Rules!B:B=B751, Pricing_Rules!C:C&lt;=E751, Pricing_Rules!D:D&gt;=E751), 1)
   + INDEX(FILTER(Pricing_Rules!F:F, Pricing_Rules!A:A=A751, Pricing_Rules!B:B=B751, Pricing_Rules!C:C"&amp;"&lt;=E751, Pricing_Rules!D:D&gt;=E751), 1)
 )
 * (1 + IFERROR( INDEX(Config!D:D, MATCH(A751, Config!A:A, 0)), 0 )),
"""")
"),15.34)</f>
        <v>15.34</v>
      </c>
      <c r="K751" s="19">
        <f t="shared" si="3"/>
        <v>-199.34</v>
      </c>
      <c r="L751" s="20" t="str">
        <f t="shared" si="4"/>
        <v/>
      </c>
    </row>
    <row r="752" ht="15.75" customHeight="1">
      <c r="A752" s="9" t="s">
        <v>1162</v>
      </c>
      <c r="B752" s="12" t="str">
        <f t="array" ref="B752">XLOOKUP(C752, Channel_Listings!C:C, Channel_Listings!B:B)
</f>
        <v>Apparel_Caps_Beanies</v>
      </c>
      <c r="C752" s="23" t="s">
        <v>291</v>
      </c>
      <c r="D752" s="14" t="str">
        <f t="array" ref="D752">XLOOKUP(C752, Channel_Listings!C:C, Channel_Listings!D:D)
</f>
        <v>BEANIE-LONGFUR-MAROON</v>
      </c>
      <c r="E752" s="15"/>
      <c r="F752" s="16">
        <f t="array" ref="F752">IFERROR(
  VALUE( INDEX(Product_Master!$I:$I,
               MATCH( INDEX(Pack_Master!$B:$B, MATCH($D752, Pack_Master!$A:$A, 0)),
                      Product_Master!$B:$B, 0)
  )) 
  * VALUE( INDEX(Pack_Master!$C:$C, MATCH($D752, Pack_Master!$A:$A, 0)) )
  + VALUE( INDEX(Pack_Master!$D:$D, MATCH($D752, Pack_Master!$A:$A, 0)) ),
"")
</f>
        <v>109</v>
      </c>
      <c r="G752" s="17">
        <f t="array" ref="G752">IFERROR(
 ( INDEX(Pack_Master!E:E, MATCH($D752, Pack_Master!A:A, 0))
   * INDEX(Pack_Master!F:F, MATCH($D752, Pack_Master!A:A, 0))
   * INDEX(Pack_Master!G:G, MATCH($D752, Pack_Master!A:A, 0))
 ) / INDEX(Config!C:C, MATCH($A752, Config!A:A, 0)),
"")
</f>
        <v>0.375</v>
      </c>
      <c r="H752" s="17">
        <f t="array" ref="H752">MAX( INDEX(Pack_Master!H:H, MATCH($D752, Pack_Master!A:A, 0)),
      IFERROR(G752, 0) )
</f>
        <v>0.5</v>
      </c>
      <c r="I752" s="18">
        <f>IFERROR(__xludf.DUMMYFUNCTION("IFERROR(
 INDEX(
   FILTER(Shipping_Rate_Card!B:F, Shipping_Rate_Card!A:A=$A752),
   MATCH($H752, FILTER(Shipping_Rate_Card!B:B, Shipping_Rate_Card!A:A=$A752), 1),
   IF( INDEX(Config!B:B, MATCH($A752, Config!A:A, 0))=""Local"", 2,
     IF( INDEX(Config!B"&amp;":B, MATCH($A752, Config!A:A, 0))=""Regional"", 3, 4 )
   )
 ),
"""")
"),75.0)</f>
        <v>75</v>
      </c>
      <c r="J752" s="16">
        <f>IFERROR(__xludf.DUMMYFUNCTION("IFERROR(
 ( E752 * INDEX(FILTER(Pricing_Rules!E:E, Pricing_Rules!A:A=A752, Pricing_Rules!B:B=B752, Pricing_Rules!C:C&lt;=E752, Pricing_Rules!D:D&gt;=E752), 1)
   + INDEX(FILTER(Pricing_Rules!F:F, Pricing_Rules!A:A=A752, Pricing_Rules!B:B=B752, Pricing_Rules!C:C"&amp;"&lt;=E752, Pricing_Rules!D:D&gt;=E752), 1)
 )
 * (1 + IFERROR( INDEX(Config!D:D, MATCH(A752, Config!A:A, 0)), 0 )),
"""")
"),15.34)</f>
        <v>15.34</v>
      </c>
      <c r="K752" s="19">
        <f t="shared" si="3"/>
        <v>-199.34</v>
      </c>
      <c r="L752" s="20" t="str">
        <f t="shared" si="4"/>
        <v/>
      </c>
    </row>
    <row r="753" ht="15.75" customHeight="1">
      <c r="A753" s="9" t="s">
        <v>1162</v>
      </c>
      <c r="B753" s="12" t="str">
        <f t="array" ref="B753">XLOOKUP(C753, Channel_Listings!C:C, Channel_Listings!B:B)
</f>
        <v>Apparel_Caps_Beanies</v>
      </c>
      <c r="C753" s="23" t="s">
        <v>293</v>
      </c>
      <c r="D753" s="14" t="str">
        <f t="array" ref="D753">XLOOKUP(C753, Channel_Listings!C:C, Channel_Listings!D:D)
</f>
        <v>BEANIE-LONGFUR-NAVYBLUE</v>
      </c>
      <c r="E753" s="15"/>
      <c r="F753" s="16">
        <f t="array" ref="F753">IFERROR(
  VALUE( INDEX(Product_Master!$I:$I,
               MATCH( INDEX(Pack_Master!$B:$B, MATCH($D753, Pack_Master!$A:$A, 0)),
                      Product_Master!$B:$B, 0)
  )) 
  * VALUE( INDEX(Pack_Master!$C:$C, MATCH($D753, Pack_Master!$A:$A, 0)) )
  + VALUE( INDEX(Pack_Master!$D:$D, MATCH($D753, Pack_Master!$A:$A, 0)) ),
"")
</f>
        <v>109</v>
      </c>
      <c r="G753" s="17">
        <f t="array" ref="G753">IFERROR(
 ( INDEX(Pack_Master!E:E, MATCH($D753, Pack_Master!A:A, 0))
   * INDEX(Pack_Master!F:F, MATCH($D753, Pack_Master!A:A, 0))
   * INDEX(Pack_Master!G:G, MATCH($D753, Pack_Master!A:A, 0))
 ) / INDEX(Config!C:C, MATCH($A753, Config!A:A, 0)),
"")
</f>
        <v>0.375</v>
      </c>
      <c r="H753" s="17">
        <f t="array" ref="H753">MAX( INDEX(Pack_Master!H:H, MATCH($D753, Pack_Master!A:A, 0)),
      IFERROR(G753, 0) )
</f>
        <v>0.5</v>
      </c>
      <c r="I753" s="18">
        <f>IFERROR(__xludf.DUMMYFUNCTION("IFERROR(
 INDEX(
   FILTER(Shipping_Rate_Card!B:F, Shipping_Rate_Card!A:A=$A753),
   MATCH($H753, FILTER(Shipping_Rate_Card!B:B, Shipping_Rate_Card!A:A=$A753), 1),
   IF( INDEX(Config!B:B, MATCH($A753, Config!A:A, 0))=""Local"", 2,
     IF( INDEX(Config!B"&amp;":B, MATCH($A753, Config!A:A, 0))=""Regional"", 3, 4 )
   )
 ),
"""")
"),75.0)</f>
        <v>75</v>
      </c>
      <c r="J753" s="16">
        <f>IFERROR(__xludf.DUMMYFUNCTION("IFERROR(
 ( E753 * INDEX(FILTER(Pricing_Rules!E:E, Pricing_Rules!A:A=A753, Pricing_Rules!B:B=B753, Pricing_Rules!C:C&lt;=E753, Pricing_Rules!D:D&gt;=E753), 1)
   + INDEX(FILTER(Pricing_Rules!F:F, Pricing_Rules!A:A=A753, Pricing_Rules!B:B=B753, Pricing_Rules!C:C"&amp;"&lt;=E753, Pricing_Rules!D:D&gt;=E753), 1)
 )
 * (1 + IFERROR( INDEX(Config!D:D, MATCH(A753, Config!A:A, 0)), 0 )),
"""")
"),15.34)</f>
        <v>15.34</v>
      </c>
      <c r="K753" s="19">
        <f t="shared" si="3"/>
        <v>-199.34</v>
      </c>
      <c r="L753" s="20" t="str">
        <f t="shared" si="4"/>
        <v/>
      </c>
    </row>
    <row r="754" ht="15.75" customHeight="1">
      <c r="A754" s="9" t="s">
        <v>1162</v>
      </c>
      <c r="B754" s="12" t="str">
        <f t="array" ref="B754">XLOOKUP(C754, Channel_Listings!C:C, Channel_Listings!B:B)
</f>
        <v>Apparel_Caps_Beanies</v>
      </c>
      <c r="C754" s="23" t="s">
        <v>263</v>
      </c>
      <c r="D754" s="14" t="str">
        <f t="array" ref="D754">XLOOKUP(C754, Channel_Listings!C:C, Channel_Listings!D:D)
</f>
        <v>BEANIE-SHORTFUR-BROWN</v>
      </c>
      <c r="E754" s="15"/>
      <c r="F754" s="16">
        <f t="array" ref="F754">IFERROR(
  VALUE( INDEX(Product_Master!$I:$I,
               MATCH( INDEX(Pack_Master!$B:$B, MATCH($D754, Pack_Master!$A:$A, 0)),
                      Product_Master!$B:$B, 0)
  )) 
  * VALUE( INDEX(Pack_Master!$C:$C, MATCH($D754, Pack_Master!$A:$A, 0)) )
  + VALUE( INDEX(Pack_Master!$D:$D, MATCH($D754, Pack_Master!$A:$A, 0)) ),
"")
</f>
        <v>109</v>
      </c>
      <c r="G754" s="17">
        <f t="array" ref="G754">IFERROR(
 ( INDEX(Pack_Master!E:E, MATCH($D754, Pack_Master!A:A, 0))
   * INDEX(Pack_Master!F:F, MATCH($D754, Pack_Master!A:A, 0))
   * INDEX(Pack_Master!G:G, MATCH($D754, Pack_Master!A:A, 0))
 ) / INDEX(Config!C:C, MATCH($A754, Config!A:A, 0)),
"")
</f>
        <v>0.375</v>
      </c>
      <c r="H754" s="17">
        <f t="array" ref="H754">MAX( INDEX(Pack_Master!H:H, MATCH($D754, Pack_Master!A:A, 0)),
      IFERROR(G754, 0) )
</f>
        <v>0.5</v>
      </c>
      <c r="I754" s="18">
        <f>IFERROR(__xludf.DUMMYFUNCTION("IFERROR(
 INDEX(
   FILTER(Shipping_Rate_Card!B:F, Shipping_Rate_Card!A:A=$A754),
   MATCH($H754, FILTER(Shipping_Rate_Card!B:B, Shipping_Rate_Card!A:A=$A754), 1),
   IF( INDEX(Config!B:B, MATCH($A754, Config!A:A, 0))=""Local"", 2,
     IF( INDEX(Config!B"&amp;":B, MATCH($A754, Config!A:A, 0))=""Regional"", 3, 4 )
   )
 ),
"""")
"),75.0)</f>
        <v>75</v>
      </c>
      <c r="J754" s="16">
        <f>IFERROR(__xludf.DUMMYFUNCTION("IFERROR(
 ( E754 * INDEX(FILTER(Pricing_Rules!E:E, Pricing_Rules!A:A=A754, Pricing_Rules!B:B=B754, Pricing_Rules!C:C&lt;=E754, Pricing_Rules!D:D&gt;=E754), 1)
   + INDEX(FILTER(Pricing_Rules!F:F, Pricing_Rules!A:A=A754, Pricing_Rules!B:B=B754, Pricing_Rules!C:C"&amp;"&lt;=E754, Pricing_Rules!D:D&gt;=E754), 1)
 )
 * (1 + IFERROR( INDEX(Config!D:D, MATCH(A754, Config!A:A, 0)), 0 )),
"""")
"),15.34)</f>
        <v>15.34</v>
      </c>
      <c r="K754" s="19">
        <f t="shared" si="3"/>
        <v>-199.34</v>
      </c>
      <c r="L754" s="20" t="str">
        <f t="shared" si="4"/>
        <v/>
      </c>
    </row>
    <row r="755" ht="15.75" customHeight="1">
      <c r="A755" s="9" t="s">
        <v>1162</v>
      </c>
      <c r="B755" s="12" t="str">
        <f t="array" ref="B755">XLOOKUP(C755, Channel_Listings!C:C, Channel_Listings!B:B)
</f>
        <v>Apparel_Caps_Beanies</v>
      </c>
      <c r="C755" s="23" t="s">
        <v>267</v>
      </c>
      <c r="D755" s="14" t="str">
        <f t="array" ref="D755">XLOOKUP(C755, Channel_Listings!C:C, Channel_Listings!D:D)
</f>
        <v>BEANIE-SHORTFUR-GREY</v>
      </c>
      <c r="E755" s="15"/>
      <c r="F755" s="16">
        <f t="array" ref="F755">IFERROR(
  VALUE( INDEX(Product_Master!$I:$I,
               MATCH( INDEX(Pack_Master!$B:$B, MATCH($D755, Pack_Master!$A:$A, 0)),
                      Product_Master!$B:$B, 0)
  )) 
  * VALUE( INDEX(Pack_Master!$C:$C, MATCH($D755, Pack_Master!$A:$A, 0)) )
  + VALUE( INDEX(Pack_Master!$D:$D, MATCH($D755, Pack_Master!$A:$A, 0)) ),
"")
</f>
        <v>109</v>
      </c>
      <c r="G755" s="17">
        <f t="array" ref="G755">IFERROR(
 ( INDEX(Pack_Master!E:E, MATCH($D755, Pack_Master!A:A, 0))
   * INDEX(Pack_Master!F:F, MATCH($D755, Pack_Master!A:A, 0))
   * INDEX(Pack_Master!G:G, MATCH($D755, Pack_Master!A:A, 0))
 ) / INDEX(Config!C:C, MATCH($A755, Config!A:A, 0)),
"")
</f>
        <v>0.375</v>
      </c>
      <c r="H755" s="17">
        <f t="array" ref="H755">MAX( INDEX(Pack_Master!H:H, MATCH($D755, Pack_Master!A:A, 0)),
      IFERROR(G755, 0) )
</f>
        <v>0.5</v>
      </c>
      <c r="I755" s="18">
        <f>IFERROR(__xludf.DUMMYFUNCTION("IFERROR(
 INDEX(
   FILTER(Shipping_Rate_Card!B:F, Shipping_Rate_Card!A:A=$A755),
   MATCH($H755, FILTER(Shipping_Rate_Card!B:B, Shipping_Rate_Card!A:A=$A755), 1),
   IF( INDEX(Config!B:B, MATCH($A755, Config!A:A, 0))=""Local"", 2,
     IF( INDEX(Config!B"&amp;":B, MATCH($A755, Config!A:A, 0))=""Regional"", 3, 4 )
   )
 ),
"""")
"),75.0)</f>
        <v>75</v>
      </c>
      <c r="J755" s="16">
        <f>IFERROR(__xludf.DUMMYFUNCTION("IFERROR(
 ( E755 * INDEX(FILTER(Pricing_Rules!E:E, Pricing_Rules!A:A=A755, Pricing_Rules!B:B=B755, Pricing_Rules!C:C&lt;=E755, Pricing_Rules!D:D&gt;=E755), 1)
   + INDEX(FILTER(Pricing_Rules!F:F, Pricing_Rules!A:A=A755, Pricing_Rules!B:B=B755, Pricing_Rules!C:C"&amp;"&lt;=E755, Pricing_Rules!D:D&gt;=E755), 1)
 )
 * (1 + IFERROR( INDEX(Config!D:D, MATCH(A755, Config!A:A, 0)), 0 )),
"""")
"),15.34)</f>
        <v>15.34</v>
      </c>
      <c r="K755" s="19">
        <f t="shared" si="3"/>
        <v>-199.34</v>
      </c>
      <c r="L755" s="20" t="str">
        <f t="shared" si="4"/>
        <v/>
      </c>
    </row>
    <row r="756" ht="15.75" customHeight="1">
      <c r="A756" s="9" t="s">
        <v>1162</v>
      </c>
      <c r="B756" s="12" t="str">
        <f t="array" ref="B756">XLOOKUP(C756, Channel_Listings!C:C, Channel_Listings!B:B)
</f>
        <v>Apparel_Caps_Beanies</v>
      </c>
      <c r="C756" s="23" t="s">
        <v>305</v>
      </c>
      <c r="D756" s="14" t="str">
        <f t="array" ref="D756">XLOOKUP(C756, Channel_Listings!C:C, Channel_Listings!D:D)
</f>
        <v>BEANIE-SHORTFUR-MESH-BEIGE</v>
      </c>
      <c r="E756" s="15"/>
      <c r="F756" s="16">
        <f t="array" ref="F756">IFERROR(
  VALUE( INDEX(Product_Master!$I:$I,
               MATCH( INDEX(Pack_Master!$B:$B, MATCH($D756, Pack_Master!$A:$A, 0)),
                      Product_Master!$B:$B, 0)
  )) 
  * VALUE( INDEX(Pack_Master!$C:$C, MATCH($D756, Pack_Master!$A:$A, 0)) )
  + VALUE( INDEX(Pack_Master!$D:$D, MATCH($D756, Pack_Master!$A:$A, 0)) ),
"")
</f>
        <v>109</v>
      </c>
      <c r="G756" s="17">
        <f t="array" ref="G756">IFERROR(
 ( INDEX(Pack_Master!E:E, MATCH($D756, Pack_Master!A:A, 0))
   * INDEX(Pack_Master!F:F, MATCH($D756, Pack_Master!A:A, 0))
   * INDEX(Pack_Master!G:G, MATCH($D756, Pack_Master!A:A, 0))
 ) / INDEX(Config!C:C, MATCH($A756, Config!A:A, 0)),
"")
</f>
        <v>0.375</v>
      </c>
      <c r="H756" s="17">
        <f t="array" ref="H756">MAX( INDEX(Pack_Master!H:H, MATCH($D756, Pack_Master!A:A, 0)),
      IFERROR(G756, 0) )
</f>
        <v>0.5</v>
      </c>
      <c r="I756" s="18">
        <f>IFERROR(__xludf.DUMMYFUNCTION("IFERROR(
 INDEX(
   FILTER(Shipping_Rate_Card!B:F, Shipping_Rate_Card!A:A=$A756),
   MATCH($H756, FILTER(Shipping_Rate_Card!B:B, Shipping_Rate_Card!A:A=$A756), 1),
   IF( INDEX(Config!B:B, MATCH($A756, Config!A:A, 0))=""Local"", 2,
     IF( INDEX(Config!B"&amp;":B, MATCH($A756, Config!A:A, 0))=""Regional"", 3, 4 )
   )
 ),
"""")
"),75.0)</f>
        <v>75</v>
      </c>
      <c r="J756" s="16">
        <f>IFERROR(__xludf.DUMMYFUNCTION("IFERROR(
 ( E756 * INDEX(FILTER(Pricing_Rules!E:E, Pricing_Rules!A:A=A756, Pricing_Rules!B:B=B756, Pricing_Rules!C:C&lt;=E756, Pricing_Rules!D:D&gt;=E756), 1)
   + INDEX(FILTER(Pricing_Rules!F:F, Pricing_Rules!A:A=A756, Pricing_Rules!B:B=B756, Pricing_Rules!C:C"&amp;"&lt;=E756, Pricing_Rules!D:D&gt;=E756), 1)
 )
 * (1 + IFERROR( INDEX(Config!D:D, MATCH(A756, Config!A:A, 0)), 0 )),
"""")
"),15.34)</f>
        <v>15.34</v>
      </c>
      <c r="K756" s="19">
        <f t="shared" si="3"/>
        <v>-199.34</v>
      </c>
      <c r="L756" s="20" t="str">
        <f t="shared" si="4"/>
        <v/>
      </c>
    </row>
    <row r="757" ht="15.75" customHeight="1">
      <c r="A757" s="9" t="s">
        <v>1162</v>
      </c>
      <c r="B757" s="12" t="str">
        <f t="array" ref="B757">XLOOKUP(C757, Channel_Listings!C:C, Channel_Listings!B:B)
</f>
        <v>Apparel_Caps_Beanies</v>
      </c>
      <c r="C757" s="23" t="s">
        <v>311</v>
      </c>
      <c r="D757" s="14" t="str">
        <f t="array" ref="D757">XLOOKUP(C757, Channel_Listings!C:C, Channel_Listings!D:D)
</f>
        <v>BEANIE-SHORTFUR-MESH-MAROON</v>
      </c>
      <c r="E757" s="15"/>
      <c r="F757" s="16">
        <f t="array" ref="F757">IFERROR(
  VALUE( INDEX(Product_Master!$I:$I,
               MATCH( INDEX(Pack_Master!$B:$B, MATCH($D757, Pack_Master!$A:$A, 0)),
                      Product_Master!$B:$B, 0)
  )) 
  * VALUE( INDEX(Pack_Master!$C:$C, MATCH($D757, Pack_Master!$A:$A, 0)) )
  + VALUE( INDEX(Pack_Master!$D:$D, MATCH($D757, Pack_Master!$A:$A, 0)) ),
"")
</f>
        <v>109</v>
      </c>
      <c r="G757" s="17">
        <f t="array" ref="G757">IFERROR(
 ( INDEX(Pack_Master!E:E, MATCH($D757, Pack_Master!A:A, 0))
   * INDEX(Pack_Master!F:F, MATCH($D757, Pack_Master!A:A, 0))
   * INDEX(Pack_Master!G:G, MATCH($D757, Pack_Master!A:A, 0))
 ) / INDEX(Config!C:C, MATCH($A757, Config!A:A, 0)),
"")
</f>
        <v>0.375</v>
      </c>
      <c r="H757" s="17">
        <f t="array" ref="H757">MAX( INDEX(Pack_Master!H:H, MATCH($D757, Pack_Master!A:A, 0)),
      IFERROR(G757, 0) )
</f>
        <v>0.5</v>
      </c>
      <c r="I757" s="18">
        <f>IFERROR(__xludf.DUMMYFUNCTION("IFERROR(
 INDEX(
   FILTER(Shipping_Rate_Card!B:F, Shipping_Rate_Card!A:A=$A757),
   MATCH($H757, FILTER(Shipping_Rate_Card!B:B, Shipping_Rate_Card!A:A=$A757), 1),
   IF( INDEX(Config!B:B, MATCH($A757, Config!A:A, 0))=""Local"", 2,
     IF( INDEX(Config!B"&amp;":B, MATCH($A757, Config!A:A, 0))=""Regional"", 3, 4 )
   )
 ),
"""")
"),75.0)</f>
        <v>75</v>
      </c>
      <c r="J757" s="16">
        <f>IFERROR(__xludf.DUMMYFUNCTION("IFERROR(
 ( E757 * INDEX(FILTER(Pricing_Rules!E:E, Pricing_Rules!A:A=A757, Pricing_Rules!B:B=B757, Pricing_Rules!C:C&lt;=E757, Pricing_Rules!D:D&gt;=E757), 1)
   + INDEX(FILTER(Pricing_Rules!F:F, Pricing_Rules!A:A=A757, Pricing_Rules!B:B=B757, Pricing_Rules!C:C"&amp;"&lt;=E757, Pricing_Rules!D:D&gt;=E757), 1)
 )
 * (1 + IFERROR( INDEX(Config!D:D, MATCH(A757, Config!A:A, 0)), 0 )),
"""")
"),15.34)</f>
        <v>15.34</v>
      </c>
      <c r="K757" s="19">
        <f t="shared" si="3"/>
        <v>-199.34</v>
      </c>
      <c r="L757" s="20" t="str">
        <f t="shared" si="4"/>
        <v/>
      </c>
    </row>
    <row r="758" ht="15.75" customHeight="1">
      <c r="A758" s="9" t="s">
        <v>1162</v>
      </c>
      <c r="B758" s="12" t="str">
        <f t="array" ref="B758">XLOOKUP(C758, Channel_Listings!C:C, Channel_Listings!B:B)
</f>
        <v>Apparel_Caps_Beanies</v>
      </c>
      <c r="C758" s="23" t="s">
        <v>313</v>
      </c>
      <c r="D758" s="14" t="str">
        <f t="array" ref="D758">XLOOKUP(C758, Channel_Listings!C:C, Channel_Listings!D:D)
</f>
        <v>BEANIE-SHORTFUR-MESH-NAVYBLUE</v>
      </c>
      <c r="E758" s="15"/>
      <c r="F758" s="16">
        <f t="array" ref="F758">IFERROR(
  VALUE( INDEX(Product_Master!$I:$I,
               MATCH( INDEX(Pack_Master!$B:$B, MATCH($D758, Pack_Master!$A:$A, 0)),
                      Product_Master!$B:$B, 0)
  )) 
  * VALUE( INDEX(Pack_Master!$C:$C, MATCH($D758, Pack_Master!$A:$A, 0)) )
  + VALUE( INDEX(Pack_Master!$D:$D, MATCH($D758, Pack_Master!$A:$A, 0)) ),
"")
</f>
        <v>109</v>
      </c>
      <c r="G758" s="17">
        <f t="array" ref="G758">IFERROR(
 ( INDEX(Pack_Master!E:E, MATCH($D758, Pack_Master!A:A, 0))
   * INDEX(Pack_Master!F:F, MATCH($D758, Pack_Master!A:A, 0))
   * INDEX(Pack_Master!G:G, MATCH($D758, Pack_Master!A:A, 0))
 ) / INDEX(Config!C:C, MATCH($A758, Config!A:A, 0)),
"")
</f>
        <v>0.375</v>
      </c>
      <c r="H758" s="17">
        <f t="array" ref="H758">MAX( INDEX(Pack_Master!H:H, MATCH($D758, Pack_Master!A:A, 0)),
      IFERROR(G758, 0) )
</f>
        <v>0.5</v>
      </c>
      <c r="I758" s="18">
        <f>IFERROR(__xludf.DUMMYFUNCTION("IFERROR(
 INDEX(
   FILTER(Shipping_Rate_Card!B:F, Shipping_Rate_Card!A:A=$A758),
   MATCH($H758, FILTER(Shipping_Rate_Card!B:B, Shipping_Rate_Card!A:A=$A758), 1),
   IF( INDEX(Config!B:B, MATCH($A758, Config!A:A, 0))=""Local"", 2,
     IF( INDEX(Config!B"&amp;":B, MATCH($A758, Config!A:A, 0))=""Regional"", 3, 4 )
   )
 ),
"""")
"),75.0)</f>
        <v>75</v>
      </c>
      <c r="J758" s="16">
        <f>IFERROR(__xludf.DUMMYFUNCTION("IFERROR(
 ( E758 * INDEX(FILTER(Pricing_Rules!E:E, Pricing_Rules!A:A=A758, Pricing_Rules!B:B=B758, Pricing_Rules!C:C&lt;=E758, Pricing_Rules!D:D&gt;=E758), 1)
   + INDEX(FILTER(Pricing_Rules!F:F, Pricing_Rules!A:A=A758, Pricing_Rules!B:B=B758, Pricing_Rules!C:C"&amp;"&lt;=E758, Pricing_Rules!D:D&gt;=E758), 1)
 )
 * (1 + IFERROR( INDEX(Config!D:D, MATCH(A758, Config!A:A, 0)), 0 )),
"""")
"),15.34)</f>
        <v>15.34</v>
      </c>
      <c r="K758" s="19">
        <f t="shared" si="3"/>
        <v>-199.34</v>
      </c>
      <c r="L758" s="20" t="str">
        <f t="shared" si="4"/>
        <v/>
      </c>
    </row>
    <row r="759" ht="15.75" customHeight="1">
      <c r="A759" s="9" t="s">
        <v>1162</v>
      </c>
      <c r="B759" s="12" t="str">
        <f t="array" ref="B759">XLOOKUP(C759, Channel_Listings!C:C, Channel_Listings!B:B)
</f>
        <v>Apparel_Caps_Beanies</v>
      </c>
      <c r="C759" s="23" t="s">
        <v>316</v>
      </c>
      <c r="D759" s="14" t="str">
        <f t="array" ref="D759">XLOOKUP(C759, Channel_Listings!C:C, Channel_Listings!D:D)
</f>
        <v>BEANIE-SHORTFUR-OLIVE</v>
      </c>
      <c r="E759" s="15"/>
      <c r="F759" s="16">
        <f t="array" ref="F759">IFERROR(
  VALUE( INDEX(Product_Master!$I:$I,
               MATCH( INDEX(Pack_Master!$B:$B, MATCH($D759, Pack_Master!$A:$A, 0)),
                      Product_Master!$B:$B, 0)
  )) 
  * VALUE( INDEX(Pack_Master!$C:$C, MATCH($D759, Pack_Master!$A:$A, 0)) )
  + VALUE( INDEX(Pack_Master!$D:$D, MATCH($D759, Pack_Master!$A:$A, 0)) ),
"")
</f>
        <v>109</v>
      </c>
      <c r="G759" s="17">
        <f t="array" ref="G759">IFERROR(
 ( INDEX(Pack_Master!E:E, MATCH($D759, Pack_Master!A:A, 0))
   * INDEX(Pack_Master!F:F, MATCH($D759, Pack_Master!A:A, 0))
   * INDEX(Pack_Master!G:G, MATCH($D759, Pack_Master!A:A, 0))
 ) / INDEX(Config!C:C, MATCH($A759, Config!A:A, 0)),
"")
</f>
        <v>0.375</v>
      </c>
      <c r="H759" s="17">
        <f t="array" ref="H759">MAX( INDEX(Pack_Master!H:H, MATCH($D759, Pack_Master!A:A, 0)),
      IFERROR(G759, 0) )
</f>
        <v>0.5</v>
      </c>
      <c r="I759" s="18">
        <f>IFERROR(__xludf.DUMMYFUNCTION("IFERROR(
 INDEX(
   FILTER(Shipping_Rate_Card!B:F, Shipping_Rate_Card!A:A=$A759),
   MATCH($H759, FILTER(Shipping_Rate_Card!B:B, Shipping_Rate_Card!A:A=$A759), 1),
   IF( INDEX(Config!B:B, MATCH($A759, Config!A:A, 0))=""Local"", 2,
     IF( INDEX(Config!B"&amp;":B, MATCH($A759, Config!A:A, 0))=""Regional"", 3, 4 )
   )
 ),
"""")
"),75.0)</f>
        <v>75</v>
      </c>
      <c r="J759" s="16">
        <f>IFERROR(__xludf.DUMMYFUNCTION("IFERROR(
 ( E759 * INDEX(FILTER(Pricing_Rules!E:E, Pricing_Rules!A:A=A759, Pricing_Rules!B:B=B759, Pricing_Rules!C:C&lt;=E759, Pricing_Rules!D:D&gt;=E759), 1)
   + INDEX(FILTER(Pricing_Rules!F:F, Pricing_Rules!A:A=A759, Pricing_Rules!B:B=B759, Pricing_Rules!C:C"&amp;"&lt;=E759, Pricing_Rules!D:D&gt;=E759), 1)
 )
 * (1 + IFERROR( INDEX(Config!D:D, MATCH(A759, Config!A:A, 0)), 0 )),
"""")
"),15.34)</f>
        <v>15.34</v>
      </c>
      <c r="K759" s="19">
        <f t="shared" si="3"/>
        <v>-199.34</v>
      </c>
      <c r="L759" s="20" t="str">
        <f t="shared" si="4"/>
        <v/>
      </c>
    </row>
    <row r="760" ht="15.75" customHeight="1">
      <c r="A760" s="9" t="s">
        <v>1162</v>
      </c>
      <c r="B760" s="12" t="str">
        <f t="array" ref="B760">XLOOKUP(C760, Channel_Listings!C:C, Channel_Listings!B:B)
</f>
        <v>Apparel_Caps_Beanies</v>
      </c>
      <c r="C760" s="23" t="s">
        <v>269</v>
      </c>
      <c r="D760" s="14" t="str">
        <f t="array" ref="D760">XLOOKUP(C760, Channel_Listings!C:C, Channel_Listings!D:D)
</f>
        <v>BEANIE-SHORTFUR-RED</v>
      </c>
      <c r="E760" s="15"/>
      <c r="F760" s="16">
        <f t="array" ref="F760">IFERROR(
  VALUE( INDEX(Product_Master!$I:$I,
               MATCH( INDEX(Pack_Master!$B:$B, MATCH($D760, Pack_Master!$A:$A, 0)),
                      Product_Master!$B:$B, 0)
  )) 
  * VALUE( INDEX(Pack_Master!$C:$C, MATCH($D760, Pack_Master!$A:$A, 0)) )
  + VALUE( INDEX(Pack_Master!$D:$D, MATCH($D760, Pack_Master!$A:$A, 0)) ),
"")
</f>
        <v>109</v>
      </c>
      <c r="G760" s="17">
        <f t="array" ref="G760">IFERROR(
 ( INDEX(Pack_Master!E:E, MATCH($D760, Pack_Master!A:A, 0))
   * INDEX(Pack_Master!F:F, MATCH($D760, Pack_Master!A:A, 0))
   * INDEX(Pack_Master!G:G, MATCH($D760, Pack_Master!A:A, 0))
 ) / INDEX(Config!C:C, MATCH($A760, Config!A:A, 0)),
"")
</f>
        <v>0.375</v>
      </c>
      <c r="H760" s="17">
        <f t="array" ref="H760">MAX( INDEX(Pack_Master!H:H, MATCH($D760, Pack_Master!A:A, 0)),
      IFERROR(G760, 0) )
</f>
        <v>0.5</v>
      </c>
      <c r="I760" s="18">
        <f>IFERROR(__xludf.DUMMYFUNCTION("IFERROR(
 INDEX(
   FILTER(Shipping_Rate_Card!B:F, Shipping_Rate_Card!A:A=$A760),
   MATCH($H760, FILTER(Shipping_Rate_Card!B:B, Shipping_Rate_Card!A:A=$A760), 1),
   IF( INDEX(Config!B:B, MATCH($A760, Config!A:A, 0))=""Local"", 2,
     IF( INDEX(Config!B"&amp;":B, MATCH($A760, Config!A:A, 0))=""Regional"", 3, 4 )
   )
 ),
"""")
"),75.0)</f>
        <v>75</v>
      </c>
      <c r="J760" s="16">
        <f>IFERROR(__xludf.DUMMYFUNCTION("IFERROR(
 ( E760 * INDEX(FILTER(Pricing_Rules!E:E, Pricing_Rules!A:A=A760, Pricing_Rules!B:B=B760, Pricing_Rules!C:C&lt;=E760, Pricing_Rules!D:D&gt;=E760), 1)
   + INDEX(FILTER(Pricing_Rules!F:F, Pricing_Rules!A:A=A760, Pricing_Rules!B:B=B760, Pricing_Rules!C:C"&amp;"&lt;=E760, Pricing_Rules!D:D&gt;=E760), 1)
 )
 * (1 + IFERROR( INDEX(Config!D:D, MATCH(A760, Config!A:A, 0)), 0 )),
"""")
"),15.34)</f>
        <v>15.34</v>
      </c>
      <c r="K760" s="19">
        <f t="shared" si="3"/>
        <v>-199.34</v>
      </c>
      <c r="L760" s="20" t="str">
        <f t="shared" si="4"/>
        <v/>
      </c>
    </row>
    <row r="761" ht="15.75" customHeight="1">
      <c r="A761" s="9" t="s">
        <v>1162</v>
      </c>
      <c r="B761" s="12" t="str">
        <f t="array" ref="B761">XLOOKUP(C761, Channel_Listings!C:C, Channel_Listings!B:B)
</f>
        <v>Apparel_Caps_Beanies</v>
      </c>
      <c r="C761" s="23" t="s">
        <v>321</v>
      </c>
      <c r="D761" s="14" t="str">
        <f t="array" ref="D761">XLOOKUP(C761, Channel_Listings!C:C, Channel_Listings!D:D)
</f>
        <v>BEANIE-SHORTFUR-YELLOW</v>
      </c>
      <c r="E761" s="15"/>
      <c r="F761" s="16">
        <f t="array" ref="F761">IFERROR(
  VALUE( INDEX(Product_Master!$I:$I,
               MATCH( INDEX(Pack_Master!$B:$B, MATCH($D761, Pack_Master!$A:$A, 0)),
                      Product_Master!$B:$B, 0)
  )) 
  * VALUE( INDEX(Pack_Master!$C:$C, MATCH($D761, Pack_Master!$A:$A, 0)) )
  + VALUE( INDEX(Pack_Master!$D:$D, MATCH($D761, Pack_Master!$A:$A, 0)) ),
"")
</f>
        <v>109</v>
      </c>
      <c r="G761" s="17">
        <f t="array" ref="G761">IFERROR(
 ( INDEX(Pack_Master!E:E, MATCH($D761, Pack_Master!A:A, 0))
   * INDEX(Pack_Master!F:F, MATCH($D761, Pack_Master!A:A, 0))
   * INDEX(Pack_Master!G:G, MATCH($D761, Pack_Master!A:A, 0))
 ) / INDEX(Config!C:C, MATCH($A761, Config!A:A, 0)),
"")
</f>
        <v>0.375</v>
      </c>
      <c r="H761" s="17">
        <f t="array" ref="H761">MAX( INDEX(Pack_Master!H:H, MATCH($D761, Pack_Master!A:A, 0)),
      IFERROR(G761, 0) )
</f>
        <v>0.5</v>
      </c>
      <c r="I761" s="18">
        <f>IFERROR(__xludf.DUMMYFUNCTION("IFERROR(
 INDEX(
   FILTER(Shipping_Rate_Card!B:F, Shipping_Rate_Card!A:A=$A761),
   MATCH($H761, FILTER(Shipping_Rate_Card!B:B, Shipping_Rate_Card!A:A=$A761), 1),
   IF( INDEX(Config!B:B, MATCH($A761, Config!A:A, 0))=""Local"", 2,
     IF( INDEX(Config!B"&amp;":B, MATCH($A761, Config!A:A, 0))=""Regional"", 3, 4 )
   )
 ),
"""")
"),75.0)</f>
        <v>75</v>
      </c>
      <c r="J761" s="16">
        <f>IFERROR(__xludf.DUMMYFUNCTION("IFERROR(
 ( E761 * INDEX(FILTER(Pricing_Rules!E:E, Pricing_Rules!A:A=A761, Pricing_Rules!B:B=B761, Pricing_Rules!C:C&lt;=E761, Pricing_Rules!D:D&gt;=E761), 1)
   + INDEX(FILTER(Pricing_Rules!F:F, Pricing_Rules!A:A=A761, Pricing_Rules!B:B=B761, Pricing_Rules!C:C"&amp;"&lt;=E761, Pricing_Rules!D:D&gt;=E761), 1)
 )
 * (1 + IFERROR( INDEX(Config!D:D, MATCH(A761, Config!A:A, 0)), 0 )),
"""")
"),15.34)</f>
        <v>15.34</v>
      </c>
      <c r="K761" s="19">
        <f t="shared" si="3"/>
        <v>-199.34</v>
      </c>
      <c r="L761" s="20" t="str">
        <f t="shared" si="4"/>
        <v/>
      </c>
    </row>
    <row r="762" ht="15.75" customHeight="1">
      <c r="A762" s="9" t="s">
        <v>1162</v>
      </c>
      <c r="B762" s="12" t="str">
        <f t="array" ref="B762">XLOOKUP(C762, Channel_Listings!C:C, Channel_Listings!B:B)
</f>
        <v>Apparel_Caps_Beanies</v>
      </c>
      <c r="C762" s="23" t="s">
        <v>1226</v>
      </c>
      <c r="D762" s="14" t="str">
        <f t="array" ref="D762">XLOOKUP(C762, Channel_Listings!C:C, Channel_Listings!D:D)
</f>
        <v>BEANIE-LONGFUR-BLACK</v>
      </c>
      <c r="E762" s="15"/>
      <c r="F762" s="16">
        <f t="array" ref="F762">IFERROR(
  VALUE( INDEX(Product_Master!$I:$I,
               MATCH( INDEX(Pack_Master!$B:$B, MATCH($D762, Pack_Master!$A:$A, 0)),
                      Product_Master!$B:$B, 0)
  )) 
  * VALUE( INDEX(Pack_Master!$C:$C, MATCH($D762, Pack_Master!$A:$A, 0)) )
  + VALUE( INDEX(Pack_Master!$D:$D, MATCH($D762, Pack_Master!$A:$A, 0)) ),
"")
</f>
        <v>109</v>
      </c>
      <c r="G762" s="17">
        <f t="array" ref="G762">IFERROR(
 ( INDEX(Pack_Master!E:E, MATCH($D762, Pack_Master!A:A, 0))
   * INDEX(Pack_Master!F:F, MATCH($D762, Pack_Master!A:A, 0))
   * INDEX(Pack_Master!G:G, MATCH($D762, Pack_Master!A:A, 0))
 ) / INDEX(Config!C:C, MATCH($A762, Config!A:A, 0)),
"")
</f>
        <v>0.375</v>
      </c>
      <c r="H762" s="17">
        <f t="array" ref="H762">MAX( INDEX(Pack_Master!H:H, MATCH($D762, Pack_Master!A:A, 0)),
      IFERROR(G762, 0) )
</f>
        <v>0.5</v>
      </c>
      <c r="I762" s="18">
        <f>IFERROR(__xludf.DUMMYFUNCTION("IFERROR(
 INDEX(
   FILTER(Shipping_Rate_Card!B:F, Shipping_Rate_Card!A:A=$A762),
   MATCH($H762, FILTER(Shipping_Rate_Card!B:B, Shipping_Rate_Card!A:A=$A762), 1),
   IF( INDEX(Config!B:B, MATCH($A762, Config!A:A, 0))=""Local"", 2,
     IF( INDEX(Config!B"&amp;":B, MATCH($A762, Config!A:A, 0))=""Regional"", 3, 4 )
   )
 ),
"""")
"),75.0)</f>
        <v>75</v>
      </c>
      <c r="J762" s="16">
        <f>IFERROR(__xludf.DUMMYFUNCTION("IFERROR(
 ( E762 * INDEX(FILTER(Pricing_Rules!E:E, Pricing_Rules!A:A=A762, Pricing_Rules!B:B=B762, Pricing_Rules!C:C&lt;=E762, Pricing_Rules!D:D&gt;=E762), 1)
   + INDEX(FILTER(Pricing_Rules!F:F, Pricing_Rules!A:A=A762, Pricing_Rules!B:B=B762, Pricing_Rules!C:C"&amp;"&lt;=E762, Pricing_Rules!D:D&gt;=E762), 1)
 )
 * (1 + IFERROR( INDEX(Config!D:D, MATCH(A762, Config!A:A, 0)), 0 )),
"""")
"),15.34)</f>
        <v>15.34</v>
      </c>
      <c r="K762" s="19">
        <f t="shared" si="3"/>
        <v>-199.34</v>
      </c>
      <c r="L762" s="20" t="str">
        <f t="shared" si="4"/>
        <v/>
      </c>
    </row>
    <row r="763" ht="15.75" customHeight="1">
      <c r="A763" s="9" t="s">
        <v>1162</v>
      </c>
      <c r="B763" s="12" t="str">
        <f t="array" ref="B763">XLOOKUP(C763, Channel_Listings!C:C, Channel_Listings!B:B)
</f>
        <v>Apparel_Caps_Beanies</v>
      </c>
      <c r="C763" s="23" t="s">
        <v>333</v>
      </c>
      <c r="D763" s="14" t="str">
        <f t="array" ref="D763">XLOOKUP(C763, Channel_Listings!C:C, Channel_Listings!D:D)
</f>
        <v>BEANIE-WOOL-OFFWHITE</v>
      </c>
      <c r="E763" s="15"/>
      <c r="F763" s="16">
        <f t="array" ref="F763">IFERROR(
  VALUE( INDEX(Product_Master!$I:$I,
               MATCH( INDEX(Pack_Master!$B:$B, MATCH($D763, Pack_Master!$A:$A, 0)),
                      Product_Master!$B:$B, 0)
  )) 
  * VALUE( INDEX(Pack_Master!$C:$C, MATCH($D763, Pack_Master!$A:$A, 0)) )
  + VALUE( INDEX(Pack_Master!$D:$D, MATCH($D763, Pack_Master!$A:$A, 0)) ),
"")
</f>
        <v>109</v>
      </c>
      <c r="G763" s="17">
        <f t="array" ref="G763">IFERROR(
 ( INDEX(Pack_Master!E:E, MATCH($D763, Pack_Master!A:A, 0))
   * INDEX(Pack_Master!F:F, MATCH($D763, Pack_Master!A:A, 0))
   * INDEX(Pack_Master!G:G, MATCH($D763, Pack_Master!A:A, 0))
 ) / INDEX(Config!C:C, MATCH($A763, Config!A:A, 0)),
"")
</f>
        <v>0.375</v>
      </c>
      <c r="H763" s="17">
        <f t="array" ref="H763">MAX( INDEX(Pack_Master!H:H, MATCH($D763, Pack_Master!A:A, 0)),
      IFERROR(G763, 0) )
</f>
        <v>0.5</v>
      </c>
      <c r="I763" s="18">
        <f>IFERROR(__xludf.DUMMYFUNCTION("IFERROR(
 INDEX(
   FILTER(Shipping_Rate_Card!B:F, Shipping_Rate_Card!A:A=$A763),
   MATCH($H763, FILTER(Shipping_Rate_Card!B:B, Shipping_Rate_Card!A:A=$A763), 1),
   IF( INDEX(Config!B:B, MATCH($A763, Config!A:A, 0))=""Local"", 2,
     IF( INDEX(Config!B"&amp;":B, MATCH($A763, Config!A:A, 0))=""Regional"", 3, 4 )
   )
 ),
"""")
"),75.0)</f>
        <v>75</v>
      </c>
      <c r="J763" s="16">
        <f>IFERROR(__xludf.DUMMYFUNCTION("IFERROR(
 ( E763 * INDEX(FILTER(Pricing_Rules!E:E, Pricing_Rules!A:A=A763, Pricing_Rules!B:B=B763, Pricing_Rules!C:C&lt;=E763, Pricing_Rules!D:D&gt;=E763), 1)
   + INDEX(FILTER(Pricing_Rules!F:F, Pricing_Rules!A:A=A763, Pricing_Rules!B:B=B763, Pricing_Rules!C:C"&amp;"&lt;=E763, Pricing_Rules!D:D&gt;=E763), 1)
 )
 * (1 + IFERROR( INDEX(Config!D:D, MATCH(A763, Config!A:A, 0)), 0 )),
"""")
"),15.34)</f>
        <v>15.34</v>
      </c>
      <c r="K763" s="19">
        <f t="shared" si="3"/>
        <v>-199.34</v>
      </c>
      <c r="L763" s="20" t="str">
        <f t="shared" si="4"/>
        <v/>
      </c>
    </row>
    <row r="764" ht="15.75" customHeight="1">
      <c r="A764" s="9" t="s">
        <v>1162</v>
      </c>
      <c r="B764" s="12" t="str">
        <f t="array" ref="B764">XLOOKUP(C764, Channel_Listings!C:C, Channel_Listings!B:B)
</f>
        <v>Apparel_Tshirts</v>
      </c>
      <c r="C764" s="23" t="s">
        <v>1229</v>
      </c>
      <c r="D764" s="14" t="str">
        <f t="array" ref="D764">XLOOKUP(C764, Channel_Listings!C:C, Channel_Listings!D:D)
</f>
        <v>TSHIRT-BLACK-L</v>
      </c>
      <c r="E764" s="15"/>
      <c r="F764" s="16">
        <f t="array" ref="F764">IFERROR(
  VALUE( INDEX(Product_Master!$I:$I,
               MATCH( INDEX(Pack_Master!$B:$B, MATCH($D764, Pack_Master!$A:$A, 0)),
                      Product_Master!$B:$B, 0)
  )) 
  * VALUE( INDEX(Pack_Master!$C:$C, MATCH($D764, Pack_Master!$A:$A, 0)) )
  + VALUE( INDEX(Pack_Master!$D:$D, MATCH($D764, Pack_Master!$A:$A, 0)) ),
"")
</f>
        <v>2</v>
      </c>
      <c r="G764" s="17">
        <f t="array" ref="G764">IFERROR(
 ( INDEX(Pack_Master!E:E, MATCH($D764, Pack_Master!A:A, 0))
   * INDEX(Pack_Master!F:F, MATCH($D764, Pack_Master!A:A, 0))
   * INDEX(Pack_Master!G:G, MATCH($D764, Pack_Master!A:A, 0))
 ) / INDEX(Config!C:C, MATCH($A764, Config!A:A, 0)),
"")
</f>
        <v>0.375</v>
      </c>
      <c r="H764" s="17">
        <f t="array" ref="H764">MAX( INDEX(Pack_Master!H:H, MATCH($D764, Pack_Master!A:A, 0)),
      IFERROR(G764, 0) )
</f>
        <v>0.5</v>
      </c>
      <c r="I764" s="18">
        <f>IFERROR(__xludf.DUMMYFUNCTION("IFERROR(
 INDEX(
   FILTER(Shipping_Rate_Card!B:F, Shipping_Rate_Card!A:A=$A764),
   MATCH($H764, FILTER(Shipping_Rate_Card!B:B, Shipping_Rate_Card!A:A=$A764), 1),
   IF( INDEX(Config!B:B, MATCH($A764, Config!A:A, 0))=""Local"", 2,
     IF( INDEX(Config!B"&amp;":B, MATCH($A764, Config!A:A, 0))=""Regional"", 3, 4 )
   )
 ),
"""")
"),75.0)</f>
        <v>75</v>
      </c>
      <c r="J764" s="16">
        <f>IFERROR(__xludf.DUMMYFUNCTION("IFERROR(
 ( E764 * INDEX(FILTER(Pricing_Rules!E:E, Pricing_Rules!A:A=A764, Pricing_Rules!B:B=B764, Pricing_Rules!C:C&lt;=E764, Pricing_Rules!D:D&gt;=E764), 1)
   + INDEX(FILTER(Pricing_Rules!F:F, Pricing_Rules!A:A=A764, Pricing_Rules!B:B=B764, Pricing_Rules!C:C"&amp;"&lt;=E764, Pricing_Rules!D:D&gt;=E764), 1)
 )
 * (1 + IFERROR( INDEX(Config!D:D, MATCH(A764, Config!A:A, 0)), 0 )),
"""")
"),15.34)</f>
        <v>15.34</v>
      </c>
      <c r="K764" s="19">
        <f t="shared" si="3"/>
        <v>-92.34</v>
      </c>
      <c r="L764" s="20" t="str">
        <f t="shared" si="4"/>
        <v/>
      </c>
    </row>
    <row r="765" ht="15.75" customHeight="1">
      <c r="A765" s="9" t="s">
        <v>1162</v>
      </c>
      <c r="B765" s="12" t="str">
        <f t="array" ref="B765">XLOOKUP(C765, Channel_Listings!C:C, Channel_Listings!B:B)
</f>
        <v>Apparel_Tshirts</v>
      </c>
      <c r="C765" s="23" t="s">
        <v>1231</v>
      </c>
      <c r="D765" s="14" t="str">
        <f t="array" ref="D765">XLOOKUP(C765, Channel_Listings!C:C, Channel_Listings!D:D)
</f>
        <v>TSHIRT-BLACK-M</v>
      </c>
      <c r="E765" s="15"/>
      <c r="F765" s="16">
        <f t="array" ref="F765">IFERROR(
  VALUE( INDEX(Product_Master!$I:$I,
               MATCH( INDEX(Pack_Master!$B:$B, MATCH($D765, Pack_Master!$A:$A, 0)),
                      Product_Master!$B:$B, 0)
  )) 
  * VALUE( INDEX(Pack_Master!$C:$C, MATCH($D765, Pack_Master!$A:$A, 0)) )
  + VALUE( INDEX(Pack_Master!$D:$D, MATCH($D765, Pack_Master!$A:$A, 0)) ),
"")
</f>
        <v>2</v>
      </c>
      <c r="G765" s="17">
        <f t="array" ref="G765">IFERROR(
 ( INDEX(Pack_Master!E:E, MATCH($D765, Pack_Master!A:A, 0))
   * INDEX(Pack_Master!F:F, MATCH($D765, Pack_Master!A:A, 0))
   * INDEX(Pack_Master!G:G, MATCH($D765, Pack_Master!A:A, 0))
 ) / INDEX(Config!C:C, MATCH($A765, Config!A:A, 0)),
"")
</f>
        <v>0.375</v>
      </c>
      <c r="H765" s="17">
        <f t="array" ref="H765">MAX( INDEX(Pack_Master!H:H, MATCH($D765, Pack_Master!A:A, 0)),
      IFERROR(G765, 0) )
</f>
        <v>0.5</v>
      </c>
      <c r="I765" s="18">
        <f>IFERROR(__xludf.DUMMYFUNCTION("IFERROR(
 INDEX(
   FILTER(Shipping_Rate_Card!B:F, Shipping_Rate_Card!A:A=$A765),
   MATCH($H765, FILTER(Shipping_Rate_Card!B:B, Shipping_Rate_Card!A:A=$A765), 1),
   IF( INDEX(Config!B:B, MATCH($A765, Config!A:A, 0))=""Local"", 2,
     IF( INDEX(Config!B"&amp;":B, MATCH($A765, Config!A:A, 0))=""Regional"", 3, 4 )
   )
 ),
"""")
"),75.0)</f>
        <v>75</v>
      </c>
      <c r="J765" s="16">
        <f>IFERROR(__xludf.DUMMYFUNCTION("IFERROR(
 ( E765 * INDEX(FILTER(Pricing_Rules!E:E, Pricing_Rules!A:A=A765, Pricing_Rules!B:B=B765, Pricing_Rules!C:C&lt;=E765, Pricing_Rules!D:D&gt;=E765), 1)
   + INDEX(FILTER(Pricing_Rules!F:F, Pricing_Rules!A:A=A765, Pricing_Rules!B:B=B765, Pricing_Rules!C:C"&amp;"&lt;=E765, Pricing_Rules!D:D&gt;=E765), 1)
 )
 * (1 + IFERROR( INDEX(Config!D:D, MATCH(A765, Config!A:A, 0)), 0 )),
"""")
"),15.34)</f>
        <v>15.34</v>
      </c>
      <c r="K765" s="19">
        <f t="shared" si="3"/>
        <v>-92.34</v>
      </c>
      <c r="L765" s="20" t="str">
        <f t="shared" si="4"/>
        <v/>
      </c>
    </row>
    <row r="766" ht="15.75" customHeight="1">
      <c r="A766" s="9" t="s">
        <v>1162</v>
      </c>
      <c r="B766" s="12" t="str">
        <f t="array" ref="B766">XLOOKUP(C766, Channel_Listings!C:C, Channel_Listings!B:B)
</f>
        <v>Apparel_Tshirts</v>
      </c>
      <c r="C766" s="23" t="s">
        <v>1233</v>
      </c>
      <c r="D766" s="14" t="str">
        <f t="array" ref="D766">XLOOKUP(C766, Channel_Listings!C:C, Channel_Listings!D:D)
</f>
        <v>TSHIRT-BLACK-XL</v>
      </c>
      <c r="E766" s="15"/>
      <c r="F766" s="16">
        <f t="array" ref="F766">IFERROR(
  VALUE( INDEX(Product_Master!$I:$I,
               MATCH( INDEX(Pack_Master!$B:$B, MATCH($D766, Pack_Master!$A:$A, 0)),
                      Product_Master!$B:$B, 0)
  )) 
  * VALUE( INDEX(Pack_Master!$C:$C, MATCH($D766, Pack_Master!$A:$A, 0)) )
  + VALUE( INDEX(Pack_Master!$D:$D, MATCH($D766, Pack_Master!$A:$A, 0)) ),
"")
</f>
        <v>2</v>
      </c>
      <c r="G766" s="17">
        <f t="array" ref="G766">IFERROR(
 ( INDEX(Pack_Master!E:E, MATCH($D766, Pack_Master!A:A, 0))
   * INDEX(Pack_Master!F:F, MATCH($D766, Pack_Master!A:A, 0))
   * INDEX(Pack_Master!G:G, MATCH($D766, Pack_Master!A:A, 0))
 ) / INDEX(Config!C:C, MATCH($A766, Config!A:A, 0)),
"")
</f>
        <v>0.375</v>
      </c>
      <c r="H766" s="17">
        <f t="array" ref="H766">MAX( INDEX(Pack_Master!H:H, MATCH($D766, Pack_Master!A:A, 0)),
      IFERROR(G766, 0) )
</f>
        <v>0.5</v>
      </c>
      <c r="I766" s="18">
        <f>IFERROR(__xludf.DUMMYFUNCTION("IFERROR(
 INDEX(
   FILTER(Shipping_Rate_Card!B:F, Shipping_Rate_Card!A:A=$A766),
   MATCH($H766, FILTER(Shipping_Rate_Card!B:B, Shipping_Rate_Card!A:A=$A766), 1),
   IF( INDEX(Config!B:B, MATCH($A766, Config!A:A, 0))=""Local"", 2,
     IF( INDEX(Config!B"&amp;":B, MATCH($A766, Config!A:A, 0))=""Regional"", 3, 4 )
   )
 ),
"""")
"),75.0)</f>
        <v>75</v>
      </c>
      <c r="J766" s="16">
        <f>IFERROR(__xludf.DUMMYFUNCTION("IFERROR(
 ( E766 * INDEX(FILTER(Pricing_Rules!E:E, Pricing_Rules!A:A=A766, Pricing_Rules!B:B=B766, Pricing_Rules!C:C&lt;=E766, Pricing_Rules!D:D&gt;=E766), 1)
   + INDEX(FILTER(Pricing_Rules!F:F, Pricing_Rules!A:A=A766, Pricing_Rules!B:B=B766, Pricing_Rules!C:C"&amp;"&lt;=E766, Pricing_Rules!D:D&gt;=E766), 1)
 )
 * (1 + IFERROR( INDEX(Config!D:D, MATCH(A766, Config!A:A, 0)), 0 )),
"""")
"),15.34)</f>
        <v>15.34</v>
      </c>
      <c r="K766" s="19">
        <f t="shared" si="3"/>
        <v>-92.34</v>
      </c>
      <c r="L766" s="20" t="str">
        <f t="shared" si="4"/>
        <v/>
      </c>
    </row>
    <row r="767" ht="15.75" customHeight="1">
      <c r="A767" s="9" t="s">
        <v>1162</v>
      </c>
      <c r="B767" s="12" t="str">
        <f t="array" ref="B767">XLOOKUP(C767, Channel_Listings!C:C, Channel_Listings!B:B)
</f>
        <v>Apparel_Tshirts</v>
      </c>
      <c r="C767" s="23" t="s">
        <v>1235</v>
      </c>
      <c r="D767" s="14" t="str">
        <f t="array" ref="D767">XLOOKUP(C767, Channel_Listings!C:C, Channel_Listings!D:D)
</f>
        <v>TSHIRT-BLACK-XXL</v>
      </c>
      <c r="E767" s="15"/>
      <c r="F767" s="16">
        <f t="array" ref="F767">IFERROR(
  VALUE( INDEX(Product_Master!$I:$I,
               MATCH( INDEX(Pack_Master!$B:$B, MATCH($D767, Pack_Master!$A:$A, 0)),
                      Product_Master!$B:$B, 0)
  )) 
  * VALUE( INDEX(Pack_Master!$C:$C, MATCH($D767, Pack_Master!$A:$A, 0)) )
  + VALUE( INDEX(Pack_Master!$D:$D, MATCH($D767, Pack_Master!$A:$A, 0)) ),
"")
</f>
        <v>2</v>
      </c>
      <c r="G767" s="17">
        <f t="array" ref="G767">IFERROR(
 ( INDEX(Pack_Master!E:E, MATCH($D767, Pack_Master!A:A, 0))
   * INDEX(Pack_Master!F:F, MATCH($D767, Pack_Master!A:A, 0))
   * INDEX(Pack_Master!G:G, MATCH($D767, Pack_Master!A:A, 0))
 ) / INDEX(Config!C:C, MATCH($A767, Config!A:A, 0)),
"")
</f>
        <v>0.375</v>
      </c>
      <c r="H767" s="17">
        <f t="array" ref="H767">MAX( INDEX(Pack_Master!H:H, MATCH($D767, Pack_Master!A:A, 0)),
      IFERROR(G767, 0) )
</f>
        <v>0.5</v>
      </c>
      <c r="I767" s="18">
        <f>IFERROR(__xludf.DUMMYFUNCTION("IFERROR(
 INDEX(
   FILTER(Shipping_Rate_Card!B:F, Shipping_Rate_Card!A:A=$A767),
   MATCH($H767, FILTER(Shipping_Rate_Card!B:B, Shipping_Rate_Card!A:A=$A767), 1),
   IF( INDEX(Config!B:B, MATCH($A767, Config!A:A, 0))=""Local"", 2,
     IF( INDEX(Config!B"&amp;":B, MATCH($A767, Config!A:A, 0))=""Regional"", 3, 4 )
   )
 ),
"""")
"),75.0)</f>
        <v>75</v>
      </c>
      <c r="J767" s="16">
        <f>IFERROR(__xludf.DUMMYFUNCTION("IFERROR(
 ( E767 * INDEX(FILTER(Pricing_Rules!E:E, Pricing_Rules!A:A=A767, Pricing_Rules!B:B=B767, Pricing_Rules!C:C&lt;=E767, Pricing_Rules!D:D&gt;=E767), 1)
   + INDEX(FILTER(Pricing_Rules!F:F, Pricing_Rules!A:A=A767, Pricing_Rules!B:B=B767, Pricing_Rules!C:C"&amp;"&lt;=E767, Pricing_Rules!D:D&gt;=E767), 1)
 )
 * (1 + IFERROR( INDEX(Config!D:D, MATCH(A767, Config!A:A, 0)), 0 )),
"""")
"),15.34)</f>
        <v>15.34</v>
      </c>
      <c r="K767" s="19">
        <f t="shared" si="3"/>
        <v>-92.34</v>
      </c>
      <c r="L767" s="20" t="str">
        <f t="shared" si="4"/>
        <v/>
      </c>
    </row>
    <row r="768" ht="15.75" customHeight="1">
      <c r="A768" s="9" t="s">
        <v>1162</v>
      </c>
      <c r="B768" s="12" t="str">
        <f t="array" ref="B768">XLOOKUP(C768, Channel_Listings!C:C, Channel_Listings!B:B)
</f>
        <v>Apparel_Tshirts</v>
      </c>
      <c r="C768" s="23" t="s">
        <v>1237</v>
      </c>
      <c r="D768" s="14" t="str">
        <f t="array" ref="D768">XLOOKUP(C768, Channel_Listings!C:C, Channel_Listings!D:D)
</f>
        <v>TSHIRT-BLACK-L</v>
      </c>
      <c r="E768" s="15"/>
      <c r="F768" s="16">
        <f t="array" ref="F768">IFERROR(
  VALUE( INDEX(Product_Master!$I:$I,
               MATCH( INDEX(Pack_Master!$B:$B, MATCH($D768, Pack_Master!$A:$A, 0)),
                      Product_Master!$B:$B, 0)
  )) 
  * VALUE( INDEX(Pack_Master!$C:$C, MATCH($D768, Pack_Master!$A:$A, 0)) )
  + VALUE( INDEX(Pack_Master!$D:$D, MATCH($D768, Pack_Master!$A:$A, 0)) ),
"")
</f>
        <v>2</v>
      </c>
      <c r="G768" s="17">
        <f t="array" ref="G768">IFERROR(
 ( INDEX(Pack_Master!E:E, MATCH($D768, Pack_Master!A:A, 0))
   * INDEX(Pack_Master!F:F, MATCH($D768, Pack_Master!A:A, 0))
   * INDEX(Pack_Master!G:G, MATCH($D768, Pack_Master!A:A, 0))
 ) / INDEX(Config!C:C, MATCH($A768, Config!A:A, 0)),
"")
</f>
        <v>0.375</v>
      </c>
      <c r="H768" s="17">
        <f t="array" ref="H768">MAX( INDEX(Pack_Master!H:H, MATCH($D768, Pack_Master!A:A, 0)),
      IFERROR(G768, 0) )
</f>
        <v>0.5</v>
      </c>
      <c r="I768" s="18">
        <f>IFERROR(__xludf.DUMMYFUNCTION("IFERROR(
 INDEX(
   FILTER(Shipping_Rate_Card!B:F, Shipping_Rate_Card!A:A=$A768),
   MATCH($H768, FILTER(Shipping_Rate_Card!B:B, Shipping_Rate_Card!A:A=$A768), 1),
   IF( INDEX(Config!B:B, MATCH($A768, Config!A:A, 0))=""Local"", 2,
     IF( INDEX(Config!B"&amp;":B, MATCH($A768, Config!A:A, 0))=""Regional"", 3, 4 )
   )
 ),
"""")
"),75.0)</f>
        <v>75</v>
      </c>
      <c r="J768" s="16">
        <f>IFERROR(__xludf.DUMMYFUNCTION("IFERROR(
 ( E768 * INDEX(FILTER(Pricing_Rules!E:E, Pricing_Rules!A:A=A768, Pricing_Rules!B:B=B768, Pricing_Rules!C:C&lt;=E768, Pricing_Rules!D:D&gt;=E768), 1)
   + INDEX(FILTER(Pricing_Rules!F:F, Pricing_Rules!A:A=A768, Pricing_Rules!B:B=B768, Pricing_Rules!C:C"&amp;"&lt;=E768, Pricing_Rules!D:D&gt;=E768), 1)
 )
 * (1 + IFERROR( INDEX(Config!D:D, MATCH(A768, Config!A:A, 0)), 0 )),
"""")
"),15.34)</f>
        <v>15.34</v>
      </c>
      <c r="K768" s="19">
        <f t="shared" si="3"/>
        <v>-92.34</v>
      </c>
      <c r="L768" s="20" t="str">
        <f t="shared" si="4"/>
        <v/>
      </c>
    </row>
    <row r="769" ht="15.75" customHeight="1">
      <c r="A769" s="9" t="s">
        <v>1162</v>
      </c>
      <c r="B769" s="12" t="str">
        <f t="array" ref="B769">XLOOKUP(C769, Channel_Listings!C:C, Channel_Listings!B:B)
</f>
        <v>Apparel_Tshirts</v>
      </c>
      <c r="C769" s="23" t="s">
        <v>1239</v>
      </c>
      <c r="D769" s="14" t="str">
        <f t="array" ref="D769">XLOOKUP(C769, Channel_Listings!C:C, Channel_Listings!D:D)
</f>
        <v>TSHIRT-BLACK-M</v>
      </c>
      <c r="E769" s="15"/>
      <c r="F769" s="16">
        <f t="array" ref="F769">IFERROR(
  VALUE( INDEX(Product_Master!$I:$I,
               MATCH( INDEX(Pack_Master!$B:$B, MATCH($D769, Pack_Master!$A:$A, 0)),
                      Product_Master!$B:$B, 0)
  )) 
  * VALUE( INDEX(Pack_Master!$C:$C, MATCH($D769, Pack_Master!$A:$A, 0)) )
  + VALUE( INDEX(Pack_Master!$D:$D, MATCH($D769, Pack_Master!$A:$A, 0)) ),
"")
</f>
        <v>2</v>
      </c>
      <c r="G769" s="17">
        <f t="array" ref="G769">IFERROR(
 ( INDEX(Pack_Master!E:E, MATCH($D769, Pack_Master!A:A, 0))
   * INDEX(Pack_Master!F:F, MATCH($D769, Pack_Master!A:A, 0))
   * INDEX(Pack_Master!G:G, MATCH($D769, Pack_Master!A:A, 0))
 ) / INDEX(Config!C:C, MATCH($A769, Config!A:A, 0)),
"")
</f>
        <v>0.375</v>
      </c>
      <c r="H769" s="17">
        <f t="array" ref="H769">MAX( INDEX(Pack_Master!H:H, MATCH($D769, Pack_Master!A:A, 0)),
      IFERROR(G769, 0) )
</f>
        <v>0.5</v>
      </c>
      <c r="I769" s="18">
        <f>IFERROR(__xludf.DUMMYFUNCTION("IFERROR(
 INDEX(
   FILTER(Shipping_Rate_Card!B:F, Shipping_Rate_Card!A:A=$A769),
   MATCH($H769, FILTER(Shipping_Rate_Card!B:B, Shipping_Rate_Card!A:A=$A769), 1),
   IF( INDEX(Config!B:B, MATCH($A769, Config!A:A, 0))=""Local"", 2,
     IF( INDEX(Config!B"&amp;":B, MATCH($A769, Config!A:A, 0))=""Regional"", 3, 4 )
   )
 ),
"""")
"),75.0)</f>
        <v>75</v>
      </c>
      <c r="J769" s="16">
        <f>IFERROR(__xludf.DUMMYFUNCTION("IFERROR(
 ( E769 * INDEX(FILTER(Pricing_Rules!E:E, Pricing_Rules!A:A=A769, Pricing_Rules!B:B=B769, Pricing_Rules!C:C&lt;=E769, Pricing_Rules!D:D&gt;=E769), 1)
   + INDEX(FILTER(Pricing_Rules!F:F, Pricing_Rules!A:A=A769, Pricing_Rules!B:B=B769, Pricing_Rules!C:C"&amp;"&lt;=E769, Pricing_Rules!D:D&gt;=E769), 1)
 )
 * (1 + IFERROR( INDEX(Config!D:D, MATCH(A769, Config!A:A, 0)), 0 )),
"""")
"),15.34)</f>
        <v>15.34</v>
      </c>
      <c r="K769" s="19">
        <f t="shared" si="3"/>
        <v>-92.34</v>
      </c>
      <c r="L769" s="20" t="str">
        <f t="shared" si="4"/>
        <v/>
      </c>
    </row>
    <row r="770" ht="15.75" customHeight="1">
      <c r="A770" s="9" t="s">
        <v>1162</v>
      </c>
      <c r="B770" s="12" t="str">
        <f t="array" ref="B770">XLOOKUP(C770, Channel_Listings!C:C, Channel_Listings!B:B)
</f>
        <v>Apparel_Tshirts</v>
      </c>
      <c r="C770" s="23" t="s">
        <v>1241</v>
      </c>
      <c r="D770" s="14" t="str">
        <f t="array" ref="D770">XLOOKUP(C770, Channel_Listings!C:C, Channel_Listings!D:D)
</f>
        <v>TSHIRT-BLACK-XL</v>
      </c>
      <c r="E770" s="15"/>
      <c r="F770" s="16">
        <f t="array" ref="F770">IFERROR(
  VALUE( INDEX(Product_Master!$I:$I,
               MATCH( INDEX(Pack_Master!$B:$B, MATCH($D770, Pack_Master!$A:$A, 0)),
                      Product_Master!$B:$B, 0)
  )) 
  * VALUE( INDEX(Pack_Master!$C:$C, MATCH($D770, Pack_Master!$A:$A, 0)) )
  + VALUE( INDEX(Pack_Master!$D:$D, MATCH($D770, Pack_Master!$A:$A, 0)) ),
"")
</f>
        <v>2</v>
      </c>
      <c r="G770" s="17">
        <f t="array" ref="G770">IFERROR(
 ( INDEX(Pack_Master!E:E, MATCH($D770, Pack_Master!A:A, 0))
   * INDEX(Pack_Master!F:F, MATCH($D770, Pack_Master!A:A, 0))
   * INDEX(Pack_Master!G:G, MATCH($D770, Pack_Master!A:A, 0))
 ) / INDEX(Config!C:C, MATCH($A770, Config!A:A, 0)),
"")
</f>
        <v>0.375</v>
      </c>
      <c r="H770" s="17">
        <f t="array" ref="H770">MAX( INDEX(Pack_Master!H:H, MATCH($D770, Pack_Master!A:A, 0)),
      IFERROR(G770, 0) )
</f>
        <v>0.5</v>
      </c>
      <c r="I770" s="18">
        <f>IFERROR(__xludf.DUMMYFUNCTION("IFERROR(
 INDEX(
   FILTER(Shipping_Rate_Card!B:F, Shipping_Rate_Card!A:A=$A770),
   MATCH($H770, FILTER(Shipping_Rate_Card!B:B, Shipping_Rate_Card!A:A=$A770), 1),
   IF( INDEX(Config!B:B, MATCH($A770, Config!A:A, 0))=""Local"", 2,
     IF( INDEX(Config!B"&amp;":B, MATCH($A770, Config!A:A, 0))=""Regional"", 3, 4 )
   )
 ),
"""")
"),75.0)</f>
        <v>75</v>
      </c>
      <c r="J770" s="16">
        <f>IFERROR(__xludf.DUMMYFUNCTION("IFERROR(
 ( E770 * INDEX(FILTER(Pricing_Rules!E:E, Pricing_Rules!A:A=A770, Pricing_Rules!B:B=B770, Pricing_Rules!C:C&lt;=E770, Pricing_Rules!D:D&gt;=E770), 1)
   + INDEX(FILTER(Pricing_Rules!F:F, Pricing_Rules!A:A=A770, Pricing_Rules!B:B=B770, Pricing_Rules!C:C"&amp;"&lt;=E770, Pricing_Rules!D:D&gt;=E770), 1)
 )
 * (1 + IFERROR( INDEX(Config!D:D, MATCH(A770, Config!A:A, 0)), 0 )),
"""")
"),15.34)</f>
        <v>15.34</v>
      </c>
      <c r="K770" s="19">
        <f t="shared" si="3"/>
        <v>-92.34</v>
      </c>
      <c r="L770" s="20" t="str">
        <f t="shared" si="4"/>
        <v/>
      </c>
    </row>
    <row r="771" ht="15.75" customHeight="1">
      <c r="A771" s="9" t="s">
        <v>1162</v>
      </c>
      <c r="B771" s="12" t="str">
        <f t="array" ref="B771">XLOOKUP(C771, Channel_Listings!C:C, Channel_Listings!B:B)
</f>
        <v>Apparel_Tshirts</v>
      </c>
      <c r="C771" s="23" t="s">
        <v>1243</v>
      </c>
      <c r="D771" s="14" t="str">
        <f t="array" ref="D771">XLOOKUP(C771, Channel_Listings!C:C, Channel_Listings!D:D)
</f>
        <v>TSHIRT-BLACK-XXL</v>
      </c>
      <c r="E771" s="15"/>
      <c r="F771" s="16">
        <f t="array" ref="F771">IFERROR(
  VALUE( INDEX(Product_Master!$I:$I,
               MATCH( INDEX(Pack_Master!$B:$B, MATCH($D771, Pack_Master!$A:$A, 0)),
                      Product_Master!$B:$B, 0)
  )) 
  * VALUE( INDEX(Pack_Master!$C:$C, MATCH($D771, Pack_Master!$A:$A, 0)) )
  + VALUE( INDEX(Pack_Master!$D:$D, MATCH($D771, Pack_Master!$A:$A, 0)) ),
"")
</f>
        <v>2</v>
      </c>
      <c r="G771" s="17">
        <f t="array" ref="G771">IFERROR(
 ( INDEX(Pack_Master!E:E, MATCH($D771, Pack_Master!A:A, 0))
   * INDEX(Pack_Master!F:F, MATCH($D771, Pack_Master!A:A, 0))
   * INDEX(Pack_Master!G:G, MATCH($D771, Pack_Master!A:A, 0))
 ) / INDEX(Config!C:C, MATCH($A771, Config!A:A, 0)),
"")
</f>
        <v>0.375</v>
      </c>
      <c r="H771" s="17">
        <f t="array" ref="H771">MAX( INDEX(Pack_Master!H:H, MATCH($D771, Pack_Master!A:A, 0)),
      IFERROR(G771, 0) )
</f>
        <v>0.5</v>
      </c>
      <c r="I771" s="18">
        <f>IFERROR(__xludf.DUMMYFUNCTION("IFERROR(
 INDEX(
   FILTER(Shipping_Rate_Card!B:F, Shipping_Rate_Card!A:A=$A771),
   MATCH($H771, FILTER(Shipping_Rate_Card!B:B, Shipping_Rate_Card!A:A=$A771), 1),
   IF( INDEX(Config!B:B, MATCH($A771, Config!A:A, 0))=""Local"", 2,
     IF( INDEX(Config!B"&amp;":B, MATCH($A771, Config!A:A, 0))=""Regional"", 3, 4 )
   )
 ),
"""")
"),75.0)</f>
        <v>75</v>
      </c>
      <c r="J771" s="16">
        <f>IFERROR(__xludf.DUMMYFUNCTION("IFERROR(
 ( E771 * INDEX(FILTER(Pricing_Rules!E:E, Pricing_Rules!A:A=A771, Pricing_Rules!B:B=B771, Pricing_Rules!C:C&lt;=E771, Pricing_Rules!D:D&gt;=E771), 1)
   + INDEX(FILTER(Pricing_Rules!F:F, Pricing_Rules!A:A=A771, Pricing_Rules!B:B=B771, Pricing_Rules!C:C"&amp;"&lt;=E771, Pricing_Rules!D:D&gt;=E771), 1)
 )
 * (1 + IFERROR( INDEX(Config!D:D, MATCH(A771, Config!A:A, 0)), 0 )),
"""")
"),15.34)</f>
        <v>15.34</v>
      </c>
      <c r="K771" s="19">
        <f t="shared" si="3"/>
        <v>-92.34</v>
      </c>
      <c r="L771" s="20" t="str">
        <f t="shared" si="4"/>
        <v/>
      </c>
    </row>
    <row r="772" ht="15.75" customHeight="1">
      <c r="A772" s="9" t="s">
        <v>1162</v>
      </c>
      <c r="B772" s="12" t="str">
        <f t="array" ref="B772">XLOOKUP(C772, Channel_Listings!C:C, Channel_Listings!B:B)
</f>
        <v>Apparel_Tshirts</v>
      </c>
      <c r="C772" s="23" t="s">
        <v>1245</v>
      </c>
      <c r="D772" s="14" t="str">
        <f t="array" ref="D772">XLOOKUP(C772, Channel_Listings!C:C, Channel_Listings!D:D)
</f>
        <v>TSHIRT-BLACK-L</v>
      </c>
      <c r="E772" s="15"/>
      <c r="F772" s="16">
        <f t="array" ref="F772">IFERROR(
  VALUE( INDEX(Product_Master!$I:$I,
               MATCH( INDEX(Pack_Master!$B:$B, MATCH($D772, Pack_Master!$A:$A, 0)),
                      Product_Master!$B:$B, 0)
  )) 
  * VALUE( INDEX(Pack_Master!$C:$C, MATCH($D772, Pack_Master!$A:$A, 0)) )
  + VALUE( INDEX(Pack_Master!$D:$D, MATCH($D772, Pack_Master!$A:$A, 0)) ),
"")
</f>
        <v>2</v>
      </c>
      <c r="G772" s="17">
        <f t="array" ref="G772">IFERROR(
 ( INDEX(Pack_Master!E:E, MATCH($D772, Pack_Master!A:A, 0))
   * INDEX(Pack_Master!F:F, MATCH($D772, Pack_Master!A:A, 0))
   * INDEX(Pack_Master!G:G, MATCH($D772, Pack_Master!A:A, 0))
 ) / INDEX(Config!C:C, MATCH($A772, Config!A:A, 0)),
"")
</f>
        <v>0.375</v>
      </c>
      <c r="H772" s="17">
        <f t="array" ref="H772">MAX( INDEX(Pack_Master!H:H, MATCH($D772, Pack_Master!A:A, 0)),
      IFERROR(G772, 0) )
</f>
        <v>0.5</v>
      </c>
      <c r="I772" s="18">
        <f>IFERROR(__xludf.DUMMYFUNCTION("IFERROR(
 INDEX(
   FILTER(Shipping_Rate_Card!B:F, Shipping_Rate_Card!A:A=$A772),
   MATCH($H772, FILTER(Shipping_Rate_Card!B:B, Shipping_Rate_Card!A:A=$A772), 1),
   IF( INDEX(Config!B:B, MATCH($A772, Config!A:A, 0))=""Local"", 2,
     IF( INDEX(Config!B"&amp;":B, MATCH($A772, Config!A:A, 0))=""Regional"", 3, 4 )
   )
 ),
"""")
"),75.0)</f>
        <v>75</v>
      </c>
      <c r="J772" s="16">
        <f>IFERROR(__xludf.DUMMYFUNCTION("IFERROR(
 ( E772 * INDEX(FILTER(Pricing_Rules!E:E, Pricing_Rules!A:A=A772, Pricing_Rules!B:B=B772, Pricing_Rules!C:C&lt;=E772, Pricing_Rules!D:D&gt;=E772), 1)
   + INDEX(FILTER(Pricing_Rules!F:F, Pricing_Rules!A:A=A772, Pricing_Rules!B:B=B772, Pricing_Rules!C:C"&amp;"&lt;=E772, Pricing_Rules!D:D&gt;=E772), 1)
 )
 * (1 + IFERROR( INDEX(Config!D:D, MATCH(A772, Config!A:A, 0)), 0 )),
"""")
"),15.34)</f>
        <v>15.34</v>
      </c>
      <c r="K772" s="19">
        <f t="shared" si="3"/>
        <v>-92.34</v>
      </c>
      <c r="L772" s="20" t="str">
        <f t="shared" si="4"/>
        <v/>
      </c>
    </row>
    <row r="773" ht="15.75" customHeight="1">
      <c r="A773" s="9" t="s">
        <v>1162</v>
      </c>
      <c r="B773" s="12" t="str">
        <f t="array" ref="B773">XLOOKUP(C773, Channel_Listings!C:C, Channel_Listings!B:B)
</f>
        <v>Apparel_Tshirts</v>
      </c>
      <c r="C773" s="23" t="s">
        <v>1247</v>
      </c>
      <c r="D773" s="14" t="str">
        <f t="array" ref="D773">XLOOKUP(C773, Channel_Listings!C:C, Channel_Listings!D:D)
</f>
        <v>TSHIRT-BLACK-L</v>
      </c>
      <c r="E773" s="15"/>
      <c r="F773" s="16">
        <f t="array" ref="F773">IFERROR(
  VALUE( INDEX(Product_Master!$I:$I,
               MATCH( INDEX(Pack_Master!$B:$B, MATCH($D773, Pack_Master!$A:$A, 0)),
                      Product_Master!$B:$B, 0)
  )) 
  * VALUE( INDEX(Pack_Master!$C:$C, MATCH($D773, Pack_Master!$A:$A, 0)) )
  + VALUE( INDEX(Pack_Master!$D:$D, MATCH($D773, Pack_Master!$A:$A, 0)) ),
"")
</f>
        <v>2</v>
      </c>
      <c r="G773" s="17">
        <f t="array" ref="G773">IFERROR(
 ( INDEX(Pack_Master!E:E, MATCH($D773, Pack_Master!A:A, 0))
   * INDEX(Pack_Master!F:F, MATCH($D773, Pack_Master!A:A, 0))
   * INDEX(Pack_Master!G:G, MATCH($D773, Pack_Master!A:A, 0))
 ) / INDEX(Config!C:C, MATCH($A773, Config!A:A, 0)),
"")
</f>
        <v>0.375</v>
      </c>
      <c r="H773" s="17">
        <f t="array" ref="H773">MAX( INDEX(Pack_Master!H:H, MATCH($D773, Pack_Master!A:A, 0)),
      IFERROR(G773, 0) )
</f>
        <v>0.5</v>
      </c>
      <c r="I773" s="18">
        <f>IFERROR(__xludf.DUMMYFUNCTION("IFERROR(
 INDEX(
   FILTER(Shipping_Rate_Card!B:F, Shipping_Rate_Card!A:A=$A773),
   MATCH($H773, FILTER(Shipping_Rate_Card!B:B, Shipping_Rate_Card!A:A=$A773), 1),
   IF( INDEX(Config!B:B, MATCH($A773, Config!A:A, 0))=""Local"", 2,
     IF( INDEX(Config!B"&amp;":B, MATCH($A773, Config!A:A, 0))=""Regional"", 3, 4 )
   )
 ),
"""")
"),75.0)</f>
        <v>75</v>
      </c>
      <c r="J773" s="16">
        <f>IFERROR(__xludf.DUMMYFUNCTION("IFERROR(
 ( E773 * INDEX(FILTER(Pricing_Rules!E:E, Pricing_Rules!A:A=A773, Pricing_Rules!B:B=B773, Pricing_Rules!C:C&lt;=E773, Pricing_Rules!D:D&gt;=E773), 1)
   + INDEX(FILTER(Pricing_Rules!F:F, Pricing_Rules!A:A=A773, Pricing_Rules!B:B=B773, Pricing_Rules!C:C"&amp;"&lt;=E773, Pricing_Rules!D:D&gt;=E773), 1)
 )
 * (1 + IFERROR( INDEX(Config!D:D, MATCH(A773, Config!A:A, 0)), 0 )),
"""")
"),15.34)</f>
        <v>15.34</v>
      </c>
      <c r="K773" s="19">
        <f t="shared" si="3"/>
        <v>-92.34</v>
      </c>
      <c r="L773" s="20" t="str">
        <f t="shared" si="4"/>
        <v/>
      </c>
    </row>
    <row r="774" ht="15.75" customHeight="1">
      <c r="A774" s="9" t="s">
        <v>1162</v>
      </c>
      <c r="B774" s="12" t="str">
        <f t="array" ref="B774">XLOOKUP(C774, Channel_Listings!C:C, Channel_Listings!B:B)
</f>
        <v>Apparel_Tshirts</v>
      </c>
      <c r="C774" s="23" t="s">
        <v>1249</v>
      </c>
      <c r="D774" s="14" t="str">
        <f t="array" ref="D774">XLOOKUP(C774, Channel_Listings!C:C, Channel_Listings!D:D)
</f>
        <v>TSHIRT-BLACK-XL</v>
      </c>
      <c r="E774" s="15"/>
      <c r="F774" s="16">
        <f t="array" ref="F774">IFERROR(
  VALUE( INDEX(Product_Master!$I:$I,
               MATCH( INDEX(Pack_Master!$B:$B, MATCH($D774, Pack_Master!$A:$A, 0)),
                      Product_Master!$B:$B, 0)
  )) 
  * VALUE( INDEX(Pack_Master!$C:$C, MATCH($D774, Pack_Master!$A:$A, 0)) )
  + VALUE( INDEX(Pack_Master!$D:$D, MATCH($D774, Pack_Master!$A:$A, 0)) ),
"")
</f>
        <v>2</v>
      </c>
      <c r="G774" s="17">
        <f t="array" ref="G774">IFERROR(
 ( INDEX(Pack_Master!E:E, MATCH($D774, Pack_Master!A:A, 0))
   * INDEX(Pack_Master!F:F, MATCH($D774, Pack_Master!A:A, 0))
   * INDEX(Pack_Master!G:G, MATCH($D774, Pack_Master!A:A, 0))
 ) / INDEX(Config!C:C, MATCH($A774, Config!A:A, 0)),
"")
</f>
        <v>0.375</v>
      </c>
      <c r="H774" s="17">
        <f t="array" ref="H774">MAX( INDEX(Pack_Master!H:H, MATCH($D774, Pack_Master!A:A, 0)),
      IFERROR(G774, 0) )
</f>
        <v>0.5</v>
      </c>
      <c r="I774" s="18">
        <f>IFERROR(__xludf.DUMMYFUNCTION("IFERROR(
 INDEX(
   FILTER(Shipping_Rate_Card!B:F, Shipping_Rate_Card!A:A=$A774),
   MATCH($H774, FILTER(Shipping_Rate_Card!B:B, Shipping_Rate_Card!A:A=$A774), 1),
   IF( INDEX(Config!B:B, MATCH($A774, Config!A:A, 0))=""Local"", 2,
     IF( INDEX(Config!B"&amp;":B, MATCH($A774, Config!A:A, 0))=""Regional"", 3, 4 )
   )
 ),
"""")
"),75.0)</f>
        <v>75</v>
      </c>
      <c r="J774" s="16">
        <f>IFERROR(__xludf.DUMMYFUNCTION("IFERROR(
 ( E774 * INDEX(FILTER(Pricing_Rules!E:E, Pricing_Rules!A:A=A774, Pricing_Rules!B:B=B774, Pricing_Rules!C:C&lt;=E774, Pricing_Rules!D:D&gt;=E774), 1)
   + INDEX(FILTER(Pricing_Rules!F:F, Pricing_Rules!A:A=A774, Pricing_Rules!B:B=B774, Pricing_Rules!C:C"&amp;"&lt;=E774, Pricing_Rules!D:D&gt;=E774), 1)
 )
 * (1 + IFERROR( INDEX(Config!D:D, MATCH(A774, Config!A:A, 0)), 0 )),
"""")
"),15.34)</f>
        <v>15.34</v>
      </c>
      <c r="K774" s="19">
        <f t="shared" si="3"/>
        <v>-92.34</v>
      </c>
      <c r="L774" s="20" t="str">
        <f t="shared" si="4"/>
        <v/>
      </c>
    </row>
    <row r="775" ht="15.75" customHeight="1">
      <c r="A775" s="9" t="s">
        <v>1162</v>
      </c>
      <c r="B775" s="12" t="str">
        <f t="array" ref="B775">XLOOKUP(C775, Channel_Listings!C:C, Channel_Listings!B:B)
</f>
        <v>Apparel_Tshirts</v>
      </c>
      <c r="C775" s="23" t="s">
        <v>1251</v>
      </c>
      <c r="D775" s="14" t="str">
        <f t="array" ref="D775">XLOOKUP(C775, Channel_Listings!C:C, Channel_Listings!D:D)
</f>
        <v>TSHIRT-BLACK-XXL</v>
      </c>
      <c r="E775" s="15"/>
      <c r="F775" s="16">
        <f t="array" ref="F775">IFERROR(
  VALUE( INDEX(Product_Master!$I:$I,
               MATCH( INDEX(Pack_Master!$B:$B, MATCH($D775, Pack_Master!$A:$A, 0)),
                      Product_Master!$B:$B, 0)
  )) 
  * VALUE( INDEX(Pack_Master!$C:$C, MATCH($D775, Pack_Master!$A:$A, 0)) )
  + VALUE( INDEX(Pack_Master!$D:$D, MATCH($D775, Pack_Master!$A:$A, 0)) ),
"")
</f>
        <v>2</v>
      </c>
      <c r="G775" s="17">
        <f t="array" ref="G775">IFERROR(
 ( INDEX(Pack_Master!E:E, MATCH($D775, Pack_Master!A:A, 0))
   * INDEX(Pack_Master!F:F, MATCH($D775, Pack_Master!A:A, 0))
   * INDEX(Pack_Master!G:G, MATCH($D775, Pack_Master!A:A, 0))
 ) / INDEX(Config!C:C, MATCH($A775, Config!A:A, 0)),
"")
</f>
        <v>0.375</v>
      </c>
      <c r="H775" s="17">
        <f t="array" ref="H775">MAX( INDEX(Pack_Master!H:H, MATCH($D775, Pack_Master!A:A, 0)),
      IFERROR(G775, 0) )
</f>
        <v>0.5</v>
      </c>
      <c r="I775" s="18">
        <f>IFERROR(__xludf.DUMMYFUNCTION("IFERROR(
 INDEX(
   FILTER(Shipping_Rate_Card!B:F, Shipping_Rate_Card!A:A=$A775),
   MATCH($H775, FILTER(Shipping_Rate_Card!B:B, Shipping_Rate_Card!A:A=$A775), 1),
   IF( INDEX(Config!B:B, MATCH($A775, Config!A:A, 0))=""Local"", 2,
     IF( INDEX(Config!B"&amp;":B, MATCH($A775, Config!A:A, 0))=""Regional"", 3, 4 )
   )
 ),
"""")
"),75.0)</f>
        <v>75</v>
      </c>
      <c r="J775" s="16">
        <f>IFERROR(__xludf.DUMMYFUNCTION("IFERROR(
 ( E775 * INDEX(FILTER(Pricing_Rules!E:E, Pricing_Rules!A:A=A775, Pricing_Rules!B:B=B775, Pricing_Rules!C:C&lt;=E775, Pricing_Rules!D:D&gt;=E775), 1)
   + INDEX(FILTER(Pricing_Rules!F:F, Pricing_Rules!A:A=A775, Pricing_Rules!B:B=B775, Pricing_Rules!C:C"&amp;"&lt;=E775, Pricing_Rules!D:D&gt;=E775), 1)
 )
 * (1 + IFERROR( INDEX(Config!D:D, MATCH(A775, Config!A:A, 0)), 0 )),
"""")
"),15.34)</f>
        <v>15.34</v>
      </c>
      <c r="K775" s="19">
        <f t="shared" si="3"/>
        <v>-92.34</v>
      </c>
      <c r="L775" s="20" t="str">
        <f t="shared" si="4"/>
        <v/>
      </c>
    </row>
    <row r="776" ht="15.75" customHeight="1">
      <c r="A776" s="9" t="s">
        <v>1162</v>
      </c>
      <c r="B776" s="12" t="str">
        <f t="array" ref="B776">XLOOKUP(C776, Channel_Listings!C:C, Channel_Listings!B:B)
</f>
        <v>Apparel_Tshirts</v>
      </c>
      <c r="C776" s="23" t="s">
        <v>1253</v>
      </c>
      <c r="D776" s="14" t="str">
        <f t="array" ref="D776">XLOOKUP(C776, Channel_Listings!C:C, Channel_Listings!D:D)
</f>
        <v>TSHIRT-BLACK-L</v>
      </c>
      <c r="E776" s="15"/>
      <c r="F776" s="16">
        <f t="array" ref="F776">IFERROR(
  VALUE( INDEX(Product_Master!$I:$I,
               MATCH( INDEX(Pack_Master!$B:$B, MATCH($D776, Pack_Master!$A:$A, 0)),
                      Product_Master!$B:$B, 0)
  )) 
  * VALUE( INDEX(Pack_Master!$C:$C, MATCH($D776, Pack_Master!$A:$A, 0)) )
  + VALUE( INDEX(Pack_Master!$D:$D, MATCH($D776, Pack_Master!$A:$A, 0)) ),
"")
</f>
        <v>2</v>
      </c>
      <c r="G776" s="17">
        <f t="array" ref="G776">IFERROR(
 ( INDEX(Pack_Master!E:E, MATCH($D776, Pack_Master!A:A, 0))
   * INDEX(Pack_Master!F:F, MATCH($D776, Pack_Master!A:A, 0))
   * INDEX(Pack_Master!G:G, MATCH($D776, Pack_Master!A:A, 0))
 ) / INDEX(Config!C:C, MATCH($A776, Config!A:A, 0)),
"")
</f>
        <v>0.375</v>
      </c>
      <c r="H776" s="17">
        <f t="array" ref="H776">MAX( INDEX(Pack_Master!H:H, MATCH($D776, Pack_Master!A:A, 0)),
      IFERROR(G776, 0) )
</f>
        <v>0.5</v>
      </c>
      <c r="I776" s="18">
        <f>IFERROR(__xludf.DUMMYFUNCTION("IFERROR(
 INDEX(
   FILTER(Shipping_Rate_Card!B:F, Shipping_Rate_Card!A:A=$A776),
   MATCH($H776, FILTER(Shipping_Rate_Card!B:B, Shipping_Rate_Card!A:A=$A776), 1),
   IF( INDEX(Config!B:B, MATCH($A776, Config!A:A, 0))=""Local"", 2,
     IF( INDEX(Config!B"&amp;":B, MATCH($A776, Config!A:A, 0))=""Regional"", 3, 4 )
   )
 ),
"""")
"),75.0)</f>
        <v>75</v>
      </c>
      <c r="J776" s="16">
        <f>IFERROR(__xludf.DUMMYFUNCTION("IFERROR(
 ( E776 * INDEX(FILTER(Pricing_Rules!E:E, Pricing_Rules!A:A=A776, Pricing_Rules!B:B=B776, Pricing_Rules!C:C&lt;=E776, Pricing_Rules!D:D&gt;=E776), 1)
   + INDEX(FILTER(Pricing_Rules!F:F, Pricing_Rules!A:A=A776, Pricing_Rules!B:B=B776, Pricing_Rules!C:C"&amp;"&lt;=E776, Pricing_Rules!D:D&gt;=E776), 1)
 )
 * (1 + IFERROR( INDEX(Config!D:D, MATCH(A776, Config!A:A, 0)), 0 )),
"""")
"),15.34)</f>
        <v>15.34</v>
      </c>
      <c r="K776" s="19">
        <f t="shared" si="3"/>
        <v>-92.34</v>
      </c>
      <c r="L776" s="20" t="str">
        <f t="shared" si="4"/>
        <v/>
      </c>
    </row>
    <row r="777" ht="15.75" customHeight="1">
      <c r="A777" s="9" t="s">
        <v>1162</v>
      </c>
      <c r="B777" s="12" t="str">
        <f t="array" ref="B777">XLOOKUP(C777, Channel_Listings!C:C, Channel_Listings!B:B)
</f>
        <v>Apparel_Tshirts</v>
      </c>
      <c r="C777" s="23" t="s">
        <v>1255</v>
      </c>
      <c r="D777" s="14" t="str">
        <f t="array" ref="D777">XLOOKUP(C777, Channel_Listings!C:C, Channel_Listings!D:D)
</f>
        <v>TSHIRT-BLACK-M</v>
      </c>
      <c r="E777" s="15"/>
      <c r="F777" s="16">
        <f t="array" ref="F777">IFERROR(
  VALUE( INDEX(Product_Master!$I:$I,
               MATCH( INDEX(Pack_Master!$B:$B, MATCH($D777, Pack_Master!$A:$A, 0)),
                      Product_Master!$B:$B, 0)
  )) 
  * VALUE( INDEX(Pack_Master!$C:$C, MATCH($D777, Pack_Master!$A:$A, 0)) )
  + VALUE( INDEX(Pack_Master!$D:$D, MATCH($D777, Pack_Master!$A:$A, 0)) ),
"")
</f>
        <v>2</v>
      </c>
      <c r="G777" s="17">
        <f t="array" ref="G777">IFERROR(
 ( INDEX(Pack_Master!E:E, MATCH($D777, Pack_Master!A:A, 0))
   * INDEX(Pack_Master!F:F, MATCH($D777, Pack_Master!A:A, 0))
   * INDEX(Pack_Master!G:G, MATCH($D777, Pack_Master!A:A, 0))
 ) / INDEX(Config!C:C, MATCH($A777, Config!A:A, 0)),
"")
</f>
        <v>0.375</v>
      </c>
      <c r="H777" s="17">
        <f t="array" ref="H777">MAX( INDEX(Pack_Master!H:H, MATCH($D777, Pack_Master!A:A, 0)),
      IFERROR(G777, 0) )
</f>
        <v>0.5</v>
      </c>
      <c r="I777" s="18">
        <f>IFERROR(__xludf.DUMMYFUNCTION("IFERROR(
 INDEX(
   FILTER(Shipping_Rate_Card!B:F, Shipping_Rate_Card!A:A=$A777),
   MATCH($H777, FILTER(Shipping_Rate_Card!B:B, Shipping_Rate_Card!A:A=$A777), 1),
   IF( INDEX(Config!B:B, MATCH($A777, Config!A:A, 0))=""Local"", 2,
     IF( INDEX(Config!B"&amp;":B, MATCH($A777, Config!A:A, 0))=""Regional"", 3, 4 )
   )
 ),
"""")
"),75.0)</f>
        <v>75</v>
      </c>
      <c r="J777" s="16">
        <f>IFERROR(__xludf.DUMMYFUNCTION("IFERROR(
 ( E777 * INDEX(FILTER(Pricing_Rules!E:E, Pricing_Rules!A:A=A777, Pricing_Rules!B:B=B777, Pricing_Rules!C:C&lt;=E777, Pricing_Rules!D:D&gt;=E777), 1)
   + INDEX(FILTER(Pricing_Rules!F:F, Pricing_Rules!A:A=A777, Pricing_Rules!B:B=B777, Pricing_Rules!C:C"&amp;"&lt;=E777, Pricing_Rules!D:D&gt;=E777), 1)
 )
 * (1 + IFERROR( INDEX(Config!D:D, MATCH(A777, Config!A:A, 0)), 0 )),
"""")
"),15.34)</f>
        <v>15.34</v>
      </c>
      <c r="K777" s="19">
        <f t="shared" si="3"/>
        <v>-92.34</v>
      </c>
      <c r="L777" s="20" t="str">
        <f t="shared" si="4"/>
        <v/>
      </c>
    </row>
    <row r="778" ht="15.75" customHeight="1">
      <c r="A778" s="9" t="s">
        <v>1162</v>
      </c>
      <c r="B778" s="12" t="str">
        <f t="array" ref="B778">XLOOKUP(C778, Channel_Listings!C:C, Channel_Listings!B:B)
</f>
        <v>Apparel_Tshirts</v>
      </c>
      <c r="C778" s="23" t="s">
        <v>1257</v>
      </c>
      <c r="D778" s="14" t="str">
        <f t="array" ref="D778">XLOOKUP(C778, Channel_Listings!C:C, Channel_Listings!D:D)
</f>
        <v>TSHIRT-BLACK-XL</v>
      </c>
      <c r="E778" s="15"/>
      <c r="F778" s="16">
        <f t="array" ref="F778">IFERROR(
  VALUE( INDEX(Product_Master!$I:$I,
               MATCH( INDEX(Pack_Master!$B:$B, MATCH($D778, Pack_Master!$A:$A, 0)),
                      Product_Master!$B:$B, 0)
  )) 
  * VALUE( INDEX(Pack_Master!$C:$C, MATCH($D778, Pack_Master!$A:$A, 0)) )
  + VALUE( INDEX(Pack_Master!$D:$D, MATCH($D778, Pack_Master!$A:$A, 0)) ),
"")
</f>
        <v>2</v>
      </c>
      <c r="G778" s="17">
        <f t="array" ref="G778">IFERROR(
 ( INDEX(Pack_Master!E:E, MATCH($D778, Pack_Master!A:A, 0))
   * INDEX(Pack_Master!F:F, MATCH($D778, Pack_Master!A:A, 0))
   * INDEX(Pack_Master!G:G, MATCH($D778, Pack_Master!A:A, 0))
 ) / INDEX(Config!C:C, MATCH($A778, Config!A:A, 0)),
"")
</f>
        <v>0.375</v>
      </c>
      <c r="H778" s="17">
        <f t="array" ref="H778">MAX( INDEX(Pack_Master!H:H, MATCH($D778, Pack_Master!A:A, 0)),
      IFERROR(G778, 0) )
</f>
        <v>0.5</v>
      </c>
      <c r="I778" s="18">
        <f>IFERROR(__xludf.DUMMYFUNCTION("IFERROR(
 INDEX(
   FILTER(Shipping_Rate_Card!B:F, Shipping_Rate_Card!A:A=$A778),
   MATCH($H778, FILTER(Shipping_Rate_Card!B:B, Shipping_Rate_Card!A:A=$A778), 1),
   IF( INDEX(Config!B:B, MATCH($A778, Config!A:A, 0))=""Local"", 2,
     IF( INDEX(Config!B"&amp;":B, MATCH($A778, Config!A:A, 0))=""Regional"", 3, 4 )
   )
 ),
"""")
"),75.0)</f>
        <v>75</v>
      </c>
      <c r="J778" s="16">
        <f>IFERROR(__xludf.DUMMYFUNCTION("IFERROR(
 ( E778 * INDEX(FILTER(Pricing_Rules!E:E, Pricing_Rules!A:A=A778, Pricing_Rules!B:B=B778, Pricing_Rules!C:C&lt;=E778, Pricing_Rules!D:D&gt;=E778), 1)
   + INDEX(FILTER(Pricing_Rules!F:F, Pricing_Rules!A:A=A778, Pricing_Rules!B:B=B778, Pricing_Rules!C:C"&amp;"&lt;=E778, Pricing_Rules!D:D&gt;=E778), 1)
 )
 * (1 + IFERROR( INDEX(Config!D:D, MATCH(A778, Config!A:A, 0)), 0 )),
"""")
"),15.34)</f>
        <v>15.34</v>
      </c>
      <c r="K778" s="19">
        <f t="shared" si="3"/>
        <v>-92.34</v>
      </c>
      <c r="L778" s="20" t="str">
        <f t="shared" si="4"/>
        <v/>
      </c>
    </row>
    <row r="779" ht="15.75" customHeight="1">
      <c r="A779" s="9" t="s">
        <v>1162</v>
      </c>
      <c r="B779" s="12" t="str">
        <f t="array" ref="B779">XLOOKUP(C779, Channel_Listings!C:C, Channel_Listings!B:B)
</f>
        <v>Apparel_Tshirts</v>
      </c>
      <c r="C779" s="23" t="s">
        <v>1259</v>
      </c>
      <c r="D779" s="14" t="str">
        <f t="array" ref="D779">XLOOKUP(C779, Channel_Listings!C:C, Channel_Listings!D:D)
</f>
        <v>TSHIRT-BLACK-XXL</v>
      </c>
      <c r="E779" s="15"/>
      <c r="F779" s="16">
        <f t="array" ref="F779">IFERROR(
  VALUE( INDEX(Product_Master!$I:$I,
               MATCH( INDEX(Pack_Master!$B:$B, MATCH($D779, Pack_Master!$A:$A, 0)),
                      Product_Master!$B:$B, 0)
  )) 
  * VALUE( INDEX(Pack_Master!$C:$C, MATCH($D779, Pack_Master!$A:$A, 0)) )
  + VALUE( INDEX(Pack_Master!$D:$D, MATCH($D779, Pack_Master!$A:$A, 0)) ),
"")
</f>
        <v>2</v>
      </c>
      <c r="G779" s="17">
        <f t="array" ref="G779">IFERROR(
 ( INDEX(Pack_Master!E:E, MATCH($D779, Pack_Master!A:A, 0))
   * INDEX(Pack_Master!F:F, MATCH($D779, Pack_Master!A:A, 0))
   * INDEX(Pack_Master!G:G, MATCH($D779, Pack_Master!A:A, 0))
 ) / INDEX(Config!C:C, MATCH($A779, Config!A:A, 0)),
"")
</f>
        <v>0.375</v>
      </c>
      <c r="H779" s="17">
        <f t="array" ref="H779">MAX( INDEX(Pack_Master!H:H, MATCH($D779, Pack_Master!A:A, 0)),
      IFERROR(G779, 0) )
</f>
        <v>0.5</v>
      </c>
      <c r="I779" s="18">
        <f>IFERROR(__xludf.DUMMYFUNCTION("IFERROR(
 INDEX(
   FILTER(Shipping_Rate_Card!B:F, Shipping_Rate_Card!A:A=$A779),
   MATCH($H779, FILTER(Shipping_Rate_Card!B:B, Shipping_Rate_Card!A:A=$A779), 1),
   IF( INDEX(Config!B:B, MATCH($A779, Config!A:A, 0))=""Local"", 2,
     IF( INDEX(Config!B"&amp;":B, MATCH($A779, Config!A:A, 0))=""Regional"", 3, 4 )
   )
 ),
"""")
"),75.0)</f>
        <v>75</v>
      </c>
      <c r="J779" s="16">
        <f>IFERROR(__xludf.DUMMYFUNCTION("IFERROR(
 ( E779 * INDEX(FILTER(Pricing_Rules!E:E, Pricing_Rules!A:A=A779, Pricing_Rules!B:B=B779, Pricing_Rules!C:C&lt;=E779, Pricing_Rules!D:D&gt;=E779), 1)
   + INDEX(FILTER(Pricing_Rules!F:F, Pricing_Rules!A:A=A779, Pricing_Rules!B:B=B779, Pricing_Rules!C:C"&amp;"&lt;=E779, Pricing_Rules!D:D&gt;=E779), 1)
 )
 * (1 + IFERROR( INDEX(Config!D:D, MATCH(A779, Config!A:A, 0)), 0 )),
"""")
"),15.34)</f>
        <v>15.34</v>
      </c>
      <c r="K779" s="19">
        <f t="shared" si="3"/>
        <v>-92.34</v>
      </c>
      <c r="L779" s="20" t="str">
        <f t="shared" si="4"/>
        <v/>
      </c>
    </row>
    <row r="780" ht="15.75" customHeight="1">
      <c r="A780" s="9" t="s">
        <v>1162</v>
      </c>
      <c r="B780" s="12" t="str">
        <f t="array" ref="B780">XLOOKUP(C780, Channel_Listings!C:C, Channel_Listings!B:B)
</f>
        <v>Apparel_Tshirts</v>
      </c>
      <c r="C780" s="23" t="s">
        <v>343</v>
      </c>
      <c r="D780" s="14" t="str">
        <f t="array" ref="D780">XLOOKUP(C780, Channel_Listings!C:C, Channel_Listings!D:D)
</f>
        <v>TSHIRT-BLACK-L</v>
      </c>
      <c r="E780" s="15"/>
      <c r="F780" s="16">
        <f t="array" ref="F780">IFERROR(
  VALUE( INDEX(Product_Master!$I:$I,
               MATCH( INDEX(Pack_Master!$B:$B, MATCH($D780, Pack_Master!$A:$A, 0)),
                      Product_Master!$B:$B, 0)
  )) 
  * VALUE( INDEX(Pack_Master!$C:$C, MATCH($D780, Pack_Master!$A:$A, 0)) )
  + VALUE( INDEX(Pack_Master!$D:$D, MATCH($D780, Pack_Master!$A:$A, 0)) ),
"")
</f>
        <v>2</v>
      </c>
      <c r="G780" s="17">
        <f t="array" ref="G780">IFERROR(
 ( INDEX(Pack_Master!E:E, MATCH($D780, Pack_Master!A:A, 0))
   * INDEX(Pack_Master!F:F, MATCH($D780, Pack_Master!A:A, 0))
   * INDEX(Pack_Master!G:G, MATCH($D780, Pack_Master!A:A, 0))
 ) / INDEX(Config!C:C, MATCH($A780, Config!A:A, 0)),
"")
</f>
        <v>0.375</v>
      </c>
      <c r="H780" s="17">
        <f t="array" ref="H780">MAX( INDEX(Pack_Master!H:H, MATCH($D780, Pack_Master!A:A, 0)),
      IFERROR(G780, 0) )
</f>
        <v>0.5</v>
      </c>
      <c r="I780" s="18">
        <f>IFERROR(__xludf.DUMMYFUNCTION("IFERROR(
 INDEX(
   FILTER(Shipping_Rate_Card!B:F, Shipping_Rate_Card!A:A=$A780),
   MATCH($H780, FILTER(Shipping_Rate_Card!B:B, Shipping_Rate_Card!A:A=$A780), 1),
   IF( INDEX(Config!B:B, MATCH($A780, Config!A:A, 0))=""Local"", 2,
     IF( INDEX(Config!B"&amp;":B, MATCH($A780, Config!A:A, 0))=""Regional"", 3, 4 )
   )
 ),
"""")
"),75.0)</f>
        <v>75</v>
      </c>
      <c r="J780" s="16">
        <f>IFERROR(__xludf.DUMMYFUNCTION("IFERROR(
 ( E780 * INDEX(FILTER(Pricing_Rules!E:E, Pricing_Rules!A:A=A780, Pricing_Rules!B:B=B780, Pricing_Rules!C:C&lt;=E780, Pricing_Rules!D:D&gt;=E780), 1)
   + INDEX(FILTER(Pricing_Rules!F:F, Pricing_Rules!A:A=A780, Pricing_Rules!B:B=B780, Pricing_Rules!C:C"&amp;"&lt;=E780, Pricing_Rules!D:D&gt;=E780), 1)
 )
 * (1 + IFERROR( INDEX(Config!D:D, MATCH(A780, Config!A:A, 0)), 0 )),
"""")
"),15.34)</f>
        <v>15.34</v>
      </c>
      <c r="K780" s="19">
        <f t="shared" si="3"/>
        <v>-92.34</v>
      </c>
      <c r="L780" s="20" t="str">
        <f t="shared" si="4"/>
        <v/>
      </c>
    </row>
    <row r="781" ht="15.75" customHeight="1">
      <c r="A781" s="9" t="s">
        <v>1162</v>
      </c>
      <c r="B781" s="12" t="str">
        <f t="array" ref="B781">XLOOKUP(C781, Channel_Listings!C:C, Channel_Listings!B:B)
</f>
        <v>Apparel_Tshirts</v>
      </c>
      <c r="C781" s="23" t="s">
        <v>344</v>
      </c>
      <c r="D781" s="14" t="str">
        <f t="array" ref="D781">XLOOKUP(C781, Channel_Listings!C:C, Channel_Listings!D:D)
</f>
        <v>TSHIRT-BLACK-M</v>
      </c>
      <c r="E781" s="15"/>
      <c r="F781" s="16">
        <f t="array" ref="F781">IFERROR(
  VALUE( INDEX(Product_Master!$I:$I,
               MATCH( INDEX(Pack_Master!$B:$B, MATCH($D781, Pack_Master!$A:$A, 0)),
                      Product_Master!$B:$B, 0)
  )) 
  * VALUE( INDEX(Pack_Master!$C:$C, MATCH($D781, Pack_Master!$A:$A, 0)) )
  + VALUE( INDEX(Pack_Master!$D:$D, MATCH($D781, Pack_Master!$A:$A, 0)) ),
"")
</f>
        <v>2</v>
      </c>
      <c r="G781" s="17">
        <f t="array" ref="G781">IFERROR(
 ( INDEX(Pack_Master!E:E, MATCH($D781, Pack_Master!A:A, 0))
   * INDEX(Pack_Master!F:F, MATCH($D781, Pack_Master!A:A, 0))
   * INDEX(Pack_Master!G:G, MATCH($D781, Pack_Master!A:A, 0))
 ) / INDEX(Config!C:C, MATCH($A781, Config!A:A, 0)),
"")
</f>
        <v>0.375</v>
      </c>
      <c r="H781" s="17">
        <f t="array" ref="H781">MAX( INDEX(Pack_Master!H:H, MATCH($D781, Pack_Master!A:A, 0)),
      IFERROR(G781, 0) )
</f>
        <v>0.5</v>
      </c>
      <c r="I781" s="18">
        <f>IFERROR(__xludf.DUMMYFUNCTION("IFERROR(
 INDEX(
   FILTER(Shipping_Rate_Card!B:F, Shipping_Rate_Card!A:A=$A781),
   MATCH($H781, FILTER(Shipping_Rate_Card!B:B, Shipping_Rate_Card!A:A=$A781), 1),
   IF( INDEX(Config!B:B, MATCH($A781, Config!A:A, 0))=""Local"", 2,
     IF( INDEX(Config!B"&amp;":B, MATCH($A781, Config!A:A, 0))=""Regional"", 3, 4 )
   )
 ),
"""")
"),75.0)</f>
        <v>75</v>
      </c>
      <c r="J781" s="16">
        <f>IFERROR(__xludf.DUMMYFUNCTION("IFERROR(
 ( E781 * INDEX(FILTER(Pricing_Rules!E:E, Pricing_Rules!A:A=A781, Pricing_Rules!B:B=B781, Pricing_Rules!C:C&lt;=E781, Pricing_Rules!D:D&gt;=E781), 1)
   + INDEX(FILTER(Pricing_Rules!F:F, Pricing_Rules!A:A=A781, Pricing_Rules!B:B=B781, Pricing_Rules!C:C"&amp;"&lt;=E781, Pricing_Rules!D:D&gt;=E781), 1)
 )
 * (1 + IFERROR( INDEX(Config!D:D, MATCH(A781, Config!A:A, 0)), 0 )),
"""")
"),15.34)</f>
        <v>15.34</v>
      </c>
      <c r="K781" s="19">
        <f t="shared" si="3"/>
        <v>-92.34</v>
      </c>
      <c r="L781" s="20" t="str">
        <f t="shared" si="4"/>
        <v/>
      </c>
    </row>
    <row r="782" ht="15.75" customHeight="1">
      <c r="A782" s="9" t="s">
        <v>1162</v>
      </c>
      <c r="B782" s="12" t="str">
        <f t="array" ref="B782">XLOOKUP(C782, Channel_Listings!C:C, Channel_Listings!B:B)
</f>
        <v>Apparel_Tshirts</v>
      </c>
      <c r="C782" s="23" t="s">
        <v>345</v>
      </c>
      <c r="D782" s="14" t="str">
        <f t="array" ref="D782">XLOOKUP(C782, Channel_Listings!C:C, Channel_Listings!D:D)
</f>
        <v>TSHIRT-BLACK-XL</v>
      </c>
      <c r="E782" s="15"/>
      <c r="F782" s="16">
        <f t="array" ref="F782">IFERROR(
  VALUE( INDEX(Product_Master!$I:$I,
               MATCH( INDEX(Pack_Master!$B:$B, MATCH($D782, Pack_Master!$A:$A, 0)),
                      Product_Master!$B:$B, 0)
  )) 
  * VALUE( INDEX(Pack_Master!$C:$C, MATCH($D782, Pack_Master!$A:$A, 0)) )
  + VALUE( INDEX(Pack_Master!$D:$D, MATCH($D782, Pack_Master!$A:$A, 0)) ),
"")
</f>
        <v>2</v>
      </c>
      <c r="G782" s="17">
        <f t="array" ref="G782">IFERROR(
 ( INDEX(Pack_Master!E:E, MATCH($D782, Pack_Master!A:A, 0))
   * INDEX(Pack_Master!F:F, MATCH($D782, Pack_Master!A:A, 0))
   * INDEX(Pack_Master!G:G, MATCH($D782, Pack_Master!A:A, 0))
 ) / INDEX(Config!C:C, MATCH($A782, Config!A:A, 0)),
"")
</f>
        <v>0.375</v>
      </c>
      <c r="H782" s="17">
        <f t="array" ref="H782">MAX( INDEX(Pack_Master!H:H, MATCH($D782, Pack_Master!A:A, 0)),
      IFERROR(G782, 0) )
</f>
        <v>0.5</v>
      </c>
      <c r="I782" s="18">
        <f>IFERROR(__xludf.DUMMYFUNCTION("IFERROR(
 INDEX(
   FILTER(Shipping_Rate_Card!B:F, Shipping_Rate_Card!A:A=$A782),
   MATCH($H782, FILTER(Shipping_Rate_Card!B:B, Shipping_Rate_Card!A:A=$A782), 1),
   IF( INDEX(Config!B:B, MATCH($A782, Config!A:A, 0))=""Local"", 2,
     IF( INDEX(Config!B"&amp;":B, MATCH($A782, Config!A:A, 0))=""Regional"", 3, 4 )
   )
 ),
"""")
"),75.0)</f>
        <v>75</v>
      </c>
      <c r="J782" s="16">
        <f>IFERROR(__xludf.DUMMYFUNCTION("IFERROR(
 ( E782 * INDEX(FILTER(Pricing_Rules!E:E, Pricing_Rules!A:A=A782, Pricing_Rules!B:B=B782, Pricing_Rules!C:C&lt;=E782, Pricing_Rules!D:D&gt;=E782), 1)
   + INDEX(FILTER(Pricing_Rules!F:F, Pricing_Rules!A:A=A782, Pricing_Rules!B:B=B782, Pricing_Rules!C:C"&amp;"&lt;=E782, Pricing_Rules!D:D&gt;=E782), 1)
 )
 * (1 + IFERROR( INDEX(Config!D:D, MATCH(A782, Config!A:A, 0)), 0 )),
"""")
"),15.34)</f>
        <v>15.34</v>
      </c>
      <c r="K782" s="19">
        <f t="shared" si="3"/>
        <v>-92.34</v>
      </c>
      <c r="L782" s="20" t="str">
        <f t="shared" si="4"/>
        <v/>
      </c>
    </row>
    <row r="783" ht="15.75" customHeight="1">
      <c r="A783" s="9" t="s">
        <v>1162</v>
      </c>
      <c r="B783" s="12" t="str">
        <f t="array" ref="B783">XLOOKUP(C783, Channel_Listings!C:C, Channel_Listings!B:B)
</f>
        <v>Apparel_Tshirts</v>
      </c>
      <c r="C783" s="23" t="s">
        <v>346</v>
      </c>
      <c r="D783" s="14" t="str">
        <f t="array" ref="D783">XLOOKUP(C783, Channel_Listings!C:C, Channel_Listings!D:D)
</f>
        <v>TSHIRT-BLACK-XXL</v>
      </c>
      <c r="E783" s="15"/>
      <c r="F783" s="16">
        <f t="array" ref="F783">IFERROR(
  VALUE( INDEX(Product_Master!$I:$I,
               MATCH( INDEX(Pack_Master!$B:$B, MATCH($D783, Pack_Master!$A:$A, 0)),
                      Product_Master!$B:$B, 0)
  )) 
  * VALUE( INDEX(Pack_Master!$C:$C, MATCH($D783, Pack_Master!$A:$A, 0)) )
  + VALUE( INDEX(Pack_Master!$D:$D, MATCH($D783, Pack_Master!$A:$A, 0)) ),
"")
</f>
        <v>2</v>
      </c>
      <c r="G783" s="17">
        <f t="array" ref="G783">IFERROR(
 ( INDEX(Pack_Master!E:E, MATCH($D783, Pack_Master!A:A, 0))
   * INDEX(Pack_Master!F:F, MATCH($D783, Pack_Master!A:A, 0))
   * INDEX(Pack_Master!G:G, MATCH($D783, Pack_Master!A:A, 0))
 ) / INDEX(Config!C:C, MATCH($A783, Config!A:A, 0)),
"")
</f>
        <v>0.375</v>
      </c>
      <c r="H783" s="17">
        <f t="array" ref="H783">MAX( INDEX(Pack_Master!H:H, MATCH($D783, Pack_Master!A:A, 0)),
      IFERROR(G783, 0) )
</f>
        <v>0.5</v>
      </c>
      <c r="I783" s="18">
        <f>IFERROR(__xludf.DUMMYFUNCTION("IFERROR(
 INDEX(
   FILTER(Shipping_Rate_Card!B:F, Shipping_Rate_Card!A:A=$A783),
   MATCH($H783, FILTER(Shipping_Rate_Card!B:B, Shipping_Rate_Card!A:A=$A783), 1),
   IF( INDEX(Config!B:B, MATCH($A783, Config!A:A, 0))=""Local"", 2,
     IF( INDEX(Config!B"&amp;":B, MATCH($A783, Config!A:A, 0))=""Regional"", 3, 4 )
   )
 ),
"""")
"),75.0)</f>
        <v>75</v>
      </c>
      <c r="J783" s="16">
        <f>IFERROR(__xludf.DUMMYFUNCTION("IFERROR(
 ( E783 * INDEX(FILTER(Pricing_Rules!E:E, Pricing_Rules!A:A=A783, Pricing_Rules!B:B=B783, Pricing_Rules!C:C&lt;=E783, Pricing_Rules!D:D&gt;=E783), 1)
   + INDEX(FILTER(Pricing_Rules!F:F, Pricing_Rules!A:A=A783, Pricing_Rules!B:B=B783, Pricing_Rules!C:C"&amp;"&lt;=E783, Pricing_Rules!D:D&gt;=E783), 1)
 )
 * (1 + IFERROR( INDEX(Config!D:D, MATCH(A783, Config!A:A, 0)), 0 )),
"""")
"),15.34)</f>
        <v>15.34</v>
      </c>
      <c r="K783" s="19">
        <f t="shared" si="3"/>
        <v>-92.34</v>
      </c>
      <c r="L783" s="20" t="str">
        <f t="shared" si="4"/>
        <v/>
      </c>
    </row>
    <row r="784" ht="15.75" customHeight="1">
      <c r="A784" s="9" t="s">
        <v>1162</v>
      </c>
      <c r="B784" s="12" t="str">
        <f t="array" ref="B784">XLOOKUP(C784, Channel_Listings!C:C, Channel_Listings!B:B)
</f>
        <v>Apparel_Tshirts</v>
      </c>
      <c r="C784" s="23" t="s">
        <v>1265</v>
      </c>
      <c r="D784" s="14" t="str">
        <f t="array" ref="D784">XLOOKUP(C784, Channel_Listings!C:C, Channel_Listings!D:D)
</f>
        <v>TSHIRT-BLACK-L</v>
      </c>
      <c r="E784" s="15"/>
      <c r="F784" s="16">
        <f t="array" ref="F784">IFERROR(
  VALUE( INDEX(Product_Master!$I:$I,
               MATCH( INDEX(Pack_Master!$B:$B, MATCH($D784, Pack_Master!$A:$A, 0)),
                      Product_Master!$B:$B, 0)
  )) 
  * VALUE( INDEX(Pack_Master!$C:$C, MATCH($D784, Pack_Master!$A:$A, 0)) )
  + VALUE( INDEX(Pack_Master!$D:$D, MATCH($D784, Pack_Master!$A:$A, 0)) ),
"")
</f>
        <v>2</v>
      </c>
      <c r="G784" s="17">
        <f t="array" ref="G784">IFERROR(
 ( INDEX(Pack_Master!E:E, MATCH($D784, Pack_Master!A:A, 0))
   * INDEX(Pack_Master!F:F, MATCH($D784, Pack_Master!A:A, 0))
   * INDEX(Pack_Master!G:G, MATCH($D784, Pack_Master!A:A, 0))
 ) / INDEX(Config!C:C, MATCH($A784, Config!A:A, 0)),
"")
</f>
        <v>0.375</v>
      </c>
      <c r="H784" s="17">
        <f t="array" ref="H784">MAX( INDEX(Pack_Master!H:H, MATCH($D784, Pack_Master!A:A, 0)),
      IFERROR(G784, 0) )
</f>
        <v>0.5</v>
      </c>
      <c r="I784" s="18">
        <f>IFERROR(__xludf.DUMMYFUNCTION("IFERROR(
 INDEX(
   FILTER(Shipping_Rate_Card!B:F, Shipping_Rate_Card!A:A=$A784),
   MATCH($H784, FILTER(Shipping_Rate_Card!B:B, Shipping_Rate_Card!A:A=$A784), 1),
   IF( INDEX(Config!B:B, MATCH($A784, Config!A:A, 0))=""Local"", 2,
     IF( INDEX(Config!B"&amp;":B, MATCH($A784, Config!A:A, 0))=""Regional"", 3, 4 )
   )
 ),
"""")
"),75.0)</f>
        <v>75</v>
      </c>
      <c r="J784" s="16">
        <f>IFERROR(__xludf.DUMMYFUNCTION("IFERROR(
 ( E784 * INDEX(FILTER(Pricing_Rules!E:E, Pricing_Rules!A:A=A784, Pricing_Rules!B:B=B784, Pricing_Rules!C:C&lt;=E784, Pricing_Rules!D:D&gt;=E784), 1)
   + INDEX(FILTER(Pricing_Rules!F:F, Pricing_Rules!A:A=A784, Pricing_Rules!B:B=B784, Pricing_Rules!C:C"&amp;"&lt;=E784, Pricing_Rules!D:D&gt;=E784), 1)
 )
 * (1 + IFERROR( INDEX(Config!D:D, MATCH(A784, Config!A:A, 0)), 0 )),
"""")
"),15.34)</f>
        <v>15.34</v>
      </c>
      <c r="K784" s="19">
        <f t="shared" si="3"/>
        <v>-92.34</v>
      </c>
      <c r="L784" s="20" t="str">
        <f t="shared" si="4"/>
        <v/>
      </c>
    </row>
    <row r="785" ht="15.75" customHeight="1">
      <c r="A785" s="9" t="s">
        <v>1162</v>
      </c>
      <c r="B785" s="12" t="str">
        <f t="array" ref="B785">XLOOKUP(C785, Channel_Listings!C:C, Channel_Listings!B:B)
</f>
        <v>Apparel_Tshirts</v>
      </c>
      <c r="C785" s="23" t="s">
        <v>1267</v>
      </c>
      <c r="D785" s="14" t="str">
        <f t="array" ref="D785">XLOOKUP(C785, Channel_Listings!C:C, Channel_Listings!D:D)
</f>
        <v>TSHIRT-BLACK-M</v>
      </c>
      <c r="E785" s="15"/>
      <c r="F785" s="16">
        <f t="array" ref="F785">IFERROR(
  VALUE( INDEX(Product_Master!$I:$I,
               MATCH( INDEX(Pack_Master!$B:$B, MATCH($D785, Pack_Master!$A:$A, 0)),
                      Product_Master!$B:$B, 0)
  )) 
  * VALUE( INDEX(Pack_Master!$C:$C, MATCH($D785, Pack_Master!$A:$A, 0)) )
  + VALUE( INDEX(Pack_Master!$D:$D, MATCH($D785, Pack_Master!$A:$A, 0)) ),
"")
</f>
        <v>2</v>
      </c>
      <c r="G785" s="17">
        <f t="array" ref="G785">IFERROR(
 ( INDEX(Pack_Master!E:E, MATCH($D785, Pack_Master!A:A, 0))
   * INDEX(Pack_Master!F:F, MATCH($D785, Pack_Master!A:A, 0))
   * INDEX(Pack_Master!G:G, MATCH($D785, Pack_Master!A:A, 0))
 ) / INDEX(Config!C:C, MATCH($A785, Config!A:A, 0)),
"")
</f>
        <v>0.375</v>
      </c>
      <c r="H785" s="17">
        <f t="array" ref="H785">MAX( INDEX(Pack_Master!H:H, MATCH($D785, Pack_Master!A:A, 0)),
      IFERROR(G785, 0) )
</f>
        <v>0.5</v>
      </c>
      <c r="I785" s="18">
        <f>IFERROR(__xludf.DUMMYFUNCTION("IFERROR(
 INDEX(
   FILTER(Shipping_Rate_Card!B:F, Shipping_Rate_Card!A:A=$A785),
   MATCH($H785, FILTER(Shipping_Rate_Card!B:B, Shipping_Rate_Card!A:A=$A785), 1),
   IF( INDEX(Config!B:B, MATCH($A785, Config!A:A, 0))=""Local"", 2,
     IF( INDEX(Config!B"&amp;":B, MATCH($A785, Config!A:A, 0))=""Regional"", 3, 4 )
   )
 ),
"""")
"),75.0)</f>
        <v>75</v>
      </c>
      <c r="J785" s="16">
        <f>IFERROR(__xludf.DUMMYFUNCTION("IFERROR(
 ( E785 * INDEX(FILTER(Pricing_Rules!E:E, Pricing_Rules!A:A=A785, Pricing_Rules!B:B=B785, Pricing_Rules!C:C&lt;=E785, Pricing_Rules!D:D&gt;=E785), 1)
   + INDEX(FILTER(Pricing_Rules!F:F, Pricing_Rules!A:A=A785, Pricing_Rules!B:B=B785, Pricing_Rules!C:C"&amp;"&lt;=E785, Pricing_Rules!D:D&gt;=E785), 1)
 )
 * (1 + IFERROR( INDEX(Config!D:D, MATCH(A785, Config!A:A, 0)), 0 )),
"""")
"),15.34)</f>
        <v>15.34</v>
      </c>
      <c r="K785" s="19">
        <f t="shared" si="3"/>
        <v>-92.34</v>
      </c>
      <c r="L785" s="20" t="str">
        <f t="shared" si="4"/>
        <v/>
      </c>
    </row>
    <row r="786" ht="15.75" customHeight="1">
      <c r="A786" s="9" t="s">
        <v>1162</v>
      </c>
      <c r="B786" s="12" t="str">
        <f t="array" ref="B786">XLOOKUP(C786, Channel_Listings!C:C, Channel_Listings!B:B)
</f>
        <v>Apparel_Tshirts</v>
      </c>
      <c r="C786" s="23" t="s">
        <v>1269</v>
      </c>
      <c r="D786" s="14" t="str">
        <f t="array" ref="D786">XLOOKUP(C786, Channel_Listings!C:C, Channel_Listings!D:D)
</f>
        <v>TSHIRT-BLACK-XL</v>
      </c>
      <c r="E786" s="15"/>
      <c r="F786" s="16">
        <f t="array" ref="F786">IFERROR(
  VALUE( INDEX(Product_Master!$I:$I,
               MATCH( INDEX(Pack_Master!$B:$B, MATCH($D786, Pack_Master!$A:$A, 0)),
                      Product_Master!$B:$B, 0)
  )) 
  * VALUE( INDEX(Pack_Master!$C:$C, MATCH($D786, Pack_Master!$A:$A, 0)) )
  + VALUE( INDEX(Pack_Master!$D:$D, MATCH($D786, Pack_Master!$A:$A, 0)) ),
"")
</f>
        <v>2</v>
      </c>
      <c r="G786" s="17">
        <f t="array" ref="G786">IFERROR(
 ( INDEX(Pack_Master!E:E, MATCH($D786, Pack_Master!A:A, 0))
   * INDEX(Pack_Master!F:F, MATCH($D786, Pack_Master!A:A, 0))
   * INDEX(Pack_Master!G:G, MATCH($D786, Pack_Master!A:A, 0))
 ) / INDEX(Config!C:C, MATCH($A786, Config!A:A, 0)),
"")
</f>
        <v>0.375</v>
      </c>
      <c r="H786" s="17">
        <f t="array" ref="H786">MAX( INDEX(Pack_Master!H:H, MATCH($D786, Pack_Master!A:A, 0)),
      IFERROR(G786, 0) )
</f>
        <v>0.5</v>
      </c>
      <c r="I786" s="18">
        <f>IFERROR(__xludf.DUMMYFUNCTION("IFERROR(
 INDEX(
   FILTER(Shipping_Rate_Card!B:F, Shipping_Rate_Card!A:A=$A786),
   MATCH($H786, FILTER(Shipping_Rate_Card!B:B, Shipping_Rate_Card!A:A=$A786), 1),
   IF( INDEX(Config!B:B, MATCH($A786, Config!A:A, 0))=""Local"", 2,
     IF( INDEX(Config!B"&amp;":B, MATCH($A786, Config!A:A, 0))=""Regional"", 3, 4 )
   )
 ),
"""")
"),75.0)</f>
        <v>75</v>
      </c>
      <c r="J786" s="16">
        <f>IFERROR(__xludf.DUMMYFUNCTION("IFERROR(
 ( E786 * INDEX(FILTER(Pricing_Rules!E:E, Pricing_Rules!A:A=A786, Pricing_Rules!B:B=B786, Pricing_Rules!C:C&lt;=E786, Pricing_Rules!D:D&gt;=E786), 1)
   + INDEX(FILTER(Pricing_Rules!F:F, Pricing_Rules!A:A=A786, Pricing_Rules!B:B=B786, Pricing_Rules!C:C"&amp;"&lt;=E786, Pricing_Rules!D:D&gt;=E786), 1)
 )
 * (1 + IFERROR( INDEX(Config!D:D, MATCH(A786, Config!A:A, 0)), 0 )),
"""")
"),15.34)</f>
        <v>15.34</v>
      </c>
      <c r="K786" s="19">
        <f t="shared" si="3"/>
        <v>-92.34</v>
      </c>
      <c r="L786" s="20" t="str">
        <f t="shared" si="4"/>
        <v/>
      </c>
    </row>
    <row r="787" ht="15.75" customHeight="1">
      <c r="A787" s="9" t="s">
        <v>1162</v>
      </c>
      <c r="B787" s="12" t="str">
        <f t="array" ref="B787">XLOOKUP(C787, Channel_Listings!C:C, Channel_Listings!B:B)
</f>
        <v>Apparel_Tshirts</v>
      </c>
      <c r="C787" s="23" t="s">
        <v>1271</v>
      </c>
      <c r="D787" s="14" t="str">
        <f t="array" ref="D787">XLOOKUP(C787, Channel_Listings!C:C, Channel_Listings!D:D)
</f>
        <v>TSHIRT-BLACK-XXL</v>
      </c>
      <c r="E787" s="15"/>
      <c r="F787" s="16">
        <f t="array" ref="F787">IFERROR(
  VALUE( INDEX(Product_Master!$I:$I,
               MATCH( INDEX(Pack_Master!$B:$B, MATCH($D787, Pack_Master!$A:$A, 0)),
                      Product_Master!$B:$B, 0)
  )) 
  * VALUE( INDEX(Pack_Master!$C:$C, MATCH($D787, Pack_Master!$A:$A, 0)) )
  + VALUE( INDEX(Pack_Master!$D:$D, MATCH($D787, Pack_Master!$A:$A, 0)) ),
"")
</f>
        <v>2</v>
      </c>
      <c r="G787" s="17">
        <f t="array" ref="G787">IFERROR(
 ( INDEX(Pack_Master!E:E, MATCH($D787, Pack_Master!A:A, 0))
   * INDEX(Pack_Master!F:F, MATCH($D787, Pack_Master!A:A, 0))
   * INDEX(Pack_Master!G:G, MATCH($D787, Pack_Master!A:A, 0))
 ) / INDEX(Config!C:C, MATCH($A787, Config!A:A, 0)),
"")
</f>
        <v>0.375</v>
      </c>
      <c r="H787" s="17">
        <f t="array" ref="H787">MAX( INDEX(Pack_Master!H:H, MATCH($D787, Pack_Master!A:A, 0)),
      IFERROR(G787, 0) )
</f>
        <v>0.5</v>
      </c>
      <c r="I787" s="18">
        <f>IFERROR(__xludf.DUMMYFUNCTION("IFERROR(
 INDEX(
   FILTER(Shipping_Rate_Card!B:F, Shipping_Rate_Card!A:A=$A787),
   MATCH($H787, FILTER(Shipping_Rate_Card!B:B, Shipping_Rate_Card!A:A=$A787), 1),
   IF( INDEX(Config!B:B, MATCH($A787, Config!A:A, 0))=""Local"", 2,
     IF( INDEX(Config!B"&amp;":B, MATCH($A787, Config!A:A, 0))=""Regional"", 3, 4 )
   )
 ),
"""")
"),75.0)</f>
        <v>75</v>
      </c>
      <c r="J787" s="16">
        <f>IFERROR(__xludf.DUMMYFUNCTION("IFERROR(
 ( E787 * INDEX(FILTER(Pricing_Rules!E:E, Pricing_Rules!A:A=A787, Pricing_Rules!B:B=B787, Pricing_Rules!C:C&lt;=E787, Pricing_Rules!D:D&gt;=E787), 1)
   + INDEX(FILTER(Pricing_Rules!F:F, Pricing_Rules!A:A=A787, Pricing_Rules!B:B=B787, Pricing_Rules!C:C"&amp;"&lt;=E787, Pricing_Rules!D:D&gt;=E787), 1)
 )
 * (1 + IFERROR( INDEX(Config!D:D, MATCH(A787, Config!A:A, 0)), 0 )),
"""")
"),15.34)</f>
        <v>15.34</v>
      </c>
      <c r="K787" s="19">
        <f t="shared" si="3"/>
        <v>-92.34</v>
      </c>
      <c r="L787" s="20" t="str">
        <f t="shared" si="4"/>
        <v/>
      </c>
    </row>
    <row r="788" ht="15.75" customHeight="1">
      <c r="A788" s="9" t="s">
        <v>1162</v>
      </c>
      <c r="B788" s="12" t="str">
        <f t="array" ref="B788">XLOOKUP(C788, Channel_Listings!C:C, Channel_Listings!B:B)
</f>
        <v>Apparel_Caps_Beanies</v>
      </c>
      <c r="C788" s="23" t="s">
        <v>1273</v>
      </c>
      <c r="D788" s="14" t="str">
        <f t="array" ref="D788">XLOOKUP(C788, Channel_Listings!C:C, Channel_Listings!D:D)
</f>
        <v>CAP-PARA-BLACK</v>
      </c>
      <c r="E788" s="15"/>
      <c r="F788" s="16">
        <f t="array" ref="F788">IFERROR(
  VALUE( INDEX(Product_Master!$I:$I,
               MATCH( INDEX(Pack_Master!$B:$B, MATCH($D788, Pack_Master!$A:$A, 0)),
                      Product_Master!$B:$B, 0)
  )) 
  * VALUE( INDEX(Pack_Master!$C:$C, MATCH($D788, Pack_Master!$A:$A, 0)) )
  + VALUE( INDEX(Pack_Master!$D:$D, MATCH($D788, Pack_Master!$A:$A, 0)) ),
"")
</f>
        <v>2</v>
      </c>
      <c r="G788" s="17">
        <f t="array" ref="G788">IFERROR(
 ( INDEX(Pack_Master!E:E, MATCH($D788, Pack_Master!A:A, 0))
   * INDEX(Pack_Master!F:F, MATCH($D788, Pack_Master!A:A, 0))
   * INDEX(Pack_Master!G:G, MATCH($D788, Pack_Master!A:A, 0))
 ) / INDEX(Config!C:C, MATCH($A788, Config!A:A, 0)),
"")
</f>
        <v>0.375</v>
      </c>
      <c r="H788" s="17">
        <f t="array" ref="H788">MAX( INDEX(Pack_Master!H:H, MATCH($D788, Pack_Master!A:A, 0)),
      IFERROR(G788, 0) )
</f>
        <v>0.5</v>
      </c>
      <c r="I788" s="18">
        <f>IFERROR(__xludf.DUMMYFUNCTION("IFERROR(
 INDEX(
   FILTER(Shipping_Rate_Card!B:F, Shipping_Rate_Card!A:A=$A788),
   MATCH($H788, FILTER(Shipping_Rate_Card!B:B, Shipping_Rate_Card!A:A=$A788), 1),
   IF( INDEX(Config!B:B, MATCH($A788, Config!A:A, 0))=""Local"", 2,
     IF( INDEX(Config!B"&amp;":B, MATCH($A788, Config!A:A, 0))=""Regional"", 3, 4 )
   )
 ),
"""")
"),75.0)</f>
        <v>75</v>
      </c>
      <c r="J788" s="16">
        <f>IFERROR(__xludf.DUMMYFUNCTION("IFERROR(
 ( E788 * INDEX(FILTER(Pricing_Rules!E:E, Pricing_Rules!A:A=A788, Pricing_Rules!B:B=B788, Pricing_Rules!C:C&lt;=E788, Pricing_Rules!D:D&gt;=E788), 1)
   + INDEX(FILTER(Pricing_Rules!F:F, Pricing_Rules!A:A=A788, Pricing_Rules!B:B=B788, Pricing_Rules!C:C"&amp;"&lt;=E788, Pricing_Rules!D:D&gt;=E788), 1)
 )
 * (1 + IFERROR( INDEX(Config!D:D, MATCH(A788, Config!A:A, 0)), 0 )),
"""")
"),15.34)</f>
        <v>15.34</v>
      </c>
      <c r="K788" s="19">
        <f t="shared" si="3"/>
        <v>-92.34</v>
      </c>
      <c r="L788" s="20" t="str">
        <f t="shared" si="4"/>
        <v/>
      </c>
    </row>
    <row r="789" ht="15.75" customHeight="1">
      <c r="A789" s="9" t="s">
        <v>1162</v>
      </c>
      <c r="B789" s="12" t="str">
        <f t="array" ref="B789">XLOOKUP(C789, Channel_Listings!C:C, Channel_Listings!B:B)
</f>
        <v>Apparel_Tshirts</v>
      </c>
      <c r="C789" s="23" t="s">
        <v>1275</v>
      </c>
      <c r="D789" s="14" t="str">
        <f t="array" ref="D789">XLOOKUP(C789, Channel_Listings!C:C, Channel_Listings!D:D)
</f>
        <v>TSHIRT-BLACK-M</v>
      </c>
      <c r="E789" s="15"/>
      <c r="F789" s="16">
        <f t="array" ref="F789">IFERROR(
  VALUE( INDEX(Product_Master!$I:$I,
               MATCH( INDEX(Pack_Master!$B:$B, MATCH($D789, Pack_Master!$A:$A, 0)),
                      Product_Master!$B:$B, 0)
  )) 
  * VALUE( INDEX(Pack_Master!$C:$C, MATCH($D789, Pack_Master!$A:$A, 0)) )
  + VALUE( INDEX(Pack_Master!$D:$D, MATCH($D789, Pack_Master!$A:$A, 0)) ),
"")
</f>
        <v>2</v>
      </c>
      <c r="G789" s="17">
        <f t="array" ref="G789">IFERROR(
 ( INDEX(Pack_Master!E:E, MATCH($D789, Pack_Master!A:A, 0))
   * INDEX(Pack_Master!F:F, MATCH($D789, Pack_Master!A:A, 0))
   * INDEX(Pack_Master!G:G, MATCH($D789, Pack_Master!A:A, 0))
 ) / INDEX(Config!C:C, MATCH($A789, Config!A:A, 0)),
"")
</f>
        <v>0.375</v>
      </c>
      <c r="H789" s="17">
        <f t="array" ref="H789">MAX( INDEX(Pack_Master!H:H, MATCH($D789, Pack_Master!A:A, 0)),
      IFERROR(G789, 0) )
</f>
        <v>0.5</v>
      </c>
      <c r="I789" s="18">
        <f>IFERROR(__xludf.DUMMYFUNCTION("IFERROR(
 INDEX(
   FILTER(Shipping_Rate_Card!B:F, Shipping_Rate_Card!A:A=$A789),
   MATCH($H789, FILTER(Shipping_Rate_Card!B:B, Shipping_Rate_Card!A:A=$A789), 1),
   IF( INDEX(Config!B:B, MATCH($A789, Config!A:A, 0))=""Local"", 2,
     IF( INDEX(Config!B"&amp;":B, MATCH($A789, Config!A:A, 0))=""Regional"", 3, 4 )
   )
 ),
"""")
"),75.0)</f>
        <v>75</v>
      </c>
      <c r="J789" s="16">
        <f>IFERROR(__xludf.DUMMYFUNCTION("IFERROR(
 ( E789 * INDEX(FILTER(Pricing_Rules!E:E, Pricing_Rules!A:A=A789, Pricing_Rules!B:B=B789, Pricing_Rules!C:C&lt;=E789, Pricing_Rules!D:D&gt;=E789), 1)
   + INDEX(FILTER(Pricing_Rules!F:F, Pricing_Rules!A:A=A789, Pricing_Rules!B:B=B789, Pricing_Rules!C:C"&amp;"&lt;=E789, Pricing_Rules!D:D&gt;=E789), 1)
 )
 * (1 + IFERROR( INDEX(Config!D:D, MATCH(A789, Config!A:A, 0)), 0 )),
"""")
"),15.34)</f>
        <v>15.34</v>
      </c>
      <c r="K789" s="19">
        <f t="shared" si="3"/>
        <v>-92.34</v>
      </c>
      <c r="L789" s="20" t="str">
        <f t="shared" si="4"/>
        <v/>
      </c>
    </row>
    <row r="790" ht="15.75" customHeight="1">
      <c r="A790" s="9" t="s">
        <v>1162</v>
      </c>
      <c r="B790" s="12" t="str">
        <f t="array" ref="B790">XLOOKUP(C790, Channel_Listings!C:C, Channel_Listings!B:B)
</f>
        <v>Apparel_Tshirts</v>
      </c>
      <c r="C790" s="23" t="s">
        <v>1277</v>
      </c>
      <c r="D790" s="14" t="str">
        <f t="array" ref="D790">XLOOKUP(C790, Channel_Listings!C:C, Channel_Listings!D:D)
</f>
        <v>TSHIRT-BLACK-XL</v>
      </c>
      <c r="E790" s="15"/>
      <c r="F790" s="16">
        <f t="array" ref="F790">IFERROR(
  VALUE( INDEX(Product_Master!$I:$I,
               MATCH( INDEX(Pack_Master!$B:$B, MATCH($D790, Pack_Master!$A:$A, 0)),
                      Product_Master!$B:$B, 0)
  )) 
  * VALUE( INDEX(Pack_Master!$C:$C, MATCH($D790, Pack_Master!$A:$A, 0)) )
  + VALUE( INDEX(Pack_Master!$D:$D, MATCH($D790, Pack_Master!$A:$A, 0)) ),
"")
</f>
        <v>2</v>
      </c>
      <c r="G790" s="17">
        <f t="array" ref="G790">IFERROR(
 ( INDEX(Pack_Master!E:E, MATCH($D790, Pack_Master!A:A, 0))
   * INDEX(Pack_Master!F:F, MATCH($D790, Pack_Master!A:A, 0))
   * INDEX(Pack_Master!G:G, MATCH($D790, Pack_Master!A:A, 0))
 ) / INDEX(Config!C:C, MATCH($A790, Config!A:A, 0)),
"")
</f>
        <v>0.375</v>
      </c>
      <c r="H790" s="17">
        <f t="array" ref="H790">MAX( INDEX(Pack_Master!H:H, MATCH($D790, Pack_Master!A:A, 0)),
      IFERROR(G790, 0) )
</f>
        <v>0.5</v>
      </c>
      <c r="I790" s="18">
        <f>IFERROR(__xludf.DUMMYFUNCTION("IFERROR(
 INDEX(
   FILTER(Shipping_Rate_Card!B:F, Shipping_Rate_Card!A:A=$A790),
   MATCH($H790, FILTER(Shipping_Rate_Card!B:B, Shipping_Rate_Card!A:A=$A790), 1),
   IF( INDEX(Config!B:B, MATCH($A790, Config!A:A, 0))=""Local"", 2,
     IF( INDEX(Config!B"&amp;":B, MATCH($A790, Config!A:A, 0))=""Regional"", 3, 4 )
   )
 ),
"""")
"),75.0)</f>
        <v>75</v>
      </c>
      <c r="J790" s="16">
        <f>IFERROR(__xludf.DUMMYFUNCTION("IFERROR(
 ( E790 * INDEX(FILTER(Pricing_Rules!E:E, Pricing_Rules!A:A=A790, Pricing_Rules!B:B=B790, Pricing_Rules!C:C&lt;=E790, Pricing_Rules!D:D&gt;=E790), 1)
   + INDEX(FILTER(Pricing_Rules!F:F, Pricing_Rules!A:A=A790, Pricing_Rules!B:B=B790, Pricing_Rules!C:C"&amp;"&lt;=E790, Pricing_Rules!D:D&gt;=E790), 1)
 )
 * (1 + IFERROR( INDEX(Config!D:D, MATCH(A790, Config!A:A, 0)), 0 )),
"""")
"),15.34)</f>
        <v>15.34</v>
      </c>
      <c r="K790" s="19">
        <f t="shared" si="3"/>
        <v>-92.34</v>
      </c>
      <c r="L790" s="20" t="str">
        <f t="shared" si="4"/>
        <v/>
      </c>
    </row>
    <row r="791" ht="15.75" customHeight="1">
      <c r="A791" s="9" t="s">
        <v>1162</v>
      </c>
      <c r="B791" s="12" t="str">
        <f t="array" ref="B791">XLOOKUP(C791, Channel_Listings!C:C, Channel_Listings!B:B)
</f>
        <v>Apparel_Tshirts</v>
      </c>
      <c r="C791" s="23" t="s">
        <v>1279</v>
      </c>
      <c r="D791" s="14" t="str">
        <f t="array" ref="D791">XLOOKUP(C791, Channel_Listings!C:C, Channel_Listings!D:D)
</f>
        <v>TSHIRT-BLACK-XXL</v>
      </c>
      <c r="E791" s="15"/>
      <c r="F791" s="16">
        <f t="array" ref="F791">IFERROR(
  VALUE( INDEX(Product_Master!$I:$I,
               MATCH( INDEX(Pack_Master!$B:$B, MATCH($D791, Pack_Master!$A:$A, 0)),
                      Product_Master!$B:$B, 0)
  )) 
  * VALUE( INDEX(Pack_Master!$C:$C, MATCH($D791, Pack_Master!$A:$A, 0)) )
  + VALUE( INDEX(Pack_Master!$D:$D, MATCH($D791, Pack_Master!$A:$A, 0)) ),
"")
</f>
        <v>2</v>
      </c>
      <c r="G791" s="17">
        <f t="array" ref="G791">IFERROR(
 ( INDEX(Pack_Master!E:E, MATCH($D791, Pack_Master!A:A, 0))
   * INDEX(Pack_Master!F:F, MATCH($D791, Pack_Master!A:A, 0))
   * INDEX(Pack_Master!G:G, MATCH($D791, Pack_Master!A:A, 0))
 ) / INDEX(Config!C:C, MATCH($A791, Config!A:A, 0)),
"")
</f>
        <v>0.375</v>
      </c>
      <c r="H791" s="17">
        <f t="array" ref="H791">MAX( INDEX(Pack_Master!H:H, MATCH($D791, Pack_Master!A:A, 0)),
      IFERROR(G791, 0) )
</f>
        <v>0.5</v>
      </c>
      <c r="I791" s="18">
        <f>IFERROR(__xludf.DUMMYFUNCTION("IFERROR(
 INDEX(
   FILTER(Shipping_Rate_Card!B:F, Shipping_Rate_Card!A:A=$A791),
   MATCH($H791, FILTER(Shipping_Rate_Card!B:B, Shipping_Rate_Card!A:A=$A791), 1),
   IF( INDEX(Config!B:B, MATCH($A791, Config!A:A, 0))=""Local"", 2,
     IF( INDEX(Config!B"&amp;":B, MATCH($A791, Config!A:A, 0))=""Regional"", 3, 4 )
   )
 ),
"""")
"),75.0)</f>
        <v>75</v>
      </c>
      <c r="J791" s="16">
        <f>IFERROR(__xludf.DUMMYFUNCTION("IFERROR(
 ( E791 * INDEX(FILTER(Pricing_Rules!E:E, Pricing_Rules!A:A=A791, Pricing_Rules!B:B=B791, Pricing_Rules!C:C&lt;=E791, Pricing_Rules!D:D&gt;=E791), 1)
   + INDEX(FILTER(Pricing_Rules!F:F, Pricing_Rules!A:A=A791, Pricing_Rules!B:B=B791, Pricing_Rules!C:C"&amp;"&lt;=E791, Pricing_Rules!D:D&gt;=E791), 1)
 )
 * (1 + IFERROR( INDEX(Config!D:D, MATCH(A791, Config!A:A, 0)), 0 )),
"""")
"),15.34)</f>
        <v>15.34</v>
      </c>
      <c r="K791" s="19">
        <f t="shared" si="3"/>
        <v>-92.34</v>
      </c>
      <c r="L791" s="20" t="str">
        <f t="shared" si="4"/>
        <v/>
      </c>
    </row>
    <row r="792" ht="15.75" customHeight="1">
      <c r="A792" s="9" t="s">
        <v>1162</v>
      </c>
      <c r="B792" s="12" t="str">
        <f t="array" ref="B792">XLOOKUP(C792, Channel_Listings!C:C, Channel_Listings!B:B)
</f>
        <v>Apparel_Tshirts</v>
      </c>
      <c r="C792" s="23" t="s">
        <v>1281</v>
      </c>
      <c r="D792" s="14" t="str">
        <f t="array" ref="D792">XLOOKUP(C792, Channel_Listings!C:C, Channel_Listings!D:D)
</f>
        <v>TSHIRT-BLACK-L</v>
      </c>
      <c r="E792" s="15"/>
      <c r="F792" s="16">
        <f t="array" ref="F792">IFERROR(
  VALUE( INDEX(Product_Master!$I:$I,
               MATCH( INDEX(Pack_Master!$B:$B, MATCH($D792, Pack_Master!$A:$A, 0)),
                      Product_Master!$B:$B, 0)
  )) 
  * VALUE( INDEX(Pack_Master!$C:$C, MATCH($D792, Pack_Master!$A:$A, 0)) )
  + VALUE( INDEX(Pack_Master!$D:$D, MATCH($D792, Pack_Master!$A:$A, 0)) ),
"")
</f>
        <v>2</v>
      </c>
      <c r="G792" s="17">
        <f t="array" ref="G792">IFERROR(
 ( INDEX(Pack_Master!E:E, MATCH($D792, Pack_Master!A:A, 0))
   * INDEX(Pack_Master!F:F, MATCH($D792, Pack_Master!A:A, 0))
   * INDEX(Pack_Master!G:G, MATCH($D792, Pack_Master!A:A, 0))
 ) / INDEX(Config!C:C, MATCH($A792, Config!A:A, 0)),
"")
</f>
        <v>0.375</v>
      </c>
      <c r="H792" s="17">
        <f t="array" ref="H792">MAX( INDEX(Pack_Master!H:H, MATCH($D792, Pack_Master!A:A, 0)),
      IFERROR(G792, 0) )
</f>
        <v>0.5</v>
      </c>
      <c r="I792" s="18">
        <f>IFERROR(__xludf.DUMMYFUNCTION("IFERROR(
 INDEX(
   FILTER(Shipping_Rate_Card!B:F, Shipping_Rate_Card!A:A=$A792),
   MATCH($H792, FILTER(Shipping_Rate_Card!B:B, Shipping_Rate_Card!A:A=$A792), 1),
   IF( INDEX(Config!B:B, MATCH($A792, Config!A:A, 0))=""Local"", 2,
     IF( INDEX(Config!B"&amp;":B, MATCH($A792, Config!A:A, 0))=""Regional"", 3, 4 )
   )
 ),
"""")
"),75.0)</f>
        <v>75</v>
      </c>
      <c r="J792" s="16">
        <f>IFERROR(__xludf.DUMMYFUNCTION("IFERROR(
 ( E792 * INDEX(FILTER(Pricing_Rules!E:E, Pricing_Rules!A:A=A792, Pricing_Rules!B:B=B792, Pricing_Rules!C:C&lt;=E792, Pricing_Rules!D:D&gt;=E792), 1)
   + INDEX(FILTER(Pricing_Rules!F:F, Pricing_Rules!A:A=A792, Pricing_Rules!B:B=B792, Pricing_Rules!C:C"&amp;"&lt;=E792, Pricing_Rules!D:D&gt;=E792), 1)
 )
 * (1 + IFERROR( INDEX(Config!D:D, MATCH(A792, Config!A:A, 0)), 0 )),
"""")
"),15.34)</f>
        <v>15.34</v>
      </c>
      <c r="K792" s="19">
        <f t="shared" si="3"/>
        <v>-92.34</v>
      </c>
      <c r="L792" s="20" t="str">
        <f t="shared" si="4"/>
        <v/>
      </c>
    </row>
    <row r="793" ht="15.75" customHeight="1">
      <c r="A793" s="9" t="s">
        <v>1162</v>
      </c>
      <c r="B793" s="12" t="str">
        <f t="array" ref="B793">XLOOKUP(C793, Channel_Listings!C:C, Channel_Listings!B:B)
</f>
        <v>Apparel_Tshirts</v>
      </c>
      <c r="C793" s="23" t="s">
        <v>1283</v>
      </c>
      <c r="D793" s="14" t="str">
        <f t="array" ref="D793">XLOOKUP(C793, Channel_Listings!C:C, Channel_Listings!D:D)
</f>
        <v>TSHIRT-BLACK-M</v>
      </c>
      <c r="E793" s="15"/>
      <c r="F793" s="16">
        <f t="array" ref="F793">IFERROR(
  VALUE( INDEX(Product_Master!$I:$I,
               MATCH( INDEX(Pack_Master!$B:$B, MATCH($D793, Pack_Master!$A:$A, 0)),
                      Product_Master!$B:$B, 0)
  )) 
  * VALUE( INDEX(Pack_Master!$C:$C, MATCH($D793, Pack_Master!$A:$A, 0)) )
  + VALUE( INDEX(Pack_Master!$D:$D, MATCH($D793, Pack_Master!$A:$A, 0)) ),
"")
</f>
        <v>2</v>
      </c>
      <c r="G793" s="17">
        <f t="array" ref="G793">IFERROR(
 ( INDEX(Pack_Master!E:E, MATCH($D793, Pack_Master!A:A, 0))
   * INDEX(Pack_Master!F:F, MATCH($D793, Pack_Master!A:A, 0))
   * INDEX(Pack_Master!G:G, MATCH($D793, Pack_Master!A:A, 0))
 ) / INDEX(Config!C:C, MATCH($A793, Config!A:A, 0)),
"")
</f>
        <v>0.375</v>
      </c>
      <c r="H793" s="17">
        <f t="array" ref="H793">MAX( INDEX(Pack_Master!H:H, MATCH($D793, Pack_Master!A:A, 0)),
      IFERROR(G793, 0) )
</f>
        <v>0.5</v>
      </c>
      <c r="I793" s="18">
        <f>IFERROR(__xludf.DUMMYFUNCTION("IFERROR(
 INDEX(
   FILTER(Shipping_Rate_Card!B:F, Shipping_Rate_Card!A:A=$A793),
   MATCH($H793, FILTER(Shipping_Rate_Card!B:B, Shipping_Rate_Card!A:A=$A793), 1),
   IF( INDEX(Config!B:B, MATCH($A793, Config!A:A, 0))=""Local"", 2,
     IF( INDEX(Config!B"&amp;":B, MATCH($A793, Config!A:A, 0))=""Regional"", 3, 4 )
   )
 ),
"""")
"),75.0)</f>
        <v>75</v>
      </c>
      <c r="J793" s="16">
        <f>IFERROR(__xludf.DUMMYFUNCTION("IFERROR(
 ( E793 * INDEX(FILTER(Pricing_Rules!E:E, Pricing_Rules!A:A=A793, Pricing_Rules!B:B=B793, Pricing_Rules!C:C&lt;=E793, Pricing_Rules!D:D&gt;=E793), 1)
   + INDEX(FILTER(Pricing_Rules!F:F, Pricing_Rules!A:A=A793, Pricing_Rules!B:B=B793, Pricing_Rules!C:C"&amp;"&lt;=E793, Pricing_Rules!D:D&gt;=E793), 1)
 )
 * (1 + IFERROR( INDEX(Config!D:D, MATCH(A793, Config!A:A, 0)), 0 )),
"""")
"),15.34)</f>
        <v>15.34</v>
      </c>
      <c r="K793" s="19">
        <f t="shared" si="3"/>
        <v>-92.34</v>
      </c>
      <c r="L793" s="20" t="str">
        <f t="shared" si="4"/>
        <v/>
      </c>
    </row>
    <row r="794" ht="15.75" customHeight="1">
      <c r="A794" s="9" t="s">
        <v>1162</v>
      </c>
      <c r="B794" s="12" t="str">
        <f t="array" ref="B794">XLOOKUP(C794, Channel_Listings!C:C, Channel_Listings!B:B)
</f>
        <v>Apparel_Tshirts</v>
      </c>
      <c r="C794" s="23" t="s">
        <v>1285</v>
      </c>
      <c r="D794" s="14" t="str">
        <f t="array" ref="D794">XLOOKUP(C794, Channel_Listings!C:C, Channel_Listings!D:D)
</f>
        <v>TSHIRT-BLACK-XL</v>
      </c>
      <c r="E794" s="15"/>
      <c r="F794" s="16">
        <f t="array" ref="F794">IFERROR(
  VALUE( INDEX(Product_Master!$I:$I,
               MATCH( INDEX(Pack_Master!$B:$B, MATCH($D794, Pack_Master!$A:$A, 0)),
                      Product_Master!$B:$B, 0)
  )) 
  * VALUE( INDEX(Pack_Master!$C:$C, MATCH($D794, Pack_Master!$A:$A, 0)) )
  + VALUE( INDEX(Pack_Master!$D:$D, MATCH($D794, Pack_Master!$A:$A, 0)) ),
"")
</f>
        <v>2</v>
      </c>
      <c r="G794" s="17">
        <f t="array" ref="G794">IFERROR(
 ( INDEX(Pack_Master!E:E, MATCH($D794, Pack_Master!A:A, 0))
   * INDEX(Pack_Master!F:F, MATCH($D794, Pack_Master!A:A, 0))
   * INDEX(Pack_Master!G:G, MATCH($D794, Pack_Master!A:A, 0))
 ) / INDEX(Config!C:C, MATCH($A794, Config!A:A, 0)),
"")
</f>
        <v>0.375</v>
      </c>
      <c r="H794" s="17">
        <f t="array" ref="H794">MAX( INDEX(Pack_Master!H:H, MATCH($D794, Pack_Master!A:A, 0)),
      IFERROR(G794, 0) )
</f>
        <v>0.5</v>
      </c>
      <c r="I794" s="18">
        <f>IFERROR(__xludf.DUMMYFUNCTION("IFERROR(
 INDEX(
   FILTER(Shipping_Rate_Card!B:F, Shipping_Rate_Card!A:A=$A794),
   MATCH($H794, FILTER(Shipping_Rate_Card!B:B, Shipping_Rate_Card!A:A=$A794), 1),
   IF( INDEX(Config!B:B, MATCH($A794, Config!A:A, 0))=""Local"", 2,
     IF( INDEX(Config!B"&amp;":B, MATCH($A794, Config!A:A, 0))=""Regional"", 3, 4 )
   )
 ),
"""")
"),75.0)</f>
        <v>75</v>
      </c>
      <c r="J794" s="16">
        <f>IFERROR(__xludf.DUMMYFUNCTION("IFERROR(
 ( E794 * INDEX(FILTER(Pricing_Rules!E:E, Pricing_Rules!A:A=A794, Pricing_Rules!B:B=B794, Pricing_Rules!C:C&lt;=E794, Pricing_Rules!D:D&gt;=E794), 1)
   + INDEX(FILTER(Pricing_Rules!F:F, Pricing_Rules!A:A=A794, Pricing_Rules!B:B=B794, Pricing_Rules!C:C"&amp;"&lt;=E794, Pricing_Rules!D:D&gt;=E794), 1)
 )
 * (1 + IFERROR( INDEX(Config!D:D, MATCH(A794, Config!A:A, 0)), 0 )),
"""")
"),15.34)</f>
        <v>15.34</v>
      </c>
      <c r="K794" s="19">
        <f t="shared" si="3"/>
        <v>-92.34</v>
      </c>
      <c r="L794" s="20" t="str">
        <f t="shared" si="4"/>
        <v/>
      </c>
    </row>
    <row r="795" ht="15.75" customHeight="1">
      <c r="A795" s="9" t="s">
        <v>1162</v>
      </c>
      <c r="B795" s="12" t="str">
        <f t="array" ref="B795">XLOOKUP(C795, Channel_Listings!C:C, Channel_Listings!B:B)
</f>
        <v>Apparel_Tshirts</v>
      </c>
      <c r="C795" s="23" t="s">
        <v>1287</v>
      </c>
      <c r="D795" s="14" t="str">
        <f t="array" ref="D795">XLOOKUP(C795, Channel_Listings!C:C, Channel_Listings!D:D)
</f>
        <v>TSHIRT-BLACK-XXL</v>
      </c>
      <c r="E795" s="15"/>
      <c r="F795" s="16">
        <f t="array" ref="F795">IFERROR(
  VALUE( INDEX(Product_Master!$I:$I,
               MATCH( INDEX(Pack_Master!$B:$B, MATCH($D795, Pack_Master!$A:$A, 0)),
                      Product_Master!$B:$B, 0)
  )) 
  * VALUE( INDEX(Pack_Master!$C:$C, MATCH($D795, Pack_Master!$A:$A, 0)) )
  + VALUE( INDEX(Pack_Master!$D:$D, MATCH($D795, Pack_Master!$A:$A, 0)) ),
"")
</f>
        <v>2</v>
      </c>
      <c r="G795" s="17">
        <f t="array" ref="G795">IFERROR(
 ( INDEX(Pack_Master!E:E, MATCH($D795, Pack_Master!A:A, 0))
   * INDEX(Pack_Master!F:F, MATCH($D795, Pack_Master!A:A, 0))
   * INDEX(Pack_Master!G:G, MATCH($D795, Pack_Master!A:A, 0))
 ) / INDEX(Config!C:C, MATCH($A795, Config!A:A, 0)),
"")
</f>
        <v>0.375</v>
      </c>
      <c r="H795" s="17">
        <f t="array" ref="H795">MAX( INDEX(Pack_Master!H:H, MATCH($D795, Pack_Master!A:A, 0)),
      IFERROR(G795, 0) )
</f>
        <v>0.5</v>
      </c>
      <c r="I795" s="18">
        <f>IFERROR(__xludf.DUMMYFUNCTION("IFERROR(
 INDEX(
   FILTER(Shipping_Rate_Card!B:F, Shipping_Rate_Card!A:A=$A795),
   MATCH($H795, FILTER(Shipping_Rate_Card!B:B, Shipping_Rate_Card!A:A=$A795), 1),
   IF( INDEX(Config!B:B, MATCH($A795, Config!A:A, 0))=""Local"", 2,
     IF( INDEX(Config!B"&amp;":B, MATCH($A795, Config!A:A, 0))=""Regional"", 3, 4 )
   )
 ),
"""")
"),75.0)</f>
        <v>75</v>
      </c>
      <c r="J795" s="16">
        <f>IFERROR(__xludf.DUMMYFUNCTION("IFERROR(
 ( E795 * INDEX(FILTER(Pricing_Rules!E:E, Pricing_Rules!A:A=A795, Pricing_Rules!B:B=B795, Pricing_Rules!C:C&lt;=E795, Pricing_Rules!D:D&gt;=E795), 1)
   + INDEX(FILTER(Pricing_Rules!F:F, Pricing_Rules!A:A=A795, Pricing_Rules!B:B=B795, Pricing_Rules!C:C"&amp;"&lt;=E795, Pricing_Rules!D:D&gt;=E795), 1)
 )
 * (1 + IFERROR( INDEX(Config!D:D, MATCH(A795, Config!A:A, 0)), 0 )),
"""")
"),15.34)</f>
        <v>15.34</v>
      </c>
      <c r="K795" s="19">
        <f t="shared" si="3"/>
        <v>-92.34</v>
      </c>
      <c r="L795" s="20" t="str">
        <f t="shared" si="4"/>
        <v/>
      </c>
    </row>
    <row r="796" ht="15.75" customHeight="1">
      <c r="A796" s="9" t="s">
        <v>1162</v>
      </c>
      <c r="B796" s="12" t="str">
        <f t="array" ref="B796">XLOOKUP(C796, Channel_Listings!C:C, Channel_Listings!B:B)
</f>
        <v>Apparel_Tshirts</v>
      </c>
      <c r="C796" s="23" t="s">
        <v>1289</v>
      </c>
      <c r="D796" s="14" t="str">
        <f t="array" ref="D796">XLOOKUP(C796, Channel_Listings!C:C, Channel_Listings!D:D)
</f>
        <v>TSHIRT-BLACK-L</v>
      </c>
      <c r="E796" s="15"/>
      <c r="F796" s="16">
        <f t="array" ref="F796">IFERROR(
  VALUE( INDEX(Product_Master!$I:$I,
               MATCH( INDEX(Pack_Master!$B:$B, MATCH($D796, Pack_Master!$A:$A, 0)),
                      Product_Master!$B:$B, 0)
  )) 
  * VALUE( INDEX(Pack_Master!$C:$C, MATCH($D796, Pack_Master!$A:$A, 0)) )
  + VALUE( INDEX(Pack_Master!$D:$D, MATCH($D796, Pack_Master!$A:$A, 0)) ),
"")
</f>
        <v>2</v>
      </c>
      <c r="G796" s="17">
        <f t="array" ref="G796">IFERROR(
 ( INDEX(Pack_Master!E:E, MATCH($D796, Pack_Master!A:A, 0))
   * INDEX(Pack_Master!F:F, MATCH($D796, Pack_Master!A:A, 0))
   * INDEX(Pack_Master!G:G, MATCH($D796, Pack_Master!A:A, 0))
 ) / INDEX(Config!C:C, MATCH($A796, Config!A:A, 0)),
"")
</f>
        <v>0.375</v>
      </c>
      <c r="H796" s="17">
        <f t="array" ref="H796">MAX( INDEX(Pack_Master!H:H, MATCH($D796, Pack_Master!A:A, 0)),
      IFERROR(G796, 0) )
</f>
        <v>0.5</v>
      </c>
      <c r="I796" s="18">
        <f>IFERROR(__xludf.DUMMYFUNCTION("IFERROR(
 INDEX(
   FILTER(Shipping_Rate_Card!B:F, Shipping_Rate_Card!A:A=$A796),
   MATCH($H796, FILTER(Shipping_Rate_Card!B:B, Shipping_Rate_Card!A:A=$A796), 1),
   IF( INDEX(Config!B:B, MATCH($A796, Config!A:A, 0))=""Local"", 2,
     IF( INDEX(Config!B"&amp;":B, MATCH($A796, Config!A:A, 0))=""Regional"", 3, 4 )
   )
 ),
"""")
"),75.0)</f>
        <v>75</v>
      </c>
      <c r="J796" s="16">
        <f>IFERROR(__xludf.DUMMYFUNCTION("IFERROR(
 ( E796 * INDEX(FILTER(Pricing_Rules!E:E, Pricing_Rules!A:A=A796, Pricing_Rules!B:B=B796, Pricing_Rules!C:C&lt;=E796, Pricing_Rules!D:D&gt;=E796), 1)
   + INDEX(FILTER(Pricing_Rules!F:F, Pricing_Rules!A:A=A796, Pricing_Rules!B:B=B796, Pricing_Rules!C:C"&amp;"&lt;=E796, Pricing_Rules!D:D&gt;=E796), 1)
 )
 * (1 + IFERROR( INDEX(Config!D:D, MATCH(A796, Config!A:A, 0)), 0 )),
"""")
"),15.34)</f>
        <v>15.34</v>
      </c>
      <c r="K796" s="19">
        <f t="shared" si="3"/>
        <v>-92.34</v>
      </c>
      <c r="L796" s="20" t="str">
        <f t="shared" si="4"/>
        <v/>
      </c>
    </row>
    <row r="797" ht="15.75" customHeight="1">
      <c r="A797" s="9" t="s">
        <v>1162</v>
      </c>
      <c r="B797" s="12" t="str">
        <f t="array" ref="B797">XLOOKUP(C797, Channel_Listings!C:C, Channel_Listings!B:B)
</f>
        <v>Apparel_Tshirts</v>
      </c>
      <c r="C797" s="23" t="s">
        <v>1291</v>
      </c>
      <c r="D797" s="14" t="str">
        <f t="array" ref="D797">XLOOKUP(C797, Channel_Listings!C:C, Channel_Listings!D:D)
</f>
        <v>TSHIRT-BLACK-M</v>
      </c>
      <c r="E797" s="15"/>
      <c r="F797" s="16">
        <f t="array" ref="F797">IFERROR(
  VALUE( INDEX(Product_Master!$I:$I,
               MATCH( INDEX(Pack_Master!$B:$B, MATCH($D797, Pack_Master!$A:$A, 0)),
                      Product_Master!$B:$B, 0)
  )) 
  * VALUE( INDEX(Pack_Master!$C:$C, MATCH($D797, Pack_Master!$A:$A, 0)) )
  + VALUE( INDEX(Pack_Master!$D:$D, MATCH($D797, Pack_Master!$A:$A, 0)) ),
"")
</f>
        <v>2</v>
      </c>
      <c r="G797" s="17">
        <f t="array" ref="G797">IFERROR(
 ( INDEX(Pack_Master!E:E, MATCH($D797, Pack_Master!A:A, 0))
   * INDEX(Pack_Master!F:F, MATCH($D797, Pack_Master!A:A, 0))
   * INDEX(Pack_Master!G:G, MATCH($D797, Pack_Master!A:A, 0))
 ) / INDEX(Config!C:C, MATCH($A797, Config!A:A, 0)),
"")
</f>
        <v>0.375</v>
      </c>
      <c r="H797" s="17">
        <f t="array" ref="H797">MAX( INDEX(Pack_Master!H:H, MATCH($D797, Pack_Master!A:A, 0)),
      IFERROR(G797, 0) )
</f>
        <v>0.5</v>
      </c>
      <c r="I797" s="18">
        <f>IFERROR(__xludf.DUMMYFUNCTION("IFERROR(
 INDEX(
   FILTER(Shipping_Rate_Card!B:F, Shipping_Rate_Card!A:A=$A797),
   MATCH($H797, FILTER(Shipping_Rate_Card!B:B, Shipping_Rate_Card!A:A=$A797), 1),
   IF( INDEX(Config!B:B, MATCH($A797, Config!A:A, 0))=""Local"", 2,
     IF( INDEX(Config!B"&amp;":B, MATCH($A797, Config!A:A, 0))=""Regional"", 3, 4 )
   )
 ),
"""")
"),75.0)</f>
        <v>75</v>
      </c>
      <c r="J797" s="16">
        <f>IFERROR(__xludf.DUMMYFUNCTION("IFERROR(
 ( E797 * INDEX(FILTER(Pricing_Rules!E:E, Pricing_Rules!A:A=A797, Pricing_Rules!B:B=B797, Pricing_Rules!C:C&lt;=E797, Pricing_Rules!D:D&gt;=E797), 1)
   + INDEX(FILTER(Pricing_Rules!F:F, Pricing_Rules!A:A=A797, Pricing_Rules!B:B=B797, Pricing_Rules!C:C"&amp;"&lt;=E797, Pricing_Rules!D:D&gt;=E797), 1)
 )
 * (1 + IFERROR( INDEX(Config!D:D, MATCH(A797, Config!A:A, 0)), 0 )),
"""")
"),15.34)</f>
        <v>15.34</v>
      </c>
      <c r="K797" s="19">
        <f t="shared" si="3"/>
        <v>-92.34</v>
      </c>
      <c r="L797" s="20" t="str">
        <f t="shared" si="4"/>
        <v/>
      </c>
    </row>
    <row r="798" ht="15.75" customHeight="1">
      <c r="A798" s="9" t="s">
        <v>1162</v>
      </c>
      <c r="B798" s="12" t="str">
        <f t="array" ref="B798">XLOOKUP(C798, Channel_Listings!C:C, Channel_Listings!B:B)
</f>
        <v>Apparel_Tshirts</v>
      </c>
      <c r="C798" s="23" t="s">
        <v>1293</v>
      </c>
      <c r="D798" s="14" t="str">
        <f t="array" ref="D798">XLOOKUP(C798, Channel_Listings!C:C, Channel_Listings!D:D)
</f>
        <v>TSHIRT-BLACK-XL</v>
      </c>
      <c r="E798" s="15"/>
      <c r="F798" s="16">
        <f t="array" ref="F798">IFERROR(
  VALUE( INDEX(Product_Master!$I:$I,
               MATCH( INDEX(Pack_Master!$B:$B, MATCH($D798, Pack_Master!$A:$A, 0)),
                      Product_Master!$B:$B, 0)
  )) 
  * VALUE( INDEX(Pack_Master!$C:$C, MATCH($D798, Pack_Master!$A:$A, 0)) )
  + VALUE( INDEX(Pack_Master!$D:$D, MATCH($D798, Pack_Master!$A:$A, 0)) ),
"")
</f>
        <v>2</v>
      </c>
      <c r="G798" s="17">
        <f t="array" ref="G798">IFERROR(
 ( INDEX(Pack_Master!E:E, MATCH($D798, Pack_Master!A:A, 0))
   * INDEX(Pack_Master!F:F, MATCH($D798, Pack_Master!A:A, 0))
   * INDEX(Pack_Master!G:G, MATCH($D798, Pack_Master!A:A, 0))
 ) / INDEX(Config!C:C, MATCH($A798, Config!A:A, 0)),
"")
</f>
        <v>0.375</v>
      </c>
      <c r="H798" s="17">
        <f t="array" ref="H798">MAX( INDEX(Pack_Master!H:H, MATCH($D798, Pack_Master!A:A, 0)),
      IFERROR(G798, 0) )
</f>
        <v>0.5</v>
      </c>
      <c r="I798" s="18">
        <f>IFERROR(__xludf.DUMMYFUNCTION("IFERROR(
 INDEX(
   FILTER(Shipping_Rate_Card!B:F, Shipping_Rate_Card!A:A=$A798),
   MATCH($H798, FILTER(Shipping_Rate_Card!B:B, Shipping_Rate_Card!A:A=$A798), 1),
   IF( INDEX(Config!B:B, MATCH($A798, Config!A:A, 0))=""Local"", 2,
     IF( INDEX(Config!B"&amp;":B, MATCH($A798, Config!A:A, 0))=""Regional"", 3, 4 )
   )
 ),
"""")
"),75.0)</f>
        <v>75</v>
      </c>
      <c r="J798" s="16">
        <f>IFERROR(__xludf.DUMMYFUNCTION("IFERROR(
 ( E798 * INDEX(FILTER(Pricing_Rules!E:E, Pricing_Rules!A:A=A798, Pricing_Rules!B:B=B798, Pricing_Rules!C:C&lt;=E798, Pricing_Rules!D:D&gt;=E798), 1)
   + INDEX(FILTER(Pricing_Rules!F:F, Pricing_Rules!A:A=A798, Pricing_Rules!B:B=B798, Pricing_Rules!C:C"&amp;"&lt;=E798, Pricing_Rules!D:D&gt;=E798), 1)
 )
 * (1 + IFERROR( INDEX(Config!D:D, MATCH(A798, Config!A:A, 0)), 0 )),
"""")
"),15.34)</f>
        <v>15.34</v>
      </c>
      <c r="K798" s="19">
        <f t="shared" si="3"/>
        <v>-92.34</v>
      </c>
      <c r="L798" s="20" t="str">
        <f t="shared" si="4"/>
        <v/>
      </c>
    </row>
    <row r="799" ht="15.75" customHeight="1">
      <c r="A799" s="9" t="s">
        <v>1162</v>
      </c>
      <c r="B799" s="12" t="str">
        <f t="array" ref="B799">XLOOKUP(C799, Channel_Listings!C:C, Channel_Listings!B:B)
</f>
        <v>Apparel_Tshirts</v>
      </c>
      <c r="C799" s="23" t="s">
        <v>1295</v>
      </c>
      <c r="D799" s="14" t="str">
        <f t="array" ref="D799">XLOOKUP(C799, Channel_Listings!C:C, Channel_Listings!D:D)
</f>
        <v>TSHIRT-BLACK-XXL</v>
      </c>
      <c r="E799" s="15"/>
      <c r="F799" s="16">
        <f t="array" ref="F799">IFERROR(
  VALUE( INDEX(Product_Master!$I:$I,
               MATCH( INDEX(Pack_Master!$B:$B, MATCH($D799, Pack_Master!$A:$A, 0)),
                      Product_Master!$B:$B, 0)
  )) 
  * VALUE( INDEX(Pack_Master!$C:$C, MATCH($D799, Pack_Master!$A:$A, 0)) )
  + VALUE( INDEX(Pack_Master!$D:$D, MATCH($D799, Pack_Master!$A:$A, 0)) ),
"")
</f>
        <v>2</v>
      </c>
      <c r="G799" s="17">
        <f t="array" ref="G799">IFERROR(
 ( INDEX(Pack_Master!E:E, MATCH($D799, Pack_Master!A:A, 0))
   * INDEX(Pack_Master!F:F, MATCH($D799, Pack_Master!A:A, 0))
   * INDEX(Pack_Master!G:G, MATCH($D799, Pack_Master!A:A, 0))
 ) / INDEX(Config!C:C, MATCH($A799, Config!A:A, 0)),
"")
</f>
        <v>0.375</v>
      </c>
      <c r="H799" s="17">
        <f t="array" ref="H799">MAX( INDEX(Pack_Master!H:H, MATCH($D799, Pack_Master!A:A, 0)),
      IFERROR(G799, 0) )
</f>
        <v>0.5</v>
      </c>
      <c r="I799" s="18">
        <f>IFERROR(__xludf.DUMMYFUNCTION("IFERROR(
 INDEX(
   FILTER(Shipping_Rate_Card!B:F, Shipping_Rate_Card!A:A=$A799),
   MATCH($H799, FILTER(Shipping_Rate_Card!B:B, Shipping_Rate_Card!A:A=$A799), 1),
   IF( INDEX(Config!B:B, MATCH($A799, Config!A:A, 0))=""Local"", 2,
     IF( INDEX(Config!B"&amp;":B, MATCH($A799, Config!A:A, 0))=""Regional"", 3, 4 )
   )
 ),
"""")
"),75.0)</f>
        <v>75</v>
      </c>
      <c r="J799" s="16">
        <f>IFERROR(__xludf.DUMMYFUNCTION("IFERROR(
 ( E799 * INDEX(FILTER(Pricing_Rules!E:E, Pricing_Rules!A:A=A799, Pricing_Rules!B:B=B799, Pricing_Rules!C:C&lt;=E799, Pricing_Rules!D:D&gt;=E799), 1)
   + INDEX(FILTER(Pricing_Rules!F:F, Pricing_Rules!A:A=A799, Pricing_Rules!B:B=B799, Pricing_Rules!C:C"&amp;"&lt;=E799, Pricing_Rules!D:D&gt;=E799), 1)
 )
 * (1 + IFERROR( INDEX(Config!D:D, MATCH(A799, Config!A:A, 0)), 0 )),
"""")
"),15.34)</f>
        <v>15.34</v>
      </c>
      <c r="K799" s="19">
        <f t="shared" si="3"/>
        <v>-92.34</v>
      </c>
      <c r="L799" s="20" t="str">
        <f t="shared" si="4"/>
        <v/>
      </c>
    </row>
    <row r="800" ht="15.75" customHeight="1">
      <c r="A800" s="9" t="s">
        <v>1162</v>
      </c>
      <c r="B800" s="12" t="str">
        <f t="array" ref="B800">XLOOKUP(C800, Channel_Listings!C:C, Channel_Listings!B:B)
</f>
        <v>Kitchen_Containers</v>
      </c>
      <c r="C800" s="23" t="s">
        <v>1297</v>
      </c>
      <c r="D800" s="14" t="str">
        <f t="array" ref="D800">XLOOKUP(C800, Channel_Listings!C:C, Channel_Listings!D:D)
</f>
        <v>BOX-PLAIN-5X3X2-PK6</v>
      </c>
      <c r="E800" s="15"/>
      <c r="F800" s="16">
        <f t="array" ref="F800">IFERROR(
  VALUE( INDEX(Product_Master!$I:$I,
               MATCH( INDEX(Pack_Master!$B:$B, MATCH($D800, Pack_Master!$A:$A, 0)),
                      Product_Master!$B:$B, 0)
  )) 
  * VALUE( INDEX(Pack_Master!$C:$C, MATCH($D800, Pack_Master!$A:$A, 0)) )
  + VALUE( INDEX(Pack_Master!$D:$D, MATCH($D800, Pack_Master!$A:$A, 0)) ),
"")
</f>
        <v>0</v>
      </c>
      <c r="G800" s="17">
        <f t="array" ref="G800">IFERROR(
 ( INDEX(Pack_Master!E:E, MATCH($D800, Pack_Master!A:A, 0))
   * INDEX(Pack_Master!F:F, MATCH($D800, Pack_Master!A:A, 0))
   * INDEX(Pack_Master!G:G, MATCH($D800, Pack_Master!A:A, 0))
 ) / INDEX(Config!C:C, MATCH($A800, Config!A:A, 0)),
"")
</f>
        <v>0</v>
      </c>
      <c r="H800" s="17">
        <f t="array" ref="H800">MAX( INDEX(Pack_Master!H:H, MATCH($D800, Pack_Master!A:A, 0)),
      IFERROR(G800, 0) )
</f>
        <v>0</v>
      </c>
      <c r="I800" s="18" t="str">
        <f>IFERROR(__xludf.DUMMYFUNCTION("IFERROR(
 INDEX(
   FILTER(Shipping_Rate_Card!B:F, Shipping_Rate_Card!A:A=$A800),
   MATCH($H800, FILTER(Shipping_Rate_Card!B:B, Shipping_Rate_Card!A:A=$A800), 1),
   IF( INDEX(Config!B:B, MATCH($A800, Config!A:A, 0))=""Local"", 2,
     IF( INDEX(Config!B"&amp;":B, MATCH($A800, Config!A:A, 0))=""Regional"", 3, 4 )
   )
 ),
"""")
"),"")</f>
        <v/>
      </c>
      <c r="J800" s="16">
        <f>IFERROR(__xludf.DUMMYFUNCTION("IFERROR(
 ( E800 * INDEX(FILTER(Pricing_Rules!E:E, Pricing_Rules!A:A=A800, Pricing_Rules!B:B=B800, Pricing_Rules!C:C&lt;=E800, Pricing_Rules!D:D&gt;=E800), 1)
   + INDEX(FILTER(Pricing_Rules!F:F, Pricing_Rules!A:A=A800, Pricing_Rules!B:B=B800, Pricing_Rules!C:C"&amp;"&lt;=E800, Pricing_Rules!D:D&gt;=E800), 1)
 )
 * (1 + IFERROR( INDEX(Config!D:D, MATCH(A800, Config!A:A, 0)), 0 )),
"""")
"),15.34)</f>
        <v>15.34</v>
      </c>
      <c r="K800" s="19">
        <f t="shared" si="3"/>
        <v>-15.34</v>
      </c>
      <c r="L800" s="20" t="str">
        <f t="shared" si="4"/>
        <v/>
      </c>
    </row>
    <row r="801" ht="15.75" customHeight="1">
      <c r="A801" s="9" t="s">
        <v>1162</v>
      </c>
      <c r="B801" s="12" t="str">
        <f t="array" ref="B801">XLOOKUP(C801, Channel_Listings!C:C, Channel_Listings!B:B)
</f>
        <v>Kitchen_Containers</v>
      </c>
      <c r="C801" s="23" t="s">
        <v>1300</v>
      </c>
      <c r="D801" s="14" t="str">
        <f t="array" ref="D801">XLOOKUP(C801, Channel_Listings!C:C, Channel_Listings!D:D)
</f>
        <v>BOX-PLAIN-7X5X1.5-PK6</v>
      </c>
      <c r="E801" s="15"/>
      <c r="F801" s="16">
        <f t="array" ref="F801">IFERROR(
  VALUE( INDEX(Product_Master!$I:$I,
               MATCH( INDEX(Pack_Master!$B:$B, MATCH($D801, Pack_Master!$A:$A, 0)),
                      Product_Master!$B:$B, 0)
  )) 
  * VALUE( INDEX(Pack_Master!$C:$C, MATCH($D801, Pack_Master!$A:$A, 0)) )
  + VALUE( INDEX(Pack_Master!$D:$D, MATCH($D801, Pack_Master!$A:$A, 0)) ),
"")
</f>
        <v>0</v>
      </c>
      <c r="G801" s="17">
        <f t="array" ref="G801">IFERROR(
 ( INDEX(Pack_Master!E:E, MATCH($D801, Pack_Master!A:A, 0))
   * INDEX(Pack_Master!F:F, MATCH($D801, Pack_Master!A:A, 0))
   * INDEX(Pack_Master!G:G, MATCH($D801, Pack_Master!A:A, 0))
 ) / INDEX(Config!C:C, MATCH($A801, Config!A:A, 0)),
"")
</f>
        <v>0</v>
      </c>
      <c r="H801" s="17">
        <f t="array" ref="H801">MAX( INDEX(Pack_Master!H:H, MATCH($D801, Pack_Master!A:A, 0)),
      IFERROR(G801, 0) )
</f>
        <v>0</v>
      </c>
      <c r="I801" s="18" t="str">
        <f>IFERROR(__xludf.DUMMYFUNCTION("IFERROR(
 INDEX(
   FILTER(Shipping_Rate_Card!B:F, Shipping_Rate_Card!A:A=$A801),
   MATCH($H801, FILTER(Shipping_Rate_Card!B:B, Shipping_Rate_Card!A:A=$A801), 1),
   IF( INDEX(Config!B:B, MATCH($A801, Config!A:A, 0))=""Local"", 2,
     IF( INDEX(Config!B"&amp;":B, MATCH($A801, Config!A:A, 0))=""Regional"", 3, 4 )
   )
 ),
"""")
"),"")</f>
        <v/>
      </c>
      <c r="J801" s="16">
        <f>IFERROR(__xludf.DUMMYFUNCTION("IFERROR(
 ( E801 * INDEX(FILTER(Pricing_Rules!E:E, Pricing_Rules!A:A=A801, Pricing_Rules!B:B=B801, Pricing_Rules!C:C&lt;=E801, Pricing_Rules!D:D&gt;=E801), 1)
   + INDEX(FILTER(Pricing_Rules!F:F, Pricing_Rules!A:A=A801, Pricing_Rules!B:B=B801, Pricing_Rules!C:C"&amp;"&lt;=E801, Pricing_Rules!D:D&gt;=E801), 1)
 )
 * (1 + IFERROR( INDEX(Config!D:D, MATCH(A801, Config!A:A, 0)), 0 )),
"""")
"),15.34)</f>
        <v>15.34</v>
      </c>
      <c r="K801" s="19">
        <f t="shared" si="3"/>
        <v>-15.34</v>
      </c>
      <c r="L801" s="20" t="str">
        <f t="shared" si="4"/>
        <v/>
      </c>
    </row>
    <row r="802" ht="15.75" customHeight="1">
      <c r="A802" s="9" t="s">
        <v>1162</v>
      </c>
      <c r="B802" s="12" t="str">
        <f t="array" ref="B802">XLOOKUP(C802, Channel_Listings!C:C, Channel_Listings!B:B)
</f>
        <v>Kitchen_Containers</v>
      </c>
      <c r="C802" s="23" t="s">
        <v>347</v>
      </c>
      <c r="D802" s="14" t="str">
        <f t="array" ref="D802">XLOOKUP(C802, Channel_Listings!C:C, Channel_Listings!D:D)
</f>
        <v>BOX-PLAIN-9X6X4-PK4</v>
      </c>
      <c r="E802" s="15"/>
      <c r="F802" s="16">
        <f t="array" ref="F802">IFERROR(
  VALUE( INDEX(Product_Master!$I:$I,
               MATCH( INDEX(Pack_Master!$B:$B, MATCH($D802, Pack_Master!$A:$A, 0)),
                      Product_Master!$B:$B, 0)
  )) 
  * VALUE( INDEX(Pack_Master!$C:$C, MATCH($D802, Pack_Master!$A:$A, 0)) )
  + VALUE( INDEX(Pack_Master!$D:$D, MATCH($D802, Pack_Master!$A:$A, 0)) ),
"")
</f>
        <v>0</v>
      </c>
      <c r="G802" s="17">
        <f t="array" ref="G802">IFERROR(
 ( INDEX(Pack_Master!E:E, MATCH($D802, Pack_Master!A:A, 0))
   * INDEX(Pack_Master!F:F, MATCH($D802, Pack_Master!A:A, 0))
   * INDEX(Pack_Master!G:G, MATCH($D802, Pack_Master!A:A, 0))
 ) / INDEX(Config!C:C, MATCH($A802, Config!A:A, 0)),
"")
</f>
        <v>0</v>
      </c>
      <c r="H802" s="17">
        <f t="array" ref="H802">MAX( INDEX(Pack_Master!H:H, MATCH($D802, Pack_Master!A:A, 0)),
      IFERROR(G802, 0) )
</f>
        <v>0</v>
      </c>
      <c r="I802" s="18" t="str">
        <f>IFERROR(__xludf.DUMMYFUNCTION("IFERROR(
 INDEX(
   FILTER(Shipping_Rate_Card!B:F, Shipping_Rate_Card!A:A=$A802),
   MATCH($H802, FILTER(Shipping_Rate_Card!B:B, Shipping_Rate_Card!A:A=$A802), 1),
   IF( INDEX(Config!B:B, MATCH($A802, Config!A:A, 0))=""Local"", 2,
     IF( INDEX(Config!B"&amp;":B, MATCH($A802, Config!A:A, 0))=""Regional"", 3, 4 )
   )
 ),
"""")
"),"")</f>
        <v/>
      </c>
      <c r="J802" s="16">
        <f>IFERROR(__xludf.DUMMYFUNCTION("IFERROR(
 ( E802 * INDEX(FILTER(Pricing_Rules!E:E, Pricing_Rules!A:A=A802, Pricing_Rules!B:B=B802, Pricing_Rules!C:C&lt;=E802, Pricing_Rules!D:D&gt;=E802), 1)
   + INDEX(FILTER(Pricing_Rules!F:F, Pricing_Rules!A:A=A802, Pricing_Rules!B:B=B802, Pricing_Rules!C:C"&amp;"&lt;=E802, Pricing_Rules!D:D&gt;=E802), 1)
 )
 * (1 + IFERROR( INDEX(Config!D:D, MATCH(A802, Config!A:A, 0)), 0 )),
"""")
"),15.34)</f>
        <v>15.34</v>
      </c>
      <c r="K802" s="19">
        <f t="shared" si="3"/>
        <v>-15.34</v>
      </c>
      <c r="L802" s="20" t="str">
        <f t="shared" si="4"/>
        <v/>
      </c>
    </row>
    <row r="803" ht="15.75" customHeight="1">
      <c r="A803" s="9" t="s">
        <v>1162</v>
      </c>
      <c r="B803" s="12" t="str">
        <f t="array" ref="B803">XLOOKUP(C803, Channel_Listings!C:C, Channel_Listings!B:B)
</f>
        <v>Apparel_Caps_Beanies</v>
      </c>
      <c r="C803" s="23" t="s">
        <v>1304</v>
      </c>
      <c r="D803" s="14" t="str">
        <f t="array" ref="D803">XLOOKUP(C803, Channel_Listings!C:C, Channel_Listings!D:D)
</f>
        <v>CAP-BASEBALL-LO</v>
      </c>
      <c r="E803" s="15"/>
      <c r="F803" s="16">
        <f t="array" ref="F803">IFERROR(
  VALUE( INDEX(Product_Master!$I:$I,
               MATCH( INDEX(Pack_Master!$B:$B, MATCH($D803, Pack_Master!$A:$A, 0)),
                      Product_Master!$B:$B, 0)
  )) 
  * VALUE( INDEX(Pack_Master!$C:$C, MATCH($D803, Pack_Master!$A:$A, 0)) )
  + VALUE( INDEX(Pack_Master!$D:$D, MATCH($D803, Pack_Master!$A:$A, 0)) ),
"")
</f>
        <v>109</v>
      </c>
      <c r="G803" s="17">
        <f t="array" ref="G803">IFERROR(
 ( INDEX(Pack_Master!E:E, MATCH($D803, Pack_Master!A:A, 0))
   * INDEX(Pack_Master!F:F, MATCH($D803, Pack_Master!A:A, 0))
   * INDEX(Pack_Master!G:G, MATCH($D803, Pack_Master!A:A, 0))
 ) / INDEX(Config!C:C, MATCH($A803, Config!A:A, 0)),
"")
</f>
        <v>0.375</v>
      </c>
      <c r="H803" s="17">
        <f t="array" ref="H803">MAX( INDEX(Pack_Master!H:H, MATCH($D803, Pack_Master!A:A, 0)),
      IFERROR(G803, 0) )
</f>
        <v>0.5</v>
      </c>
      <c r="I803" s="18">
        <f>IFERROR(__xludf.DUMMYFUNCTION("IFERROR(
 INDEX(
   FILTER(Shipping_Rate_Card!B:F, Shipping_Rate_Card!A:A=$A803),
   MATCH($H803, FILTER(Shipping_Rate_Card!B:B, Shipping_Rate_Card!A:A=$A803), 1),
   IF( INDEX(Config!B:B, MATCH($A803, Config!A:A, 0))=""Local"", 2,
     IF( INDEX(Config!B"&amp;":B, MATCH($A803, Config!A:A, 0))=""Regional"", 3, 4 )
   )
 ),
"""")
"),75.0)</f>
        <v>75</v>
      </c>
      <c r="J803" s="16">
        <f>IFERROR(__xludf.DUMMYFUNCTION("IFERROR(
 ( E803 * INDEX(FILTER(Pricing_Rules!E:E, Pricing_Rules!A:A=A803, Pricing_Rules!B:B=B803, Pricing_Rules!C:C&lt;=E803, Pricing_Rules!D:D&gt;=E803), 1)
   + INDEX(FILTER(Pricing_Rules!F:F, Pricing_Rules!A:A=A803, Pricing_Rules!B:B=B803, Pricing_Rules!C:C"&amp;"&lt;=E803, Pricing_Rules!D:D&gt;=E803), 1)
 )
 * (1 + IFERROR( INDEX(Config!D:D, MATCH(A803, Config!A:A, 0)), 0 )),
"""")
"),15.34)</f>
        <v>15.34</v>
      </c>
      <c r="K803" s="19">
        <f t="shared" si="3"/>
        <v>-199.34</v>
      </c>
      <c r="L803" s="20" t="str">
        <f t="shared" si="4"/>
        <v/>
      </c>
    </row>
    <row r="804" ht="15.75" customHeight="1">
      <c r="A804" s="9" t="s">
        <v>1162</v>
      </c>
      <c r="B804" s="12" t="str">
        <f t="array" ref="B804">XLOOKUP(C804, Channel_Listings!C:C, Channel_Listings!B:B)
</f>
        <v>Apparel_Caps_Beanies</v>
      </c>
      <c r="C804" s="23" t="s">
        <v>1306</v>
      </c>
      <c r="D804" s="14" t="str">
        <f t="array" ref="D804">XLOOKUP(C804, Channel_Listings!C:C, Channel_Listings!D:D)
</f>
        <v>CAP-BASEBALL-NY-BLACKWHITE</v>
      </c>
      <c r="E804" s="15"/>
      <c r="F804" s="16">
        <f t="array" ref="F804">IFERROR(
  VALUE( INDEX(Product_Master!$I:$I,
               MATCH( INDEX(Pack_Master!$B:$B, MATCH($D804, Pack_Master!$A:$A, 0)),
                      Product_Master!$B:$B, 0)
  )) 
  * VALUE( INDEX(Pack_Master!$C:$C, MATCH($D804, Pack_Master!$A:$A, 0)) )
  + VALUE( INDEX(Pack_Master!$D:$D, MATCH($D804, Pack_Master!$A:$A, 0)) ),
"")
</f>
        <v>2</v>
      </c>
      <c r="G804" s="17">
        <f t="array" ref="G804">IFERROR(
 ( INDEX(Pack_Master!E:E, MATCH($D804, Pack_Master!A:A, 0))
   * INDEX(Pack_Master!F:F, MATCH($D804, Pack_Master!A:A, 0))
   * INDEX(Pack_Master!G:G, MATCH($D804, Pack_Master!A:A, 0))
 ) / INDEX(Config!C:C, MATCH($A804, Config!A:A, 0)),
"")
</f>
        <v>0.375</v>
      </c>
      <c r="H804" s="17">
        <f t="array" ref="H804">MAX( INDEX(Pack_Master!H:H, MATCH($D804, Pack_Master!A:A, 0)),
      IFERROR(G804, 0) )
</f>
        <v>0.5</v>
      </c>
      <c r="I804" s="18">
        <f>IFERROR(__xludf.DUMMYFUNCTION("IFERROR(
 INDEX(
   FILTER(Shipping_Rate_Card!B:F, Shipping_Rate_Card!A:A=$A804),
   MATCH($H804, FILTER(Shipping_Rate_Card!B:B, Shipping_Rate_Card!A:A=$A804), 1),
   IF( INDEX(Config!B:B, MATCH($A804, Config!A:A, 0))=""Local"", 2,
     IF( INDEX(Config!B"&amp;":B, MATCH($A804, Config!A:A, 0))=""Regional"", 3, 4 )
   )
 ),
"""")
"),75.0)</f>
        <v>75</v>
      </c>
      <c r="J804" s="16">
        <f>IFERROR(__xludf.DUMMYFUNCTION("IFERROR(
 ( E804 * INDEX(FILTER(Pricing_Rules!E:E, Pricing_Rules!A:A=A804, Pricing_Rules!B:B=B804, Pricing_Rules!C:C&lt;=E804, Pricing_Rules!D:D&gt;=E804), 1)
   + INDEX(FILTER(Pricing_Rules!F:F, Pricing_Rules!A:A=A804, Pricing_Rules!B:B=B804, Pricing_Rules!C:C"&amp;"&lt;=E804, Pricing_Rules!D:D&gt;=E804), 1)
 )
 * (1 + IFERROR( INDEX(Config!D:D, MATCH(A804, Config!A:A, 0)), 0 )),
"""")
"),15.34)</f>
        <v>15.34</v>
      </c>
      <c r="K804" s="19">
        <f t="shared" si="3"/>
        <v>-92.34</v>
      </c>
      <c r="L804" s="20" t="str">
        <f t="shared" si="4"/>
        <v/>
      </c>
    </row>
    <row r="805" ht="15.75" customHeight="1">
      <c r="A805" s="9" t="s">
        <v>1162</v>
      </c>
      <c r="B805" s="12" t="str">
        <f t="array" ref="B805">XLOOKUP(C805, Channel_Listings!C:C, Channel_Listings!B:B)
</f>
        <v>Apparel_Caps_Beanies</v>
      </c>
      <c r="C805" s="23" t="s">
        <v>359</v>
      </c>
      <c r="D805" s="14" t="str">
        <f t="array" ref="D805">XLOOKUP(C805, Channel_Listings!C:C, Channel_Listings!D:D)
</f>
        <v>CAP-BASEBALL-NY-BLACKBLACK</v>
      </c>
      <c r="E805" s="15"/>
      <c r="F805" s="16">
        <f t="array" ref="F805">IFERROR(
  VALUE( INDEX(Product_Master!$I:$I,
               MATCH( INDEX(Pack_Master!$B:$B, MATCH($D805, Pack_Master!$A:$A, 0)),
                      Product_Master!$B:$B, 0)
  )) 
  * VALUE( INDEX(Pack_Master!$C:$C, MATCH($D805, Pack_Master!$A:$A, 0)) )
  + VALUE( INDEX(Pack_Master!$D:$D, MATCH($D805, Pack_Master!$A:$A, 0)) ),
"")
</f>
        <v>2</v>
      </c>
      <c r="G805" s="17">
        <f t="array" ref="G805">IFERROR(
 ( INDEX(Pack_Master!E:E, MATCH($D805, Pack_Master!A:A, 0))
   * INDEX(Pack_Master!F:F, MATCH($D805, Pack_Master!A:A, 0))
   * INDEX(Pack_Master!G:G, MATCH($D805, Pack_Master!A:A, 0))
 ) / INDEX(Config!C:C, MATCH($A805, Config!A:A, 0)),
"")
</f>
        <v>0.375</v>
      </c>
      <c r="H805" s="17">
        <f t="array" ref="H805">MAX( INDEX(Pack_Master!H:H, MATCH($D805, Pack_Master!A:A, 0)),
      IFERROR(G805, 0) )
</f>
        <v>0.5</v>
      </c>
      <c r="I805" s="18">
        <f>IFERROR(__xludf.DUMMYFUNCTION("IFERROR(
 INDEX(
   FILTER(Shipping_Rate_Card!B:F, Shipping_Rate_Card!A:A=$A805),
   MATCH($H805, FILTER(Shipping_Rate_Card!B:B, Shipping_Rate_Card!A:A=$A805), 1),
   IF( INDEX(Config!B:B, MATCH($A805, Config!A:A, 0))=""Local"", 2,
     IF( INDEX(Config!B"&amp;":B, MATCH($A805, Config!A:A, 0))=""Regional"", 3, 4 )
   )
 ),
"""")
"),75.0)</f>
        <v>75</v>
      </c>
      <c r="J805" s="16">
        <f>IFERROR(__xludf.DUMMYFUNCTION("IFERROR(
 ( E805 * INDEX(FILTER(Pricing_Rules!E:E, Pricing_Rules!A:A=A805, Pricing_Rules!B:B=B805, Pricing_Rules!C:C&lt;=E805, Pricing_Rules!D:D&gt;=E805), 1)
   + INDEX(FILTER(Pricing_Rules!F:F, Pricing_Rules!A:A=A805, Pricing_Rules!B:B=B805, Pricing_Rules!C:C"&amp;"&lt;=E805, Pricing_Rules!D:D&gt;=E805), 1)
 )
 * (1 + IFERROR( INDEX(Config!D:D, MATCH(A805, Config!A:A, 0)), 0 )),
"""")
"),15.34)</f>
        <v>15.34</v>
      </c>
      <c r="K805" s="19">
        <f t="shared" si="3"/>
        <v>-92.34</v>
      </c>
      <c r="L805" s="20" t="str">
        <f t="shared" si="4"/>
        <v/>
      </c>
    </row>
    <row r="806" ht="15.75" customHeight="1">
      <c r="A806" s="9" t="s">
        <v>1162</v>
      </c>
      <c r="B806" s="12" t="str">
        <f t="array" ref="B806">XLOOKUP(C806, Channel_Listings!C:C, Channel_Listings!B:B)
</f>
        <v>Apparel_Caps_Beanies</v>
      </c>
      <c r="C806" s="23" t="s">
        <v>365</v>
      </c>
      <c r="D806" s="14" t="str">
        <f t="array" ref="D806">XLOOKUP(C806, Channel_Listings!C:C, Channel_Listings!D:D)
</f>
        <v>CAP-BASEBALL-NY-GREYWHITE</v>
      </c>
      <c r="E806" s="15"/>
      <c r="F806" s="16">
        <f t="array" ref="F806">IFERROR(
  VALUE( INDEX(Product_Master!$I:$I,
               MATCH( INDEX(Pack_Master!$B:$B, MATCH($D806, Pack_Master!$A:$A, 0)),
                      Product_Master!$B:$B, 0)
  )) 
  * VALUE( INDEX(Pack_Master!$C:$C, MATCH($D806, Pack_Master!$A:$A, 0)) )
  + VALUE( INDEX(Pack_Master!$D:$D, MATCH($D806, Pack_Master!$A:$A, 0)) ),
"")
</f>
        <v>2</v>
      </c>
      <c r="G806" s="17">
        <f t="array" ref="G806">IFERROR(
 ( INDEX(Pack_Master!E:E, MATCH($D806, Pack_Master!A:A, 0))
   * INDEX(Pack_Master!F:F, MATCH($D806, Pack_Master!A:A, 0))
   * INDEX(Pack_Master!G:G, MATCH($D806, Pack_Master!A:A, 0))
 ) / INDEX(Config!C:C, MATCH($A806, Config!A:A, 0)),
"")
</f>
        <v>0.375</v>
      </c>
      <c r="H806" s="17">
        <f t="array" ref="H806">MAX( INDEX(Pack_Master!H:H, MATCH($D806, Pack_Master!A:A, 0)),
      IFERROR(G806, 0) )
</f>
        <v>0.5</v>
      </c>
      <c r="I806" s="18">
        <f>IFERROR(__xludf.DUMMYFUNCTION("IFERROR(
 INDEX(
   FILTER(Shipping_Rate_Card!B:F, Shipping_Rate_Card!A:A=$A806),
   MATCH($H806, FILTER(Shipping_Rate_Card!B:B, Shipping_Rate_Card!A:A=$A806), 1),
   IF( INDEX(Config!B:B, MATCH($A806, Config!A:A, 0))=""Local"", 2,
     IF( INDEX(Config!B"&amp;":B, MATCH($A806, Config!A:A, 0))=""Regional"", 3, 4 )
   )
 ),
"""")
"),75.0)</f>
        <v>75</v>
      </c>
      <c r="J806" s="16">
        <f>IFERROR(__xludf.DUMMYFUNCTION("IFERROR(
 ( E806 * INDEX(FILTER(Pricing_Rules!E:E, Pricing_Rules!A:A=A806, Pricing_Rules!B:B=B806, Pricing_Rules!C:C&lt;=E806, Pricing_Rules!D:D&gt;=E806), 1)
   + INDEX(FILTER(Pricing_Rules!F:F, Pricing_Rules!A:A=A806, Pricing_Rules!B:B=B806, Pricing_Rules!C:C"&amp;"&lt;=E806, Pricing_Rules!D:D&gt;=E806), 1)
 )
 * (1 + IFERROR( INDEX(Config!D:D, MATCH(A806, Config!A:A, 0)), 0 )),
"""")
"),15.34)</f>
        <v>15.34</v>
      </c>
      <c r="K806" s="19">
        <f t="shared" si="3"/>
        <v>-92.34</v>
      </c>
      <c r="L806" s="20" t="str">
        <f t="shared" si="4"/>
        <v/>
      </c>
    </row>
    <row r="807" ht="15.75" customHeight="1">
      <c r="A807" s="9" t="s">
        <v>1162</v>
      </c>
      <c r="B807" s="12" t="str">
        <f t="array" ref="B807">XLOOKUP(C807, Channel_Listings!C:C, Channel_Listings!B:B)
</f>
        <v>Apparel_Caps_Beanies</v>
      </c>
      <c r="C807" s="23" t="s">
        <v>1310</v>
      </c>
      <c r="D807" s="14" t="str">
        <f t="array" ref="D807">XLOOKUP(C807, Channel_Listings!C:C, Channel_Listings!D:D)
</f>
        <v>CAP-BASEBALL-NY-PO2-NAVYBLACK</v>
      </c>
      <c r="E807" s="15"/>
      <c r="F807" s="16">
        <f t="array" ref="F807">IFERROR(
  VALUE( INDEX(Product_Master!$I:$I,
               MATCH( INDEX(Pack_Master!$B:$B, MATCH($D807, Pack_Master!$A:$A, 0)),
                      Product_Master!$B:$B, 0)
  )) 
  * VALUE( INDEX(Pack_Master!$C:$C, MATCH($D807, Pack_Master!$A:$A, 0)) )
  + VALUE( INDEX(Pack_Master!$D:$D, MATCH($D807, Pack_Master!$A:$A, 0)) ),
"")
</f>
        <v>109</v>
      </c>
      <c r="G807" s="17">
        <f t="array" ref="G807">IFERROR(
 ( INDEX(Pack_Master!E:E, MATCH($D807, Pack_Master!A:A, 0))
   * INDEX(Pack_Master!F:F, MATCH($D807, Pack_Master!A:A, 0))
   * INDEX(Pack_Master!G:G, MATCH($D807, Pack_Master!A:A, 0))
 ) / INDEX(Config!C:C, MATCH($A807, Config!A:A, 0)),
"")
</f>
        <v>0.375</v>
      </c>
      <c r="H807" s="17">
        <f t="array" ref="H807">MAX( INDEX(Pack_Master!H:H, MATCH($D807, Pack_Master!A:A, 0)),
      IFERROR(G807, 0) )
</f>
        <v>0.5</v>
      </c>
      <c r="I807" s="18">
        <f>IFERROR(__xludf.DUMMYFUNCTION("IFERROR(
 INDEX(
   FILTER(Shipping_Rate_Card!B:F, Shipping_Rate_Card!A:A=$A807),
   MATCH($H807, FILTER(Shipping_Rate_Card!B:B, Shipping_Rate_Card!A:A=$A807), 1),
   IF( INDEX(Config!B:B, MATCH($A807, Config!A:A, 0))=""Local"", 2,
     IF( INDEX(Config!B"&amp;":B, MATCH($A807, Config!A:A, 0))=""Regional"", 3, 4 )
   )
 ),
"""")
"),75.0)</f>
        <v>75</v>
      </c>
      <c r="J807" s="16">
        <f>IFERROR(__xludf.DUMMYFUNCTION("IFERROR(
 ( E807 * INDEX(FILTER(Pricing_Rules!E:E, Pricing_Rules!A:A=A807, Pricing_Rules!B:B=B807, Pricing_Rules!C:C&lt;=E807, Pricing_Rules!D:D&gt;=E807), 1)
   + INDEX(FILTER(Pricing_Rules!F:F, Pricing_Rules!A:A=A807, Pricing_Rules!B:B=B807, Pricing_Rules!C:C"&amp;"&lt;=E807, Pricing_Rules!D:D&gt;=E807), 1)
 )
 * (1 + IFERROR( INDEX(Config!D:D, MATCH(A807, Config!A:A, 0)), 0 )),
"""")
"),15.34)</f>
        <v>15.34</v>
      </c>
      <c r="K807" s="19">
        <f t="shared" si="3"/>
        <v>-199.34</v>
      </c>
      <c r="L807" s="20" t="str">
        <f t="shared" si="4"/>
        <v/>
      </c>
    </row>
    <row r="808" ht="15.75" customHeight="1">
      <c r="A808" s="9" t="s">
        <v>1162</v>
      </c>
      <c r="B808" s="12" t="str">
        <f t="array" ref="B808">XLOOKUP(C808, Channel_Listings!C:C, Channel_Listings!B:B)
</f>
        <v>Apparel_Caps_Beanies</v>
      </c>
      <c r="C808" s="23" t="s">
        <v>369</v>
      </c>
      <c r="D808" s="14" t="str">
        <f t="array" ref="D808">XLOOKUP(C808, Channel_Listings!C:C, Channel_Listings!D:D)
</f>
        <v>CAP-BASEBALL-NY-PO2-WHITEBLACK</v>
      </c>
      <c r="E808" s="15"/>
      <c r="F808" s="16">
        <f t="array" ref="F808">IFERROR(
  VALUE( INDEX(Product_Master!$I:$I,
               MATCH( INDEX(Pack_Master!$B:$B, MATCH($D808, Pack_Master!$A:$A, 0)),
                      Product_Master!$B:$B, 0)
  )) 
  * VALUE( INDEX(Pack_Master!$C:$C, MATCH($D808, Pack_Master!$A:$A, 0)) )
  + VALUE( INDEX(Pack_Master!$D:$D, MATCH($D808, Pack_Master!$A:$A, 0)) ),
"")
</f>
        <v>2</v>
      </c>
      <c r="G808" s="17">
        <f t="array" ref="G808">IFERROR(
 ( INDEX(Pack_Master!E:E, MATCH($D808, Pack_Master!A:A, 0))
   * INDEX(Pack_Master!F:F, MATCH($D808, Pack_Master!A:A, 0))
   * INDEX(Pack_Master!G:G, MATCH($D808, Pack_Master!A:A, 0))
 ) / INDEX(Config!C:C, MATCH($A808, Config!A:A, 0)),
"")
</f>
        <v>0.375</v>
      </c>
      <c r="H808" s="17">
        <f t="array" ref="H808">MAX( INDEX(Pack_Master!H:H, MATCH($D808, Pack_Master!A:A, 0)),
      IFERROR(G808, 0) )
</f>
        <v>0.5</v>
      </c>
      <c r="I808" s="18">
        <f>IFERROR(__xludf.DUMMYFUNCTION("IFERROR(
 INDEX(
   FILTER(Shipping_Rate_Card!B:F, Shipping_Rate_Card!A:A=$A808),
   MATCH($H808, FILTER(Shipping_Rate_Card!B:B, Shipping_Rate_Card!A:A=$A808), 1),
   IF( INDEX(Config!B:B, MATCH($A808, Config!A:A, 0))=""Local"", 2,
     IF( INDEX(Config!B"&amp;":B, MATCH($A808, Config!A:A, 0))=""Regional"", 3, 4 )
   )
 ),
"""")
"),75.0)</f>
        <v>75</v>
      </c>
      <c r="J808" s="16">
        <f>IFERROR(__xludf.DUMMYFUNCTION("IFERROR(
 ( E808 * INDEX(FILTER(Pricing_Rules!E:E, Pricing_Rules!A:A=A808, Pricing_Rules!B:B=B808, Pricing_Rules!C:C&lt;=E808, Pricing_Rules!D:D&gt;=E808), 1)
   + INDEX(FILTER(Pricing_Rules!F:F, Pricing_Rules!A:A=A808, Pricing_Rules!B:B=B808, Pricing_Rules!C:C"&amp;"&lt;=E808, Pricing_Rules!D:D&gt;=E808), 1)
 )
 * (1 + IFERROR( INDEX(Config!D:D, MATCH(A808, Config!A:A, 0)), 0 )),
"""")
"),15.34)</f>
        <v>15.34</v>
      </c>
      <c r="K808" s="19">
        <f t="shared" si="3"/>
        <v>-92.34</v>
      </c>
      <c r="L808" s="20" t="str">
        <f t="shared" si="4"/>
        <v/>
      </c>
    </row>
    <row r="809" ht="15.75" customHeight="1">
      <c r="A809" s="9" t="s">
        <v>1162</v>
      </c>
      <c r="B809" s="12" t="str">
        <f t="array" ref="B809">XLOOKUP(C809, Channel_Listings!C:C, Channel_Listings!B:B)
</f>
        <v>Apparel_Caps_Beanies</v>
      </c>
      <c r="C809" s="23" t="s">
        <v>377</v>
      </c>
      <c r="D809" s="14" t="str">
        <f t="array" ref="D809">XLOOKUP(C809, Channel_Listings!C:C, Channel_Listings!D:D)
</f>
        <v>CAP-BASEBALL-PLAIN-BEIGE</v>
      </c>
      <c r="E809" s="15"/>
      <c r="F809" s="16">
        <f t="array" ref="F809">IFERROR(
  VALUE( INDEX(Product_Master!$I:$I,
               MATCH( INDEX(Pack_Master!$B:$B, MATCH($D809, Pack_Master!$A:$A, 0)),
                      Product_Master!$B:$B, 0)
  )) 
  * VALUE( INDEX(Pack_Master!$C:$C, MATCH($D809, Pack_Master!$A:$A, 0)) )
  + VALUE( INDEX(Pack_Master!$D:$D, MATCH($D809, Pack_Master!$A:$A, 0)) ),
"")
</f>
        <v>89</v>
      </c>
      <c r="G809" s="17">
        <f t="array" ref="G809">IFERROR(
 ( INDEX(Pack_Master!E:E, MATCH($D809, Pack_Master!A:A, 0))
   * INDEX(Pack_Master!F:F, MATCH($D809, Pack_Master!A:A, 0))
   * INDEX(Pack_Master!G:G, MATCH($D809, Pack_Master!A:A, 0))
 ) / INDEX(Config!C:C, MATCH($A809, Config!A:A, 0)),
"")
</f>
        <v>0.375</v>
      </c>
      <c r="H809" s="17">
        <f t="array" ref="H809">MAX( INDEX(Pack_Master!H:H, MATCH($D809, Pack_Master!A:A, 0)),
      IFERROR(G809, 0) )
</f>
        <v>0.5</v>
      </c>
      <c r="I809" s="18">
        <f>IFERROR(__xludf.DUMMYFUNCTION("IFERROR(
 INDEX(
   FILTER(Shipping_Rate_Card!B:F, Shipping_Rate_Card!A:A=$A809),
   MATCH($H809, FILTER(Shipping_Rate_Card!B:B, Shipping_Rate_Card!A:A=$A809), 1),
   IF( INDEX(Config!B:B, MATCH($A809, Config!A:A, 0))=""Local"", 2,
     IF( INDEX(Config!B"&amp;":B, MATCH($A809, Config!A:A, 0))=""Regional"", 3, 4 )
   )
 ),
"""")
"),75.0)</f>
        <v>75</v>
      </c>
      <c r="J809" s="16">
        <f>IFERROR(__xludf.DUMMYFUNCTION("IFERROR(
 ( E809 * INDEX(FILTER(Pricing_Rules!E:E, Pricing_Rules!A:A=A809, Pricing_Rules!B:B=B809, Pricing_Rules!C:C&lt;=E809, Pricing_Rules!D:D&gt;=E809), 1)
   + INDEX(FILTER(Pricing_Rules!F:F, Pricing_Rules!A:A=A809, Pricing_Rules!B:B=B809, Pricing_Rules!C:C"&amp;"&lt;=E809, Pricing_Rules!D:D&gt;=E809), 1)
 )
 * (1 + IFERROR( INDEX(Config!D:D, MATCH(A809, Config!A:A, 0)), 0 )),
"""")
"),15.34)</f>
        <v>15.34</v>
      </c>
      <c r="K809" s="19">
        <f t="shared" si="3"/>
        <v>-179.34</v>
      </c>
      <c r="L809" s="20" t="str">
        <f t="shared" si="4"/>
        <v/>
      </c>
    </row>
    <row r="810" ht="15.75" customHeight="1">
      <c r="A810" s="9" t="s">
        <v>1162</v>
      </c>
      <c r="B810" s="12" t="str">
        <f t="array" ref="B810">XLOOKUP(C810, Channel_Listings!C:C, Channel_Listings!B:B)
</f>
        <v>Apparel_Caps_Beanies</v>
      </c>
      <c r="C810" s="23" t="s">
        <v>16</v>
      </c>
      <c r="D810" s="14" t="str">
        <f t="array" ref="D810">XLOOKUP(C810, Channel_Listings!C:C, Channel_Listings!D:D)
</f>
        <v>CAP-BASEBALL-PLAIN-WHITE</v>
      </c>
      <c r="E810" s="15"/>
      <c r="F810" s="16">
        <f t="array" ref="F810">IFERROR(
  VALUE( INDEX(Product_Master!$I:$I,
               MATCH( INDEX(Pack_Master!$B:$B, MATCH($D810, Pack_Master!$A:$A, 0)),
                      Product_Master!$B:$B, 0)
  )) 
  * VALUE( INDEX(Pack_Master!$C:$C, MATCH($D810, Pack_Master!$A:$A, 0)) )
  + VALUE( INDEX(Pack_Master!$D:$D, MATCH($D810, Pack_Master!$A:$A, 0)) ),
"")
</f>
        <v>89</v>
      </c>
      <c r="G810" s="17">
        <f t="array" ref="G810">IFERROR(
 ( INDEX(Pack_Master!E:E, MATCH($D810, Pack_Master!A:A, 0))
   * INDEX(Pack_Master!F:F, MATCH($D810, Pack_Master!A:A, 0))
   * INDEX(Pack_Master!G:G, MATCH($D810, Pack_Master!A:A, 0))
 ) / INDEX(Config!C:C, MATCH($A810, Config!A:A, 0)),
"")
</f>
        <v>0.375</v>
      </c>
      <c r="H810" s="17">
        <f t="array" ref="H810">MAX( INDEX(Pack_Master!H:H, MATCH($D810, Pack_Master!A:A, 0)),
      IFERROR(G810, 0) )
</f>
        <v>0.5</v>
      </c>
      <c r="I810" s="18">
        <f>IFERROR(__xludf.DUMMYFUNCTION("IFERROR(
 INDEX(
   FILTER(Shipping_Rate_Card!B:F, Shipping_Rate_Card!A:A=$A810),
   MATCH($H810, FILTER(Shipping_Rate_Card!B:B, Shipping_Rate_Card!A:A=$A810), 1),
   IF( INDEX(Config!B:B, MATCH($A810, Config!A:A, 0))=""Local"", 2,
     IF( INDEX(Config!B"&amp;":B, MATCH($A810, Config!A:A, 0))=""Regional"", 3, 4 )
   )
 ),
"""")
"),75.0)</f>
        <v>75</v>
      </c>
      <c r="J810" s="16">
        <f>IFERROR(__xludf.DUMMYFUNCTION("IFERROR(
 ( E810 * INDEX(FILTER(Pricing_Rules!E:E, Pricing_Rules!A:A=A810, Pricing_Rules!B:B=B810, Pricing_Rules!C:C&lt;=E810, Pricing_Rules!D:D&gt;=E810), 1)
   + INDEX(FILTER(Pricing_Rules!F:F, Pricing_Rules!A:A=A810, Pricing_Rules!B:B=B810, Pricing_Rules!C:C"&amp;"&lt;=E810, Pricing_Rules!D:D&gt;=E810), 1)
 )
 * (1 + IFERROR( INDEX(Config!D:D, MATCH(A810, Config!A:A, 0)), 0 )),
"""")
"),15.34)</f>
        <v>15.34</v>
      </c>
      <c r="K810" s="19">
        <f t="shared" si="3"/>
        <v>-179.34</v>
      </c>
      <c r="L810" s="20" t="str">
        <f t="shared" si="4"/>
        <v/>
      </c>
    </row>
    <row r="811" ht="15.75" customHeight="1">
      <c r="A811" s="9" t="s">
        <v>1162</v>
      </c>
      <c r="B811" s="12" t="str">
        <f t="array" ref="B811">XLOOKUP(C811, Channel_Listings!C:C, Channel_Listings!B:B)
</f>
        <v>Apparel_Caps_Beanies</v>
      </c>
      <c r="C811" s="23" t="s">
        <v>1315</v>
      </c>
      <c r="D811" s="14" t="str">
        <f t="array" ref="D811">XLOOKUP(C811, Channel_Listings!C:C, Channel_Listings!D:D)
</f>
        <v>CAP-BASEBALL-NY-BLACKBLACK</v>
      </c>
      <c r="E811" s="15"/>
      <c r="F811" s="16">
        <f t="array" ref="F811">IFERROR(
  VALUE( INDEX(Product_Master!$I:$I,
               MATCH( INDEX(Pack_Master!$B:$B, MATCH($D811, Pack_Master!$A:$A, 0)),
                      Product_Master!$B:$B, 0)
  )) 
  * VALUE( INDEX(Pack_Master!$C:$C, MATCH($D811, Pack_Master!$A:$A, 0)) )
  + VALUE( INDEX(Pack_Master!$D:$D, MATCH($D811, Pack_Master!$A:$A, 0)) ),
"")
</f>
        <v>2</v>
      </c>
      <c r="G811" s="17">
        <f t="array" ref="G811">IFERROR(
 ( INDEX(Pack_Master!E:E, MATCH($D811, Pack_Master!A:A, 0))
   * INDEX(Pack_Master!F:F, MATCH($D811, Pack_Master!A:A, 0))
   * INDEX(Pack_Master!G:G, MATCH($D811, Pack_Master!A:A, 0))
 ) / INDEX(Config!C:C, MATCH($A811, Config!A:A, 0)),
"")
</f>
        <v>0.375</v>
      </c>
      <c r="H811" s="17">
        <f t="array" ref="H811">MAX( INDEX(Pack_Master!H:H, MATCH($D811, Pack_Master!A:A, 0)),
      IFERROR(G811, 0) )
</f>
        <v>0.5</v>
      </c>
      <c r="I811" s="18">
        <f>IFERROR(__xludf.DUMMYFUNCTION("IFERROR(
 INDEX(
   FILTER(Shipping_Rate_Card!B:F, Shipping_Rate_Card!A:A=$A811),
   MATCH($H811, FILTER(Shipping_Rate_Card!B:B, Shipping_Rate_Card!A:A=$A811), 1),
   IF( INDEX(Config!B:B, MATCH($A811, Config!A:A, 0))=""Local"", 2,
     IF( INDEX(Config!B"&amp;":B, MATCH($A811, Config!A:A, 0))=""Regional"", 3, 4 )
   )
 ),
"""")
"),75.0)</f>
        <v>75</v>
      </c>
      <c r="J811" s="16">
        <f>IFERROR(__xludf.DUMMYFUNCTION("IFERROR(
 ( E811 * INDEX(FILTER(Pricing_Rules!E:E, Pricing_Rules!A:A=A811, Pricing_Rules!B:B=B811, Pricing_Rules!C:C&lt;=E811, Pricing_Rules!D:D&gt;=E811), 1)
   + INDEX(FILTER(Pricing_Rules!F:F, Pricing_Rules!A:A=A811, Pricing_Rules!B:B=B811, Pricing_Rules!C:C"&amp;"&lt;=E811, Pricing_Rules!D:D&gt;=E811), 1)
 )
 * (1 + IFERROR( INDEX(Config!D:D, MATCH(A811, Config!A:A, 0)), 0 )),
"""")
"),15.34)</f>
        <v>15.34</v>
      </c>
      <c r="K811" s="19">
        <f t="shared" si="3"/>
        <v>-92.34</v>
      </c>
      <c r="L811" s="20" t="str">
        <f t="shared" si="4"/>
        <v/>
      </c>
    </row>
    <row r="812" ht="15.75" customHeight="1">
      <c r="A812" s="9" t="s">
        <v>1162</v>
      </c>
      <c r="B812" s="12" t="str">
        <f t="array" ref="B812">XLOOKUP(C812, Channel_Listings!C:C, Channel_Listings!B:B)
</f>
        <v>Apparel_Caps_Beanies</v>
      </c>
      <c r="C812" s="23" t="s">
        <v>1317</v>
      </c>
      <c r="D812" s="14" t="str">
        <f t="array" ref="D812">XLOOKUP(C812, Channel_Listings!C:C, Channel_Listings!D:D)
</f>
        <v>CAP-BASEBALL-NY-BLACKWHITE</v>
      </c>
      <c r="E812" s="15"/>
      <c r="F812" s="16">
        <f t="array" ref="F812">IFERROR(
  VALUE( INDEX(Product_Master!$I:$I,
               MATCH( INDEX(Pack_Master!$B:$B, MATCH($D812, Pack_Master!$A:$A, 0)),
                      Product_Master!$B:$B, 0)
  )) 
  * VALUE( INDEX(Pack_Master!$C:$C, MATCH($D812, Pack_Master!$A:$A, 0)) )
  + VALUE( INDEX(Pack_Master!$D:$D, MATCH($D812, Pack_Master!$A:$A, 0)) ),
"")
</f>
        <v>2</v>
      </c>
      <c r="G812" s="17">
        <f t="array" ref="G812">IFERROR(
 ( INDEX(Pack_Master!E:E, MATCH($D812, Pack_Master!A:A, 0))
   * INDEX(Pack_Master!F:F, MATCH($D812, Pack_Master!A:A, 0))
   * INDEX(Pack_Master!G:G, MATCH($D812, Pack_Master!A:A, 0))
 ) / INDEX(Config!C:C, MATCH($A812, Config!A:A, 0)),
"")
</f>
        <v>0.375</v>
      </c>
      <c r="H812" s="17">
        <f t="array" ref="H812">MAX( INDEX(Pack_Master!H:H, MATCH($D812, Pack_Master!A:A, 0)),
      IFERROR(G812, 0) )
</f>
        <v>0.5</v>
      </c>
      <c r="I812" s="18">
        <f>IFERROR(__xludf.DUMMYFUNCTION("IFERROR(
 INDEX(
   FILTER(Shipping_Rate_Card!B:F, Shipping_Rate_Card!A:A=$A812),
   MATCH($H812, FILTER(Shipping_Rate_Card!B:B, Shipping_Rate_Card!A:A=$A812), 1),
   IF( INDEX(Config!B:B, MATCH($A812, Config!A:A, 0))=""Local"", 2,
     IF( INDEX(Config!B"&amp;":B, MATCH($A812, Config!A:A, 0))=""Regional"", 3, 4 )
   )
 ),
"""")
"),75.0)</f>
        <v>75</v>
      </c>
      <c r="J812" s="16">
        <f>IFERROR(__xludf.DUMMYFUNCTION("IFERROR(
 ( E812 * INDEX(FILTER(Pricing_Rules!E:E, Pricing_Rules!A:A=A812, Pricing_Rules!B:B=B812, Pricing_Rules!C:C&lt;=E812, Pricing_Rules!D:D&gt;=E812), 1)
   + INDEX(FILTER(Pricing_Rules!F:F, Pricing_Rules!A:A=A812, Pricing_Rules!B:B=B812, Pricing_Rules!C:C"&amp;"&lt;=E812, Pricing_Rules!D:D&gt;=E812), 1)
 )
 * (1 + IFERROR( INDEX(Config!D:D, MATCH(A812, Config!A:A, 0)), 0 )),
"""")
"),15.34)</f>
        <v>15.34</v>
      </c>
      <c r="K812" s="19">
        <f t="shared" si="3"/>
        <v>-92.34</v>
      </c>
      <c r="L812" s="20" t="str">
        <f t="shared" si="4"/>
        <v/>
      </c>
    </row>
    <row r="813" ht="15.75" customHeight="1">
      <c r="A813" s="9" t="s">
        <v>1162</v>
      </c>
      <c r="B813" s="12" t="str">
        <f t="array" ref="B813">XLOOKUP(C813, Channel_Listings!C:C, Channel_Listings!B:B)
</f>
        <v>Apparel_Caps_Beanies</v>
      </c>
      <c r="C813" s="23" t="s">
        <v>1319</v>
      </c>
      <c r="D813" s="14" t="str">
        <f t="array" ref="D813">XLOOKUP(C813, Channel_Listings!C:C, Channel_Listings!D:D)
</f>
        <v>CAP-BASEBALL-NY-WHITEBLACK</v>
      </c>
      <c r="E813" s="15"/>
      <c r="F813" s="16">
        <f t="array" ref="F813">IFERROR(
  VALUE( INDEX(Product_Master!$I:$I,
               MATCH( INDEX(Pack_Master!$B:$B, MATCH($D813, Pack_Master!$A:$A, 0)),
                      Product_Master!$B:$B, 0)
  )) 
  * VALUE( INDEX(Pack_Master!$C:$C, MATCH($D813, Pack_Master!$A:$A, 0)) )
  + VALUE( INDEX(Pack_Master!$D:$D, MATCH($D813, Pack_Master!$A:$A, 0)) ),
"")
</f>
        <v>2</v>
      </c>
      <c r="G813" s="17">
        <f t="array" ref="G813">IFERROR(
 ( INDEX(Pack_Master!E:E, MATCH($D813, Pack_Master!A:A, 0))
   * INDEX(Pack_Master!F:F, MATCH($D813, Pack_Master!A:A, 0))
   * INDEX(Pack_Master!G:G, MATCH($D813, Pack_Master!A:A, 0))
 ) / INDEX(Config!C:C, MATCH($A813, Config!A:A, 0)),
"")
</f>
        <v>0.375</v>
      </c>
      <c r="H813" s="17">
        <f t="array" ref="H813">MAX( INDEX(Pack_Master!H:H, MATCH($D813, Pack_Master!A:A, 0)),
      IFERROR(G813, 0) )
</f>
        <v>0.5</v>
      </c>
      <c r="I813" s="18">
        <f>IFERROR(__xludf.DUMMYFUNCTION("IFERROR(
 INDEX(
   FILTER(Shipping_Rate_Card!B:F, Shipping_Rate_Card!A:A=$A813),
   MATCH($H813, FILTER(Shipping_Rate_Card!B:B, Shipping_Rate_Card!A:A=$A813), 1),
   IF( INDEX(Config!B:B, MATCH($A813, Config!A:A, 0))=""Local"", 2,
     IF( INDEX(Config!B"&amp;":B, MATCH($A813, Config!A:A, 0))=""Regional"", 3, 4 )
   )
 ),
"""")
"),75.0)</f>
        <v>75</v>
      </c>
      <c r="J813" s="16">
        <f>IFERROR(__xludf.DUMMYFUNCTION("IFERROR(
 ( E813 * INDEX(FILTER(Pricing_Rules!E:E, Pricing_Rules!A:A=A813, Pricing_Rules!B:B=B813, Pricing_Rules!C:C&lt;=E813, Pricing_Rules!D:D&gt;=E813), 1)
   + INDEX(FILTER(Pricing_Rules!F:F, Pricing_Rules!A:A=A813, Pricing_Rules!B:B=B813, Pricing_Rules!C:C"&amp;"&lt;=E813, Pricing_Rules!D:D&gt;=E813), 1)
 )
 * (1 + IFERROR( INDEX(Config!D:D, MATCH(A813, Config!A:A, 0)), 0 )),
"""")
"),15.34)</f>
        <v>15.34</v>
      </c>
      <c r="K813" s="19">
        <f t="shared" si="3"/>
        <v>-92.34</v>
      </c>
      <c r="L813" s="20" t="str">
        <f t="shared" si="4"/>
        <v/>
      </c>
    </row>
    <row r="814" ht="15.75" customHeight="1">
      <c r="A814" s="9" t="s">
        <v>1162</v>
      </c>
      <c r="B814" s="12" t="str">
        <f t="array" ref="B814">XLOOKUP(C814, Channel_Listings!C:C, Channel_Listings!B:B)
</f>
        <v>Apparel_Caps_Beanies</v>
      </c>
      <c r="C814" s="23" t="s">
        <v>396</v>
      </c>
      <c r="D814" s="14" t="str">
        <f t="array" ref="D814">XLOOKUP(C814, Channel_Listings!C:C, Channel_Listings!D:D)
</f>
        <v>CAP-PARA-CHARCOAL</v>
      </c>
      <c r="E814" s="15"/>
      <c r="F814" s="16">
        <f t="array" ref="F814">IFERROR(
  VALUE( INDEX(Product_Master!$I:$I,
               MATCH( INDEX(Pack_Master!$B:$B, MATCH($D814, Pack_Master!$A:$A, 0)),
                      Product_Master!$B:$B, 0)
  )) 
  * VALUE( INDEX(Pack_Master!$C:$C, MATCH($D814, Pack_Master!$A:$A, 0)) )
  + VALUE( INDEX(Pack_Master!$D:$D, MATCH($D814, Pack_Master!$A:$A, 0)) ),
"")
</f>
        <v>2</v>
      </c>
      <c r="G814" s="17">
        <f t="array" ref="G814">IFERROR(
 ( INDEX(Pack_Master!E:E, MATCH($D814, Pack_Master!A:A, 0))
   * INDEX(Pack_Master!F:F, MATCH($D814, Pack_Master!A:A, 0))
   * INDEX(Pack_Master!G:G, MATCH($D814, Pack_Master!A:A, 0))
 ) / INDEX(Config!C:C, MATCH($A814, Config!A:A, 0)),
"")
</f>
        <v>0.375</v>
      </c>
      <c r="H814" s="17">
        <f t="array" ref="H814">MAX( INDEX(Pack_Master!H:H, MATCH($D814, Pack_Master!A:A, 0)),
      IFERROR(G814, 0) )
</f>
        <v>0.5</v>
      </c>
      <c r="I814" s="18">
        <f>IFERROR(__xludf.DUMMYFUNCTION("IFERROR(
 INDEX(
   FILTER(Shipping_Rate_Card!B:F, Shipping_Rate_Card!A:A=$A814),
   MATCH($H814, FILTER(Shipping_Rate_Card!B:B, Shipping_Rate_Card!A:A=$A814), 1),
   IF( INDEX(Config!B:B, MATCH($A814, Config!A:A, 0))=""Local"", 2,
     IF( INDEX(Config!B"&amp;":B, MATCH($A814, Config!A:A, 0))=""Regional"", 3, 4 )
   )
 ),
"""")
"),75.0)</f>
        <v>75</v>
      </c>
      <c r="J814" s="16">
        <f>IFERROR(__xludf.DUMMYFUNCTION("IFERROR(
 ( E814 * INDEX(FILTER(Pricing_Rules!E:E, Pricing_Rules!A:A=A814, Pricing_Rules!B:B=B814, Pricing_Rules!C:C&lt;=E814, Pricing_Rules!D:D&gt;=E814), 1)
   + INDEX(FILTER(Pricing_Rules!F:F, Pricing_Rules!A:A=A814, Pricing_Rules!B:B=B814, Pricing_Rules!C:C"&amp;"&lt;=E814, Pricing_Rules!D:D&gt;=E814), 1)
 )
 * (1 + IFERROR( INDEX(Config!D:D, MATCH(A814, Config!A:A, 0)), 0 )),
"""")
"),15.34)</f>
        <v>15.34</v>
      </c>
      <c r="K814" s="19">
        <f t="shared" si="3"/>
        <v>-92.34</v>
      </c>
      <c r="L814" s="20" t="str">
        <f t="shared" si="4"/>
        <v/>
      </c>
    </row>
    <row r="815" ht="15.75" customHeight="1">
      <c r="A815" s="9" t="s">
        <v>1162</v>
      </c>
      <c r="B815" s="12" t="str">
        <f t="array" ref="B815">XLOOKUP(C815, Channel_Listings!C:C, Channel_Listings!B:B)
</f>
        <v>Apparel_Caps_Beanies</v>
      </c>
      <c r="C815" s="23" t="s">
        <v>1322</v>
      </c>
      <c r="D815" s="14" t="str">
        <f t="array" ref="D815">XLOOKUP(C815, Channel_Listings!C:C, Channel_Listings!D:D)
</f>
        <v>CAP-BASEBALL-NET-HALF-BLACK</v>
      </c>
      <c r="E815" s="15"/>
      <c r="F815" s="16">
        <f t="array" ref="F815">IFERROR(
  VALUE( INDEX(Product_Master!$I:$I,
               MATCH( INDEX(Pack_Master!$B:$B, MATCH($D815, Pack_Master!$A:$A, 0)),
                      Product_Master!$B:$B, 0)
  )) 
  * VALUE( INDEX(Pack_Master!$C:$C, MATCH($D815, Pack_Master!$A:$A, 0)) )
  + VALUE( INDEX(Pack_Master!$D:$D, MATCH($D815, Pack_Master!$A:$A, 0)) ),
"")
</f>
        <v>70</v>
      </c>
      <c r="G815" s="17">
        <f t="array" ref="G815">IFERROR(
 ( INDEX(Pack_Master!E:E, MATCH($D815, Pack_Master!A:A, 0))
   * INDEX(Pack_Master!F:F, MATCH($D815, Pack_Master!A:A, 0))
   * INDEX(Pack_Master!G:G, MATCH($D815, Pack_Master!A:A, 0))
 ) / INDEX(Config!C:C, MATCH($A815, Config!A:A, 0)),
"")
</f>
        <v>0.375</v>
      </c>
      <c r="H815" s="17">
        <f t="array" ref="H815">MAX( INDEX(Pack_Master!H:H, MATCH($D815, Pack_Master!A:A, 0)),
      IFERROR(G815, 0) )
</f>
        <v>0.5</v>
      </c>
      <c r="I815" s="18">
        <f>IFERROR(__xludf.DUMMYFUNCTION("IFERROR(
 INDEX(
   FILTER(Shipping_Rate_Card!B:F, Shipping_Rate_Card!A:A=$A815),
   MATCH($H815, FILTER(Shipping_Rate_Card!B:B, Shipping_Rate_Card!A:A=$A815), 1),
   IF( INDEX(Config!B:B, MATCH($A815, Config!A:A, 0))=""Local"", 2,
     IF( INDEX(Config!B"&amp;":B, MATCH($A815, Config!A:A, 0))=""Regional"", 3, 4 )
   )
 ),
"""")
"),75.0)</f>
        <v>75</v>
      </c>
      <c r="J815" s="16">
        <f>IFERROR(__xludf.DUMMYFUNCTION("IFERROR(
 ( E815 * INDEX(FILTER(Pricing_Rules!E:E, Pricing_Rules!A:A=A815, Pricing_Rules!B:B=B815, Pricing_Rules!C:C&lt;=E815, Pricing_Rules!D:D&gt;=E815), 1)
   + INDEX(FILTER(Pricing_Rules!F:F, Pricing_Rules!A:A=A815, Pricing_Rules!B:B=B815, Pricing_Rules!C:C"&amp;"&lt;=E815, Pricing_Rules!D:D&gt;=E815), 1)
 )
 * (1 + IFERROR( INDEX(Config!D:D, MATCH(A815, Config!A:A, 0)), 0 )),
"""")
"),15.34)</f>
        <v>15.34</v>
      </c>
      <c r="K815" s="19">
        <f t="shared" si="3"/>
        <v>-160.34</v>
      </c>
      <c r="L815" s="20" t="str">
        <f t="shared" si="4"/>
        <v/>
      </c>
    </row>
    <row r="816" ht="15.75" customHeight="1">
      <c r="A816" s="9" t="s">
        <v>1162</v>
      </c>
      <c r="B816" s="12" t="str">
        <f t="array" ref="B816">XLOOKUP(C816, Channel_Listings!C:C, Channel_Listings!B:B)
</f>
        <v>Apparel_Caps_Beanies</v>
      </c>
      <c r="C816" s="23" t="s">
        <v>1324</v>
      </c>
      <c r="D816" s="14" t="str">
        <f t="array" ref="D816">XLOOKUP(C816, Channel_Listings!C:C, Channel_Listings!D:D)
</f>
        <v>CAP-BASEBALL-NET-HALF-CHARCOAL</v>
      </c>
      <c r="E816" s="15"/>
      <c r="F816" s="16">
        <f t="array" ref="F816">IFERROR(
  VALUE( INDEX(Product_Master!$I:$I,
               MATCH( INDEX(Pack_Master!$B:$B, MATCH($D816, Pack_Master!$A:$A, 0)),
                      Product_Master!$B:$B, 0)
  )) 
  * VALUE( INDEX(Pack_Master!$C:$C, MATCH($D816, Pack_Master!$A:$A, 0)) )
  + VALUE( INDEX(Pack_Master!$D:$D, MATCH($D816, Pack_Master!$A:$A, 0)) ),
"")
</f>
        <v>2</v>
      </c>
      <c r="G816" s="17">
        <f t="array" ref="G816">IFERROR(
 ( INDEX(Pack_Master!E:E, MATCH($D816, Pack_Master!A:A, 0))
   * INDEX(Pack_Master!F:F, MATCH($D816, Pack_Master!A:A, 0))
   * INDEX(Pack_Master!G:G, MATCH($D816, Pack_Master!A:A, 0))
 ) / INDEX(Config!C:C, MATCH($A816, Config!A:A, 0)),
"")
</f>
        <v>0.375</v>
      </c>
      <c r="H816" s="17">
        <f t="array" ref="H816">MAX( INDEX(Pack_Master!H:H, MATCH($D816, Pack_Master!A:A, 0)),
      IFERROR(G816, 0) )
</f>
        <v>0.5</v>
      </c>
      <c r="I816" s="18">
        <f>IFERROR(__xludf.DUMMYFUNCTION("IFERROR(
 INDEX(
   FILTER(Shipping_Rate_Card!B:F, Shipping_Rate_Card!A:A=$A816),
   MATCH($H816, FILTER(Shipping_Rate_Card!B:B, Shipping_Rate_Card!A:A=$A816), 1),
   IF( INDEX(Config!B:B, MATCH($A816, Config!A:A, 0))=""Local"", 2,
     IF( INDEX(Config!B"&amp;":B, MATCH($A816, Config!A:A, 0))=""Regional"", 3, 4 )
   )
 ),
"""")
"),75.0)</f>
        <v>75</v>
      </c>
      <c r="J816" s="16">
        <f>IFERROR(__xludf.DUMMYFUNCTION("IFERROR(
 ( E816 * INDEX(FILTER(Pricing_Rules!E:E, Pricing_Rules!A:A=A816, Pricing_Rules!B:B=B816, Pricing_Rules!C:C&lt;=E816, Pricing_Rules!D:D&gt;=E816), 1)
   + INDEX(FILTER(Pricing_Rules!F:F, Pricing_Rules!A:A=A816, Pricing_Rules!B:B=B816, Pricing_Rules!C:C"&amp;"&lt;=E816, Pricing_Rules!D:D&gt;=E816), 1)
 )
 * (1 + IFERROR( INDEX(Config!D:D, MATCH(A816, Config!A:A, 0)), 0 )),
"""")
"),15.34)</f>
        <v>15.34</v>
      </c>
      <c r="K816" s="19">
        <f t="shared" si="3"/>
        <v>-92.34</v>
      </c>
      <c r="L816" s="20" t="str">
        <f t="shared" si="4"/>
        <v/>
      </c>
    </row>
    <row r="817" ht="15.75" customHeight="1">
      <c r="A817" s="9" t="s">
        <v>1162</v>
      </c>
      <c r="B817" s="12" t="str">
        <f t="array" ref="B817">XLOOKUP(C817, Channel_Listings!C:C, Channel_Listings!B:B)
</f>
        <v>Apparel_Caps_Beanies</v>
      </c>
      <c r="C817" s="23" t="s">
        <v>1326</v>
      </c>
      <c r="D817" s="14" t="str">
        <f t="array" ref="D817">XLOOKUP(C817, Channel_Listings!C:C, Channel_Listings!D:D)
</f>
        <v>CAP-BASEBALL-NET-HALF-NAVYBLUE</v>
      </c>
      <c r="E817" s="15"/>
      <c r="F817" s="16">
        <f t="array" ref="F817">IFERROR(
  VALUE( INDEX(Product_Master!$I:$I,
               MATCH( INDEX(Pack_Master!$B:$B, MATCH($D817, Pack_Master!$A:$A, 0)),
                      Product_Master!$B:$B, 0)
  )) 
  * VALUE( INDEX(Pack_Master!$C:$C, MATCH($D817, Pack_Master!$A:$A, 0)) )
  + VALUE( INDEX(Pack_Master!$D:$D, MATCH($D817, Pack_Master!$A:$A, 0)) ),
"")
</f>
        <v>2</v>
      </c>
      <c r="G817" s="17">
        <f t="array" ref="G817">IFERROR(
 ( INDEX(Pack_Master!E:E, MATCH($D817, Pack_Master!A:A, 0))
   * INDEX(Pack_Master!F:F, MATCH($D817, Pack_Master!A:A, 0))
   * INDEX(Pack_Master!G:G, MATCH($D817, Pack_Master!A:A, 0))
 ) / INDEX(Config!C:C, MATCH($A817, Config!A:A, 0)),
"")
</f>
        <v>0.375</v>
      </c>
      <c r="H817" s="17">
        <f t="array" ref="H817">MAX( INDEX(Pack_Master!H:H, MATCH($D817, Pack_Master!A:A, 0)),
      IFERROR(G817, 0) )
</f>
        <v>0.5</v>
      </c>
      <c r="I817" s="18">
        <f>IFERROR(__xludf.DUMMYFUNCTION("IFERROR(
 INDEX(
   FILTER(Shipping_Rate_Card!B:F, Shipping_Rate_Card!A:A=$A817),
   MATCH($H817, FILTER(Shipping_Rate_Card!B:B, Shipping_Rate_Card!A:A=$A817), 1),
   IF( INDEX(Config!B:B, MATCH($A817, Config!A:A, 0))=""Local"", 2,
     IF( INDEX(Config!B"&amp;":B, MATCH($A817, Config!A:A, 0))=""Regional"", 3, 4 )
   )
 ),
"""")
"),75.0)</f>
        <v>75</v>
      </c>
      <c r="J817" s="16">
        <f>IFERROR(__xludf.DUMMYFUNCTION("IFERROR(
 ( E817 * INDEX(FILTER(Pricing_Rules!E:E, Pricing_Rules!A:A=A817, Pricing_Rules!B:B=B817, Pricing_Rules!C:C&lt;=E817, Pricing_Rules!D:D&gt;=E817), 1)
   + INDEX(FILTER(Pricing_Rules!F:F, Pricing_Rules!A:A=A817, Pricing_Rules!B:B=B817, Pricing_Rules!C:C"&amp;"&lt;=E817, Pricing_Rules!D:D&gt;=E817), 1)
 )
 * (1 + IFERROR( INDEX(Config!D:D, MATCH(A817, Config!A:A, 0)), 0 )),
"""")
"),15.34)</f>
        <v>15.34</v>
      </c>
      <c r="K817" s="19">
        <f t="shared" si="3"/>
        <v>-92.34</v>
      </c>
      <c r="L817" s="20" t="str">
        <f t="shared" si="4"/>
        <v/>
      </c>
    </row>
    <row r="818" ht="15.75" customHeight="1">
      <c r="A818" s="9" t="s">
        <v>1162</v>
      </c>
      <c r="B818" s="12" t="str">
        <f t="array" ref="B818">XLOOKUP(C818, Channel_Listings!C:C, Channel_Listings!B:B)
</f>
        <v>Apparel_Caps_Beanies</v>
      </c>
      <c r="C818" s="23" t="s">
        <v>1328</v>
      </c>
      <c r="D818" s="14" t="str">
        <f t="array" ref="D818">XLOOKUP(C818, Channel_Listings!C:C, Channel_Listings!D:D)
</f>
        <v>CAP-BASEBALL-NET-HALF-OLIVE</v>
      </c>
      <c r="E818" s="15"/>
      <c r="F818" s="16">
        <f t="array" ref="F818">IFERROR(
  VALUE( INDEX(Product_Master!$I:$I,
               MATCH( INDEX(Pack_Master!$B:$B, MATCH($D818, Pack_Master!$A:$A, 0)),
                      Product_Master!$B:$B, 0)
  )) 
  * VALUE( INDEX(Pack_Master!$C:$C, MATCH($D818, Pack_Master!$A:$A, 0)) )
  + VALUE( INDEX(Pack_Master!$D:$D, MATCH($D818, Pack_Master!$A:$A, 0)) ),
"")
</f>
        <v>2</v>
      </c>
      <c r="G818" s="17">
        <f t="array" ref="G818">IFERROR(
 ( INDEX(Pack_Master!E:E, MATCH($D818, Pack_Master!A:A, 0))
   * INDEX(Pack_Master!F:F, MATCH($D818, Pack_Master!A:A, 0))
   * INDEX(Pack_Master!G:G, MATCH($D818, Pack_Master!A:A, 0))
 ) / INDEX(Config!C:C, MATCH($A818, Config!A:A, 0)),
"")
</f>
        <v>0.375</v>
      </c>
      <c r="H818" s="17">
        <f t="array" ref="H818">MAX( INDEX(Pack_Master!H:H, MATCH($D818, Pack_Master!A:A, 0)),
      IFERROR(G818, 0) )
</f>
        <v>0.5</v>
      </c>
      <c r="I818" s="18">
        <f>IFERROR(__xludf.DUMMYFUNCTION("IFERROR(
 INDEX(
   FILTER(Shipping_Rate_Card!B:F, Shipping_Rate_Card!A:A=$A818),
   MATCH($H818, FILTER(Shipping_Rate_Card!B:B, Shipping_Rate_Card!A:A=$A818), 1),
   IF( INDEX(Config!B:B, MATCH($A818, Config!A:A, 0))=""Local"", 2,
     IF( INDEX(Config!B"&amp;":B, MATCH($A818, Config!A:A, 0))=""Regional"", 3, 4 )
   )
 ),
"""")
"),75.0)</f>
        <v>75</v>
      </c>
      <c r="J818" s="16">
        <f>IFERROR(__xludf.DUMMYFUNCTION("IFERROR(
 ( E818 * INDEX(FILTER(Pricing_Rules!E:E, Pricing_Rules!A:A=A818, Pricing_Rules!B:B=B818, Pricing_Rules!C:C&lt;=E818, Pricing_Rules!D:D&gt;=E818), 1)
   + INDEX(FILTER(Pricing_Rules!F:F, Pricing_Rules!A:A=A818, Pricing_Rules!B:B=B818, Pricing_Rules!C:C"&amp;"&lt;=E818, Pricing_Rules!D:D&gt;=E818), 1)
 )
 * (1 + IFERROR( INDEX(Config!D:D, MATCH(A818, Config!A:A, 0)), 0 )),
"""")
"),15.34)</f>
        <v>15.34</v>
      </c>
      <c r="K818" s="19">
        <f t="shared" si="3"/>
        <v>-92.34</v>
      </c>
      <c r="L818" s="20" t="str">
        <f t="shared" si="4"/>
        <v/>
      </c>
    </row>
    <row r="819" ht="15.75" customHeight="1">
      <c r="A819" s="9" t="s">
        <v>1162</v>
      </c>
      <c r="B819" s="12" t="str">
        <f t="array" ref="B819">XLOOKUP(C819, Channel_Listings!C:C, Channel_Listings!B:B)
</f>
        <v>Apparel_Caps_Beanies</v>
      </c>
      <c r="C819" s="23" t="s">
        <v>1330</v>
      </c>
      <c r="D819" s="14" t="str">
        <f t="array" ref="D819">XLOOKUP(C819, Channel_Listings!C:C, Channel_Listings!D:D)
</f>
        <v>CAP-BASEBALL-NET-HALF-PINK</v>
      </c>
      <c r="E819" s="15"/>
      <c r="F819" s="16">
        <f t="array" ref="F819">IFERROR(
  VALUE( INDEX(Product_Master!$I:$I,
               MATCH( INDEX(Pack_Master!$B:$B, MATCH($D819, Pack_Master!$A:$A, 0)),
                      Product_Master!$B:$B, 0)
  )) 
  * VALUE( INDEX(Pack_Master!$C:$C, MATCH($D819, Pack_Master!$A:$A, 0)) )
  + VALUE( INDEX(Pack_Master!$D:$D, MATCH($D819, Pack_Master!$A:$A, 0)) ),
"")
</f>
        <v>70</v>
      </c>
      <c r="G819" s="17">
        <f t="array" ref="G819">IFERROR(
 ( INDEX(Pack_Master!E:E, MATCH($D819, Pack_Master!A:A, 0))
   * INDEX(Pack_Master!F:F, MATCH($D819, Pack_Master!A:A, 0))
   * INDEX(Pack_Master!G:G, MATCH($D819, Pack_Master!A:A, 0))
 ) / INDEX(Config!C:C, MATCH($A819, Config!A:A, 0)),
"")
</f>
        <v>0.375</v>
      </c>
      <c r="H819" s="17">
        <f t="array" ref="H819">MAX( INDEX(Pack_Master!H:H, MATCH($D819, Pack_Master!A:A, 0)),
      IFERROR(G819, 0) )
</f>
        <v>0.5</v>
      </c>
      <c r="I819" s="18">
        <f>IFERROR(__xludf.DUMMYFUNCTION("IFERROR(
 INDEX(
   FILTER(Shipping_Rate_Card!B:F, Shipping_Rate_Card!A:A=$A819),
   MATCH($H819, FILTER(Shipping_Rate_Card!B:B, Shipping_Rate_Card!A:A=$A819), 1),
   IF( INDEX(Config!B:B, MATCH($A819, Config!A:A, 0))=""Local"", 2,
     IF( INDEX(Config!B"&amp;":B, MATCH($A819, Config!A:A, 0))=""Regional"", 3, 4 )
   )
 ),
"""")
"),75.0)</f>
        <v>75</v>
      </c>
      <c r="J819" s="16">
        <f>IFERROR(__xludf.DUMMYFUNCTION("IFERROR(
 ( E819 * INDEX(FILTER(Pricing_Rules!E:E, Pricing_Rules!A:A=A819, Pricing_Rules!B:B=B819, Pricing_Rules!C:C&lt;=E819, Pricing_Rules!D:D&gt;=E819), 1)
   + INDEX(FILTER(Pricing_Rules!F:F, Pricing_Rules!A:A=A819, Pricing_Rules!B:B=B819, Pricing_Rules!C:C"&amp;"&lt;=E819, Pricing_Rules!D:D&gt;=E819), 1)
 )
 * (1 + IFERROR( INDEX(Config!D:D, MATCH(A819, Config!A:A, 0)), 0 )),
"""")
"),15.34)</f>
        <v>15.34</v>
      </c>
      <c r="K819" s="19">
        <f t="shared" si="3"/>
        <v>-160.34</v>
      </c>
      <c r="L819" s="20" t="str">
        <f t="shared" si="4"/>
        <v/>
      </c>
    </row>
    <row r="820" ht="15.75" customHeight="1">
      <c r="A820" s="9" t="s">
        <v>1162</v>
      </c>
      <c r="B820" s="12" t="str">
        <f t="array" ref="B820">XLOOKUP(C820, Channel_Listings!C:C, Channel_Listings!B:B)
</f>
        <v>Apparel_Caps_Beanies</v>
      </c>
      <c r="C820" s="23" t="s">
        <v>1332</v>
      </c>
      <c r="D820" s="14" t="str">
        <f t="array" ref="D820">XLOOKUP(C820, Channel_Listings!C:C, Channel_Listings!D:D)
</f>
        <v>CAP-BASEBALL-NET-HALF-RED</v>
      </c>
      <c r="E820" s="15"/>
      <c r="F820" s="16">
        <f t="array" ref="F820">IFERROR(
  VALUE( INDEX(Product_Master!$I:$I,
               MATCH( INDEX(Pack_Master!$B:$B, MATCH($D820, Pack_Master!$A:$A, 0)),
                      Product_Master!$B:$B, 0)
  )) 
  * VALUE( INDEX(Pack_Master!$C:$C, MATCH($D820, Pack_Master!$A:$A, 0)) )
  + VALUE( INDEX(Pack_Master!$D:$D, MATCH($D820, Pack_Master!$A:$A, 0)) ),
"")
</f>
        <v>2</v>
      </c>
      <c r="G820" s="17">
        <f t="array" ref="G820">IFERROR(
 ( INDEX(Pack_Master!E:E, MATCH($D820, Pack_Master!A:A, 0))
   * INDEX(Pack_Master!F:F, MATCH($D820, Pack_Master!A:A, 0))
   * INDEX(Pack_Master!G:G, MATCH($D820, Pack_Master!A:A, 0))
 ) / INDEX(Config!C:C, MATCH($A820, Config!A:A, 0)),
"")
</f>
        <v>0.375</v>
      </c>
      <c r="H820" s="17">
        <f t="array" ref="H820">MAX( INDEX(Pack_Master!H:H, MATCH($D820, Pack_Master!A:A, 0)),
      IFERROR(G820, 0) )
</f>
        <v>0.5</v>
      </c>
      <c r="I820" s="18">
        <f>IFERROR(__xludf.DUMMYFUNCTION("IFERROR(
 INDEX(
   FILTER(Shipping_Rate_Card!B:F, Shipping_Rate_Card!A:A=$A820),
   MATCH($H820, FILTER(Shipping_Rate_Card!B:B, Shipping_Rate_Card!A:A=$A820), 1),
   IF( INDEX(Config!B:B, MATCH($A820, Config!A:A, 0))=""Local"", 2,
     IF( INDEX(Config!B"&amp;":B, MATCH($A820, Config!A:A, 0))=""Regional"", 3, 4 )
   )
 ),
"""")
"),75.0)</f>
        <v>75</v>
      </c>
      <c r="J820" s="16">
        <f>IFERROR(__xludf.DUMMYFUNCTION("IFERROR(
 ( E820 * INDEX(FILTER(Pricing_Rules!E:E, Pricing_Rules!A:A=A820, Pricing_Rules!B:B=B820, Pricing_Rules!C:C&lt;=E820, Pricing_Rules!D:D&gt;=E820), 1)
   + INDEX(FILTER(Pricing_Rules!F:F, Pricing_Rules!A:A=A820, Pricing_Rules!B:B=B820, Pricing_Rules!C:C"&amp;"&lt;=E820, Pricing_Rules!D:D&gt;=E820), 1)
 )
 * (1 + IFERROR( INDEX(Config!D:D, MATCH(A820, Config!A:A, 0)), 0 )),
"""")
"),15.34)</f>
        <v>15.34</v>
      </c>
      <c r="K820" s="19">
        <f t="shared" si="3"/>
        <v>-92.34</v>
      </c>
      <c r="L820" s="20" t="str">
        <f t="shared" si="4"/>
        <v/>
      </c>
    </row>
    <row r="821" ht="15.75" customHeight="1">
      <c r="A821" s="9" t="s">
        <v>1162</v>
      </c>
      <c r="B821" s="12" t="str">
        <f t="array" ref="B821">XLOOKUP(C821, Channel_Listings!C:C, Channel_Listings!B:B)
</f>
        <v>Apparel_Caps_Beanies</v>
      </c>
      <c r="C821" s="23" t="s">
        <v>1334</v>
      </c>
      <c r="D821" s="14" t="str">
        <f t="array" ref="D821">XLOOKUP(C821, Channel_Listings!C:C, Channel_Listings!D:D)
</f>
        <v>CAP-BASEBALL-NET-HALF-GREY</v>
      </c>
      <c r="E821" s="15"/>
      <c r="F821" s="16">
        <f t="array" ref="F821">IFERROR(
  VALUE( INDEX(Product_Master!$I:$I,
               MATCH( INDEX(Pack_Master!$B:$B, MATCH($D821, Pack_Master!$A:$A, 0)),
                      Product_Master!$B:$B, 0)
  )) 
  * VALUE( INDEX(Pack_Master!$C:$C, MATCH($D821, Pack_Master!$A:$A, 0)) )
  + VALUE( INDEX(Pack_Master!$D:$D, MATCH($D821, Pack_Master!$A:$A, 0)) ),
"")
</f>
        <v>2</v>
      </c>
      <c r="G821" s="17">
        <f t="array" ref="G821">IFERROR(
 ( INDEX(Pack_Master!E:E, MATCH($D821, Pack_Master!A:A, 0))
   * INDEX(Pack_Master!F:F, MATCH($D821, Pack_Master!A:A, 0))
   * INDEX(Pack_Master!G:G, MATCH($D821, Pack_Master!A:A, 0))
 ) / INDEX(Config!C:C, MATCH($A821, Config!A:A, 0)),
"")
</f>
        <v>0.375</v>
      </c>
      <c r="H821" s="17">
        <f t="array" ref="H821">MAX( INDEX(Pack_Master!H:H, MATCH($D821, Pack_Master!A:A, 0)),
      IFERROR(G821, 0) )
</f>
        <v>0.5</v>
      </c>
      <c r="I821" s="18">
        <f>IFERROR(__xludf.DUMMYFUNCTION("IFERROR(
 INDEX(
   FILTER(Shipping_Rate_Card!B:F, Shipping_Rate_Card!A:A=$A821),
   MATCH($H821, FILTER(Shipping_Rate_Card!B:B, Shipping_Rate_Card!A:A=$A821), 1),
   IF( INDEX(Config!B:B, MATCH($A821, Config!A:A, 0))=""Local"", 2,
     IF( INDEX(Config!B"&amp;":B, MATCH($A821, Config!A:A, 0))=""Regional"", 3, 4 )
   )
 ),
"""")
"),75.0)</f>
        <v>75</v>
      </c>
      <c r="J821" s="16">
        <f>IFERROR(__xludf.DUMMYFUNCTION("IFERROR(
 ( E821 * INDEX(FILTER(Pricing_Rules!E:E, Pricing_Rules!A:A=A821, Pricing_Rules!B:B=B821, Pricing_Rules!C:C&lt;=E821, Pricing_Rules!D:D&gt;=E821), 1)
   + INDEX(FILTER(Pricing_Rules!F:F, Pricing_Rules!A:A=A821, Pricing_Rules!B:B=B821, Pricing_Rules!C:C"&amp;"&lt;=E821, Pricing_Rules!D:D&gt;=E821), 1)
 )
 * (1 + IFERROR( INDEX(Config!D:D, MATCH(A821, Config!A:A, 0)), 0 )),
"""")
"),15.34)</f>
        <v>15.34</v>
      </c>
      <c r="K821" s="19">
        <f t="shared" si="3"/>
        <v>-92.34</v>
      </c>
      <c r="L821" s="20" t="str">
        <f t="shared" si="4"/>
        <v/>
      </c>
    </row>
    <row r="822" ht="15.75" customHeight="1">
      <c r="A822" s="9" t="s">
        <v>1162</v>
      </c>
      <c r="B822" s="12" t="str">
        <f t="array" ref="B822">XLOOKUP(C822, Channel_Listings!C:C, Channel_Listings!B:B)
</f>
        <v>Apparel_Caps_Beanies</v>
      </c>
      <c r="C822" s="23" t="s">
        <v>1336</v>
      </c>
      <c r="D822" s="14" t="str">
        <f t="array" ref="D822">XLOOKUP(C822, Channel_Listings!C:C, Channel_Listings!D:D)
</f>
        <v>CAP-BASEBALL-NET-HALF-WHITE</v>
      </c>
      <c r="E822" s="15"/>
      <c r="F822" s="16">
        <f t="array" ref="F822">IFERROR(
  VALUE( INDEX(Product_Master!$I:$I,
               MATCH( INDEX(Pack_Master!$B:$B, MATCH($D822, Pack_Master!$A:$A, 0)),
                      Product_Master!$B:$B, 0)
  )) 
  * VALUE( INDEX(Pack_Master!$C:$C, MATCH($D822, Pack_Master!$A:$A, 0)) )
  + VALUE( INDEX(Pack_Master!$D:$D, MATCH($D822, Pack_Master!$A:$A, 0)) ),
"")
</f>
        <v>70</v>
      </c>
      <c r="G822" s="17">
        <f t="array" ref="G822">IFERROR(
 ( INDEX(Pack_Master!E:E, MATCH($D822, Pack_Master!A:A, 0))
   * INDEX(Pack_Master!F:F, MATCH($D822, Pack_Master!A:A, 0))
   * INDEX(Pack_Master!G:G, MATCH($D822, Pack_Master!A:A, 0))
 ) / INDEX(Config!C:C, MATCH($A822, Config!A:A, 0)),
"")
</f>
        <v>0.375</v>
      </c>
      <c r="H822" s="17">
        <f t="array" ref="H822">MAX( INDEX(Pack_Master!H:H, MATCH($D822, Pack_Master!A:A, 0)),
      IFERROR(G822, 0) )
</f>
        <v>0.5</v>
      </c>
      <c r="I822" s="18">
        <f>IFERROR(__xludf.DUMMYFUNCTION("IFERROR(
 INDEX(
   FILTER(Shipping_Rate_Card!B:F, Shipping_Rate_Card!A:A=$A822),
   MATCH($H822, FILTER(Shipping_Rate_Card!B:B, Shipping_Rate_Card!A:A=$A822), 1),
   IF( INDEX(Config!B:B, MATCH($A822, Config!A:A, 0))=""Local"", 2,
     IF( INDEX(Config!B"&amp;":B, MATCH($A822, Config!A:A, 0))=""Regional"", 3, 4 )
   )
 ),
"""")
"),75.0)</f>
        <v>75</v>
      </c>
      <c r="J822" s="16">
        <f>IFERROR(__xludf.DUMMYFUNCTION("IFERROR(
 ( E822 * INDEX(FILTER(Pricing_Rules!E:E, Pricing_Rules!A:A=A822, Pricing_Rules!B:B=B822, Pricing_Rules!C:C&lt;=E822, Pricing_Rules!D:D&gt;=E822), 1)
   + INDEX(FILTER(Pricing_Rules!F:F, Pricing_Rules!A:A=A822, Pricing_Rules!B:B=B822, Pricing_Rules!C:C"&amp;"&lt;=E822, Pricing_Rules!D:D&gt;=E822), 1)
 )
 * (1 + IFERROR( INDEX(Config!D:D, MATCH(A822, Config!A:A, 0)), 0 )),
"""")
"),15.34)</f>
        <v>15.34</v>
      </c>
      <c r="K822" s="19">
        <f t="shared" si="3"/>
        <v>-160.34</v>
      </c>
      <c r="L822" s="20" t="str">
        <f t="shared" si="4"/>
        <v/>
      </c>
    </row>
    <row r="823" ht="15.75" customHeight="1">
      <c r="A823" s="9" t="s">
        <v>1162</v>
      </c>
      <c r="B823" s="12" t="str">
        <f t="array" ref="B823">XLOOKUP(C823, Channel_Listings!C:C, Channel_Listings!B:B)
</f>
        <v>Apparel_Caps_Beanies</v>
      </c>
      <c r="C823" s="23" t="s">
        <v>1338</v>
      </c>
      <c r="D823" s="14" t="str">
        <f t="array" ref="D823">XLOOKUP(C823, Channel_Listings!C:C, Channel_Listings!D:D)
</f>
        <v>CAP-BASEBALL-PLAIN-WHITE</v>
      </c>
      <c r="E823" s="15"/>
      <c r="F823" s="16">
        <f t="array" ref="F823">IFERROR(
  VALUE( INDEX(Product_Master!$I:$I,
               MATCH( INDEX(Pack_Master!$B:$B, MATCH($D823, Pack_Master!$A:$A, 0)),
                      Product_Master!$B:$B, 0)
  )) 
  * VALUE( INDEX(Pack_Master!$C:$C, MATCH($D823, Pack_Master!$A:$A, 0)) )
  + VALUE( INDEX(Pack_Master!$D:$D, MATCH($D823, Pack_Master!$A:$A, 0)) ),
"")
</f>
        <v>89</v>
      </c>
      <c r="G823" s="17">
        <f t="array" ref="G823">IFERROR(
 ( INDEX(Pack_Master!E:E, MATCH($D823, Pack_Master!A:A, 0))
   * INDEX(Pack_Master!F:F, MATCH($D823, Pack_Master!A:A, 0))
   * INDEX(Pack_Master!G:G, MATCH($D823, Pack_Master!A:A, 0))
 ) / INDEX(Config!C:C, MATCH($A823, Config!A:A, 0)),
"")
</f>
        <v>0.375</v>
      </c>
      <c r="H823" s="17">
        <f t="array" ref="H823">MAX( INDEX(Pack_Master!H:H, MATCH($D823, Pack_Master!A:A, 0)),
      IFERROR(G823, 0) )
</f>
        <v>0.5</v>
      </c>
      <c r="I823" s="18">
        <f>IFERROR(__xludf.DUMMYFUNCTION("IFERROR(
 INDEX(
   FILTER(Shipping_Rate_Card!B:F, Shipping_Rate_Card!A:A=$A823),
   MATCH($H823, FILTER(Shipping_Rate_Card!B:B, Shipping_Rate_Card!A:A=$A823), 1),
   IF( INDEX(Config!B:B, MATCH($A823, Config!A:A, 0))=""Local"", 2,
     IF( INDEX(Config!B"&amp;":B, MATCH($A823, Config!A:A, 0))=""Regional"", 3, 4 )
   )
 ),
"""")
"),75.0)</f>
        <v>75</v>
      </c>
      <c r="J823" s="16">
        <f>IFERROR(__xludf.DUMMYFUNCTION("IFERROR(
 ( E823 * INDEX(FILTER(Pricing_Rules!E:E, Pricing_Rules!A:A=A823, Pricing_Rules!B:B=B823, Pricing_Rules!C:C&lt;=E823, Pricing_Rules!D:D&gt;=E823), 1)
   + INDEX(FILTER(Pricing_Rules!F:F, Pricing_Rules!A:A=A823, Pricing_Rules!B:B=B823, Pricing_Rules!C:C"&amp;"&lt;=E823, Pricing_Rules!D:D&gt;=E823), 1)
 )
 * (1 + IFERROR( INDEX(Config!D:D, MATCH(A823, Config!A:A, 0)), 0 )),
"""")
"),15.34)</f>
        <v>15.34</v>
      </c>
      <c r="K823" s="19">
        <f t="shared" si="3"/>
        <v>-179.34</v>
      </c>
      <c r="L823" s="20" t="str">
        <f t="shared" si="4"/>
        <v/>
      </c>
    </row>
    <row r="824" ht="15.75" customHeight="1">
      <c r="A824" s="9" t="s">
        <v>1162</v>
      </c>
      <c r="B824" s="12" t="str">
        <f t="array" ref="B824">XLOOKUP(C824, Channel_Listings!C:C, Channel_Listings!B:B)
</f>
        <v>Apparel_Caps_Beanies</v>
      </c>
      <c r="C824" s="23" t="s">
        <v>1340</v>
      </c>
      <c r="D824" s="14" t="str">
        <f t="array" ref="D824">XLOOKUP(C824, Channel_Listings!C:C, Channel_Listings!D:D)
</f>
        <v>CAP-DRYFIT-BLACK</v>
      </c>
      <c r="E824" s="15"/>
      <c r="F824" s="16">
        <f t="array" ref="F824">IFERROR(
  VALUE( INDEX(Product_Master!$I:$I,
               MATCH( INDEX(Pack_Master!$B:$B, MATCH($D824, Pack_Master!$A:$A, 0)),
                      Product_Master!$B:$B, 0)
  )) 
  * VALUE( INDEX(Pack_Master!$C:$C, MATCH($D824, Pack_Master!$A:$A, 0)) )
  + VALUE( INDEX(Pack_Master!$D:$D, MATCH($D824, Pack_Master!$A:$A, 0)) ),
"")
</f>
        <v>2</v>
      </c>
      <c r="G824" s="17">
        <f t="array" ref="G824">IFERROR(
 ( INDEX(Pack_Master!E:E, MATCH($D824, Pack_Master!A:A, 0))
   * INDEX(Pack_Master!F:F, MATCH($D824, Pack_Master!A:A, 0))
   * INDEX(Pack_Master!G:G, MATCH($D824, Pack_Master!A:A, 0))
 ) / INDEX(Config!C:C, MATCH($A824, Config!A:A, 0)),
"")
</f>
        <v>0.375</v>
      </c>
      <c r="H824" s="17">
        <f t="array" ref="H824">MAX( INDEX(Pack_Master!H:H, MATCH($D824, Pack_Master!A:A, 0)),
      IFERROR(G824, 0) )
</f>
        <v>0.5</v>
      </c>
      <c r="I824" s="18">
        <f>IFERROR(__xludf.DUMMYFUNCTION("IFERROR(
 INDEX(
   FILTER(Shipping_Rate_Card!B:F, Shipping_Rate_Card!A:A=$A824),
   MATCH($H824, FILTER(Shipping_Rate_Card!B:B, Shipping_Rate_Card!A:A=$A824), 1),
   IF( INDEX(Config!B:B, MATCH($A824, Config!A:A, 0))=""Local"", 2,
     IF( INDEX(Config!B"&amp;":B, MATCH($A824, Config!A:A, 0))=""Regional"", 3, 4 )
   )
 ),
"""")
"),75.0)</f>
        <v>75</v>
      </c>
      <c r="J824" s="16">
        <f>IFERROR(__xludf.DUMMYFUNCTION("IFERROR(
 ( E824 * INDEX(FILTER(Pricing_Rules!E:E, Pricing_Rules!A:A=A824, Pricing_Rules!B:B=B824, Pricing_Rules!C:C&lt;=E824, Pricing_Rules!D:D&gt;=E824), 1)
   + INDEX(FILTER(Pricing_Rules!F:F, Pricing_Rules!A:A=A824, Pricing_Rules!B:B=B824, Pricing_Rules!C:C"&amp;"&lt;=E824, Pricing_Rules!D:D&gt;=E824), 1)
 )
 * (1 + IFERROR( INDEX(Config!D:D, MATCH(A824, Config!A:A, 0)), 0 )),
"""")
"),15.34)</f>
        <v>15.34</v>
      </c>
      <c r="K824" s="19">
        <f t="shared" si="3"/>
        <v>-92.34</v>
      </c>
      <c r="L824" s="20" t="str">
        <f t="shared" si="4"/>
        <v/>
      </c>
    </row>
    <row r="825" ht="15.75" customHeight="1">
      <c r="A825" s="9" t="s">
        <v>1162</v>
      </c>
      <c r="B825" s="12" t="str">
        <f t="array" ref="B825">XLOOKUP(C825, Channel_Listings!C:C, Channel_Listings!B:B)
</f>
        <v>Apparel_Caps_Beanies</v>
      </c>
      <c r="C825" s="23" t="s">
        <v>1342</v>
      </c>
      <c r="D825" s="14" t="str">
        <f t="array" ref="D825">XLOOKUP(C825, Channel_Listings!C:C, Channel_Listings!D:D)
</f>
        <v>CAP-DRYFIT-NAVYBLUE</v>
      </c>
      <c r="E825" s="15"/>
      <c r="F825" s="16">
        <f t="array" ref="F825">IFERROR(
  VALUE( INDEX(Product_Master!$I:$I,
               MATCH( INDEX(Pack_Master!$B:$B, MATCH($D825, Pack_Master!$A:$A, 0)),
                      Product_Master!$B:$B, 0)
  )) 
  * VALUE( INDEX(Pack_Master!$C:$C, MATCH($D825, Pack_Master!$A:$A, 0)) )
  + VALUE( INDEX(Pack_Master!$D:$D, MATCH($D825, Pack_Master!$A:$A, 0)) ),
"")
</f>
        <v>2</v>
      </c>
      <c r="G825" s="17">
        <f t="array" ref="G825">IFERROR(
 ( INDEX(Pack_Master!E:E, MATCH($D825, Pack_Master!A:A, 0))
   * INDEX(Pack_Master!F:F, MATCH($D825, Pack_Master!A:A, 0))
   * INDEX(Pack_Master!G:G, MATCH($D825, Pack_Master!A:A, 0))
 ) / INDEX(Config!C:C, MATCH($A825, Config!A:A, 0)),
"")
</f>
        <v>0.375</v>
      </c>
      <c r="H825" s="17">
        <f t="array" ref="H825">MAX( INDEX(Pack_Master!H:H, MATCH($D825, Pack_Master!A:A, 0)),
      IFERROR(G825, 0) )
</f>
        <v>0.5</v>
      </c>
      <c r="I825" s="18">
        <f>IFERROR(__xludf.DUMMYFUNCTION("IFERROR(
 INDEX(
   FILTER(Shipping_Rate_Card!B:F, Shipping_Rate_Card!A:A=$A825),
   MATCH($H825, FILTER(Shipping_Rate_Card!B:B, Shipping_Rate_Card!A:A=$A825), 1),
   IF( INDEX(Config!B:B, MATCH($A825, Config!A:A, 0))=""Local"", 2,
     IF( INDEX(Config!B"&amp;":B, MATCH($A825, Config!A:A, 0))=""Regional"", 3, 4 )
   )
 ),
"""")
"),75.0)</f>
        <v>75</v>
      </c>
      <c r="J825" s="16">
        <f>IFERROR(__xludf.DUMMYFUNCTION("IFERROR(
 ( E825 * INDEX(FILTER(Pricing_Rules!E:E, Pricing_Rules!A:A=A825, Pricing_Rules!B:B=B825, Pricing_Rules!C:C&lt;=E825, Pricing_Rules!D:D&gt;=E825), 1)
   + INDEX(FILTER(Pricing_Rules!F:F, Pricing_Rules!A:A=A825, Pricing_Rules!B:B=B825, Pricing_Rules!C:C"&amp;"&lt;=E825, Pricing_Rules!D:D&gt;=E825), 1)
 )
 * (1 + IFERROR( INDEX(Config!D:D, MATCH(A825, Config!A:A, 0)), 0 )),
"""")
"),15.34)</f>
        <v>15.34</v>
      </c>
      <c r="K825" s="19">
        <f t="shared" si="3"/>
        <v>-92.34</v>
      </c>
      <c r="L825" s="20" t="str">
        <f t="shared" si="4"/>
        <v/>
      </c>
    </row>
    <row r="826" ht="15.75" customHeight="1">
      <c r="A826" s="9" t="s">
        <v>1162</v>
      </c>
      <c r="B826" s="12" t="str">
        <f t="array" ref="B826">XLOOKUP(C826, Channel_Listings!C:C, Channel_Listings!B:B)
</f>
        <v>Apparel_Caps_Beanies</v>
      </c>
      <c r="C826" s="23" t="s">
        <v>1343</v>
      </c>
      <c r="D826" s="14" t="str">
        <f t="array" ref="D826">XLOOKUP(C826, Channel_Listings!C:C, Channel_Listings!D:D)
</f>
        <v>CAP-PARA-NAVYBLUE</v>
      </c>
      <c r="E826" s="15"/>
      <c r="F826" s="16">
        <f t="array" ref="F826">IFERROR(
  VALUE( INDEX(Product_Master!$I:$I,
               MATCH( INDEX(Pack_Master!$B:$B, MATCH($D826, Pack_Master!$A:$A, 0)),
                      Product_Master!$B:$B, 0)
  )) 
  * VALUE( INDEX(Pack_Master!$C:$C, MATCH($D826, Pack_Master!$A:$A, 0)) )
  + VALUE( INDEX(Pack_Master!$D:$D, MATCH($D826, Pack_Master!$A:$A, 0)) ),
"")
</f>
        <v>2</v>
      </c>
      <c r="G826" s="17">
        <f t="array" ref="G826">IFERROR(
 ( INDEX(Pack_Master!E:E, MATCH($D826, Pack_Master!A:A, 0))
   * INDEX(Pack_Master!F:F, MATCH($D826, Pack_Master!A:A, 0))
   * INDEX(Pack_Master!G:G, MATCH($D826, Pack_Master!A:A, 0))
 ) / INDEX(Config!C:C, MATCH($A826, Config!A:A, 0)),
"")
</f>
        <v>0.375</v>
      </c>
      <c r="H826" s="17">
        <f t="array" ref="H826">MAX( INDEX(Pack_Master!H:H, MATCH($D826, Pack_Master!A:A, 0)),
      IFERROR(G826, 0) )
</f>
        <v>0.5</v>
      </c>
      <c r="I826" s="18">
        <f>IFERROR(__xludf.DUMMYFUNCTION("IFERROR(
 INDEX(
   FILTER(Shipping_Rate_Card!B:F, Shipping_Rate_Card!A:A=$A826),
   MATCH($H826, FILTER(Shipping_Rate_Card!B:B, Shipping_Rate_Card!A:A=$A826), 1),
   IF( INDEX(Config!B:B, MATCH($A826, Config!A:A, 0))=""Local"", 2,
     IF( INDEX(Config!B"&amp;":B, MATCH($A826, Config!A:A, 0))=""Regional"", 3, 4 )
   )
 ),
"""")
"),75.0)</f>
        <v>75</v>
      </c>
      <c r="J826" s="16">
        <f>IFERROR(__xludf.DUMMYFUNCTION("IFERROR(
 ( E826 * INDEX(FILTER(Pricing_Rules!E:E, Pricing_Rules!A:A=A826, Pricing_Rules!B:B=B826, Pricing_Rules!C:C&lt;=E826, Pricing_Rules!D:D&gt;=E826), 1)
   + INDEX(FILTER(Pricing_Rules!F:F, Pricing_Rules!A:A=A826, Pricing_Rules!B:B=B826, Pricing_Rules!C:C"&amp;"&lt;=E826, Pricing_Rules!D:D&gt;=E826), 1)
 )
 * (1 + IFERROR( INDEX(Config!D:D, MATCH(A826, Config!A:A, 0)), 0 )),
"""")
"),15.34)</f>
        <v>15.34</v>
      </c>
      <c r="K826" s="19">
        <f t="shared" si="3"/>
        <v>-92.34</v>
      </c>
      <c r="L826" s="20" t="str">
        <f t="shared" si="4"/>
        <v/>
      </c>
    </row>
    <row r="827" ht="15.75" customHeight="1">
      <c r="A827" s="9" t="s">
        <v>1162</v>
      </c>
      <c r="B827" s="12" t="str">
        <f t="array" ref="B827">XLOOKUP(C827, Channel_Listings!C:C, Channel_Listings!B:B)
</f>
        <v>Apparel_Caps_Beanies</v>
      </c>
      <c r="C827" s="23" t="s">
        <v>402</v>
      </c>
      <c r="D827" s="14" t="str">
        <f t="array" ref="D827">XLOOKUP(C827, Channel_Listings!C:C, Channel_Listings!D:D)
</f>
        <v>CAP-PARA-WHITE</v>
      </c>
      <c r="E827" s="15"/>
      <c r="F827" s="16">
        <f t="array" ref="F827">IFERROR(
  VALUE( INDEX(Product_Master!$I:$I,
               MATCH( INDEX(Pack_Master!$B:$B, MATCH($D827, Pack_Master!$A:$A, 0)),
                      Product_Master!$B:$B, 0)
  )) 
  * VALUE( INDEX(Pack_Master!$C:$C, MATCH($D827, Pack_Master!$A:$A, 0)) )
  + VALUE( INDEX(Pack_Master!$D:$D, MATCH($D827, Pack_Master!$A:$A, 0)) ),
"")
</f>
        <v>2</v>
      </c>
      <c r="G827" s="17">
        <f t="array" ref="G827">IFERROR(
 ( INDEX(Pack_Master!E:E, MATCH($D827, Pack_Master!A:A, 0))
   * INDEX(Pack_Master!F:F, MATCH($D827, Pack_Master!A:A, 0))
   * INDEX(Pack_Master!G:G, MATCH($D827, Pack_Master!A:A, 0))
 ) / INDEX(Config!C:C, MATCH($A827, Config!A:A, 0)),
"")
</f>
        <v>0.375</v>
      </c>
      <c r="H827" s="17">
        <f t="array" ref="H827">MAX( INDEX(Pack_Master!H:H, MATCH($D827, Pack_Master!A:A, 0)),
      IFERROR(G827, 0) )
</f>
        <v>0.5</v>
      </c>
      <c r="I827" s="18">
        <f>IFERROR(__xludf.DUMMYFUNCTION("IFERROR(
 INDEX(
   FILTER(Shipping_Rate_Card!B:F, Shipping_Rate_Card!A:A=$A827),
   MATCH($H827, FILTER(Shipping_Rate_Card!B:B, Shipping_Rate_Card!A:A=$A827), 1),
   IF( INDEX(Config!B:B, MATCH($A827, Config!A:A, 0))=""Local"", 2,
     IF( INDEX(Config!B"&amp;":B, MATCH($A827, Config!A:A, 0))=""Regional"", 3, 4 )
   )
 ),
"""")
"),75.0)</f>
        <v>75</v>
      </c>
      <c r="J827" s="16">
        <f>IFERROR(__xludf.DUMMYFUNCTION("IFERROR(
 ( E827 * INDEX(FILTER(Pricing_Rules!E:E, Pricing_Rules!A:A=A827, Pricing_Rules!B:B=B827, Pricing_Rules!C:C&lt;=E827, Pricing_Rules!D:D&gt;=E827), 1)
   + INDEX(FILTER(Pricing_Rules!F:F, Pricing_Rules!A:A=A827, Pricing_Rules!B:B=B827, Pricing_Rules!C:C"&amp;"&lt;=E827, Pricing_Rules!D:D&gt;=E827), 1)
 )
 * (1 + IFERROR( INDEX(Config!D:D, MATCH(A827, Config!A:A, 0)), 0 )),
"""")
"),15.34)</f>
        <v>15.34</v>
      </c>
      <c r="K827" s="19">
        <f t="shared" si="3"/>
        <v>-92.34</v>
      </c>
      <c r="L827" s="20" t="str">
        <f t="shared" si="4"/>
        <v/>
      </c>
    </row>
    <row r="828" ht="15.75" customHeight="1">
      <c r="A828" s="9" t="s">
        <v>1162</v>
      </c>
      <c r="B828" s="12" t="str">
        <f t="array" ref="B828">XLOOKUP(C828, Channel_Listings!C:C, Channel_Listings!B:B)
</f>
        <v>Apparel_Tshirts</v>
      </c>
      <c r="C828" s="23" t="s">
        <v>405</v>
      </c>
      <c r="D828" s="14" t="str">
        <f t="array" ref="D828">XLOOKUP(C828, Channel_Listings!C:C, Channel_Listings!D:D)
</f>
        <v>TSHIRT-BLACK-L</v>
      </c>
      <c r="E828" s="15"/>
      <c r="F828" s="16">
        <f t="array" ref="F828">IFERROR(
  VALUE( INDEX(Product_Master!$I:$I,
               MATCH( INDEX(Pack_Master!$B:$B, MATCH($D828, Pack_Master!$A:$A, 0)),
                      Product_Master!$B:$B, 0)
  )) 
  * VALUE( INDEX(Pack_Master!$C:$C, MATCH($D828, Pack_Master!$A:$A, 0)) )
  + VALUE( INDEX(Pack_Master!$D:$D, MATCH($D828, Pack_Master!$A:$A, 0)) ),
"")
</f>
        <v>2</v>
      </c>
      <c r="G828" s="17">
        <f t="array" ref="G828">IFERROR(
 ( INDEX(Pack_Master!E:E, MATCH($D828, Pack_Master!A:A, 0))
   * INDEX(Pack_Master!F:F, MATCH($D828, Pack_Master!A:A, 0))
   * INDEX(Pack_Master!G:G, MATCH($D828, Pack_Master!A:A, 0))
 ) / INDEX(Config!C:C, MATCH($A828, Config!A:A, 0)),
"")
</f>
        <v>0.375</v>
      </c>
      <c r="H828" s="17">
        <f t="array" ref="H828">MAX( INDEX(Pack_Master!H:H, MATCH($D828, Pack_Master!A:A, 0)),
      IFERROR(G828, 0) )
</f>
        <v>0.5</v>
      </c>
      <c r="I828" s="18">
        <f>IFERROR(__xludf.DUMMYFUNCTION("IFERROR(
 INDEX(
   FILTER(Shipping_Rate_Card!B:F, Shipping_Rate_Card!A:A=$A828),
   MATCH($H828, FILTER(Shipping_Rate_Card!B:B, Shipping_Rate_Card!A:A=$A828), 1),
   IF( INDEX(Config!B:B, MATCH($A828, Config!A:A, 0))=""Local"", 2,
     IF( INDEX(Config!B"&amp;":B, MATCH($A828, Config!A:A, 0))=""Regional"", 3, 4 )
   )
 ),
"""")
"),75.0)</f>
        <v>75</v>
      </c>
      <c r="J828" s="16">
        <f>IFERROR(__xludf.DUMMYFUNCTION("IFERROR(
 ( E828 * INDEX(FILTER(Pricing_Rules!E:E, Pricing_Rules!A:A=A828, Pricing_Rules!B:B=B828, Pricing_Rules!C:C&lt;=E828, Pricing_Rules!D:D&gt;=E828), 1)
   + INDEX(FILTER(Pricing_Rules!F:F, Pricing_Rules!A:A=A828, Pricing_Rules!B:B=B828, Pricing_Rules!C:C"&amp;"&lt;=E828, Pricing_Rules!D:D&gt;=E828), 1)
 )
 * (1 + IFERROR( INDEX(Config!D:D, MATCH(A828, Config!A:A, 0)), 0 )),
"""")
"),15.34)</f>
        <v>15.34</v>
      </c>
      <c r="K828" s="19">
        <f t="shared" si="3"/>
        <v>-92.34</v>
      </c>
      <c r="L828" s="20" t="str">
        <f t="shared" si="4"/>
        <v/>
      </c>
    </row>
    <row r="829" ht="15.75" customHeight="1">
      <c r="A829" s="9" t="s">
        <v>1162</v>
      </c>
      <c r="B829" s="12" t="str">
        <f t="array" ref="B829">XLOOKUP(C829, Channel_Listings!C:C, Channel_Listings!B:B)
</f>
        <v>Apparel_Tshirts</v>
      </c>
      <c r="C829" s="23" t="s">
        <v>406</v>
      </c>
      <c r="D829" s="14" t="str">
        <f t="array" ref="D829">XLOOKUP(C829, Channel_Listings!C:C, Channel_Listings!D:D)
</f>
        <v>TSHIRT-BLACK-M</v>
      </c>
      <c r="E829" s="15"/>
      <c r="F829" s="16">
        <f t="array" ref="F829">IFERROR(
  VALUE( INDEX(Product_Master!$I:$I,
               MATCH( INDEX(Pack_Master!$B:$B, MATCH($D829, Pack_Master!$A:$A, 0)),
                      Product_Master!$B:$B, 0)
  )) 
  * VALUE( INDEX(Pack_Master!$C:$C, MATCH($D829, Pack_Master!$A:$A, 0)) )
  + VALUE( INDEX(Pack_Master!$D:$D, MATCH($D829, Pack_Master!$A:$A, 0)) ),
"")
</f>
        <v>2</v>
      </c>
      <c r="G829" s="17">
        <f t="array" ref="G829">IFERROR(
 ( INDEX(Pack_Master!E:E, MATCH($D829, Pack_Master!A:A, 0))
   * INDEX(Pack_Master!F:F, MATCH($D829, Pack_Master!A:A, 0))
   * INDEX(Pack_Master!G:G, MATCH($D829, Pack_Master!A:A, 0))
 ) / INDEX(Config!C:C, MATCH($A829, Config!A:A, 0)),
"")
</f>
        <v>0.375</v>
      </c>
      <c r="H829" s="17">
        <f t="array" ref="H829">MAX( INDEX(Pack_Master!H:H, MATCH($D829, Pack_Master!A:A, 0)),
      IFERROR(G829, 0) )
</f>
        <v>0.5</v>
      </c>
      <c r="I829" s="18">
        <f>IFERROR(__xludf.DUMMYFUNCTION("IFERROR(
 INDEX(
   FILTER(Shipping_Rate_Card!B:F, Shipping_Rate_Card!A:A=$A829),
   MATCH($H829, FILTER(Shipping_Rate_Card!B:B, Shipping_Rate_Card!A:A=$A829), 1),
   IF( INDEX(Config!B:B, MATCH($A829, Config!A:A, 0))=""Local"", 2,
     IF( INDEX(Config!B"&amp;":B, MATCH($A829, Config!A:A, 0))=""Regional"", 3, 4 )
   )
 ),
"""")
"),75.0)</f>
        <v>75</v>
      </c>
      <c r="J829" s="16">
        <f>IFERROR(__xludf.DUMMYFUNCTION("IFERROR(
 ( E829 * INDEX(FILTER(Pricing_Rules!E:E, Pricing_Rules!A:A=A829, Pricing_Rules!B:B=B829, Pricing_Rules!C:C&lt;=E829, Pricing_Rules!D:D&gt;=E829), 1)
   + INDEX(FILTER(Pricing_Rules!F:F, Pricing_Rules!A:A=A829, Pricing_Rules!B:B=B829, Pricing_Rules!C:C"&amp;"&lt;=E829, Pricing_Rules!D:D&gt;=E829), 1)
 )
 * (1 + IFERROR( INDEX(Config!D:D, MATCH(A829, Config!A:A, 0)), 0 )),
"""")
"),15.34)</f>
        <v>15.34</v>
      </c>
      <c r="K829" s="19">
        <f t="shared" si="3"/>
        <v>-92.34</v>
      </c>
      <c r="L829" s="20" t="str">
        <f t="shared" si="4"/>
        <v/>
      </c>
    </row>
    <row r="830" ht="15.75" customHeight="1">
      <c r="A830" s="9" t="s">
        <v>1162</v>
      </c>
      <c r="B830" s="12" t="str">
        <f t="array" ref="B830">XLOOKUP(C830, Channel_Listings!C:C, Channel_Listings!B:B)
</f>
        <v>Apparel_Tshirts</v>
      </c>
      <c r="C830" s="23" t="s">
        <v>407</v>
      </c>
      <c r="D830" s="14" t="str">
        <f t="array" ref="D830">XLOOKUP(C830, Channel_Listings!C:C, Channel_Listings!D:D)
</f>
        <v>TSHIRT-BLACK-XL</v>
      </c>
      <c r="E830" s="15"/>
      <c r="F830" s="16">
        <f t="array" ref="F830">IFERROR(
  VALUE( INDEX(Product_Master!$I:$I,
               MATCH( INDEX(Pack_Master!$B:$B, MATCH($D830, Pack_Master!$A:$A, 0)),
                      Product_Master!$B:$B, 0)
  )) 
  * VALUE( INDEX(Pack_Master!$C:$C, MATCH($D830, Pack_Master!$A:$A, 0)) )
  + VALUE( INDEX(Pack_Master!$D:$D, MATCH($D830, Pack_Master!$A:$A, 0)) ),
"")
</f>
        <v>2</v>
      </c>
      <c r="G830" s="17">
        <f t="array" ref="G830">IFERROR(
 ( INDEX(Pack_Master!E:E, MATCH($D830, Pack_Master!A:A, 0))
   * INDEX(Pack_Master!F:F, MATCH($D830, Pack_Master!A:A, 0))
   * INDEX(Pack_Master!G:G, MATCH($D830, Pack_Master!A:A, 0))
 ) / INDEX(Config!C:C, MATCH($A830, Config!A:A, 0)),
"")
</f>
        <v>0.375</v>
      </c>
      <c r="H830" s="17">
        <f t="array" ref="H830">MAX( INDEX(Pack_Master!H:H, MATCH($D830, Pack_Master!A:A, 0)),
      IFERROR(G830, 0) )
</f>
        <v>0.5</v>
      </c>
      <c r="I830" s="18">
        <f>IFERROR(__xludf.DUMMYFUNCTION("IFERROR(
 INDEX(
   FILTER(Shipping_Rate_Card!B:F, Shipping_Rate_Card!A:A=$A830),
   MATCH($H830, FILTER(Shipping_Rate_Card!B:B, Shipping_Rate_Card!A:A=$A830), 1),
   IF( INDEX(Config!B:B, MATCH($A830, Config!A:A, 0))=""Local"", 2,
     IF( INDEX(Config!B"&amp;":B, MATCH($A830, Config!A:A, 0))=""Regional"", 3, 4 )
   )
 ),
"""")
"),75.0)</f>
        <v>75</v>
      </c>
      <c r="J830" s="16">
        <f>IFERROR(__xludf.DUMMYFUNCTION("IFERROR(
 ( E830 * INDEX(FILTER(Pricing_Rules!E:E, Pricing_Rules!A:A=A830, Pricing_Rules!B:B=B830, Pricing_Rules!C:C&lt;=E830, Pricing_Rules!D:D&gt;=E830), 1)
   + INDEX(FILTER(Pricing_Rules!F:F, Pricing_Rules!A:A=A830, Pricing_Rules!B:B=B830, Pricing_Rules!C:C"&amp;"&lt;=E830, Pricing_Rules!D:D&gt;=E830), 1)
 )
 * (1 + IFERROR( INDEX(Config!D:D, MATCH(A830, Config!A:A, 0)), 0 )),
"""")
"),15.34)</f>
        <v>15.34</v>
      </c>
      <c r="K830" s="19">
        <f t="shared" si="3"/>
        <v>-92.34</v>
      </c>
      <c r="L830" s="20" t="str">
        <f t="shared" si="4"/>
        <v/>
      </c>
    </row>
    <row r="831" ht="15.75" customHeight="1">
      <c r="A831" s="9" t="s">
        <v>1162</v>
      </c>
      <c r="B831" s="12" t="str">
        <f t="array" ref="B831">XLOOKUP(C831, Channel_Listings!C:C, Channel_Listings!B:B)
</f>
        <v>Apparel_Tshirts</v>
      </c>
      <c r="C831" s="23" t="s">
        <v>408</v>
      </c>
      <c r="D831" s="14" t="str">
        <f t="array" ref="D831">XLOOKUP(C831, Channel_Listings!C:C, Channel_Listings!D:D)
</f>
        <v>TSHIRT-BLACK-XXL</v>
      </c>
      <c r="E831" s="15"/>
      <c r="F831" s="16">
        <f t="array" ref="F831">IFERROR(
  VALUE( INDEX(Product_Master!$I:$I,
               MATCH( INDEX(Pack_Master!$B:$B, MATCH($D831, Pack_Master!$A:$A, 0)),
                      Product_Master!$B:$B, 0)
  )) 
  * VALUE( INDEX(Pack_Master!$C:$C, MATCH($D831, Pack_Master!$A:$A, 0)) )
  + VALUE( INDEX(Pack_Master!$D:$D, MATCH($D831, Pack_Master!$A:$A, 0)) ),
"")
</f>
        <v>2</v>
      </c>
      <c r="G831" s="17">
        <f t="array" ref="G831">IFERROR(
 ( INDEX(Pack_Master!E:E, MATCH($D831, Pack_Master!A:A, 0))
   * INDEX(Pack_Master!F:F, MATCH($D831, Pack_Master!A:A, 0))
   * INDEX(Pack_Master!G:G, MATCH($D831, Pack_Master!A:A, 0))
 ) / INDEX(Config!C:C, MATCH($A831, Config!A:A, 0)),
"")
</f>
        <v>0.375</v>
      </c>
      <c r="H831" s="17">
        <f t="array" ref="H831">MAX( INDEX(Pack_Master!H:H, MATCH($D831, Pack_Master!A:A, 0)),
      IFERROR(G831, 0) )
</f>
        <v>0.5</v>
      </c>
      <c r="I831" s="18">
        <f>IFERROR(__xludf.DUMMYFUNCTION("IFERROR(
 INDEX(
   FILTER(Shipping_Rate_Card!B:F, Shipping_Rate_Card!A:A=$A831),
   MATCH($H831, FILTER(Shipping_Rate_Card!B:B, Shipping_Rate_Card!A:A=$A831), 1),
   IF( INDEX(Config!B:B, MATCH($A831, Config!A:A, 0))=""Local"", 2,
     IF( INDEX(Config!B"&amp;":B, MATCH($A831, Config!A:A, 0))=""Regional"", 3, 4 )
   )
 ),
"""")
"),75.0)</f>
        <v>75</v>
      </c>
      <c r="J831" s="16">
        <f>IFERROR(__xludf.DUMMYFUNCTION("IFERROR(
 ( E831 * INDEX(FILTER(Pricing_Rules!E:E, Pricing_Rules!A:A=A831, Pricing_Rules!B:B=B831, Pricing_Rules!C:C&lt;=E831, Pricing_Rules!D:D&gt;=E831), 1)
   + INDEX(FILTER(Pricing_Rules!F:F, Pricing_Rules!A:A=A831, Pricing_Rules!B:B=B831, Pricing_Rules!C:C"&amp;"&lt;=E831, Pricing_Rules!D:D&gt;=E831), 1)
 )
 * (1 + IFERROR( INDEX(Config!D:D, MATCH(A831, Config!A:A, 0)), 0 )),
"""")
"),15.34)</f>
        <v>15.34</v>
      </c>
      <c r="K831" s="19">
        <f t="shared" si="3"/>
        <v>-92.34</v>
      </c>
      <c r="L831" s="20" t="str">
        <f t="shared" si="4"/>
        <v/>
      </c>
    </row>
    <row r="832" ht="15.75" customHeight="1">
      <c r="A832" s="9" t="s">
        <v>1162</v>
      </c>
      <c r="B832" s="12" t="str">
        <f t="array" ref="B832">XLOOKUP(C832, Channel_Listings!C:C, Channel_Listings!B:B)
</f>
        <v>Kitchen_Containers</v>
      </c>
      <c r="C832" s="23" t="s">
        <v>412</v>
      </c>
      <c r="D832" s="14" t="str">
        <f t="array" ref="D832">XLOOKUP(C832, Channel_Listings!C:C, Channel_Listings!D:D)
</f>
        <v>CONTAINER-BREADBOX217-PK6</v>
      </c>
      <c r="E832" s="15"/>
      <c r="F832" s="16">
        <f t="array" ref="F832">IFERROR(
  VALUE( INDEX(Product_Master!$I:$I,
               MATCH( INDEX(Pack_Master!$B:$B, MATCH($D832, Pack_Master!$A:$A, 0)),
                      Product_Master!$B:$B, 0)
  )) 
  * VALUE( INDEX(Pack_Master!$C:$C, MATCH($D832, Pack_Master!$A:$A, 0)) )
  + VALUE( INDEX(Pack_Master!$D:$D, MATCH($D832, Pack_Master!$A:$A, 0)) ),
"")
</f>
        <v>0</v>
      </c>
      <c r="G832" s="17">
        <f t="array" ref="G832">IFERROR(
 ( INDEX(Pack_Master!E:E, MATCH($D832, Pack_Master!A:A, 0))
   * INDEX(Pack_Master!F:F, MATCH($D832, Pack_Master!A:A, 0))
   * INDEX(Pack_Master!G:G, MATCH($D832, Pack_Master!A:A, 0))
 ) / INDEX(Config!C:C, MATCH($A832, Config!A:A, 0)),
"")
</f>
        <v>0</v>
      </c>
      <c r="H832" s="17">
        <f t="array" ref="H832">MAX( INDEX(Pack_Master!H:H, MATCH($D832, Pack_Master!A:A, 0)),
      IFERROR(G832, 0) )
</f>
        <v>0</v>
      </c>
      <c r="I832" s="18" t="str">
        <f>IFERROR(__xludf.DUMMYFUNCTION("IFERROR(
 INDEX(
   FILTER(Shipping_Rate_Card!B:F, Shipping_Rate_Card!A:A=$A832),
   MATCH($H832, FILTER(Shipping_Rate_Card!B:B, Shipping_Rate_Card!A:A=$A832), 1),
   IF( INDEX(Config!B:B, MATCH($A832, Config!A:A, 0))=""Local"", 2,
     IF( INDEX(Config!B"&amp;":B, MATCH($A832, Config!A:A, 0))=""Regional"", 3, 4 )
   )
 ),
"""")
"),"")</f>
        <v/>
      </c>
      <c r="J832" s="16">
        <f>IFERROR(__xludf.DUMMYFUNCTION("IFERROR(
 ( E832 * INDEX(FILTER(Pricing_Rules!E:E, Pricing_Rules!A:A=A832, Pricing_Rules!B:B=B832, Pricing_Rules!C:C&lt;=E832, Pricing_Rules!D:D&gt;=E832), 1)
   + INDEX(FILTER(Pricing_Rules!F:F, Pricing_Rules!A:A=A832, Pricing_Rules!B:B=B832, Pricing_Rules!C:C"&amp;"&lt;=E832, Pricing_Rules!D:D&gt;=E832), 1)
 )
 * (1 + IFERROR( INDEX(Config!D:D, MATCH(A832, Config!A:A, 0)), 0 )),
"""")
"),15.34)</f>
        <v>15.34</v>
      </c>
      <c r="K832" s="19">
        <f t="shared" si="3"/>
        <v>-15.34</v>
      </c>
      <c r="L832" s="20" t="str">
        <f t="shared" si="4"/>
        <v/>
      </c>
    </row>
    <row r="833" ht="15.75" customHeight="1">
      <c r="A833" s="9" t="s">
        <v>1162</v>
      </c>
      <c r="B833" s="12" t="str">
        <f t="array" ref="B833">XLOOKUP(C833, Channel_Listings!C:C, Channel_Listings!B:B)
</f>
        <v>Kitchen_Containers</v>
      </c>
      <c r="C833" s="24" t="s">
        <v>415</v>
      </c>
      <c r="D833" s="14" t="str">
        <f t="array" ref="D833">XLOOKUP(C833, Channel_Listings!C:C, Channel_Listings!D:D)
</f>
        <v>CONTAINER-DELUXE333-PK12</v>
      </c>
      <c r="E833" s="15"/>
      <c r="F833" s="16">
        <f t="array" ref="F833">IFERROR(
  VALUE( INDEX(Product_Master!$I:$I,
               MATCH( INDEX(Pack_Master!$B:$B, MATCH($D833, Pack_Master!$A:$A, 0)),
                      Product_Master!$B:$B, 0)
  )) 
  * VALUE( INDEX(Pack_Master!$C:$C, MATCH($D833, Pack_Master!$A:$A, 0)) )
  + VALUE( INDEX(Pack_Master!$D:$D, MATCH($D833, Pack_Master!$A:$A, 0)) ),
"")
</f>
        <v>361</v>
      </c>
      <c r="G833" s="17">
        <f t="array" ref="G833">IFERROR(
 ( INDEX(Pack_Master!E:E, MATCH($D833, Pack_Master!A:A, 0))
   * INDEX(Pack_Master!F:F, MATCH($D833, Pack_Master!A:A, 0))
   * INDEX(Pack_Master!G:G, MATCH($D833, Pack_Master!A:A, 0))
 ) / INDEX(Config!C:C, MATCH($A833, Config!A:A, 0)),
"")
</f>
        <v>1.6</v>
      </c>
      <c r="H833" s="17">
        <f t="array" ref="H833">MAX( INDEX(Pack_Master!H:H, MATCH($D833, Pack_Master!A:A, 0)),
      IFERROR(G833, 0) )
</f>
        <v>1.6</v>
      </c>
      <c r="I833" s="18">
        <f>IFERROR(__xludf.DUMMYFUNCTION("IFERROR(
 INDEX(
   FILTER(Shipping_Rate_Card!B:F, Shipping_Rate_Card!A:A=$A833),
   MATCH($H833, FILTER(Shipping_Rate_Card!B:B, Shipping_Rate_Card!A:A=$A833), 1),
   IF( INDEX(Config!B:B, MATCH($A833, Config!A:A, 0))=""Local"", 2,
     IF( INDEX(Config!B"&amp;":B, MATCH($A833, Config!A:A, 0))=""Regional"", 3, 4 )
   )
 ),
"""")
"),138.0)</f>
        <v>138</v>
      </c>
      <c r="J833" s="16">
        <f>IFERROR(__xludf.DUMMYFUNCTION("IFERROR(
 ( E833 * INDEX(FILTER(Pricing_Rules!E:E, Pricing_Rules!A:A=A833, Pricing_Rules!B:B=B833, Pricing_Rules!C:C&lt;=E833, Pricing_Rules!D:D&gt;=E833), 1)
   + INDEX(FILTER(Pricing_Rules!F:F, Pricing_Rules!A:A=A833, Pricing_Rules!B:B=B833, Pricing_Rules!C:C"&amp;"&lt;=E833, Pricing_Rules!D:D&gt;=E833), 1)
 )
 * (1 + IFERROR( INDEX(Config!D:D, MATCH(A833, Config!A:A, 0)), 0 )),
"""")
"),15.34)</f>
        <v>15.34</v>
      </c>
      <c r="K833" s="19">
        <f t="shared" si="3"/>
        <v>-514.34</v>
      </c>
      <c r="L833" s="20" t="str">
        <f t="shared" si="4"/>
        <v/>
      </c>
    </row>
    <row r="834" ht="15.75" customHeight="1">
      <c r="A834" s="9" t="s">
        <v>1162</v>
      </c>
      <c r="B834" s="12" t="str">
        <f t="array" ref="B834">XLOOKUP(C834, Channel_Listings!C:C, Channel_Listings!B:B)
</f>
        <v>Kitchen_Containers</v>
      </c>
      <c r="C834" s="24" t="s">
        <v>417</v>
      </c>
      <c r="D834" s="14" t="str">
        <f t="array" ref="D834">XLOOKUP(C834, Channel_Listings!C:C, Channel_Listings!D:D)
</f>
        <v>CONTAINER-DELUXE333-PK2</v>
      </c>
      <c r="E834" s="15"/>
      <c r="F834" s="16">
        <f t="array" ref="F834">IFERROR(
  VALUE( INDEX(Product_Master!$I:$I,
               MATCH( INDEX(Pack_Master!$B:$B, MATCH($D834, Pack_Master!$A:$A, 0)),
                      Product_Master!$B:$B, 0)
  )) 
  * VALUE( INDEX(Pack_Master!$C:$C, MATCH($D834, Pack_Master!$A:$A, 0)) )
  + VALUE( INDEX(Pack_Master!$D:$D, MATCH($D834, Pack_Master!$A:$A, 0)) ),
"")
</f>
        <v>81</v>
      </c>
      <c r="G834" s="17">
        <f t="array" ref="G834">IFERROR(
 ( INDEX(Pack_Master!E:E, MATCH($D834, Pack_Master!A:A, 0))
   * INDEX(Pack_Master!F:F, MATCH($D834, Pack_Master!A:A, 0))
   * INDEX(Pack_Master!G:G, MATCH($D834, Pack_Master!A:A, 0))
 ) / INDEX(Config!C:C, MATCH($A834, Config!A:A, 0)),
"")
</f>
        <v>1.6</v>
      </c>
      <c r="H834" s="17">
        <f t="array" ref="H834">MAX( INDEX(Pack_Master!H:H, MATCH($D834, Pack_Master!A:A, 0)),
      IFERROR(G834, 0) )
</f>
        <v>1.6</v>
      </c>
      <c r="I834" s="18">
        <f>IFERROR(__xludf.DUMMYFUNCTION("IFERROR(
 INDEX(
   FILTER(Shipping_Rate_Card!B:F, Shipping_Rate_Card!A:A=$A834),
   MATCH($H834, FILTER(Shipping_Rate_Card!B:B, Shipping_Rate_Card!A:A=$A834), 1),
   IF( INDEX(Config!B:B, MATCH($A834, Config!A:A, 0))=""Local"", 2,
     IF( INDEX(Config!B"&amp;":B, MATCH($A834, Config!A:A, 0))=""Regional"", 3, 4 )
   )
 ),
"""")
"),138.0)</f>
        <v>138</v>
      </c>
      <c r="J834" s="16">
        <f>IFERROR(__xludf.DUMMYFUNCTION("IFERROR(
 ( E834 * INDEX(FILTER(Pricing_Rules!E:E, Pricing_Rules!A:A=A834, Pricing_Rules!B:B=B834, Pricing_Rules!C:C&lt;=E834, Pricing_Rules!D:D&gt;=E834), 1)
   + INDEX(FILTER(Pricing_Rules!F:F, Pricing_Rules!A:A=A834, Pricing_Rules!B:B=B834, Pricing_Rules!C:C"&amp;"&lt;=E834, Pricing_Rules!D:D&gt;=E834), 1)
 )
 * (1 + IFERROR( INDEX(Config!D:D, MATCH(A834, Config!A:A, 0)), 0 )),
"""")
"),15.34)</f>
        <v>15.34</v>
      </c>
      <c r="K834" s="19">
        <f t="shared" si="3"/>
        <v>-234.34</v>
      </c>
      <c r="L834" s="20" t="str">
        <f t="shared" si="4"/>
        <v/>
      </c>
    </row>
    <row r="835" ht="15.75" customHeight="1">
      <c r="A835" s="9" t="s">
        <v>1162</v>
      </c>
      <c r="B835" s="12" t="str">
        <f t="array" ref="B835">XLOOKUP(C835, Channel_Listings!C:C, Channel_Listings!B:B)
</f>
        <v>Kitchen_Containers</v>
      </c>
      <c r="C835" s="24" t="s">
        <v>419</v>
      </c>
      <c r="D835" s="14" t="str">
        <f t="array" ref="D835">XLOOKUP(C835, Channel_Listings!C:C, Channel_Listings!D:D)
</f>
        <v>CONTAINER-DELUXE333-PK6</v>
      </c>
      <c r="E835" s="15"/>
      <c r="F835" s="16">
        <f t="array" ref="F835">IFERROR(
  VALUE( INDEX(Product_Master!$I:$I,
               MATCH( INDEX(Pack_Master!$B:$B, MATCH($D835, Pack_Master!$A:$A, 0)),
                      Product_Master!$B:$B, 0)
  )) 
  * VALUE( INDEX(Pack_Master!$C:$C, MATCH($D835, Pack_Master!$A:$A, 0)) )
  + VALUE( INDEX(Pack_Master!$D:$D, MATCH($D835, Pack_Master!$A:$A, 0)) ),
"")
</f>
        <v>193</v>
      </c>
      <c r="G835" s="17">
        <f t="array" ref="G835">IFERROR(
 ( INDEX(Pack_Master!E:E, MATCH($D835, Pack_Master!A:A, 0))
   * INDEX(Pack_Master!F:F, MATCH($D835, Pack_Master!A:A, 0))
   * INDEX(Pack_Master!G:G, MATCH($D835, Pack_Master!A:A, 0))
 ) / INDEX(Config!C:C, MATCH($A835, Config!A:A, 0)),
"")
</f>
        <v>1.6</v>
      </c>
      <c r="H835" s="17">
        <f t="array" ref="H835">MAX( INDEX(Pack_Master!H:H, MATCH($D835, Pack_Master!A:A, 0)),
      IFERROR(G835, 0) )
</f>
        <v>1.6</v>
      </c>
      <c r="I835" s="18">
        <f>IFERROR(__xludf.DUMMYFUNCTION("IFERROR(
 INDEX(
   FILTER(Shipping_Rate_Card!B:F, Shipping_Rate_Card!A:A=$A835),
   MATCH($H835, FILTER(Shipping_Rate_Card!B:B, Shipping_Rate_Card!A:A=$A835), 1),
   IF( INDEX(Config!B:B, MATCH($A835, Config!A:A, 0))=""Local"", 2,
     IF( INDEX(Config!B"&amp;":B, MATCH($A835, Config!A:A, 0))=""Regional"", 3, 4 )
   )
 ),
"""")
"),138.0)</f>
        <v>138</v>
      </c>
      <c r="J835" s="16">
        <f>IFERROR(__xludf.DUMMYFUNCTION("IFERROR(
 ( E835 * INDEX(FILTER(Pricing_Rules!E:E, Pricing_Rules!A:A=A835, Pricing_Rules!B:B=B835, Pricing_Rules!C:C&lt;=E835, Pricing_Rules!D:D&gt;=E835), 1)
   + INDEX(FILTER(Pricing_Rules!F:F, Pricing_Rules!A:A=A835, Pricing_Rules!B:B=B835, Pricing_Rules!C:C"&amp;"&lt;=E835, Pricing_Rules!D:D&gt;=E835), 1)
 )
 * (1 + IFERROR( INDEX(Config!D:D, MATCH(A835, Config!A:A, 0)), 0 )),
"""")
"),15.34)</f>
        <v>15.34</v>
      </c>
      <c r="K835" s="19">
        <f t="shared" si="3"/>
        <v>-346.34</v>
      </c>
      <c r="L835" s="20" t="str">
        <f t="shared" si="4"/>
        <v/>
      </c>
    </row>
    <row r="836" ht="15.75" customHeight="1">
      <c r="A836" s="9" t="s">
        <v>1162</v>
      </c>
      <c r="B836" s="12" t="str">
        <f t="array" ref="B836">XLOOKUP(C836, Channel_Listings!C:C, Channel_Listings!B:B)
</f>
        <v>Kitchen_Containers</v>
      </c>
      <c r="C836" s="24" t="s">
        <v>421</v>
      </c>
      <c r="D836" s="14" t="str">
        <f t="array" ref="D836">XLOOKUP(C836, Channel_Listings!C:C, Channel_Listings!D:D)
</f>
        <v>CONTAINER-DELUXE444-PK12</v>
      </c>
      <c r="E836" s="15"/>
      <c r="F836" s="16">
        <f t="array" ref="F836">IFERROR(
  VALUE( INDEX(Product_Master!$I:$I,
               MATCH( INDEX(Pack_Master!$B:$B, MATCH($D836, Pack_Master!$A:$A, 0)),
                      Product_Master!$B:$B, 0)
  )) 
  * VALUE( INDEX(Pack_Master!$C:$C, MATCH($D836, Pack_Master!$A:$A, 0)) )
  + VALUE( INDEX(Pack_Master!$D:$D, MATCH($D836, Pack_Master!$A:$A, 0)) ),
"")
</f>
        <v>409</v>
      </c>
      <c r="G836" s="17">
        <f t="array" ref="G836">IFERROR(
 ( INDEX(Pack_Master!E:E, MATCH($D836, Pack_Master!A:A, 0))
   * INDEX(Pack_Master!F:F, MATCH($D836, Pack_Master!A:A, 0))
   * INDEX(Pack_Master!G:G, MATCH($D836, Pack_Master!A:A, 0))
 ) / INDEX(Config!C:C, MATCH($A836, Config!A:A, 0)),
"")
</f>
        <v>1.6</v>
      </c>
      <c r="H836" s="17">
        <f t="array" ref="H836">MAX( INDEX(Pack_Master!H:H, MATCH($D836, Pack_Master!A:A, 0)),
      IFERROR(G836, 0) )
</f>
        <v>1.6</v>
      </c>
      <c r="I836" s="18">
        <f>IFERROR(__xludf.DUMMYFUNCTION("IFERROR(
 INDEX(
   FILTER(Shipping_Rate_Card!B:F, Shipping_Rate_Card!A:A=$A836),
   MATCH($H836, FILTER(Shipping_Rate_Card!B:B, Shipping_Rate_Card!A:A=$A836), 1),
   IF( INDEX(Config!B:B, MATCH($A836, Config!A:A, 0))=""Local"", 2,
     IF( INDEX(Config!B"&amp;":B, MATCH($A836, Config!A:A, 0))=""Regional"", 3, 4 )
   )
 ),
"""")
"),138.0)</f>
        <v>138</v>
      </c>
      <c r="J836" s="16">
        <f>IFERROR(__xludf.DUMMYFUNCTION("IFERROR(
 ( E836 * INDEX(FILTER(Pricing_Rules!E:E, Pricing_Rules!A:A=A836, Pricing_Rules!B:B=B836, Pricing_Rules!C:C&lt;=E836, Pricing_Rules!D:D&gt;=E836), 1)
   + INDEX(FILTER(Pricing_Rules!F:F, Pricing_Rules!A:A=A836, Pricing_Rules!B:B=B836, Pricing_Rules!C:C"&amp;"&lt;=E836, Pricing_Rules!D:D&gt;=E836), 1)
 )
 * (1 + IFERROR( INDEX(Config!D:D, MATCH(A836, Config!A:A, 0)), 0 )),
"""")
"),15.34)</f>
        <v>15.34</v>
      </c>
      <c r="K836" s="19">
        <f t="shared" si="3"/>
        <v>-562.34</v>
      </c>
      <c r="L836" s="20" t="str">
        <f t="shared" si="4"/>
        <v/>
      </c>
    </row>
    <row r="837" ht="15.75" customHeight="1">
      <c r="A837" s="9" t="s">
        <v>1162</v>
      </c>
      <c r="B837" s="12" t="str">
        <f t="array" ref="B837">XLOOKUP(C837, Channel_Listings!C:C, Channel_Listings!B:B)
</f>
        <v>Kitchen_Containers</v>
      </c>
      <c r="C837" s="24" t="s">
        <v>423</v>
      </c>
      <c r="D837" s="14" t="str">
        <f t="array" ref="D837">XLOOKUP(C837, Channel_Listings!C:C, Channel_Listings!D:D)
</f>
        <v>CONTAINER-DELUXE444-PK2</v>
      </c>
      <c r="E837" s="15"/>
      <c r="F837" s="16">
        <f t="array" ref="F837">IFERROR(
  VALUE( INDEX(Product_Master!$I:$I,
               MATCH( INDEX(Pack_Master!$B:$B, MATCH($D837, Pack_Master!$A:$A, 0)),
                      Product_Master!$B:$B, 0)
  )) 
  * VALUE( INDEX(Pack_Master!$C:$C, MATCH($D837, Pack_Master!$A:$A, 0)) )
  + VALUE( INDEX(Pack_Master!$D:$D, MATCH($D837, Pack_Master!$A:$A, 0)) ),
"")
</f>
        <v>89</v>
      </c>
      <c r="G837" s="17">
        <f t="array" ref="G837">IFERROR(
 ( INDEX(Pack_Master!E:E, MATCH($D837, Pack_Master!A:A, 0))
   * INDEX(Pack_Master!F:F, MATCH($D837, Pack_Master!A:A, 0))
   * INDEX(Pack_Master!G:G, MATCH($D837, Pack_Master!A:A, 0))
 ) / INDEX(Config!C:C, MATCH($A837, Config!A:A, 0)),
"")
</f>
        <v>1.6</v>
      </c>
      <c r="H837" s="17">
        <f t="array" ref="H837">MAX( INDEX(Pack_Master!H:H, MATCH($D837, Pack_Master!A:A, 0)),
      IFERROR(G837, 0) )
</f>
        <v>1.6</v>
      </c>
      <c r="I837" s="18">
        <f>IFERROR(__xludf.DUMMYFUNCTION("IFERROR(
 INDEX(
   FILTER(Shipping_Rate_Card!B:F, Shipping_Rate_Card!A:A=$A837),
   MATCH($H837, FILTER(Shipping_Rate_Card!B:B, Shipping_Rate_Card!A:A=$A837), 1),
   IF( INDEX(Config!B:B, MATCH($A837, Config!A:A, 0))=""Local"", 2,
     IF( INDEX(Config!B"&amp;":B, MATCH($A837, Config!A:A, 0))=""Regional"", 3, 4 )
   )
 ),
"""")
"),138.0)</f>
        <v>138</v>
      </c>
      <c r="J837" s="16">
        <f>IFERROR(__xludf.DUMMYFUNCTION("IFERROR(
 ( E837 * INDEX(FILTER(Pricing_Rules!E:E, Pricing_Rules!A:A=A837, Pricing_Rules!B:B=B837, Pricing_Rules!C:C&lt;=E837, Pricing_Rules!D:D&gt;=E837), 1)
   + INDEX(FILTER(Pricing_Rules!F:F, Pricing_Rules!A:A=A837, Pricing_Rules!B:B=B837, Pricing_Rules!C:C"&amp;"&lt;=E837, Pricing_Rules!D:D&gt;=E837), 1)
 )
 * (1 + IFERROR( INDEX(Config!D:D, MATCH(A837, Config!A:A, 0)), 0 )),
"""")
"),15.34)</f>
        <v>15.34</v>
      </c>
      <c r="K837" s="19">
        <f t="shared" si="3"/>
        <v>-242.34</v>
      </c>
      <c r="L837" s="20" t="str">
        <f t="shared" si="4"/>
        <v/>
      </c>
    </row>
    <row r="838" ht="15.75" customHeight="1">
      <c r="A838" s="9" t="s">
        <v>1162</v>
      </c>
      <c r="B838" s="12" t="str">
        <f t="array" ref="B838">XLOOKUP(C838, Channel_Listings!C:C, Channel_Listings!B:B)
</f>
        <v>Kitchen_Containers</v>
      </c>
      <c r="C838" s="24" t="s">
        <v>425</v>
      </c>
      <c r="D838" s="14" t="str">
        <f t="array" ref="D838">XLOOKUP(C838, Channel_Listings!C:C, Channel_Listings!D:D)
</f>
        <v>CONTAINER-DELUXE444-PK6</v>
      </c>
      <c r="E838" s="15"/>
      <c r="F838" s="16">
        <f t="array" ref="F838">IFERROR(
  VALUE( INDEX(Product_Master!$I:$I,
               MATCH( INDEX(Pack_Master!$B:$B, MATCH($D838, Pack_Master!$A:$A, 0)),
                      Product_Master!$B:$B, 0)
  )) 
  * VALUE( INDEX(Pack_Master!$C:$C, MATCH($D838, Pack_Master!$A:$A, 0)) )
  + VALUE( INDEX(Pack_Master!$D:$D, MATCH($D838, Pack_Master!$A:$A, 0)) ),
"")
</f>
        <v>217</v>
      </c>
      <c r="G838" s="17">
        <f t="array" ref="G838">IFERROR(
 ( INDEX(Pack_Master!E:E, MATCH($D838, Pack_Master!A:A, 0))
   * INDEX(Pack_Master!F:F, MATCH($D838, Pack_Master!A:A, 0))
   * INDEX(Pack_Master!G:G, MATCH($D838, Pack_Master!A:A, 0))
 ) / INDEX(Config!C:C, MATCH($A838, Config!A:A, 0)),
"")
</f>
        <v>1.6</v>
      </c>
      <c r="H838" s="17">
        <f t="array" ref="H838">MAX( INDEX(Pack_Master!H:H, MATCH($D838, Pack_Master!A:A, 0)),
      IFERROR(G838, 0) )
</f>
        <v>1.6</v>
      </c>
      <c r="I838" s="18">
        <f>IFERROR(__xludf.DUMMYFUNCTION("IFERROR(
 INDEX(
   FILTER(Shipping_Rate_Card!B:F, Shipping_Rate_Card!A:A=$A838),
   MATCH($H838, FILTER(Shipping_Rate_Card!B:B, Shipping_Rate_Card!A:A=$A838), 1),
   IF( INDEX(Config!B:B, MATCH($A838, Config!A:A, 0))=""Local"", 2,
     IF( INDEX(Config!B"&amp;":B, MATCH($A838, Config!A:A, 0))=""Regional"", 3, 4 )
   )
 ),
"""")
"),138.0)</f>
        <v>138</v>
      </c>
      <c r="J838" s="16">
        <f>IFERROR(__xludf.DUMMYFUNCTION("IFERROR(
 ( E838 * INDEX(FILTER(Pricing_Rules!E:E, Pricing_Rules!A:A=A838, Pricing_Rules!B:B=B838, Pricing_Rules!C:C&lt;=E838, Pricing_Rules!D:D&gt;=E838), 1)
   + INDEX(FILTER(Pricing_Rules!F:F, Pricing_Rules!A:A=A838, Pricing_Rules!B:B=B838, Pricing_Rules!C:C"&amp;"&lt;=E838, Pricing_Rules!D:D&gt;=E838), 1)
 )
 * (1 + IFERROR( INDEX(Config!D:D, MATCH(A838, Config!A:A, 0)), 0 )),
"""")
"),15.34)</f>
        <v>15.34</v>
      </c>
      <c r="K838" s="19">
        <f t="shared" si="3"/>
        <v>-370.34</v>
      </c>
      <c r="L838" s="20" t="str">
        <f t="shared" si="4"/>
        <v/>
      </c>
    </row>
    <row r="839" ht="15.75" customHeight="1">
      <c r="A839" s="9" t="s">
        <v>1162</v>
      </c>
      <c r="B839" s="12" t="str">
        <f t="array" ref="B839">XLOOKUP(C839, Channel_Listings!C:C, Channel_Listings!B:B)
</f>
        <v>Kitchen_Containers</v>
      </c>
      <c r="C839" s="24" t="s">
        <v>427</v>
      </c>
      <c r="D839" s="14" t="str">
        <f t="array" ref="D839">XLOOKUP(C839, Channel_Listings!C:C, Channel_Listings!D:D)
</f>
        <v>CONTAINER-DELUXE555-PK12</v>
      </c>
      <c r="E839" s="15"/>
      <c r="F839" s="16">
        <f t="array" ref="F839">IFERROR(
  VALUE( INDEX(Product_Master!$I:$I,
               MATCH( INDEX(Pack_Master!$B:$B, MATCH($D839, Pack_Master!$A:$A, 0)),
                      Product_Master!$B:$B, 0)
  )) 
  * VALUE( INDEX(Pack_Master!$C:$C, MATCH($D839, Pack_Master!$A:$A, 0)) )
  + VALUE( INDEX(Pack_Master!$D:$D, MATCH($D839, Pack_Master!$A:$A, 0)) ),
"")
</f>
        <v>529</v>
      </c>
      <c r="G839" s="17">
        <f t="array" ref="G839">IFERROR(
 ( INDEX(Pack_Master!E:E, MATCH($D839, Pack_Master!A:A, 0))
   * INDEX(Pack_Master!F:F, MATCH($D839, Pack_Master!A:A, 0))
   * INDEX(Pack_Master!G:G, MATCH($D839, Pack_Master!A:A, 0))
 ) / INDEX(Config!C:C, MATCH($A839, Config!A:A, 0)),
"")
</f>
        <v>1.6</v>
      </c>
      <c r="H839" s="17">
        <f t="array" ref="H839">MAX( INDEX(Pack_Master!H:H, MATCH($D839, Pack_Master!A:A, 0)),
      IFERROR(G839, 0) )
</f>
        <v>1.6</v>
      </c>
      <c r="I839" s="18">
        <f>IFERROR(__xludf.DUMMYFUNCTION("IFERROR(
 INDEX(
   FILTER(Shipping_Rate_Card!B:F, Shipping_Rate_Card!A:A=$A839),
   MATCH($H839, FILTER(Shipping_Rate_Card!B:B, Shipping_Rate_Card!A:A=$A839), 1),
   IF( INDEX(Config!B:B, MATCH($A839, Config!A:A, 0))=""Local"", 2,
     IF( INDEX(Config!B"&amp;":B, MATCH($A839, Config!A:A, 0))=""Regional"", 3, 4 )
   )
 ),
"""")
"),138.0)</f>
        <v>138</v>
      </c>
      <c r="J839" s="16">
        <f>IFERROR(__xludf.DUMMYFUNCTION("IFERROR(
 ( E839 * INDEX(FILTER(Pricing_Rules!E:E, Pricing_Rules!A:A=A839, Pricing_Rules!B:B=B839, Pricing_Rules!C:C&lt;=E839, Pricing_Rules!D:D&gt;=E839), 1)
   + INDEX(FILTER(Pricing_Rules!F:F, Pricing_Rules!A:A=A839, Pricing_Rules!B:B=B839, Pricing_Rules!C:C"&amp;"&lt;=E839, Pricing_Rules!D:D&gt;=E839), 1)
 )
 * (1 + IFERROR( INDEX(Config!D:D, MATCH(A839, Config!A:A, 0)), 0 )),
"""")
"),15.34)</f>
        <v>15.34</v>
      </c>
      <c r="K839" s="19">
        <f t="shared" si="3"/>
        <v>-682.34</v>
      </c>
      <c r="L839" s="20" t="str">
        <f t="shared" si="4"/>
        <v/>
      </c>
    </row>
    <row r="840" ht="15.75" customHeight="1">
      <c r="A840" s="9" t="s">
        <v>1162</v>
      </c>
      <c r="B840" s="12" t="str">
        <f t="array" ref="B840">XLOOKUP(C840, Channel_Listings!C:C, Channel_Listings!B:B)
</f>
        <v>Kitchen_Containers</v>
      </c>
      <c r="C840" s="24" t="s">
        <v>429</v>
      </c>
      <c r="D840" s="14" t="str">
        <f t="array" ref="D840">XLOOKUP(C840, Channel_Listings!C:C, Channel_Listings!D:D)
</f>
        <v>CONTAINER-DELUXE555-PK2</v>
      </c>
      <c r="E840" s="15"/>
      <c r="F840" s="16">
        <f t="array" ref="F840">IFERROR(
  VALUE( INDEX(Product_Master!$I:$I,
               MATCH( INDEX(Pack_Master!$B:$B, MATCH($D840, Pack_Master!$A:$A, 0)),
                      Product_Master!$B:$B, 0)
  )) 
  * VALUE( INDEX(Pack_Master!$C:$C, MATCH($D840, Pack_Master!$A:$A, 0)) )
  + VALUE( INDEX(Pack_Master!$D:$D, MATCH($D840, Pack_Master!$A:$A, 0)) ),
"")
</f>
        <v>109</v>
      </c>
      <c r="G840" s="17">
        <f t="array" ref="G840">IFERROR(
 ( INDEX(Pack_Master!E:E, MATCH($D840, Pack_Master!A:A, 0))
   * INDEX(Pack_Master!F:F, MATCH($D840, Pack_Master!A:A, 0))
   * INDEX(Pack_Master!G:G, MATCH($D840, Pack_Master!A:A, 0))
 ) / INDEX(Config!C:C, MATCH($A840, Config!A:A, 0)),
"")
</f>
        <v>1.6</v>
      </c>
      <c r="H840" s="17">
        <f t="array" ref="H840">MAX( INDEX(Pack_Master!H:H, MATCH($D840, Pack_Master!A:A, 0)),
      IFERROR(G840, 0) )
</f>
        <v>1.6</v>
      </c>
      <c r="I840" s="18">
        <f>IFERROR(__xludf.DUMMYFUNCTION("IFERROR(
 INDEX(
   FILTER(Shipping_Rate_Card!B:F, Shipping_Rate_Card!A:A=$A840),
   MATCH($H840, FILTER(Shipping_Rate_Card!B:B, Shipping_Rate_Card!A:A=$A840), 1),
   IF( INDEX(Config!B:B, MATCH($A840, Config!A:A, 0))=""Local"", 2,
     IF( INDEX(Config!B"&amp;":B, MATCH($A840, Config!A:A, 0))=""Regional"", 3, 4 )
   )
 ),
"""")
"),138.0)</f>
        <v>138</v>
      </c>
      <c r="J840" s="16">
        <f>IFERROR(__xludf.DUMMYFUNCTION("IFERROR(
 ( E840 * INDEX(FILTER(Pricing_Rules!E:E, Pricing_Rules!A:A=A840, Pricing_Rules!B:B=B840, Pricing_Rules!C:C&lt;=E840, Pricing_Rules!D:D&gt;=E840), 1)
   + INDEX(FILTER(Pricing_Rules!F:F, Pricing_Rules!A:A=A840, Pricing_Rules!B:B=B840, Pricing_Rules!C:C"&amp;"&lt;=E840, Pricing_Rules!D:D&gt;=E840), 1)
 )
 * (1 + IFERROR( INDEX(Config!D:D, MATCH(A840, Config!A:A, 0)), 0 )),
"""")
"),15.34)</f>
        <v>15.34</v>
      </c>
      <c r="K840" s="19">
        <f t="shared" si="3"/>
        <v>-262.34</v>
      </c>
      <c r="L840" s="20" t="str">
        <f t="shared" si="4"/>
        <v/>
      </c>
    </row>
    <row r="841" ht="15.75" customHeight="1">
      <c r="A841" s="9" t="s">
        <v>1162</v>
      </c>
      <c r="B841" s="12" t="str">
        <f t="array" ref="B841">XLOOKUP(C841, Channel_Listings!C:C, Channel_Listings!B:B)
</f>
        <v>Kitchen_Containers</v>
      </c>
      <c r="C841" s="24" t="s">
        <v>431</v>
      </c>
      <c r="D841" s="14" t="str">
        <f t="array" ref="D841">XLOOKUP(C841, Channel_Listings!C:C, Channel_Listings!D:D)
</f>
        <v>CONTAINER-DELUXE555-PK6</v>
      </c>
      <c r="E841" s="15"/>
      <c r="F841" s="16">
        <f t="array" ref="F841">IFERROR(
  VALUE( INDEX(Product_Master!$I:$I,
               MATCH( INDEX(Pack_Master!$B:$B, MATCH($D841, Pack_Master!$A:$A, 0)),
                      Product_Master!$B:$B, 0)
  )) 
  * VALUE( INDEX(Pack_Master!$C:$C, MATCH($D841, Pack_Master!$A:$A, 0)) )
  + VALUE( INDEX(Pack_Master!$D:$D, MATCH($D841, Pack_Master!$A:$A, 0)) ),
"")
</f>
        <v>277</v>
      </c>
      <c r="G841" s="17">
        <f t="array" ref="G841">IFERROR(
 ( INDEX(Pack_Master!E:E, MATCH($D841, Pack_Master!A:A, 0))
   * INDEX(Pack_Master!F:F, MATCH($D841, Pack_Master!A:A, 0))
   * INDEX(Pack_Master!G:G, MATCH($D841, Pack_Master!A:A, 0))
 ) / INDEX(Config!C:C, MATCH($A841, Config!A:A, 0)),
"")
</f>
        <v>1.6</v>
      </c>
      <c r="H841" s="17">
        <f t="array" ref="H841">MAX( INDEX(Pack_Master!H:H, MATCH($D841, Pack_Master!A:A, 0)),
      IFERROR(G841, 0) )
</f>
        <v>1.6</v>
      </c>
      <c r="I841" s="18">
        <f>IFERROR(__xludf.DUMMYFUNCTION("IFERROR(
 INDEX(
   FILTER(Shipping_Rate_Card!B:F, Shipping_Rate_Card!A:A=$A841),
   MATCH($H841, FILTER(Shipping_Rate_Card!B:B, Shipping_Rate_Card!A:A=$A841), 1),
   IF( INDEX(Config!B:B, MATCH($A841, Config!A:A, 0))=""Local"", 2,
     IF( INDEX(Config!B"&amp;":B, MATCH($A841, Config!A:A, 0))=""Regional"", 3, 4 )
   )
 ),
"""")
"),138.0)</f>
        <v>138</v>
      </c>
      <c r="J841" s="16">
        <f>IFERROR(__xludf.DUMMYFUNCTION("IFERROR(
 ( E841 * INDEX(FILTER(Pricing_Rules!E:E, Pricing_Rules!A:A=A841, Pricing_Rules!B:B=B841, Pricing_Rules!C:C&lt;=E841, Pricing_Rules!D:D&gt;=E841), 1)
   + INDEX(FILTER(Pricing_Rules!F:F, Pricing_Rules!A:A=A841, Pricing_Rules!B:B=B841, Pricing_Rules!C:C"&amp;"&lt;=E841, Pricing_Rules!D:D&gt;=E841), 1)
 )
 * (1 + IFERROR( INDEX(Config!D:D, MATCH(A841, Config!A:A, 0)), 0 )),
"""")
"),15.34)</f>
        <v>15.34</v>
      </c>
      <c r="K841" s="19">
        <f t="shared" si="3"/>
        <v>-430.34</v>
      </c>
      <c r="L841" s="20" t="str">
        <f t="shared" si="4"/>
        <v/>
      </c>
    </row>
    <row r="842" ht="15.75" customHeight="1">
      <c r="A842" s="9" t="s">
        <v>1162</v>
      </c>
      <c r="B842" s="12" t="str">
        <f t="array" ref="B842">XLOOKUP(C842, Channel_Listings!C:C, Channel_Listings!B:B)
</f>
        <v>Kitchen_Containers</v>
      </c>
      <c r="C842" s="24" t="s">
        <v>433</v>
      </c>
      <c r="D842" s="14" t="str">
        <f t="array" ref="D842">XLOOKUP(C842, Channel_Listings!C:C, Channel_Listings!D:D)
</f>
        <v>CONTAINER-DELUXE666-PK12</v>
      </c>
      <c r="E842" s="15"/>
      <c r="F842" s="16">
        <f t="array" ref="F842">IFERROR(
  VALUE( INDEX(Product_Master!$I:$I,
               MATCH( INDEX(Pack_Master!$B:$B, MATCH($D842, Pack_Master!$A:$A, 0)),
                      Product_Master!$B:$B, 0)
  )) 
  * VALUE( INDEX(Pack_Master!$C:$C, MATCH($D842, Pack_Master!$A:$A, 0)) )
  + VALUE( INDEX(Pack_Master!$D:$D, MATCH($D842, Pack_Master!$A:$A, 0)) ),
"")
</f>
        <v>697</v>
      </c>
      <c r="G842" s="17">
        <f t="array" ref="G842">IFERROR(
 ( INDEX(Pack_Master!E:E, MATCH($D842, Pack_Master!A:A, 0))
   * INDEX(Pack_Master!F:F, MATCH($D842, Pack_Master!A:A, 0))
   * INDEX(Pack_Master!G:G, MATCH($D842, Pack_Master!A:A, 0))
 ) / INDEX(Config!C:C, MATCH($A842, Config!A:A, 0)),
"")
</f>
        <v>1.6</v>
      </c>
      <c r="H842" s="17">
        <f t="array" ref="H842">MAX( INDEX(Pack_Master!H:H, MATCH($D842, Pack_Master!A:A, 0)),
      IFERROR(G842, 0) )
</f>
        <v>1.6</v>
      </c>
      <c r="I842" s="18">
        <f>IFERROR(__xludf.DUMMYFUNCTION("IFERROR(
 INDEX(
   FILTER(Shipping_Rate_Card!B:F, Shipping_Rate_Card!A:A=$A842),
   MATCH($H842, FILTER(Shipping_Rate_Card!B:B, Shipping_Rate_Card!A:A=$A842), 1),
   IF( INDEX(Config!B:B, MATCH($A842, Config!A:A, 0))=""Local"", 2,
     IF( INDEX(Config!B"&amp;":B, MATCH($A842, Config!A:A, 0))=""Regional"", 3, 4 )
   )
 ),
"""")
"),138.0)</f>
        <v>138</v>
      </c>
      <c r="J842" s="16">
        <f>IFERROR(__xludf.DUMMYFUNCTION("IFERROR(
 ( E842 * INDEX(FILTER(Pricing_Rules!E:E, Pricing_Rules!A:A=A842, Pricing_Rules!B:B=B842, Pricing_Rules!C:C&lt;=E842, Pricing_Rules!D:D&gt;=E842), 1)
   + INDEX(FILTER(Pricing_Rules!F:F, Pricing_Rules!A:A=A842, Pricing_Rules!B:B=B842, Pricing_Rules!C:C"&amp;"&lt;=E842, Pricing_Rules!D:D&gt;=E842), 1)
 )
 * (1 + IFERROR( INDEX(Config!D:D, MATCH(A842, Config!A:A, 0)), 0 )),
"""")
"),15.34)</f>
        <v>15.34</v>
      </c>
      <c r="K842" s="19">
        <f t="shared" si="3"/>
        <v>-850.34</v>
      </c>
      <c r="L842" s="20" t="str">
        <f t="shared" si="4"/>
        <v/>
      </c>
    </row>
    <row r="843" ht="15.75" customHeight="1">
      <c r="A843" s="9" t="s">
        <v>1162</v>
      </c>
      <c r="B843" s="12" t="str">
        <f t="array" ref="B843">XLOOKUP(C843, Channel_Listings!C:C, Channel_Listings!B:B)
</f>
        <v>Kitchen_Containers</v>
      </c>
      <c r="C843" s="24" t="s">
        <v>435</v>
      </c>
      <c r="D843" s="14" t="str">
        <f t="array" ref="D843">XLOOKUP(C843, Channel_Listings!C:C, Channel_Listings!D:D)
</f>
        <v>CONTAINER-DELUXE666-PK2</v>
      </c>
      <c r="E843" s="15"/>
      <c r="F843" s="16">
        <f t="array" ref="F843">IFERROR(
  VALUE( INDEX(Product_Master!$I:$I,
               MATCH( INDEX(Pack_Master!$B:$B, MATCH($D843, Pack_Master!$A:$A, 0)),
                      Product_Master!$B:$B, 0)
  )) 
  * VALUE( INDEX(Pack_Master!$C:$C, MATCH($D843, Pack_Master!$A:$A, 0)) )
  + VALUE( INDEX(Pack_Master!$D:$D, MATCH($D843, Pack_Master!$A:$A, 0)) ),
"")
</f>
        <v>137</v>
      </c>
      <c r="G843" s="17">
        <f t="array" ref="G843">IFERROR(
 ( INDEX(Pack_Master!E:E, MATCH($D843, Pack_Master!A:A, 0))
   * INDEX(Pack_Master!F:F, MATCH($D843, Pack_Master!A:A, 0))
   * INDEX(Pack_Master!G:G, MATCH($D843, Pack_Master!A:A, 0))
 ) / INDEX(Config!C:C, MATCH($A843, Config!A:A, 0)),
"")
</f>
        <v>1.6</v>
      </c>
      <c r="H843" s="17">
        <f t="array" ref="H843">MAX( INDEX(Pack_Master!H:H, MATCH($D843, Pack_Master!A:A, 0)),
      IFERROR(G843, 0) )
</f>
        <v>1.6</v>
      </c>
      <c r="I843" s="18">
        <f>IFERROR(__xludf.DUMMYFUNCTION("IFERROR(
 INDEX(
   FILTER(Shipping_Rate_Card!B:F, Shipping_Rate_Card!A:A=$A843),
   MATCH($H843, FILTER(Shipping_Rate_Card!B:B, Shipping_Rate_Card!A:A=$A843), 1),
   IF( INDEX(Config!B:B, MATCH($A843, Config!A:A, 0))=""Local"", 2,
     IF( INDEX(Config!B"&amp;":B, MATCH($A843, Config!A:A, 0))=""Regional"", 3, 4 )
   )
 ),
"""")
"),138.0)</f>
        <v>138</v>
      </c>
      <c r="J843" s="16">
        <f>IFERROR(__xludf.DUMMYFUNCTION("IFERROR(
 ( E843 * INDEX(FILTER(Pricing_Rules!E:E, Pricing_Rules!A:A=A843, Pricing_Rules!B:B=B843, Pricing_Rules!C:C&lt;=E843, Pricing_Rules!D:D&gt;=E843), 1)
   + INDEX(FILTER(Pricing_Rules!F:F, Pricing_Rules!A:A=A843, Pricing_Rules!B:B=B843, Pricing_Rules!C:C"&amp;"&lt;=E843, Pricing_Rules!D:D&gt;=E843), 1)
 )
 * (1 + IFERROR( INDEX(Config!D:D, MATCH(A843, Config!A:A, 0)), 0 )),
"""")
"),15.34)</f>
        <v>15.34</v>
      </c>
      <c r="K843" s="19">
        <f t="shared" si="3"/>
        <v>-290.34</v>
      </c>
      <c r="L843" s="20" t="str">
        <f t="shared" si="4"/>
        <v/>
      </c>
    </row>
    <row r="844" ht="15.75" customHeight="1">
      <c r="A844" s="9" t="s">
        <v>1162</v>
      </c>
      <c r="B844" s="12" t="str">
        <f t="array" ref="B844">XLOOKUP(C844, Channel_Listings!C:C, Channel_Listings!B:B)
</f>
        <v>Kitchen_Containers</v>
      </c>
      <c r="C844" s="24" t="s">
        <v>437</v>
      </c>
      <c r="D844" s="14" t="str">
        <f t="array" ref="D844">XLOOKUP(C844, Channel_Listings!C:C, Channel_Listings!D:D)
</f>
        <v>CONTAINER-DELUXE666-PK6</v>
      </c>
      <c r="E844" s="15"/>
      <c r="F844" s="16">
        <f t="array" ref="F844">IFERROR(
  VALUE( INDEX(Product_Master!$I:$I,
               MATCH( INDEX(Pack_Master!$B:$B, MATCH($D844, Pack_Master!$A:$A, 0)),
                      Product_Master!$B:$B, 0)
  )) 
  * VALUE( INDEX(Pack_Master!$C:$C, MATCH($D844, Pack_Master!$A:$A, 0)) )
  + VALUE( INDEX(Pack_Master!$D:$D, MATCH($D844, Pack_Master!$A:$A, 0)) ),
"")
</f>
        <v>361</v>
      </c>
      <c r="G844" s="17">
        <f t="array" ref="G844">IFERROR(
 ( INDEX(Pack_Master!E:E, MATCH($D844, Pack_Master!A:A, 0))
   * INDEX(Pack_Master!F:F, MATCH($D844, Pack_Master!A:A, 0))
   * INDEX(Pack_Master!G:G, MATCH($D844, Pack_Master!A:A, 0))
 ) / INDEX(Config!C:C, MATCH($A844, Config!A:A, 0)),
"")
</f>
        <v>1.6</v>
      </c>
      <c r="H844" s="17">
        <f t="array" ref="H844">MAX( INDEX(Pack_Master!H:H, MATCH($D844, Pack_Master!A:A, 0)),
      IFERROR(G844, 0) )
</f>
        <v>1.6</v>
      </c>
      <c r="I844" s="18">
        <f>IFERROR(__xludf.DUMMYFUNCTION("IFERROR(
 INDEX(
   FILTER(Shipping_Rate_Card!B:F, Shipping_Rate_Card!A:A=$A844),
   MATCH($H844, FILTER(Shipping_Rate_Card!B:B, Shipping_Rate_Card!A:A=$A844), 1),
   IF( INDEX(Config!B:B, MATCH($A844, Config!A:A, 0))=""Local"", 2,
     IF( INDEX(Config!B"&amp;":B, MATCH($A844, Config!A:A, 0))=""Regional"", 3, 4 )
   )
 ),
"""")
"),138.0)</f>
        <v>138</v>
      </c>
      <c r="J844" s="16">
        <f>IFERROR(__xludf.DUMMYFUNCTION("IFERROR(
 ( E844 * INDEX(FILTER(Pricing_Rules!E:E, Pricing_Rules!A:A=A844, Pricing_Rules!B:B=B844, Pricing_Rules!C:C&lt;=E844, Pricing_Rules!D:D&gt;=E844), 1)
   + INDEX(FILTER(Pricing_Rules!F:F, Pricing_Rules!A:A=A844, Pricing_Rules!B:B=B844, Pricing_Rules!C:C"&amp;"&lt;=E844, Pricing_Rules!D:D&gt;=E844), 1)
 )
 * (1 + IFERROR( INDEX(Config!D:D, MATCH(A844, Config!A:A, 0)), 0 )),
"""")
"),15.34)</f>
        <v>15.34</v>
      </c>
      <c r="K844" s="19">
        <f t="shared" si="3"/>
        <v>-514.34</v>
      </c>
      <c r="L844" s="20" t="str">
        <f t="shared" si="4"/>
        <v/>
      </c>
    </row>
    <row r="845" ht="15.75" customHeight="1">
      <c r="A845" s="9" t="s">
        <v>1162</v>
      </c>
      <c r="B845" s="12" t="str">
        <f t="array" ref="B845">XLOOKUP(C845, Channel_Listings!C:C, Channel_Listings!B:B)
</f>
        <v>Kitchen_Containers</v>
      </c>
      <c r="C845" s="24" t="s">
        <v>439</v>
      </c>
      <c r="D845" s="14" t="str">
        <f t="array" ref="D845">XLOOKUP(C845, Channel_Listings!C:C, Channel_Listings!D:D)
</f>
        <v>CONTAINER-DELUXE777-PK12</v>
      </c>
      <c r="E845" s="15"/>
      <c r="F845" s="16">
        <f t="array" ref="F845">IFERROR(
  VALUE( INDEX(Product_Master!$I:$I,
               MATCH( INDEX(Pack_Master!$B:$B, MATCH($D845, Pack_Master!$A:$A, 0)),
                      Product_Master!$B:$B, 0)
  )) 
  * VALUE( INDEX(Pack_Master!$C:$C, MATCH($D845, Pack_Master!$A:$A, 0)) )
  + VALUE( INDEX(Pack_Master!$D:$D, MATCH($D845, Pack_Master!$A:$A, 0)) ),
"")
</f>
        <v>949</v>
      </c>
      <c r="G845" s="17">
        <f t="array" ref="G845">IFERROR(
 ( INDEX(Pack_Master!E:E, MATCH($D845, Pack_Master!A:A, 0))
   * INDEX(Pack_Master!F:F, MATCH($D845, Pack_Master!A:A, 0))
   * INDEX(Pack_Master!G:G, MATCH($D845, Pack_Master!A:A, 0))
 ) / INDEX(Config!C:C, MATCH($A845, Config!A:A, 0)),
"")
</f>
        <v>1.6</v>
      </c>
      <c r="H845" s="17">
        <f t="array" ref="H845">MAX( INDEX(Pack_Master!H:H, MATCH($D845, Pack_Master!A:A, 0)),
      IFERROR(G845, 0) )
</f>
        <v>1.6</v>
      </c>
      <c r="I845" s="18">
        <f>IFERROR(__xludf.DUMMYFUNCTION("IFERROR(
 INDEX(
   FILTER(Shipping_Rate_Card!B:F, Shipping_Rate_Card!A:A=$A845),
   MATCH($H845, FILTER(Shipping_Rate_Card!B:B, Shipping_Rate_Card!A:A=$A845), 1),
   IF( INDEX(Config!B:B, MATCH($A845, Config!A:A, 0))=""Local"", 2,
     IF( INDEX(Config!B"&amp;":B, MATCH($A845, Config!A:A, 0))=""Regional"", 3, 4 )
   )
 ),
"""")
"),138.0)</f>
        <v>138</v>
      </c>
      <c r="J845" s="16">
        <f>IFERROR(__xludf.DUMMYFUNCTION("IFERROR(
 ( E845 * INDEX(FILTER(Pricing_Rules!E:E, Pricing_Rules!A:A=A845, Pricing_Rules!B:B=B845, Pricing_Rules!C:C&lt;=E845, Pricing_Rules!D:D&gt;=E845), 1)
   + INDEX(FILTER(Pricing_Rules!F:F, Pricing_Rules!A:A=A845, Pricing_Rules!B:B=B845, Pricing_Rules!C:C"&amp;"&lt;=E845, Pricing_Rules!D:D&gt;=E845), 1)
 )
 * (1 + IFERROR( INDEX(Config!D:D, MATCH(A845, Config!A:A, 0)), 0 )),
"""")
"),15.34)</f>
        <v>15.34</v>
      </c>
      <c r="K845" s="19">
        <f t="shared" si="3"/>
        <v>-1102.34</v>
      </c>
      <c r="L845" s="20" t="str">
        <f t="shared" si="4"/>
        <v/>
      </c>
    </row>
    <row r="846" ht="15.75" customHeight="1">
      <c r="A846" s="9" t="s">
        <v>1162</v>
      </c>
      <c r="B846" s="12" t="str">
        <f t="array" ref="B846">XLOOKUP(C846, Channel_Listings!C:C, Channel_Listings!B:B)
</f>
        <v>Kitchen_Containers</v>
      </c>
      <c r="C846" s="24" t="s">
        <v>441</v>
      </c>
      <c r="D846" s="14" t="str">
        <f t="array" ref="D846">XLOOKUP(C846, Channel_Listings!C:C, Channel_Listings!D:D)
</f>
        <v>CONTAINER-DELUXE777-PK2</v>
      </c>
      <c r="E846" s="15"/>
      <c r="F846" s="16">
        <f t="array" ref="F846">IFERROR(
  VALUE( INDEX(Product_Master!$I:$I,
               MATCH( INDEX(Pack_Master!$B:$B, MATCH($D846, Pack_Master!$A:$A, 0)),
                      Product_Master!$B:$B, 0)
  )) 
  * VALUE( INDEX(Pack_Master!$C:$C, MATCH($D846, Pack_Master!$A:$A, 0)) )
  + VALUE( INDEX(Pack_Master!$D:$D, MATCH($D846, Pack_Master!$A:$A, 0)) ),
"")
</f>
        <v>179</v>
      </c>
      <c r="G846" s="17">
        <f t="array" ref="G846">IFERROR(
 ( INDEX(Pack_Master!E:E, MATCH($D846, Pack_Master!A:A, 0))
   * INDEX(Pack_Master!F:F, MATCH($D846, Pack_Master!A:A, 0))
   * INDEX(Pack_Master!G:G, MATCH($D846, Pack_Master!A:A, 0))
 ) / INDEX(Config!C:C, MATCH($A846, Config!A:A, 0)),
"")
</f>
        <v>1.6</v>
      </c>
      <c r="H846" s="17">
        <f t="array" ref="H846">MAX( INDEX(Pack_Master!H:H, MATCH($D846, Pack_Master!A:A, 0)),
      IFERROR(G846, 0) )
</f>
        <v>1.6</v>
      </c>
      <c r="I846" s="18">
        <f>IFERROR(__xludf.DUMMYFUNCTION("IFERROR(
 INDEX(
   FILTER(Shipping_Rate_Card!B:F, Shipping_Rate_Card!A:A=$A846),
   MATCH($H846, FILTER(Shipping_Rate_Card!B:B, Shipping_Rate_Card!A:A=$A846), 1),
   IF( INDEX(Config!B:B, MATCH($A846, Config!A:A, 0))=""Local"", 2,
     IF( INDEX(Config!B"&amp;":B, MATCH($A846, Config!A:A, 0))=""Regional"", 3, 4 )
   )
 ),
"""")
"),138.0)</f>
        <v>138</v>
      </c>
      <c r="J846" s="16">
        <f>IFERROR(__xludf.DUMMYFUNCTION("IFERROR(
 ( E846 * INDEX(FILTER(Pricing_Rules!E:E, Pricing_Rules!A:A=A846, Pricing_Rules!B:B=B846, Pricing_Rules!C:C&lt;=E846, Pricing_Rules!D:D&gt;=E846), 1)
   + INDEX(FILTER(Pricing_Rules!F:F, Pricing_Rules!A:A=A846, Pricing_Rules!B:B=B846, Pricing_Rules!C:C"&amp;"&lt;=E846, Pricing_Rules!D:D&gt;=E846), 1)
 )
 * (1 + IFERROR( INDEX(Config!D:D, MATCH(A846, Config!A:A, 0)), 0 )),
"""")
"),15.34)</f>
        <v>15.34</v>
      </c>
      <c r="K846" s="19">
        <f t="shared" si="3"/>
        <v>-332.34</v>
      </c>
      <c r="L846" s="20" t="str">
        <f t="shared" si="4"/>
        <v/>
      </c>
    </row>
    <row r="847" ht="15.75" customHeight="1">
      <c r="A847" s="9" t="s">
        <v>1162</v>
      </c>
      <c r="B847" s="12" t="str">
        <f t="array" ref="B847">XLOOKUP(C847, Channel_Listings!C:C, Channel_Listings!B:B)
</f>
        <v>Kitchen_Containers</v>
      </c>
      <c r="C847" s="24" t="s">
        <v>443</v>
      </c>
      <c r="D847" s="14" t="str">
        <f t="array" ref="D847">XLOOKUP(C847, Channel_Listings!C:C, Channel_Listings!D:D)
</f>
        <v>CONTAINER-DELUXE777-PK6</v>
      </c>
      <c r="E847" s="15"/>
      <c r="F847" s="16">
        <f t="array" ref="F847">IFERROR(
  VALUE( INDEX(Product_Master!$I:$I,
               MATCH( INDEX(Pack_Master!$B:$B, MATCH($D847, Pack_Master!$A:$A, 0)),
                      Product_Master!$B:$B, 0)
  )) 
  * VALUE( INDEX(Pack_Master!$C:$C, MATCH($D847, Pack_Master!$A:$A, 0)) )
  + VALUE( INDEX(Pack_Master!$D:$D, MATCH($D847, Pack_Master!$A:$A, 0)) ),
"")
</f>
        <v>487</v>
      </c>
      <c r="G847" s="17">
        <f t="array" ref="G847">IFERROR(
 ( INDEX(Pack_Master!E:E, MATCH($D847, Pack_Master!A:A, 0))
   * INDEX(Pack_Master!F:F, MATCH($D847, Pack_Master!A:A, 0))
   * INDEX(Pack_Master!G:G, MATCH($D847, Pack_Master!A:A, 0))
 ) / INDEX(Config!C:C, MATCH($A847, Config!A:A, 0)),
"")
</f>
        <v>1.6</v>
      </c>
      <c r="H847" s="17">
        <f t="array" ref="H847">MAX( INDEX(Pack_Master!H:H, MATCH($D847, Pack_Master!A:A, 0)),
      IFERROR(G847, 0) )
</f>
        <v>1.6</v>
      </c>
      <c r="I847" s="18">
        <f>IFERROR(__xludf.DUMMYFUNCTION("IFERROR(
 INDEX(
   FILTER(Shipping_Rate_Card!B:F, Shipping_Rate_Card!A:A=$A847),
   MATCH($H847, FILTER(Shipping_Rate_Card!B:B, Shipping_Rate_Card!A:A=$A847), 1),
   IF( INDEX(Config!B:B, MATCH($A847, Config!A:A, 0))=""Local"", 2,
     IF( INDEX(Config!B"&amp;":B, MATCH($A847, Config!A:A, 0))=""Regional"", 3, 4 )
   )
 ),
"""")
"),138.0)</f>
        <v>138</v>
      </c>
      <c r="J847" s="16">
        <f>IFERROR(__xludf.DUMMYFUNCTION("IFERROR(
 ( E847 * INDEX(FILTER(Pricing_Rules!E:E, Pricing_Rules!A:A=A847, Pricing_Rules!B:B=B847, Pricing_Rules!C:C&lt;=E847, Pricing_Rules!D:D&gt;=E847), 1)
   + INDEX(FILTER(Pricing_Rules!F:F, Pricing_Rules!A:A=A847, Pricing_Rules!B:B=B847, Pricing_Rules!C:C"&amp;"&lt;=E847, Pricing_Rules!D:D&gt;=E847), 1)
 )
 * (1 + IFERROR( INDEX(Config!D:D, MATCH(A847, Config!A:A, 0)), 0 )),
"""")
"),15.34)</f>
        <v>15.34</v>
      </c>
      <c r="K847" s="19">
        <f t="shared" si="3"/>
        <v>-640.34</v>
      </c>
      <c r="L847" s="20" t="str">
        <f t="shared" si="4"/>
        <v/>
      </c>
    </row>
    <row r="848" ht="15.75" customHeight="1">
      <c r="A848" s="9" t="s">
        <v>1162</v>
      </c>
      <c r="B848" s="12" t="str">
        <f t="array" ref="B848">XLOOKUP(C848, Channel_Listings!C:C, Channel_Listings!B:B)
</f>
        <v>Kitchen_Containers</v>
      </c>
      <c r="C848" s="24" t="s">
        <v>445</v>
      </c>
      <c r="D848" s="14" t="str">
        <f t="array" ref="D848">XLOOKUP(C848, Channel_Listings!C:C, Channel_Listings!D:D)
</f>
        <v>CONTAINER-DELUXE888-PK12</v>
      </c>
      <c r="E848" s="15"/>
      <c r="F848" s="16">
        <f t="array" ref="F848">IFERROR(
  VALUE( INDEX(Product_Master!$I:$I,
               MATCH( INDEX(Pack_Master!$B:$B, MATCH($D848, Pack_Master!$A:$A, 0)),
                      Product_Master!$B:$B, 0)
  )) 
  * VALUE( INDEX(Pack_Master!$C:$C, MATCH($D848, Pack_Master!$A:$A, 0)) )
  + VALUE( INDEX(Pack_Master!$D:$D, MATCH($D848, Pack_Master!$A:$A, 0)) ),
"")
</f>
        <v>1393</v>
      </c>
      <c r="G848" s="17">
        <f t="array" ref="G848">IFERROR(
 ( INDEX(Pack_Master!E:E, MATCH($D848, Pack_Master!A:A, 0))
   * INDEX(Pack_Master!F:F, MATCH($D848, Pack_Master!A:A, 0))
   * INDEX(Pack_Master!G:G, MATCH($D848, Pack_Master!A:A, 0))
 ) / INDEX(Config!C:C, MATCH($A848, Config!A:A, 0)),
"")
</f>
        <v>1.6</v>
      </c>
      <c r="H848" s="17">
        <f t="array" ref="H848">MAX( INDEX(Pack_Master!H:H, MATCH($D848, Pack_Master!A:A, 0)),
      IFERROR(G848, 0) )
</f>
        <v>1.6</v>
      </c>
      <c r="I848" s="18">
        <f>IFERROR(__xludf.DUMMYFUNCTION("IFERROR(
 INDEX(
   FILTER(Shipping_Rate_Card!B:F, Shipping_Rate_Card!A:A=$A848),
   MATCH($H848, FILTER(Shipping_Rate_Card!B:B, Shipping_Rate_Card!A:A=$A848), 1),
   IF( INDEX(Config!B:B, MATCH($A848, Config!A:A, 0))=""Local"", 2,
     IF( INDEX(Config!B"&amp;":B, MATCH($A848, Config!A:A, 0))=""Regional"", 3, 4 )
   )
 ),
"""")
"),138.0)</f>
        <v>138</v>
      </c>
      <c r="J848" s="16">
        <f>IFERROR(__xludf.DUMMYFUNCTION("IFERROR(
 ( E848 * INDEX(FILTER(Pricing_Rules!E:E, Pricing_Rules!A:A=A848, Pricing_Rules!B:B=B848, Pricing_Rules!C:C&lt;=E848, Pricing_Rules!D:D&gt;=E848), 1)
   + INDEX(FILTER(Pricing_Rules!F:F, Pricing_Rules!A:A=A848, Pricing_Rules!B:B=B848, Pricing_Rules!C:C"&amp;"&lt;=E848, Pricing_Rules!D:D&gt;=E848), 1)
 )
 * (1 + IFERROR( INDEX(Config!D:D, MATCH(A848, Config!A:A, 0)), 0 )),
"""")
"),15.34)</f>
        <v>15.34</v>
      </c>
      <c r="K848" s="19">
        <f t="shared" si="3"/>
        <v>-1546.34</v>
      </c>
      <c r="L848" s="20" t="str">
        <f t="shared" si="4"/>
        <v/>
      </c>
    </row>
    <row r="849" ht="15.75" customHeight="1">
      <c r="A849" s="9" t="s">
        <v>1162</v>
      </c>
      <c r="B849" s="12" t="str">
        <f t="array" ref="B849">XLOOKUP(C849, Channel_Listings!C:C, Channel_Listings!B:B)
</f>
        <v>Kitchen_Containers</v>
      </c>
      <c r="C849" s="24" t="s">
        <v>447</v>
      </c>
      <c r="D849" s="14" t="str">
        <f t="array" ref="D849">XLOOKUP(C849, Channel_Listings!C:C, Channel_Listings!D:D)
</f>
        <v>CONTAINER-DELUXE888-PK2</v>
      </c>
      <c r="E849" s="15"/>
      <c r="F849" s="16">
        <f t="array" ref="F849">IFERROR(
  VALUE( INDEX(Product_Master!$I:$I,
               MATCH( INDEX(Pack_Master!$B:$B, MATCH($D849, Pack_Master!$A:$A, 0)),
                      Product_Master!$B:$B, 0)
  )) 
  * VALUE( INDEX(Pack_Master!$C:$C, MATCH($D849, Pack_Master!$A:$A, 0)) )
  + VALUE( INDEX(Pack_Master!$D:$D, MATCH($D849, Pack_Master!$A:$A, 0)) ),
"")
</f>
        <v>253</v>
      </c>
      <c r="G849" s="17">
        <f t="array" ref="G849">IFERROR(
 ( INDEX(Pack_Master!E:E, MATCH($D849, Pack_Master!A:A, 0))
   * INDEX(Pack_Master!F:F, MATCH($D849, Pack_Master!A:A, 0))
   * INDEX(Pack_Master!G:G, MATCH($D849, Pack_Master!A:A, 0))
 ) / INDEX(Config!C:C, MATCH($A849, Config!A:A, 0)),
"")
</f>
        <v>1.6</v>
      </c>
      <c r="H849" s="17">
        <f t="array" ref="H849">MAX( INDEX(Pack_Master!H:H, MATCH($D849, Pack_Master!A:A, 0)),
      IFERROR(G849, 0) )
</f>
        <v>1.6</v>
      </c>
      <c r="I849" s="18">
        <f>IFERROR(__xludf.DUMMYFUNCTION("IFERROR(
 INDEX(
   FILTER(Shipping_Rate_Card!B:F, Shipping_Rate_Card!A:A=$A849),
   MATCH($H849, FILTER(Shipping_Rate_Card!B:B, Shipping_Rate_Card!A:A=$A849), 1),
   IF( INDEX(Config!B:B, MATCH($A849, Config!A:A, 0))=""Local"", 2,
     IF( INDEX(Config!B"&amp;":B, MATCH($A849, Config!A:A, 0))=""Regional"", 3, 4 )
   )
 ),
"""")
"),138.0)</f>
        <v>138</v>
      </c>
      <c r="J849" s="16">
        <f>IFERROR(__xludf.DUMMYFUNCTION("IFERROR(
 ( E849 * INDEX(FILTER(Pricing_Rules!E:E, Pricing_Rules!A:A=A849, Pricing_Rules!B:B=B849, Pricing_Rules!C:C&lt;=E849, Pricing_Rules!D:D&gt;=E849), 1)
   + INDEX(FILTER(Pricing_Rules!F:F, Pricing_Rules!A:A=A849, Pricing_Rules!B:B=B849, Pricing_Rules!C:C"&amp;"&lt;=E849, Pricing_Rules!D:D&gt;=E849), 1)
 )
 * (1 + IFERROR( INDEX(Config!D:D, MATCH(A849, Config!A:A, 0)), 0 )),
"""")
"),15.34)</f>
        <v>15.34</v>
      </c>
      <c r="K849" s="19">
        <f t="shared" si="3"/>
        <v>-406.34</v>
      </c>
      <c r="L849" s="20" t="str">
        <f t="shared" si="4"/>
        <v/>
      </c>
    </row>
    <row r="850" ht="15.75" customHeight="1">
      <c r="A850" s="9" t="s">
        <v>1162</v>
      </c>
      <c r="B850" s="12" t="str">
        <f t="array" ref="B850">XLOOKUP(C850, Channel_Listings!C:C, Channel_Listings!B:B)
</f>
        <v>Kitchen_Containers</v>
      </c>
      <c r="C850" s="24" t="s">
        <v>449</v>
      </c>
      <c r="D850" s="14" t="str">
        <f t="array" ref="D850">XLOOKUP(C850, Channel_Listings!C:C, Channel_Listings!D:D)
</f>
        <v>CONTAINER-DELUXE888-PK6</v>
      </c>
      <c r="E850" s="15"/>
      <c r="F850" s="16">
        <f t="array" ref="F850">IFERROR(
  VALUE( INDEX(Product_Master!$I:$I,
               MATCH( INDEX(Pack_Master!$B:$B, MATCH($D850, Pack_Master!$A:$A, 0)),
                      Product_Master!$B:$B, 0)
  )) 
  * VALUE( INDEX(Pack_Master!$C:$C, MATCH($D850, Pack_Master!$A:$A, 0)) )
  + VALUE( INDEX(Pack_Master!$D:$D, MATCH($D850, Pack_Master!$A:$A, 0)) ),
"")
</f>
        <v>709</v>
      </c>
      <c r="G850" s="17">
        <f t="array" ref="G850">IFERROR(
 ( INDEX(Pack_Master!E:E, MATCH($D850, Pack_Master!A:A, 0))
   * INDEX(Pack_Master!F:F, MATCH($D850, Pack_Master!A:A, 0))
   * INDEX(Pack_Master!G:G, MATCH($D850, Pack_Master!A:A, 0))
 ) / INDEX(Config!C:C, MATCH($A850, Config!A:A, 0)),
"")
</f>
        <v>1.6</v>
      </c>
      <c r="H850" s="17">
        <f t="array" ref="H850">MAX( INDEX(Pack_Master!H:H, MATCH($D850, Pack_Master!A:A, 0)),
      IFERROR(G850, 0) )
</f>
        <v>1.6</v>
      </c>
      <c r="I850" s="18">
        <f>IFERROR(__xludf.DUMMYFUNCTION("IFERROR(
 INDEX(
   FILTER(Shipping_Rate_Card!B:F, Shipping_Rate_Card!A:A=$A850),
   MATCH($H850, FILTER(Shipping_Rate_Card!B:B, Shipping_Rate_Card!A:A=$A850), 1),
   IF( INDEX(Config!B:B, MATCH($A850, Config!A:A, 0))=""Local"", 2,
     IF( INDEX(Config!B"&amp;":B, MATCH($A850, Config!A:A, 0))=""Regional"", 3, 4 )
   )
 ),
"""")
"),138.0)</f>
        <v>138</v>
      </c>
      <c r="J850" s="16">
        <f>IFERROR(__xludf.DUMMYFUNCTION("IFERROR(
 ( E850 * INDEX(FILTER(Pricing_Rules!E:E, Pricing_Rules!A:A=A850, Pricing_Rules!B:B=B850, Pricing_Rules!C:C&lt;=E850, Pricing_Rules!D:D&gt;=E850), 1)
   + INDEX(FILTER(Pricing_Rules!F:F, Pricing_Rules!A:A=A850, Pricing_Rules!B:B=B850, Pricing_Rules!C:C"&amp;"&lt;=E850, Pricing_Rules!D:D&gt;=E850), 1)
 )
 * (1 + IFERROR( INDEX(Config!D:D, MATCH(A850, Config!A:A, 0)), 0 )),
"""")
"),15.34)</f>
        <v>15.34</v>
      </c>
      <c r="K850" s="19">
        <f t="shared" si="3"/>
        <v>-862.34</v>
      </c>
      <c r="L850" s="20" t="str">
        <f t="shared" si="4"/>
        <v/>
      </c>
    </row>
    <row r="851" ht="15.75" customHeight="1">
      <c r="A851" s="9" t="s">
        <v>1162</v>
      </c>
      <c r="B851" s="12" t="str">
        <f t="array" ref="B851">XLOOKUP(C851, Channel_Listings!C:C, Channel_Listings!B:B)
</f>
        <v>Kitchen_Containers</v>
      </c>
      <c r="C851" s="23" t="s">
        <v>454</v>
      </c>
      <c r="D851" s="14" t="str">
        <f t="array" ref="D851">XLOOKUP(C851, Channel_Listings!C:C, Channel_Listings!D:D)
</f>
        <v>CONTAINER-SUPER222-PK6</v>
      </c>
      <c r="E851" s="15"/>
      <c r="F851" s="16">
        <f t="array" ref="F851">IFERROR(
  VALUE( INDEX(Product_Master!$I:$I,
               MATCH( INDEX(Pack_Master!$B:$B, MATCH($D851, Pack_Master!$A:$A, 0)),
                      Product_Master!$B:$B, 0)
  )) 
  * VALUE( INDEX(Pack_Master!$C:$C, MATCH($D851, Pack_Master!$A:$A, 0)) )
  + VALUE( INDEX(Pack_Master!$D:$D, MATCH($D851, Pack_Master!$A:$A, 0)) ),
"")
</f>
        <v>0</v>
      </c>
      <c r="G851" s="17">
        <f t="array" ref="G851">IFERROR(
 ( INDEX(Pack_Master!E:E, MATCH($D851, Pack_Master!A:A, 0))
   * INDEX(Pack_Master!F:F, MATCH($D851, Pack_Master!A:A, 0))
   * INDEX(Pack_Master!G:G, MATCH($D851, Pack_Master!A:A, 0))
 ) / INDEX(Config!C:C, MATCH($A851, Config!A:A, 0)),
"")
</f>
        <v>0</v>
      </c>
      <c r="H851" s="17">
        <f t="array" ref="H851">MAX( INDEX(Pack_Master!H:H, MATCH($D851, Pack_Master!A:A, 0)),
      IFERROR(G851, 0) )
</f>
        <v>0</v>
      </c>
      <c r="I851" s="18" t="str">
        <f>IFERROR(__xludf.DUMMYFUNCTION("IFERROR(
 INDEX(
   FILTER(Shipping_Rate_Card!B:F, Shipping_Rate_Card!A:A=$A851),
   MATCH($H851, FILTER(Shipping_Rate_Card!B:B, Shipping_Rate_Card!A:A=$A851), 1),
   IF( INDEX(Config!B:B, MATCH($A851, Config!A:A, 0))=""Local"", 2,
     IF( INDEX(Config!B"&amp;":B, MATCH($A851, Config!A:A, 0))=""Regional"", 3, 4 )
   )
 ),
"""")
"),"")</f>
        <v/>
      </c>
      <c r="J851" s="16">
        <f>IFERROR(__xludf.DUMMYFUNCTION("IFERROR(
 ( E851 * INDEX(FILTER(Pricing_Rules!E:E, Pricing_Rules!A:A=A851, Pricing_Rules!B:B=B851, Pricing_Rules!C:C&lt;=E851, Pricing_Rules!D:D&gt;=E851), 1)
   + INDEX(FILTER(Pricing_Rules!F:F, Pricing_Rules!A:A=A851, Pricing_Rules!B:B=B851, Pricing_Rules!C:C"&amp;"&lt;=E851, Pricing_Rules!D:D&gt;=E851), 1)
 )
 * (1 + IFERROR( INDEX(Config!D:D, MATCH(A851, Config!A:A, 0)), 0 )),
"""")
"),15.34)</f>
        <v>15.34</v>
      </c>
      <c r="K851" s="19">
        <f t="shared" si="3"/>
        <v>-15.34</v>
      </c>
      <c r="L851" s="20" t="str">
        <f t="shared" si="4"/>
        <v/>
      </c>
    </row>
    <row r="852" ht="15.75" customHeight="1">
      <c r="A852" s="9" t="s">
        <v>1162</v>
      </c>
      <c r="B852" s="12" t="str">
        <f t="array" ref="B852">XLOOKUP(C852, Channel_Listings!C:C, Channel_Listings!B:B)
</f>
        <v>Apparel_Accessories_Winter</v>
      </c>
      <c r="C852" s="23" t="s">
        <v>461</v>
      </c>
      <c r="D852" s="14" t="str">
        <f t="array" ref="D852">XLOOKUP(C852, Channel_Listings!C:C, Channel_Listings!D:D)
</f>
        <v>EARMUFF-FULLFUR</v>
      </c>
      <c r="E852" s="15"/>
      <c r="F852" s="16">
        <f t="array" ref="F852">IFERROR(
  VALUE( INDEX(Product_Master!$I:$I,
               MATCH( INDEX(Pack_Master!$B:$B, MATCH($D852, Pack_Master!$A:$A, 0)),
                      Product_Master!$B:$B, 0)
  )) 
  * VALUE( INDEX(Pack_Master!$C:$C, MATCH($D852, Pack_Master!$A:$A, 0)) )
  + VALUE( INDEX(Pack_Master!$D:$D, MATCH($D852, Pack_Master!$A:$A, 0)) ),
"")
</f>
        <v>0</v>
      </c>
      <c r="G852" s="17">
        <f t="array" ref="G852">IFERROR(
 ( INDEX(Pack_Master!E:E, MATCH($D852, Pack_Master!A:A, 0))
   * INDEX(Pack_Master!F:F, MATCH($D852, Pack_Master!A:A, 0))
   * INDEX(Pack_Master!G:G, MATCH($D852, Pack_Master!A:A, 0))
 ) / INDEX(Config!C:C, MATCH($A852, Config!A:A, 0)),
"")
</f>
        <v>0</v>
      </c>
      <c r="H852" s="17">
        <f t="array" ref="H852">MAX( INDEX(Pack_Master!H:H, MATCH($D852, Pack_Master!A:A, 0)),
      IFERROR(G852, 0) )
</f>
        <v>0</v>
      </c>
      <c r="I852" s="18" t="str">
        <f>IFERROR(__xludf.DUMMYFUNCTION("IFERROR(
 INDEX(
   FILTER(Shipping_Rate_Card!B:F, Shipping_Rate_Card!A:A=$A852),
   MATCH($H852, FILTER(Shipping_Rate_Card!B:B, Shipping_Rate_Card!A:A=$A852), 1),
   IF( INDEX(Config!B:B, MATCH($A852, Config!A:A, 0))=""Local"", 2,
     IF( INDEX(Config!B"&amp;":B, MATCH($A852, Config!A:A, 0))=""Regional"", 3, 4 )
   )
 ),
"""")
"),"")</f>
        <v/>
      </c>
      <c r="J852" s="16">
        <f>IFERROR(__xludf.DUMMYFUNCTION("IFERROR(
 ( E852 * INDEX(FILTER(Pricing_Rules!E:E, Pricing_Rules!A:A=A852, Pricing_Rules!B:B=B852, Pricing_Rules!C:C&lt;=E852, Pricing_Rules!D:D&gt;=E852), 1)
   + INDEX(FILTER(Pricing_Rules!F:F, Pricing_Rules!A:A=A852, Pricing_Rules!B:B=B852, Pricing_Rules!C:C"&amp;"&lt;=E852, Pricing_Rules!D:D&gt;=E852), 1)
 )
 * (1 + IFERROR( INDEX(Config!D:D, MATCH(A852, Config!A:A, 0)), 0 )),
"""")
"),0.0)</f>
        <v>0</v>
      </c>
      <c r="K852" s="19">
        <f t="shared" si="3"/>
        <v>0</v>
      </c>
      <c r="L852" s="20" t="str">
        <f t="shared" si="4"/>
        <v/>
      </c>
    </row>
    <row r="853" ht="15.75" customHeight="1">
      <c r="A853" s="9" t="s">
        <v>1162</v>
      </c>
      <c r="B853" s="12" t="str">
        <f t="array" ref="B853">XLOOKUP(C853, Channel_Listings!C:C, Channel_Listings!B:B)
</f>
        <v>Apparel_Accessories_Winter</v>
      </c>
      <c r="C853" s="23" t="s">
        <v>465</v>
      </c>
      <c r="D853" s="14" t="str">
        <f t="array" ref="D853">XLOOKUP(C853, Channel_Listings!C:C, Channel_Listings!D:D)
</f>
        <v>EARMUFF-FULLFUR</v>
      </c>
      <c r="E853" s="15"/>
      <c r="F853" s="16">
        <f t="array" ref="F853">IFERROR(
  VALUE( INDEX(Product_Master!$I:$I,
               MATCH( INDEX(Pack_Master!$B:$B, MATCH($D853, Pack_Master!$A:$A, 0)),
                      Product_Master!$B:$B, 0)
  )) 
  * VALUE( INDEX(Pack_Master!$C:$C, MATCH($D853, Pack_Master!$A:$A, 0)) )
  + VALUE( INDEX(Pack_Master!$D:$D, MATCH($D853, Pack_Master!$A:$A, 0)) ),
"")
</f>
        <v>0</v>
      </c>
      <c r="G853" s="17">
        <f t="array" ref="G853">IFERROR(
 ( INDEX(Pack_Master!E:E, MATCH($D853, Pack_Master!A:A, 0))
   * INDEX(Pack_Master!F:F, MATCH($D853, Pack_Master!A:A, 0))
   * INDEX(Pack_Master!G:G, MATCH($D853, Pack_Master!A:A, 0))
 ) / INDEX(Config!C:C, MATCH($A853, Config!A:A, 0)),
"")
</f>
        <v>0</v>
      </c>
      <c r="H853" s="17">
        <f t="array" ref="H853">MAX( INDEX(Pack_Master!H:H, MATCH($D853, Pack_Master!A:A, 0)),
      IFERROR(G853, 0) )
</f>
        <v>0</v>
      </c>
      <c r="I853" s="18" t="str">
        <f>IFERROR(__xludf.DUMMYFUNCTION("IFERROR(
 INDEX(
   FILTER(Shipping_Rate_Card!B:F, Shipping_Rate_Card!A:A=$A853),
   MATCH($H853, FILTER(Shipping_Rate_Card!B:B, Shipping_Rate_Card!A:A=$A853), 1),
   IF( INDEX(Config!B:B, MATCH($A853, Config!A:A, 0))=""Local"", 2,
     IF( INDEX(Config!B"&amp;":B, MATCH($A853, Config!A:A, 0))=""Regional"", 3, 4 )
   )
 ),
"""")
"),"")</f>
        <v/>
      </c>
      <c r="J853" s="16">
        <f>IFERROR(__xludf.DUMMYFUNCTION("IFERROR(
 ( E853 * INDEX(FILTER(Pricing_Rules!E:E, Pricing_Rules!A:A=A853, Pricing_Rules!B:B=B853, Pricing_Rules!C:C&lt;=E853, Pricing_Rules!D:D&gt;=E853), 1)
   + INDEX(FILTER(Pricing_Rules!F:F, Pricing_Rules!A:A=A853, Pricing_Rules!B:B=B853, Pricing_Rules!C:C"&amp;"&lt;=E853, Pricing_Rules!D:D&gt;=E853), 1)
 )
 * (1 + IFERROR( INDEX(Config!D:D, MATCH(A853, Config!A:A, 0)), 0 )),
"""")
"),0.0)</f>
        <v>0</v>
      </c>
      <c r="K853" s="19">
        <f t="shared" si="3"/>
        <v>0</v>
      </c>
      <c r="L853" s="20" t="str">
        <f t="shared" si="4"/>
        <v/>
      </c>
    </row>
    <row r="854" ht="15.75" customHeight="1">
      <c r="A854" s="9" t="s">
        <v>1162</v>
      </c>
      <c r="B854" s="12" t="str">
        <f t="array" ref="B854">XLOOKUP(C854, Channel_Listings!C:C, Channel_Listings!B:B)
</f>
        <v>Apparel_Caps_Beanies</v>
      </c>
      <c r="C854" s="23" t="s">
        <v>1354</v>
      </c>
      <c r="D854" s="14" t="str">
        <f t="array" ref="D854">XLOOKUP(C854, Channel_Listings!C:C, Channel_Listings!D:D)
</f>
        <v>HAT-FEDORA-RED</v>
      </c>
      <c r="E854" s="15"/>
      <c r="F854" s="16">
        <f t="array" ref="F854">IFERROR(
  VALUE( INDEX(Product_Master!$I:$I,
               MATCH( INDEX(Pack_Master!$B:$B, MATCH($D854, Pack_Master!$A:$A, 0)),
                      Product_Master!$B:$B, 0)
  )) 
  * VALUE( INDEX(Pack_Master!$C:$C, MATCH($D854, Pack_Master!$A:$A, 0)) )
  + VALUE( INDEX(Pack_Master!$D:$D, MATCH($D854, Pack_Master!$A:$A, 0)) ),
"")
</f>
        <v>0</v>
      </c>
      <c r="G854" s="17">
        <f t="array" ref="G854">IFERROR(
 ( INDEX(Pack_Master!E:E, MATCH($D854, Pack_Master!A:A, 0))
   * INDEX(Pack_Master!F:F, MATCH($D854, Pack_Master!A:A, 0))
   * INDEX(Pack_Master!G:G, MATCH($D854, Pack_Master!A:A, 0))
 ) / INDEX(Config!C:C, MATCH($A854, Config!A:A, 0)),
"")
</f>
        <v>0</v>
      </c>
      <c r="H854" s="17">
        <f t="array" ref="H854">MAX( INDEX(Pack_Master!H:H, MATCH($D854, Pack_Master!A:A, 0)),
      IFERROR(G854, 0) )
</f>
        <v>0</v>
      </c>
      <c r="I854" s="18" t="str">
        <f>IFERROR(__xludf.DUMMYFUNCTION("IFERROR(
 INDEX(
   FILTER(Shipping_Rate_Card!B:F, Shipping_Rate_Card!A:A=$A854),
   MATCH($H854, FILTER(Shipping_Rate_Card!B:B, Shipping_Rate_Card!A:A=$A854), 1),
   IF( INDEX(Config!B:B, MATCH($A854, Config!A:A, 0))=""Local"", 2,
     IF( INDEX(Config!B"&amp;":B, MATCH($A854, Config!A:A, 0))=""Regional"", 3, 4 )
   )
 ),
"""")
"),"")</f>
        <v/>
      </c>
      <c r="J854" s="16">
        <f>IFERROR(__xludf.DUMMYFUNCTION("IFERROR(
 ( E854 * INDEX(FILTER(Pricing_Rules!E:E, Pricing_Rules!A:A=A854, Pricing_Rules!B:B=B854, Pricing_Rules!C:C&lt;=E854, Pricing_Rules!D:D&gt;=E854), 1)
   + INDEX(FILTER(Pricing_Rules!F:F, Pricing_Rules!A:A=A854, Pricing_Rules!B:B=B854, Pricing_Rules!C:C"&amp;"&lt;=E854, Pricing_Rules!D:D&gt;=E854), 1)
 )
 * (1 + IFERROR( INDEX(Config!D:D, MATCH(A854, Config!A:A, 0)), 0 )),
"""")
"),15.34)</f>
        <v>15.34</v>
      </c>
      <c r="K854" s="19">
        <f t="shared" si="3"/>
        <v>-15.34</v>
      </c>
      <c r="L854" s="20" t="str">
        <f t="shared" si="4"/>
        <v/>
      </c>
    </row>
    <row r="855" ht="15.75" customHeight="1">
      <c r="A855" s="9" t="s">
        <v>1162</v>
      </c>
      <c r="B855" s="12" t="str">
        <f t="array" ref="B855">XLOOKUP(C855, Channel_Listings!C:C, Channel_Listings!B:B)
</f>
        <v>Apparel_Hoodies_Sweatshirts</v>
      </c>
      <c r="C855" s="23" t="s">
        <v>472</v>
      </c>
      <c r="D855" s="14" t="str">
        <f t="array" ref="D855">XLOOKUP(C855, Channel_Listings!C:C, Channel_Listings!D:D)
</f>
        <v>HOODIE-BLACK-SOLID-L</v>
      </c>
      <c r="E855" s="15"/>
      <c r="F855" s="16">
        <f t="array" ref="F855">IFERROR(
  VALUE( INDEX(Product_Master!$I:$I,
               MATCH( INDEX(Pack_Master!$B:$B, MATCH($D855, Pack_Master!$A:$A, 0)),
                      Product_Master!$B:$B, 0)
  )) 
  * VALUE( INDEX(Pack_Master!$C:$C, MATCH($D855, Pack_Master!$A:$A, 0)) )
  + VALUE( INDEX(Pack_Master!$D:$D, MATCH($D855, Pack_Master!$A:$A, 0)) ),
"")
</f>
        <v>0</v>
      </c>
      <c r="G855" s="17">
        <f t="array" ref="G855">IFERROR(
 ( INDEX(Pack_Master!E:E, MATCH($D855, Pack_Master!A:A, 0))
   * INDEX(Pack_Master!F:F, MATCH($D855, Pack_Master!A:A, 0))
   * INDEX(Pack_Master!G:G, MATCH($D855, Pack_Master!A:A, 0))
 ) / INDEX(Config!C:C, MATCH($A855, Config!A:A, 0)),
"")
</f>
        <v>0</v>
      </c>
      <c r="H855" s="17">
        <f t="array" ref="H855">MAX( INDEX(Pack_Master!H:H, MATCH($D855, Pack_Master!A:A, 0)),
      IFERROR(G855, 0) )
</f>
        <v>0</v>
      </c>
      <c r="I855" s="18" t="str">
        <f>IFERROR(__xludf.DUMMYFUNCTION("IFERROR(
 INDEX(
   FILTER(Shipping_Rate_Card!B:F, Shipping_Rate_Card!A:A=$A855),
   MATCH($H855, FILTER(Shipping_Rate_Card!B:B, Shipping_Rate_Card!A:A=$A855), 1),
   IF( INDEX(Config!B:B, MATCH($A855, Config!A:A, 0))=""Local"", 2,
     IF( INDEX(Config!B"&amp;":B, MATCH($A855, Config!A:A, 0))=""Regional"", 3, 4 )
   )
 ),
"""")
"),"")</f>
        <v/>
      </c>
      <c r="J855" s="16">
        <f>IFERROR(__xludf.DUMMYFUNCTION("IFERROR(
 ( E855 * INDEX(FILTER(Pricing_Rules!E:E, Pricing_Rules!A:A=A855, Pricing_Rules!B:B=B855, Pricing_Rules!C:C&lt;=E855, Pricing_Rules!D:D&gt;=E855), 1)
   + INDEX(FILTER(Pricing_Rules!F:F, Pricing_Rules!A:A=A855, Pricing_Rules!B:B=B855, Pricing_Rules!C:C"&amp;"&lt;=E855, Pricing_Rules!D:D&gt;=E855), 1)
 )
 * (1 + IFERROR( INDEX(Config!D:D, MATCH(A855, Config!A:A, 0)), 0 )),
"""")
"),15.34)</f>
        <v>15.34</v>
      </c>
      <c r="K855" s="19">
        <f t="shared" si="3"/>
        <v>-15.34</v>
      </c>
      <c r="L855" s="20" t="str">
        <f t="shared" si="4"/>
        <v/>
      </c>
    </row>
    <row r="856" ht="15.75" customHeight="1">
      <c r="A856" s="9" t="s">
        <v>1162</v>
      </c>
      <c r="B856" s="12" t="str">
        <f t="array" ref="B856">XLOOKUP(C856, Channel_Listings!C:C, Channel_Listings!B:B)
</f>
        <v>Apparel_Hoodies_Sweatshirts</v>
      </c>
      <c r="C856" s="23" t="s">
        <v>474</v>
      </c>
      <c r="D856" s="14" t="str">
        <f t="array" ref="D856">XLOOKUP(C856, Channel_Listings!C:C, Channel_Listings!D:D)
</f>
        <v>HOODIE-BLACK-SOLID-XL</v>
      </c>
      <c r="E856" s="15"/>
      <c r="F856" s="16">
        <f t="array" ref="F856">IFERROR(
  VALUE( INDEX(Product_Master!$I:$I,
               MATCH( INDEX(Pack_Master!$B:$B, MATCH($D856, Pack_Master!$A:$A, 0)),
                      Product_Master!$B:$B, 0)
  )) 
  * VALUE( INDEX(Pack_Master!$C:$C, MATCH($D856, Pack_Master!$A:$A, 0)) )
  + VALUE( INDEX(Pack_Master!$D:$D, MATCH($D856, Pack_Master!$A:$A, 0)) ),
"")
</f>
        <v>0</v>
      </c>
      <c r="G856" s="17">
        <f t="array" ref="G856">IFERROR(
 ( INDEX(Pack_Master!E:E, MATCH($D856, Pack_Master!A:A, 0))
   * INDEX(Pack_Master!F:F, MATCH($D856, Pack_Master!A:A, 0))
   * INDEX(Pack_Master!G:G, MATCH($D856, Pack_Master!A:A, 0))
 ) / INDEX(Config!C:C, MATCH($A856, Config!A:A, 0)),
"")
</f>
        <v>0</v>
      </c>
      <c r="H856" s="17">
        <f t="array" ref="H856">MAX( INDEX(Pack_Master!H:H, MATCH($D856, Pack_Master!A:A, 0)),
      IFERROR(G856, 0) )
</f>
        <v>0</v>
      </c>
      <c r="I856" s="18" t="str">
        <f>IFERROR(__xludf.DUMMYFUNCTION("IFERROR(
 INDEX(
   FILTER(Shipping_Rate_Card!B:F, Shipping_Rate_Card!A:A=$A856),
   MATCH($H856, FILTER(Shipping_Rate_Card!B:B, Shipping_Rate_Card!A:A=$A856), 1),
   IF( INDEX(Config!B:B, MATCH($A856, Config!A:A, 0))=""Local"", 2,
     IF( INDEX(Config!B"&amp;":B, MATCH($A856, Config!A:A, 0))=""Regional"", 3, 4 )
   )
 ),
"""")
"),"")</f>
        <v/>
      </c>
      <c r="J856" s="16">
        <f>IFERROR(__xludf.DUMMYFUNCTION("IFERROR(
 ( E856 * INDEX(FILTER(Pricing_Rules!E:E, Pricing_Rules!A:A=A856, Pricing_Rules!B:B=B856, Pricing_Rules!C:C&lt;=E856, Pricing_Rules!D:D&gt;=E856), 1)
   + INDEX(FILTER(Pricing_Rules!F:F, Pricing_Rules!A:A=A856, Pricing_Rules!B:B=B856, Pricing_Rules!C:C"&amp;"&lt;=E856, Pricing_Rules!D:D&gt;=E856), 1)
 )
 * (1 + IFERROR( INDEX(Config!D:D, MATCH(A856, Config!A:A, 0)), 0 )),
"""")
"),15.34)</f>
        <v>15.34</v>
      </c>
      <c r="K856" s="19">
        <f t="shared" si="3"/>
        <v>-15.34</v>
      </c>
      <c r="L856" s="20" t="str">
        <f t="shared" si="4"/>
        <v/>
      </c>
    </row>
    <row r="857" ht="15.75" customHeight="1">
      <c r="A857" s="9" t="s">
        <v>1162</v>
      </c>
      <c r="B857" s="12" t="str">
        <f t="array" ref="B857">XLOOKUP(C857, Channel_Listings!C:C, Channel_Listings!B:B)
</f>
        <v>Apparel_Hoodies_Sweatshirts</v>
      </c>
      <c r="C857" s="23" t="s">
        <v>476</v>
      </c>
      <c r="D857" s="14" t="str">
        <f t="array" ref="D857">XLOOKUP(C857, Channel_Listings!C:C, Channel_Listings!D:D)
</f>
        <v>HOODIE-BLACK-SOLID-XXL</v>
      </c>
      <c r="E857" s="15"/>
      <c r="F857" s="16">
        <f t="array" ref="F857">IFERROR(
  VALUE( INDEX(Product_Master!$I:$I,
               MATCH( INDEX(Pack_Master!$B:$B, MATCH($D857, Pack_Master!$A:$A, 0)),
                      Product_Master!$B:$B, 0)
  )) 
  * VALUE( INDEX(Pack_Master!$C:$C, MATCH($D857, Pack_Master!$A:$A, 0)) )
  + VALUE( INDEX(Pack_Master!$D:$D, MATCH($D857, Pack_Master!$A:$A, 0)) ),
"")
</f>
        <v>0</v>
      </c>
      <c r="G857" s="17">
        <f t="array" ref="G857">IFERROR(
 ( INDEX(Pack_Master!E:E, MATCH($D857, Pack_Master!A:A, 0))
   * INDEX(Pack_Master!F:F, MATCH($D857, Pack_Master!A:A, 0))
   * INDEX(Pack_Master!G:G, MATCH($D857, Pack_Master!A:A, 0))
 ) / INDEX(Config!C:C, MATCH($A857, Config!A:A, 0)),
"")
</f>
        <v>0</v>
      </c>
      <c r="H857" s="17">
        <f t="array" ref="H857">MAX( INDEX(Pack_Master!H:H, MATCH($D857, Pack_Master!A:A, 0)),
      IFERROR(G857, 0) )
</f>
        <v>0</v>
      </c>
      <c r="I857" s="18" t="str">
        <f>IFERROR(__xludf.DUMMYFUNCTION("IFERROR(
 INDEX(
   FILTER(Shipping_Rate_Card!B:F, Shipping_Rate_Card!A:A=$A857),
   MATCH($H857, FILTER(Shipping_Rate_Card!B:B, Shipping_Rate_Card!A:A=$A857), 1),
   IF( INDEX(Config!B:B, MATCH($A857, Config!A:A, 0))=""Local"", 2,
     IF( INDEX(Config!B"&amp;":B, MATCH($A857, Config!A:A, 0))=""Regional"", 3, 4 )
   )
 ),
"""")
"),"")</f>
        <v/>
      </c>
      <c r="J857" s="16">
        <f>IFERROR(__xludf.DUMMYFUNCTION("IFERROR(
 ( E857 * INDEX(FILTER(Pricing_Rules!E:E, Pricing_Rules!A:A=A857, Pricing_Rules!B:B=B857, Pricing_Rules!C:C&lt;=E857, Pricing_Rules!D:D&gt;=E857), 1)
   + INDEX(FILTER(Pricing_Rules!F:F, Pricing_Rules!A:A=A857, Pricing_Rules!B:B=B857, Pricing_Rules!C:C"&amp;"&lt;=E857, Pricing_Rules!D:D&gt;=E857), 1)
 )
 * (1 + IFERROR( INDEX(Config!D:D, MATCH(A857, Config!A:A, 0)), 0 )),
"""")
"),15.34)</f>
        <v>15.34</v>
      </c>
      <c r="K857" s="19">
        <f t="shared" si="3"/>
        <v>-15.34</v>
      </c>
      <c r="L857" s="20" t="str">
        <f t="shared" si="4"/>
        <v/>
      </c>
    </row>
    <row r="858" ht="15.75" customHeight="1">
      <c r="A858" s="9" t="s">
        <v>1162</v>
      </c>
      <c r="B858" s="12" t="str">
        <f t="array" ref="B858">XLOOKUP(C858, Channel_Listings!C:C, Channel_Listings!B:B)
</f>
        <v>Apparel_Hoodies_Sweatshirts</v>
      </c>
      <c r="C858" s="23" t="s">
        <v>478</v>
      </c>
      <c r="D858" s="14" t="str">
        <f t="array" ref="D858">XLOOKUP(C858, Channel_Listings!C:C, Channel_Listings!D:D)
</f>
        <v>HOODIE-NAVYBLUE-SOLID-L</v>
      </c>
      <c r="E858" s="15"/>
      <c r="F858" s="16">
        <f t="array" ref="F858">IFERROR(
  VALUE( INDEX(Product_Master!$I:$I,
               MATCH( INDEX(Pack_Master!$B:$B, MATCH($D858, Pack_Master!$A:$A, 0)),
                      Product_Master!$B:$B, 0)
  )) 
  * VALUE( INDEX(Pack_Master!$C:$C, MATCH($D858, Pack_Master!$A:$A, 0)) )
  + VALUE( INDEX(Pack_Master!$D:$D, MATCH($D858, Pack_Master!$A:$A, 0)) ),
"")
</f>
        <v>0</v>
      </c>
      <c r="G858" s="17">
        <f t="array" ref="G858">IFERROR(
 ( INDEX(Pack_Master!E:E, MATCH($D858, Pack_Master!A:A, 0))
   * INDEX(Pack_Master!F:F, MATCH($D858, Pack_Master!A:A, 0))
   * INDEX(Pack_Master!G:G, MATCH($D858, Pack_Master!A:A, 0))
 ) / INDEX(Config!C:C, MATCH($A858, Config!A:A, 0)),
"")
</f>
        <v>0</v>
      </c>
      <c r="H858" s="17">
        <f t="array" ref="H858">MAX( INDEX(Pack_Master!H:H, MATCH($D858, Pack_Master!A:A, 0)),
      IFERROR(G858, 0) )
</f>
        <v>0</v>
      </c>
      <c r="I858" s="18" t="str">
        <f>IFERROR(__xludf.DUMMYFUNCTION("IFERROR(
 INDEX(
   FILTER(Shipping_Rate_Card!B:F, Shipping_Rate_Card!A:A=$A858),
   MATCH($H858, FILTER(Shipping_Rate_Card!B:B, Shipping_Rate_Card!A:A=$A858), 1),
   IF( INDEX(Config!B:B, MATCH($A858, Config!A:A, 0))=""Local"", 2,
     IF( INDEX(Config!B"&amp;":B, MATCH($A858, Config!A:A, 0))=""Regional"", 3, 4 )
   )
 ),
"""")
"),"")</f>
        <v/>
      </c>
      <c r="J858" s="16">
        <f>IFERROR(__xludf.DUMMYFUNCTION("IFERROR(
 ( E858 * INDEX(FILTER(Pricing_Rules!E:E, Pricing_Rules!A:A=A858, Pricing_Rules!B:B=B858, Pricing_Rules!C:C&lt;=E858, Pricing_Rules!D:D&gt;=E858), 1)
   + INDEX(FILTER(Pricing_Rules!F:F, Pricing_Rules!A:A=A858, Pricing_Rules!B:B=B858, Pricing_Rules!C:C"&amp;"&lt;=E858, Pricing_Rules!D:D&gt;=E858), 1)
 )
 * (1 + IFERROR( INDEX(Config!D:D, MATCH(A858, Config!A:A, 0)), 0 )),
"""")
"),15.34)</f>
        <v>15.34</v>
      </c>
      <c r="K858" s="19">
        <f t="shared" si="3"/>
        <v>-15.34</v>
      </c>
      <c r="L858" s="20" t="str">
        <f t="shared" si="4"/>
        <v/>
      </c>
    </row>
    <row r="859" ht="15.75" customHeight="1">
      <c r="A859" s="9" t="s">
        <v>1162</v>
      </c>
      <c r="B859" s="12" t="str">
        <f t="array" ref="B859">XLOOKUP(C859, Channel_Listings!C:C, Channel_Listings!B:B)
</f>
        <v>Apparel_Hoodies_Sweatshirts</v>
      </c>
      <c r="C859" s="23" t="s">
        <v>480</v>
      </c>
      <c r="D859" s="14" t="str">
        <f t="array" ref="D859">XLOOKUP(C859, Channel_Listings!C:C, Channel_Listings!D:D)
</f>
        <v>HOODIE-NAVYBLUE-SOLID-XL</v>
      </c>
      <c r="E859" s="15"/>
      <c r="F859" s="16">
        <f t="array" ref="F859">IFERROR(
  VALUE( INDEX(Product_Master!$I:$I,
               MATCH( INDEX(Pack_Master!$B:$B, MATCH($D859, Pack_Master!$A:$A, 0)),
                      Product_Master!$B:$B, 0)
  )) 
  * VALUE( INDEX(Pack_Master!$C:$C, MATCH($D859, Pack_Master!$A:$A, 0)) )
  + VALUE( INDEX(Pack_Master!$D:$D, MATCH($D859, Pack_Master!$A:$A, 0)) ),
"")
</f>
        <v>0</v>
      </c>
      <c r="G859" s="17">
        <f t="array" ref="G859">IFERROR(
 ( INDEX(Pack_Master!E:E, MATCH($D859, Pack_Master!A:A, 0))
   * INDEX(Pack_Master!F:F, MATCH($D859, Pack_Master!A:A, 0))
   * INDEX(Pack_Master!G:G, MATCH($D859, Pack_Master!A:A, 0))
 ) / INDEX(Config!C:C, MATCH($A859, Config!A:A, 0)),
"")
</f>
        <v>0</v>
      </c>
      <c r="H859" s="17">
        <f t="array" ref="H859">MAX( INDEX(Pack_Master!H:H, MATCH($D859, Pack_Master!A:A, 0)),
      IFERROR(G859, 0) )
</f>
        <v>0</v>
      </c>
      <c r="I859" s="18" t="str">
        <f>IFERROR(__xludf.DUMMYFUNCTION("IFERROR(
 INDEX(
   FILTER(Shipping_Rate_Card!B:F, Shipping_Rate_Card!A:A=$A859),
   MATCH($H859, FILTER(Shipping_Rate_Card!B:B, Shipping_Rate_Card!A:A=$A859), 1),
   IF( INDEX(Config!B:B, MATCH($A859, Config!A:A, 0))=""Local"", 2,
     IF( INDEX(Config!B"&amp;":B, MATCH($A859, Config!A:A, 0))=""Regional"", 3, 4 )
   )
 ),
"""")
"),"")</f>
        <v/>
      </c>
      <c r="J859" s="16">
        <f>IFERROR(__xludf.DUMMYFUNCTION("IFERROR(
 ( E859 * INDEX(FILTER(Pricing_Rules!E:E, Pricing_Rules!A:A=A859, Pricing_Rules!B:B=B859, Pricing_Rules!C:C&lt;=E859, Pricing_Rules!D:D&gt;=E859), 1)
   + INDEX(FILTER(Pricing_Rules!F:F, Pricing_Rules!A:A=A859, Pricing_Rules!B:B=B859, Pricing_Rules!C:C"&amp;"&lt;=E859, Pricing_Rules!D:D&gt;=E859), 1)
 )
 * (1 + IFERROR( INDEX(Config!D:D, MATCH(A859, Config!A:A, 0)), 0 )),
"""")
"),15.34)</f>
        <v>15.34</v>
      </c>
      <c r="K859" s="19">
        <f t="shared" si="3"/>
        <v>-15.34</v>
      </c>
      <c r="L859" s="20" t="str">
        <f t="shared" si="4"/>
        <v/>
      </c>
    </row>
    <row r="860" ht="15.75" customHeight="1">
      <c r="A860" s="9" t="s">
        <v>1162</v>
      </c>
      <c r="B860" s="12" t="str">
        <f t="array" ref="B860">XLOOKUP(C860, Channel_Listings!C:C, Channel_Listings!B:B)
</f>
        <v>Kitchen_Containers</v>
      </c>
      <c r="C860" s="23" t="s">
        <v>482</v>
      </c>
      <c r="D860" s="14" t="str">
        <f t="array" ref="D860">XLOOKUP(C860, Channel_Listings!C:C, Channel_Listings!D:D)
</f>
        <v>JAR-CRYSTO1000-PK3</v>
      </c>
      <c r="E860" s="15"/>
      <c r="F860" s="16">
        <f t="array" ref="F860">IFERROR(
  VALUE( INDEX(Product_Master!$I:$I,
               MATCH( INDEX(Pack_Master!$B:$B, MATCH($D860, Pack_Master!$A:$A, 0)),
                      Product_Master!$B:$B, 0)
  )) 
  * VALUE( INDEX(Pack_Master!$C:$C, MATCH($D860, Pack_Master!$A:$A, 0)) )
  + VALUE( INDEX(Pack_Master!$D:$D, MATCH($D860, Pack_Master!$A:$A, 0)) ),
"")
</f>
        <v>0</v>
      </c>
      <c r="G860" s="17">
        <f t="array" ref="G860">IFERROR(
 ( INDEX(Pack_Master!E:E, MATCH($D860, Pack_Master!A:A, 0))
   * INDEX(Pack_Master!F:F, MATCH($D860, Pack_Master!A:A, 0))
   * INDEX(Pack_Master!G:G, MATCH($D860, Pack_Master!A:A, 0))
 ) / INDEX(Config!C:C, MATCH($A860, Config!A:A, 0)),
"")
</f>
        <v>0</v>
      </c>
      <c r="H860" s="17">
        <f t="array" ref="H860">MAX( INDEX(Pack_Master!H:H, MATCH($D860, Pack_Master!A:A, 0)),
      IFERROR(G860, 0) )
</f>
        <v>0</v>
      </c>
      <c r="I860" s="18" t="str">
        <f>IFERROR(__xludf.DUMMYFUNCTION("IFERROR(
 INDEX(
   FILTER(Shipping_Rate_Card!B:F, Shipping_Rate_Card!A:A=$A860),
   MATCH($H860, FILTER(Shipping_Rate_Card!B:B, Shipping_Rate_Card!A:A=$A860), 1),
   IF( INDEX(Config!B:B, MATCH($A860, Config!A:A, 0))=""Local"", 2,
     IF( INDEX(Config!B"&amp;":B, MATCH($A860, Config!A:A, 0))=""Regional"", 3, 4 )
   )
 ),
"""")
"),"")</f>
        <v/>
      </c>
      <c r="J860" s="16">
        <f>IFERROR(__xludf.DUMMYFUNCTION("IFERROR(
 ( E860 * INDEX(FILTER(Pricing_Rules!E:E, Pricing_Rules!A:A=A860, Pricing_Rules!B:B=B860, Pricing_Rules!C:C&lt;=E860, Pricing_Rules!D:D&gt;=E860), 1)
   + INDEX(FILTER(Pricing_Rules!F:F, Pricing_Rules!A:A=A860, Pricing_Rules!B:B=B860, Pricing_Rules!C:C"&amp;"&lt;=E860, Pricing_Rules!D:D&gt;=E860), 1)
 )
 * (1 + IFERROR( INDEX(Config!D:D, MATCH(A860, Config!A:A, 0)), 0 )),
"""")
"),15.34)</f>
        <v>15.34</v>
      </c>
      <c r="K860" s="19">
        <f t="shared" si="3"/>
        <v>-15.34</v>
      </c>
      <c r="L860" s="20" t="str">
        <f t="shared" si="4"/>
        <v/>
      </c>
    </row>
    <row r="861" ht="15.75" customHeight="1">
      <c r="A861" s="9" t="s">
        <v>1162</v>
      </c>
      <c r="B861" s="12" t="str">
        <f t="array" ref="B861">XLOOKUP(C861, Channel_Listings!C:C, Channel_Listings!B:B)
</f>
        <v>Kitchen_Containers</v>
      </c>
      <c r="C861" s="23" t="s">
        <v>488</v>
      </c>
      <c r="D861" s="14" t="str">
        <f t="array" ref="D861">XLOOKUP(C861, Channel_Listings!C:C, Channel_Listings!D:D)
</f>
        <v>JAR-CRYSTO2000-PK3</v>
      </c>
      <c r="E861" s="15"/>
      <c r="F861" s="16">
        <f t="array" ref="F861">IFERROR(
  VALUE( INDEX(Product_Master!$I:$I,
               MATCH( INDEX(Pack_Master!$B:$B, MATCH($D861, Pack_Master!$A:$A, 0)),
                      Product_Master!$B:$B, 0)
  )) 
  * VALUE( INDEX(Pack_Master!$C:$C, MATCH($D861, Pack_Master!$A:$A, 0)) )
  + VALUE( INDEX(Pack_Master!$D:$D, MATCH($D861, Pack_Master!$A:$A, 0)) ),
"")
</f>
        <v>0</v>
      </c>
      <c r="G861" s="17">
        <f t="array" ref="G861">IFERROR(
 ( INDEX(Pack_Master!E:E, MATCH($D861, Pack_Master!A:A, 0))
   * INDEX(Pack_Master!F:F, MATCH($D861, Pack_Master!A:A, 0))
   * INDEX(Pack_Master!G:G, MATCH($D861, Pack_Master!A:A, 0))
 ) / INDEX(Config!C:C, MATCH($A861, Config!A:A, 0)),
"")
</f>
        <v>0</v>
      </c>
      <c r="H861" s="17">
        <f t="array" ref="H861">MAX( INDEX(Pack_Master!H:H, MATCH($D861, Pack_Master!A:A, 0)),
      IFERROR(G861, 0) )
</f>
        <v>0</v>
      </c>
      <c r="I861" s="18" t="str">
        <f>IFERROR(__xludf.DUMMYFUNCTION("IFERROR(
 INDEX(
   FILTER(Shipping_Rate_Card!B:F, Shipping_Rate_Card!A:A=$A861),
   MATCH($H861, FILTER(Shipping_Rate_Card!B:B, Shipping_Rate_Card!A:A=$A861), 1),
   IF( INDEX(Config!B:B, MATCH($A861, Config!A:A, 0))=""Local"", 2,
     IF( INDEX(Config!B"&amp;":B, MATCH($A861, Config!A:A, 0))=""Regional"", 3, 4 )
   )
 ),
"""")
"),"")</f>
        <v/>
      </c>
      <c r="J861" s="16">
        <f>IFERROR(__xludf.DUMMYFUNCTION("IFERROR(
 ( E861 * INDEX(FILTER(Pricing_Rules!E:E, Pricing_Rules!A:A=A861, Pricing_Rules!B:B=B861, Pricing_Rules!C:C&lt;=E861, Pricing_Rules!D:D&gt;=E861), 1)
   + INDEX(FILTER(Pricing_Rules!F:F, Pricing_Rules!A:A=A861, Pricing_Rules!B:B=B861, Pricing_Rules!C:C"&amp;"&lt;=E861, Pricing_Rules!D:D&gt;=E861), 1)
 )
 * (1 + IFERROR( INDEX(Config!D:D, MATCH(A861, Config!A:A, 0)), 0 )),
"""")
"),15.34)</f>
        <v>15.34</v>
      </c>
      <c r="K861" s="19">
        <f t="shared" si="3"/>
        <v>-15.34</v>
      </c>
      <c r="L861" s="20" t="str">
        <f t="shared" si="4"/>
        <v/>
      </c>
    </row>
    <row r="862" ht="15.75" customHeight="1">
      <c r="A862" s="9" t="s">
        <v>1162</v>
      </c>
      <c r="B862" s="12" t="str">
        <f t="array" ref="B862">XLOOKUP(C862, Channel_Listings!C:C, Channel_Listings!B:B)
</f>
        <v>Kitchen_Containers</v>
      </c>
      <c r="C862" s="23" t="s">
        <v>491</v>
      </c>
      <c r="D862" s="14" t="str">
        <f t="array" ref="D862">XLOOKUP(C862, Channel_Listings!C:C, Channel_Listings!D:D)
</f>
        <v>JAR-CRYSTO250-PK3</v>
      </c>
      <c r="E862" s="15"/>
      <c r="F862" s="16">
        <f t="array" ref="F862">IFERROR(
  VALUE( INDEX(Product_Master!$I:$I,
               MATCH( INDEX(Pack_Master!$B:$B, MATCH($D862, Pack_Master!$A:$A, 0)),
                      Product_Master!$B:$B, 0)
  )) 
  * VALUE( INDEX(Pack_Master!$C:$C, MATCH($D862, Pack_Master!$A:$A, 0)) )
  + VALUE( INDEX(Pack_Master!$D:$D, MATCH($D862, Pack_Master!$A:$A, 0)) ),
"")
</f>
        <v>0</v>
      </c>
      <c r="G862" s="17">
        <f t="array" ref="G862">IFERROR(
 ( INDEX(Pack_Master!E:E, MATCH($D862, Pack_Master!A:A, 0))
   * INDEX(Pack_Master!F:F, MATCH($D862, Pack_Master!A:A, 0))
   * INDEX(Pack_Master!G:G, MATCH($D862, Pack_Master!A:A, 0))
 ) / INDEX(Config!C:C, MATCH($A862, Config!A:A, 0)),
"")
</f>
        <v>0</v>
      </c>
      <c r="H862" s="17">
        <f t="array" ref="H862">MAX( INDEX(Pack_Master!H:H, MATCH($D862, Pack_Master!A:A, 0)),
      IFERROR(G862, 0) )
</f>
        <v>0</v>
      </c>
      <c r="I862" s="18" t="str">
        <f>IFERROR(__xludf.DUMMYFUNCTION("IFERROR(
 INDEX(
   FILTER(Shipping_Rate_Card!B:F, Shipping_Rate_Card!A:A=$A862),
   MATCH($H862, FILTER(Shipping_Rate_Card!B:B, Shipping_Rate_Card!A:A=$A862), 1),
   IF( INDEX(Config!B:B, MATCH($A862, Config!A:A, 0))=""Local"", 2,
     IF( INDEX(Config!B"&amp;":B, MATCH($A862, Config!A:A, 0))=""Regional"", 3, 4 )
   )
 ),
"""")
"),"")</f>
        <v/>
      </c>
      <c r="J862" s="16">
        <f>IFERROR(__xludf.DUMMYFUNCTION("IFERROR(
 ( E862 * INDEX(FILTER(Pricing_Rules!E:E, Pricing_Rules!A:A=A862, Pricing_Rules!B:B=B862, Pricing_Rules!C:C&lt;=E862, Pricing_Rules!D:D&gt;=E862), 1)
   + INDEX(FILTER(Pricing_Rules!F:F, Pricing_Rules!A:A=A862, Pricing_Rules!B:B=B862, Pricing_Rules!C:C"&amp;"&lt;=E862, Pricing_Rules!D:D&gt;=E862), 1)
 )
 * (1 + IFERROR( INDEX(Config!D:D, MATCH(A862, Config!A:A, 0)), 0 )),
"""")
"),15.34)</f>
        <v>15.34</v>
      </c>
      <c r="K862" s="19">
        <f t="shared" si="3"/>
        <v>-15.34</v>
      </c>
      <c r="L862" s="20" t="str">
        <f t="shared" si="4"/>
        <v/>
      </c>
    </row>
    <row r="863" ht="15.75" customHeight="1">
      <c r="A863" s="9" t="s">
        <v>1162</v>
      </c>
      <c r="B863" s="12" t="str">
        <f t="array" ref="B863">XLOOKUP(C863, Channel_Listings!C:C, Channel_Listings!B:B)
</f>
        <v>Apparel_ArmSleeves</v>
      </c>
      <c r="C863" s="23" t="s">
        <v>510</v>
      </c>
      <c r="D863" s="14" t="str">
        <f t="array" ref="D863">XLOOKUP(C863, Channel_Listings!C:C, Channel_Listings!D:D)
</f>
        <v>ARMSLEEVES-HALF-BEIGE</v>
      </c>
      <c r="E863" s="15"/>
      <c r="F863" s="16">
        <f t="array" ref="F863">IFERROR(
  VALUE( INDEX(Product_Master!$I:$I,
               MATCH( INDEX(Pack_Master!$B:$B, MATCH($D863, Pack_Master!$A:$A, 0)),
                      Product_Master!$B:$B, 0)
  )) 
  * VALUE( INDEX(Pack_Master!$C:$C, MATCH($D863, Pack_Master!$A:$A, 0)) )
  + VALUE( INDEX(Pack_Master!$D:$D, MATCH($D863, Pack_Master!$A:$A, 0)) ),
"")
</f>
        <v>0</v>
      </c>
      <c r="G863" s="17">
        <f t="array" ref="G863">IFERROR(
 ( INDEX(Pack_Master!E:E, MATCH($D863, Pack_Master!A:A, 0))
   * INDEX(Pack_Master!F:F, MATCH($D863, Pack_Master!A:A, 0))
   * INDEX(Pack_Master!G:G, MATCH($D863, Pack_Master!A:A, 0))
 ) / INDEX(Config!C:C, MATCH($A863, Config!A:A, 0)),
"")
</f>
        <v>0</v>
      </c>
      <c r="H863" s="17">
        <f t="array" ref="H863">MAX( INDEX(Pack_Master!H:H, MATCH($D863, Pack_Master!A:A, 0)),
      IFERROR(G863, 0) )
</f>
        <v>0</v>
      </c>
      <c r="I863" s="18" t="str">
        <f>IFERROR(__xludf.DUMMYFUNCTION("IFERROR(
 INDEX(
   FILTER(Shipping_Rate_Card!B:F, Shipping_Rate_Card!A:A=$A863),
   MATCH($H863, FILTER(Shipping_Rate_Card!B:B, Shipping_Rate_Card!A:A=$A863), 1),
   IF( INDEX(Config!B:B, MATCH($A863, Config!A:A, 0))=""Local"", 2,
     IF( INDEX(Config!B"&amp;":B, MATCH($A863, Config!A:A, 0))=""Regional"", 3, 4 )
   )
 ),
"""")
"),"")</f>
        <v/>
      </c>
      <c r="J863" s="16">
        <f>IFERROR(__xludf.DUMMYFUNCTION("IFERROR(
 ( E863 * INDEX(FILTER(Pricing_Rules!E:E, Pricing_Rules!A:A=A863, Pricing_Rules!B:B=B863, Pricing_Rules!C:C&lt;=E863, Pricing_Rules!D:D&gt;=E863), 1)
   + INDEX(FILTER(Pricing_Rules!F:F, Pricing_Rules!A:A=A863, Pricing_Rules!B:B=B863, Pricing_Rules!C:C"&amp;"&lt;=E863, Pricing_Rules!D:D&gt;=E863), 1)
 )
 * (1 + IFERROR( INDEX(Config!D:D, MATCH(A863, Config!A:A, 0)), 0 )),
"""")
"),0.0)</f>
        <v>0</v>
      </c>
      <c r="K863" s="19">
        <f t="shared" si="3"/>
        <v>0</v>
      </c>
      <c r="L863" s="20" t="str">
        <f t="shared" si="4"/>
        <v/>
      </c>
    </row>
    <row r="864" ht="15.75" customHeight="1">
      <c r="A864" s="9" t="s">
        <v>1162</v>
      </c>
      <c r="B864" s="12" t="str">
        <f t="array" ref="B864">XLOOKUP(C864, Channel_Listings!C:C, Channel_Listings!B:B)
</f>
        <v>Apparel_ArmSleeves</v>
      </c>
      <c r="C864" s="23" t="s">
        <v>512</v>
      </c>
      <c r="D864" s="14" t="str">
        <f t="array" ref="D864">XLOOKUP(C864, Channel_Listings!C:C, Channel_Listings!D:D)
</f>
        <v>ARMSLEEVES-HALF-BLACK</v>
      </c>
      <c r="E864" s="15"/>
      <c r="F864" s="16">
        <f t="array" ref="F864">IFERROR(
  VALUE( INDEX(Product_Master!$I:$I,
               MATCH( INDEX(Pack_Master!$B:$B, MATCH($D864, Pack_Master!$A:$A, 0)),
                      Product_Master!$B:$B, 0)
  )) 
  * VALUE( INDEX(Pack_Master!$C:$C, MATCH($D864, Pack_Master!$A:$A, 0)) )
  + VALUE( INDEX(Pack_Master!$D:$D, MATCH($D864, Pack_Master!$A:$A, 0)) ),
"")
</f>
        <v>0</v>
      </c>
      <c r="G864" s="17">
        <f t="array" ref="G864">IFERROR(
 ( INDEX(Pack_Master!E:E, MATCH($D864, Pack_Master!A:A, 0))
   * INDEX(Pack_Master!F:F, MATCH($D864, Pack_Master!A:A, 0))
   * INDEX(Pack_Master!G:G, MATCH($D864, Pack_Master!A:A, 0))
 ) / INDEX(Config!C:C, MATCH($A864, Config!A:A, 0)),
"")
</f>
        <v>0</v>
      </c>
      <c r="H864" s="17">
        <f t="array" ref="H864">MAX( INDEX(Pack_Master!H:H, MATCH($D864, Pack_Master!A:A, 0)),
      IFERROR(G864, 0) )
</f>
        <v>0</v>
      </c>
      <c r="I864" s="18" t="str">
        <f>IFERROR(__xludf.DUMMYFUNCTION("IFERROR(
 INDEX(
   FILTER(Shipping_Rate_Card!B:F, Shipping_Rate_Card!A:A=$A864),
   MATCH($H864, FILTER(Shipping_Rate_Card!B:B, Shipping_Rate_Card!A:A=$A864), 1),
   IF( INDEX(Config!B:B, MATCH($A864, Config!A:A, 0))=""Local"", 2,
     IF( INDEX(Config!B"&amp;":B, MATCH($A864, Config!A:A, 0))=""Regional"", 3, 4 )
   )
 ),
"""")
"),"")</f>
        <v/>
      </c>
      <c r="J864" s="16">
        <f>IFERROR(__xludf.DUMMYFUNCTION("IFERROR(
 ( E864 * INDEX(FILTER(Pricing_Rules!E:E, Pricing_Rules!A:A=A864, Pricing_Rules!B:B=B864, Pricing_Rules!C:C&lt;=E864, Pricing_Rules!D:D&gt;=E864), 1)
   + INDEX(FILTER(Pricing_Rules!F:F, Pricing_Rules!A:A=A864, Pricing_Rules!B:B=B864, Pricing_Rules!C:C"&amp;"&lt;=E864, Pricing_Rules!D:D&gt;=E864), 1)
 )
 * (1 + IFERROR( INDEX(Config!D:D, MATCH(A864, Config!A:A, 0)), 0 )),
"""")
"),0.0)</f>
        <v>0</v>
      </c>
      <c r="K864" s="19">
        <f t="shared" si="3"/>
        <v>0</v>
      </c>
      <c r="L864" s="20" t="str">
        <f t="shared" si="4"/>
        <v/>
      </c>
    </row>
    <row r="865" ht="15.75" customHeight="1">
      <c r="A865" s="9" t="s">
        <v>1162</v>
      </c>
      <c r="B865" s="12" t="str">
        <f t="array" ref="B865">XLOOKUP(C865, Channel_Listings!C:C, Channel_Listings!B:B)
</f>
        <v>Apparel_ArmSleeves</v>
      </c>
      <c r="C865" s="23" t="s">
        <v>515</v>
      </c>
      <c r="D865" s="14" t="str">
        <f t="array" ref="D865">XLOOKUP(C865, Channel_Listings!C:C, Channel_Listings!D:D)
</f>
        <v>ARMSLEEVES-HALF-WHITE</v>
      </c>
      <c r="E865" s="15"/>
      <c r="F865" s="16">
        <f t="array" ref="F865">IFERROR(
  VALUE( INDEX(Product_Master!$I:$I,
               MATCH( INDEX(Pack_Master!$B:$B, MATCH($D865, Pack_Master!$A:$A, 0)),
                      Product_Master!$B:$B, 0)
  )) 
  * VALUE( INDEX(Pack_Master!$C:$C, MATCH($D865, Pack_Master!$A:$A, 0)) )
  + VALUE( INDEX(Pack_Master!$D:$D, MATCH($D865, Pack_Master!$A:$A, 0)) ),
"")
</f>
        <v>0</v>
      </c>
      <c r="G865" s="17">
        <f t="array" ref="G865">IFERROR(
 ( INDEX(Pack_Master!E:E, MATCH($D865, Pack_Master!A:A, 0))
   * INDEX(Pack_Master!F:F, MATCH($D865, Pack_Master!A:A, 0))
   * INDEX(Pack_Master!G:G, MATCH($D865, Pack_Master!A:A, 0))
 ) / INDEX(Config!C:C, MATCH($A865, Config!A:A, 0)),
"")
</f>
        <v>0</v>
      </c>
      <c r="H865" s="17">
        <f t="array" ref="H865">MAX( INDEX(Pack_Master!H:H, MATCH($D865, Pack_Master!A:A, 0)),
      IFERROR(G865, 0) )
</f>
        <v>0</v>
      </c>
      <c r="I865" s="18" t="str">
        <f>IFERROR(__xludf.DUMMYFUNCTION("IFERROR(
 INDEX(
   FILTER(Shipping_Rate_Card!B:F, Shipping_Rate_Card!A:A=$A865),
   MATCH($H865, FILTER(Shipping_Rate_Card!B:B, Shipping_Rate_Card!A:A=$A865), 1),
   IF( INDEX(Config!B:B, MATCH($A865, Config!A:A, 0))=""Local"", 2,
     IF( INDEX(Config!B"&amp;":B, MATCH($A865, Config!A:A, 0))=""Regional"", 3, 4 )
   )
 ),
"""")
"),"")</f>
        <v/>
      </c>
      <c r="J865" s="16">
        <f>IFERROR(__xludf.DUMMYFUNCTION("IFERROR(
 ( E865 * INDEX(FILTER(Pricing_Rules!E:E, Pricing_Rules!A:A=A865, Pricing_Rules!B:B=B865, Pricing_Rules!C:C&lt;=E865, Pricing_Rules!D:D&gt;=E865), 1)
   + INDEX(FILTER(Pricing_Rules!F:F, Pricing_Rules!A:A=A865, Pricing_Rules!B:B=B865, Pricing_Rules!C:C"&amp;"&lt;=E865, Pricing_Rules!D:D&gt;=E865), 1)
 )
 * (1 + IFERROR( INDEX(Config!D:D, MATCH(A865, Config!A:A, 0)), 0 )),
"""")
"),0.0)</f>
        <v>0</v>
      </c>
      <c r="K865" s="19">
        <f t="shared" si="3"/>
        <v>0</v>
      </c>
      <c r="L865" s="20" t="str">
        <f t="shared" si="4"/>
        <v/>
      </c>
    </row>
    <row r="866" ht="15.75" customHeight="1">
      <c r="A866" s="9" t="s">
        <v>1162</v>
      </c>
      <c r="B866" s="12" t="str">
        <f t="array" ref="B866">XLOOKUP(C866, Channel_Listings!C:C, Channel_Listings!B:B)
</f>
        <v>Automotive_FaceMasks</v>
      </c>
      <c r="C866" s="23" t="s">
        <v>1367</v>
      </c>
      <c r="D866" s="14" t="str">
        <f t="array" ref="D866">XLOOKUP(C866, Channel_Listings!C:C, Channel_Listings!D:D)
</f>
        <v>BANDANA-PATTERN-MULTICOLOR-PK5</v>
      </c>
      <c r="E866" s="15"/>
      <c r="F866" s="16">
        <f t="array" ref="F866">IFERROR(
  VALUE( INDEX(Product_Master!$I:$I,
               MATCH( INDEX(Pack_Master!$B:$B, MATCH($D866, Pack_Master!$A:$A, 0)),
                      Product_Master!$B:$B, 0)
  )) 
  * VALUE( INDEX(Pack_Master!$C:$C, MATCH($D866, Pack_Master!$A:$A, 0)) )
  + VALUE( INDEX(Pack_Master!$D:$D, MATCH($D866, Pack_Master!$A:$A, 0)) ),
"")
</f>
        <v>0</v>
      </c>
      <c r="G866" s="17">
        <f t="array" ref="G866">IFERROR(
 ( INDEX(Pack_Master!E:E, MATCH($D866, Pack_Master!A:A, 0))
   * INDEX(Pack_Master!F:F, MATCH($D866, Pack_Master!A:A, 0))
   * INDEX(Pack_Master!G:G, MATCH($D866, Pack_Master!A:A, 0))
 ) / INDEX(Config!C:C, MATCH($A866, Config!A:A, 0)),
"")
</f>
        <v>0</v>
      </c>
      <c r="H866" s="17">
        <f t="array" ref="H866">MAX( INDEX(Pack_Master!H:H, MATCH($D866, Pack_Master!A:A, 0)),
      IFERROR(G866, 0) )
</f>
        <v>0</v>
      </c>
      <c r="I866" s="18" t="str">
        <f>IFERROR(__xludf.DUMMYFUNCTION("IFERROR(
 INDEX(
   FILTER(Shipping_Rate_Card!B:F, Shipping_Rate_Card!A:A=$A866),
   MATCH($H866, FILTER(Shipping_Rate_Card!B:B, Shipping_Rate_Card!A:A=$A866), 1),
   IF( INDEX(Config!B:B, MATCH($A866, Config!A:A, 0))=""Local"", 2,
     IF( INDEX(Config!B"&amp;":B, MATCH($A866, Config!A:A, 0))=""Regional"", 3, 4 )
   )
 ),
"""")
"),"")</f>
        <v/>
      </c>
      <c r="J866" s="16">
        <f>IFERROR(__xludf.DUMMYFUNCTION("IFERROR(
 ( E866 * INDEX(FILTER(Pricing_Rules!E:E, Pricing_Rules!A:A=A866, Pricing_Rules!B:B=B866, Pricing_Rules!C:C&lt;=E866, Pricing_Rules!D:D&gt;=E866), 1)
   + INDEX(FILTER(Pricing_Rules!F:F, Pricing_Rules!A:A=A866, Pricing_Rules!B:B=B866, Pricing_Rules!C:C"&amp;"&lt;=E866, Pricing_Rules!D:D&gt;=E866), 1)
 )
 * (1 + IFERROR( INDEX(Config!D:D, MATCH(A866, Config!A:A, 0)), 0 )),
"""")
"),0.0)</f>
        <v>0</v>
      </c>
      <c r="K866" s="19">
        <f t="shared" si="3"/>
        <v>0</v>
      </c>
      <c r="L866" s="20" t="str">
        <f t="shared" si="4"/>
        <v/>
      </c>
    </row>
    <row r="867" ht="15.75" customHeight="1">
      <c r="A867" s="9" t="s">
        <v>1162</v>
      </c>
      <c r="B867" s="12" t="str">
        <f t="array" ref="B867">XLOOKUP(C867, Channel_Listings!C:C, Channel_Listings!B:B)
</f>
        <v>Apparel_Caps_Beanies</v>
      </c>
      <c r="C867" s="23" t="s">
        <v>1369</v>
      </c>
      <c r="D867" s="14" t="str">
        <f t="array" ref="D867">XLOOKUP(C867, Channel_Listings!C:C, Channel_Listings!D:D)
</f>
        <v>BEANIE-SHORTFUR-BEIGE</v>
      </c>
      <c r="E867" s="15"/>
      <c r="F867" s="16">
        <f t="array" ref="F867">IFERROR(
  VALUE( INDEX(Product_Master!$I:$I,
               MATCH( INDEX(Pack_Master!$B:$B, MATCH($D867, Pack_Master!$A:$A, 0)),
                      Product_Master!$B:$B, 0)
  )) 
  * VALUE( INDEX(Pack_Master!$C:$C, MATCH($D867, Pack_Master!$A:$A, 0)) )
  + VALUE( INDEX(Pack_Master!$D:$D, MATCH($D867, Pack_Master!$A:$A, 0)) ),
"")
</f>
        <v>109</v>
      </c>
      <c r="G867" s="17">
        <f t="array" ref="G867">IFERROR(
 ( INDEX(Pack_Master!E:E, MATCH($D867, Pack_Master!A:A, 0))
   * INDEX(Pack_Master!F:F, MATCH($D867, Pack_Master!A:A, 0))
   * INDEX(Pack_Master!G:G, MATCH($D867, Pack_Master!A:A, 0))
 ) / INDEX(Config!C:C, MATCH($A867, Config!A:A, 0)),
"")
</f>
        <v>0.375</v>
      </c>
      <c r="H867" s="17">
        <f t="array" ref="H867">MAX( INDEX(Pack_Master!H:H, MATCH($D867, Pack_Master!A:A, 0)),
      IFERROR(G867, 0) )
</f>
        <v>0.5</v>
      </c>
      <c r="I867" s="18">
        <f>IFERROR(__xludf.DUMMYFUNCTION("IFERROR(
 INDEX(
   FILTER(Shipping_Rate_Card!B:F, Shipping_Rate_Card!A:A=$A867),
   MATCH($H867, FILTER(Shipping_Rate_Card!B:B, Shipping_Rate_Card!A:A=$A867), 1),
   IF( INDEX(Config!B:B, MATCH($A867, Config!A:A, 0))=""Local"", 2,
     IF( INDEX(Config!B"&amp;":B, MATCH($A867, Config!A:A, 0))=""Regional"", 3, 4 )
   )
 ),
"""")
"),75.0)</f>
        <v>75</v>
      </c>
      <c r="J867" s="16">
        <f>IFERROR(__xludf.DUMMYFUNCTION("IFERROR(
 ( E867 * INDEX(FILTER(Pricing_Rules!E:E, Pricing_Rules!A:A=A867, Pricing_Rules!B:B=B867, Pricing_Rules!C:C&lt;=E867, Pricing_Rules!D:D&gt;=E867), 1)
   + INDEX(FILTER(Pricing_Rules!F:F, Pricing_Rules!A:A=A867, Pricing_Rules!B:B=B867, Pricing_Rules!C:C"&amp;"&lt;=E867, Pricing_Rules!D:D&gt;=E867), 1)
 )
 * (1 + IFERROR( INDEX(Config!D:D, MATCH(A867, Config!A:A, 0)), 0 )),
"""")
"),15.34)</f>
        <v>15.34</v>
      </c>
      <c r="K867" s="19">
        <f t="shared" si="3"/>
        <v>-199.34</v>
      </c>
      <c r="L867" s="20" t="str">
        <f t="shared" si="4"/>
        <v/>
      </c>
    </row>
    <row r="868" ht="15.75" customHeight="1">
      <c r="A868" s="9" t="s">
        <v>1162</v>
      </c>
      <c r="B868" s="12" t="str">
        <f t="array" ref="B868">XLOOKUP(C868, Channel_Listings!C:C, Channel_Listings!B:B)
</f>
        <v>Apparel_Caps_Beanies</v>
      </c>
      <c r="C868" s="23" t="s">
        <v>1371</v>
      </c>
      <c r="D868" s="14" t="str">
        <f t="array" ref="D868">XLOOKUP(C868, Channel_Listings!C:C, Channel_Listings!D:D)
</f>
        <v>BEANIE-SHORTFUR-BLACK</v>
      </c>
      <c r="E868" s="15"/>
      <c r="F868" s="16">
        <f t="array" ref="F868">IFERROR(
  VALUE( INDEX(Product_Master!$I:$I,
               MATCH( INDEX(Pack_Master!$B:$B, MATCH($D868, Pack_Master!$A:$A, 0)),
                      Product_Master!$B:$B, 0)
  )) 
  * VALUE( INDEX(Pack_Master!$C:$C, MATCH($D868, Pack_Master!$A:$A, 0)) )
  + VALUE( INDEX(Pack_Master!$D:$D, MATCH($D868, Pack_Master!$A:$A, 0)) ),
"")
</f>
        <v>109</v>
      </c>
      <c r="G868" s="17">
        <f t="array" ref="G868">IFERROR(
 ( INDEX(Pack_Master!E:E, MATCH($D868, Pack_Master!A:A, 0))
   * INDEX(Pack_Master!F:F, MATCH($D868, Pack_Master!A:A, 0))
   * INDEX(Pack_Master!G:G, MATCH($D868, Pack_Master!A:A, 0))
 ) / INDEX(Config!C:C, MATCH($A868, Config!A:A, 0)),
"")
</f>
        <v>0.375</v>
      </c>
      <c r="H868" s="17">
        <f t="array" ref="H868">MAX( INDEX(Pack_Master!H:H, MATCH($D868, Pack_Master!A:A, 0)),
      IFERROR(G868, 0) )
</f>
        <v>0.5</v>
      </c>
      <c r="I868" s="18">
        <f>IFERROR(__xludf.DUMMYFUNCTION("IFERROR(
 INDEX(
   FILTER(Shipping_Rate_Card!B:F, Shipping_Rate_Card!A:A=$A868),
   MATCH($H868, FILTER(Shipping_Rate_Card!B:B, Shipping_Rate_Card!A:A=$A868), 1),
   IF( INDEX(Config!B:B, MATCH($A868, Config!A:A, 0))=""Local"", 2,
     IF( INDEX(Config!B"&amp;":B, MATCH($A868, Config!A:A, 0))=""Regional"", 3, 4 )
   )
 ),
"""")
"),75.0)</f>
        <v>75</v>
      </c>
      <c r="J868" s="16">
        <f>IFERROR(__xludf.DUMMYFUNCTION("IFERROR(
 ( E868 * INDEX(FILTER(Pricing_Rules!E:E, Pricing_Rules!A:A=A868, Pricing_Rules!B:B=B868, Pricing_Rules!C:C&lt;=E868, Pricing_Rules!D:D&gt;=E868), 1)
   + INDEX(FILTER(Pricing_Rules!F:F, Pricing_Rules!A:A=A868, Pricing_Rules!B:B=B868, Pricing_Rules!C:C"&amp;"&lt;=E868, Pricing_Rules!D:D&gt;=E868), 1)
 )
 * (1 + IFERROR( INDEX(Config!D:D, MATCH(A868, Config!A:A, 0)), 0 )),
"""")
"),15.34)</f>
        <v>15.34</v>
      </c>
      <c r="K868" s="19">
        <f t="shared" si="3"/>
        <v>-199.34</v>
      </c>
      <c r="L868" s="20" t="str">
        <f t="shared" si="4"/>
        <v/>
      </c>
    </row>
    <row r="869" ht="15.75" customHeight="1">
      <c r="A869" s="9" t="s">
        <v>1162</v>
      </c>
      <c r="B869" s="12" t="str">
        <f t="array" ref="B869">XLOOKUP(C869, Channel_Listings!C:C, Channel_Listings!B:B)
</f>
        <v>Apparel_Caps_Beanies</v>
      </c>
      <c r="C869" s="23" t="s">
        <v>517</v>
      </c>
      <c r="D869" s="14" t="str">
        <f t="array" ref="D869">XLOOKUP(C869, Channel_Listings!C:C, Channel_Listings!D:D)
</f>
        <v>CAP-BASEBALL-PLAIN-BEIGE</v>
      </c>
      <c r="E869" s="15"/>
      <c r="F869" s="16">
        <f t="array" ref="F869">IFERROR(
  VALUE( INDEX(Product_Master!$I:$I,
               MATCH( INDEX(Pack_Master!$B:$B, MATCH($D869, Pack_Master!$A:$A, 0)),
                      Product_Master!$B:$B, 0)
  )) 
  * VALUE( INDEX(Pack_Master!$C:$C, MATCH($D869, Pack_Master!$A:$A, 0)) )
  + VALUE( INDEX(Pack_Master!$D:$D, MATCH($D869, Pack_Master!$A:$A, 0)) ),
"")
</f>
        <v>89</v>
      </c>
      <c r="G869" s="17">
        <f t="array" ref="G869">IFERROR(
 ( INDEX(Pack_Master!E:E, MATCH($D869, Pack_Master!A:A, 0))
   * INDEX(Pack_Master!F:F, MATCH($D869, Pack_Master!A:A, 0))
   * INDEX(Pack_Master!G:G, MATCH($D869, Pack_Master!A:A, 0))
 ) / INDEX(Config!C:C, MATCH($A869, Config!A:A, 0)),
"")
</f>
        <v>0.375</v>
      </c>
      <c r="H869" s="17">
        <f t="array" ref="H869">MAX( INDEX(Pack_Master!H:H, MATCH($D869, Pack_Master!A:A, 0)),
      IFERROR(G869, 0) )
</f>
        <v>0.5</v>
      </c>
      <c r="I869" s="18">
        <f>IFERROR(__xludf.DUMMYFUNCTION("IFERROR(
 INDEX(
   FILTER(Shipping_Rate_Card!B:F, Shipping_Rate_Card!A:A=$A869),
   MATCH($H869, FILTER(Shipping_Rate_Card!B:B, Shipping_Rate_Card!A:A=$A869), 1),
   IF( INDEX(Config!B:B, MATCH($A869, Config!A:A, 0))=""Local"", 2,
     IF( INDEX(Config!B"&amp;":B, MATCH($A869, Config!A:A, 0))=""Regional"", 3, 4 )
   )
 ),
"""")
"),75.0)</f>
        <v>75</v>
      </c>
      <c r="J869" s="16">
        <f>IFERROR(__xludf.DUMMYFUNCTION("IFERROR(
 ( E869 * INDEX(FILTER(Pricing_Rules!E:E, Pricing_Rules!A:A=A869, Pricing_Rules!B:B=B869, Pricing_Rules!C:C&lt;=E869, Pricing_Rules!D:D&gt;=E869), 1)
   + INDEX(FILTER(Pricing_Rules!F:F, Pricing_Rules!A:A=A869, Pricing_Rules!B:B=B869, Pricing_Rules!C:C"&amp;"&lt;=E869, Pricing_Rules!D:D&gt;=E869), 1)
 )
 * (1 + IFERROR( INDEX(Config!D:D, MATCH(A869, Config!A:A, 0)), 0 )),
"""")
"),15.34)</f>
        <v>15.34</v>
      </c>
      <c r="K869" s="19">
        <f t="shared" si="3"/>
        <v>-179.34</v>
      </c>
      <c r="L869" s="20" t="str">
        <f t="shared" si="4"/>
        <v/>
      </c>
    </row>
    <row r="870" ht="15.75" customHeight="1">
      <c r="A870" s="9" t="s">
        <v>1162</v>
      </c>
      <c r="B870" s="12" t="str">
        <f t="array" ref="B870">XLOOKUP(C870, Channel_Listings!C:C, Channel_Listings!B:B)
</f>
        <v>Apparel_Caps_Beanies</v>
      </c>
      <c r="C870" s="23" t="s">
        <v>518</v>
      </c>
      <c r="D870" s="14" t="str">
        <f t="array" ref="D870">XLOOKUP(C870, Channel_Listings!C:C, Channel_Listings!D:D)
</f>
        <v>CAP-BASEBALL-PLAIN-BLACK</v>
      </c>
      <c r="E870" s="15"/>
      <c r="F870" s="16">
        <f t="array" ref="F870">IFERROR(
  VALUE( INDEX(Product_Master!$I:$I,
               MATCH( INDEX(Pack_Master!$B:$B, MATCH($D870, Pack_Master!$A:$A, 0)),
                      Product_Master!$B:$B, 0)
  )) 
  * VALUE( INDEX(Pack_Master!$C:$C, MATCH($D870, Pack_Master!$A:$A, 0)) )
  + VALUE( INDEX(Pack_Master!$D:$D, MATCH($D870, Pack_Master!$A:$A, 0)) ),
"")
</f>
        <v>89</v>
      </c>
      <c r="G870" s="17">
        <f t="array" ref="G870">IFERROR(
 ( INDEX(Pack_Master!E:E, MATCH($D870, Pack_Master!A:A, 0))
   * INDEX(Pack_Master!F:F, MATCH($D870, Pack_Master!A:A, 0))
   * INDEX(Pack_Master!G:G, MATCH($D870, Pack_Master!A:A, 0))
 ) / INDEX(Config!C:C, MATCH($A870, Config!A:A, 0)),
"")
</f>
        <v>0.375</v>
      </c>
      <c r="H870" s="17">
        <f t="array" ref="H870">MAX( INDEX(Pack_Master!H:H, MATCH($D870, Pack_Master!A:A, 0)),
      IFERROR(G870, 0) )
</f>
        <v>0.5</v>
      </c>
      <c r="I870" s="18">
        <f>IFERROR(__xludf.DUMMYFUNCTION("IFERROR(
 INDEX(
   FILTER(Shipping_Rate_Card!B:F, Shipping_Rate_Card!A:A=$A870),
   MATCH($H870, FILTER(Shipping_Rate_Card!B:B, Shipping_Rate_Card!A:A=$A870), 1),
   IF( INDEX(Config!B:B, MATCH($A870, Config!A:A, 0))=""Local"", 2,
     IF( INDEX(Config!B"&amp;":B, MATCH($A870, Config!A:A, 0))=""Regional"", 3, 4 )
   )
 ),
"""")
"),75.0)</f>
        <v>75</v>
      </c>
      <c r="J870" s="16">
        <f>IFERROR(__xludf.DUMMYFUNCTION("IFERROR(
 ( E870 * INDEX(FILTER(Pricing_Rules!E:E, Pricing_Rules!A:A=A870, Pricing_Rules!B:B=B870, Pricing_Rules!C:C&lt;=E870, Pricing_Rules!D:D&gt;=E870), 1)
   + INDEX(FILTER(Pricing_Rules!F:F, Pricing_Rules!A:A=A870, Pricing_Rules!B:B=B870, Pricing_Rules!C:C"&amp;"&lt;=E870, Pricing_Rules!D:D&gt;=E870), 1)
 )
 * (1 + IFERROR( INDEX(Config!D:D, MATCH(A870, Config!A:A, 0)), 0 )),
"""")
"),15.34)</f>
        <v>15.34</v>
      </c>
      <c r="K870" s="19">
        <f t="shared" si="3"/>
        <v>-179.34</v>
      </c>
      <c r="L870" s="20" t="str">
        <f t="shared" si="4"/>
        <v/>
      </c>
    </row>
    <row r="871" ht="15.75" customHeight="1">
      <c r="A871" s="9" t="s">
        <v>1162</v>
      </c>
      <c r="B871" s="12" t="str">
        <f t="array" ref="B871">XLOOKUP(C871, Channel_Listings!C:C, Channel_Listings!B:B)
</f>
        <v>Apparel_Caps_Beanies</v>
      </c>
      <c r="C871" s="23" t="s">
        <v>522</v>
      </c>
      <c r="D871" s="14" t="str">
        <f t="array" ref="D871">XLOOKUP(C871, Channel_Listings!C:C, Channel_Listings!D:D)
</f>
        <v>CAP-BASEBALL-PLAIN-CHARCOAL</v>
      </c>
      <c r="E871" s="15"/>
      <c r="F871" s="16">
        <f t="array" ref="F871">IFERROR(
  VALUE( INDEX(Product_Master!$I:$I,
               MATCH( INDEX(Pack_Master!$B:$B, MATCH($D871, Pack_Master!$A:$A, 0)),
                      Product_Master!$B:$B, 0)
  )) 
  * VALUE( INDEX(Pack_Master!$C:$C, MATCH($D871, Pack_Master!$A:$A, 0)) )
  + VALUE( INDEX(Pack_Master!$D:$D, MATCH($D871, Pack_Master!$A:$A, 0)) ),
"")
</f>
        <v>89</v>
      </c>
      <c r="G871" s="17">
        <f t="array" ref="G871">IFERROR(
 ( INDEX(Pack_Master!E:E, MATCH($D871, Pack_Master!A:A, 0))
   * INDEX(Pack_Master!F:F, MATCH($D871, Pack_Master!A:A, 0))
   * INDEX(Pack_Master!G:G, MATCH($D871, Pack_Master!A:A, 0))
 ) / INDEX(Config!C:C, MATCH($A871, Config!A:A, 0)),
"")
</f>
        <v>0.375</v>
      </c>
      <c r="H871" s="17">
        <f t="array" ref="H871">MAX( INDEX(Pack_Master!H:H, MATCH($D871, Pack_Master!A:A, 0)),
      IFERROR(G871, 0) )
</f>
        <v>0.5</v>
      </c>
      <c r="I871" s="18">
        <f>IFERROR(__xludf.DUMMYFUNCTION("IFERROR(
 INDEX(
   FILTER(Shipping_Rate_Card!B:F, Shipping_Rate_Card!A:A=$A871),
   MATCH($H871, FILTER(Shipping_Rate_Card!B:B, Shipping_Rate_Card!A:A=$A871), 1),
   IF( INDEX(Config!B:B, MATCH($A871, Config!A:A, 0))=""Local"", 2,
     IF( INDEX(Config!B"&amp;":B, MATCH($A871, Config!A:A, 0))=""Regional"", 3, 4 )
   )
 ),
"""")
"),75.0)</f>
        <v>75</v>
      </c>
      <c r="J871" s="16">
        <f>IFERROR(__xludf.DUMMYFUNCTION("IFERROR(
 ( E871 * INDEX(FILTER(Pricing_Rules!E:E, Pricing_Rules!A:A=A871, Pricing_Rules!B:B=B871, Pricing_Rules!C:C&lt;=E871, Pricing_Rules!D:D&gt;=E871), 1)
   + INDEX(FILTER(Pricing_Rules!F:F, Pricing_Rules!A:A=A871, Pricing_Rules!B:B=B871, Pricing_Rules!C:C"&amp;"&lt;=E871, Pricing_Rules!D:D&gt;=E871), 1)
 )
 * (1 + IFERROR( INDEX(Config!D:D, MATCH(A871, Config!A:A, 0)), 0 )),
"""")
"),15.34)</f>
        <v>15.34</v>
      </c>
      <c r="K871" s="19">
        <f t="shared" si="3"/>
        <v>-179.34</v>
      </c>
      <c r="L871" s="20" t="str">
        <f t="shared" si="4"/>
        <v/>
      </c>
    </row>
    <row r="872" ht="15.75" customHeight="1">
      <c r="A872" s="9" t="s">
        <v>1162</v>
      </c>
      <c r="B872" s="12" t="str">
        <f t="array" ref="B872">XLOOKUP(C872, Channel_Listings!C:C, Channel_Listings!B:B)
</f>
        <v>Apparel_Caps_Beanies</v>
      </c>
      <c r="C872" s="23" t="s">
        <v>523</v>
      </c>
      <c r="D872" s="14" t="str">
        <f t="array" ref="D872">XLOOKUP(C872, Channel_Listings!C:C, Channel_Listings!D:D)
</f>
        <v>CAP-BASEBALL-FULLNET-BLACK</v>
      </c>
      <c r="E872" s="15"/>
      <c r="F872" s="16">
        <f t="array" ref="F872">IFERROR(
  VALUE( INDEX(Product_Master!$I:$I,
               MATCH( INDEX(Pack_Master!$B:$B, MATCH($D872, Pack_Master!$A:$A, 0)),
                      Product_Master!$B:$B, 0)
  )) 
  * VALUE( INDEX(Pack_Master!$C:$C, MATCH($D872, Pack_Master!$A:$A, 0)) )
  + VALUE( INDEX(Pack_Master!$D:$D, MATCH($D872, Pack_Master!$A:$A, 0)) ),
"")
</f>
        <v>2</v>
      </c>
      <c r="G872" s="17">
        <f t="array" ref="G872">IFERROR(
 ( INDEX(Pack_Master!E:E, MATCH($D872, Pack_Master!A:A, 0))
   * INDEX(Pack_Master!F:F, MATCH($D872, Pack_Master!A:A, 0))
   * INDEX(Pack_Master!G:G, MATCH($D872, Pack_Master!A:A, 0))
 ) / INDEX(Config!C:C, MATCH($A872, Config!A:A, 0)),
"")
</f>
        <v>0.375</v>
      </c>
      <c r="H872" s="17">
        <f t="array" ref="H872">MAX( INDEX(Pack_Master!H:H, MATCH($D872, Pack_Master!A:A, 0)),
      IFERROR(G872, 0) )
</f>
        <v>0.5</v>
      </c>
      <c r="I872" s="18">
        <f>IFERROR(__xludf.DUMMYFUNCTION("IFERROR(
 INDEX(
   FILTER(Shipping_Rate_Card!B:F, Shipping_Rate_Card!A:A=$A872),
   MATCH($H872, FILTER(Shipping_Rate_Card!B:B, Shipping_Rate_Card!A:A=$A872), 1),
   IF( INDEX(Config!B:B, MATCH($A872, Config!A:A, 0))=""Local"", 2,
     IF( INDEX(Config!B"&amp;":B, MATCH($A872, Config!A:A, 0))=""Regional"", 3, 4 )
   )
 ),
"""")
"),75.0)</f>
        <v>75</v>
      </c>
      <c r="J872" s="16">
        <f>IFERROR(__xludf.DUMMYFUNCTION("IFERROR(
 ( E872 * INDEX(FILTER(Pricing_Rules!E:E, Pricing_Rules!A:A=A872, Pricing_Rules!B:B=B872, Pricing_Rules!C:C&lt;=E872, Pricing_Rules!D:D&gt;=E872), 1)
   + INDEX(FILTER(Pricing_Rules!F:F, Pricing_Rules!A:A=A872, Pricing_Rules!B:B=B872, Pricing_Rules!C:C"&amp;"&lt;=E872, Pricing_Rules!D:D&gt;=E872), 1)
 )
 * (1 + IFERROR( INDEX(Config!D:D, MATCH(A872, Config!A:A, 0)), 0 )),
"""")
"),15.34)</f>
        <v>15.34</v>
      </c>
      <c r="K872" s="19">
        <f t="shared" si="3"/>
        <v>-92.34</v>
      </c>
      <c r="L872" s="20" t="str">
        <f t="shared" si="4"/>
        <v/>
      </c>
    </row>
    <row r="873" ht="15.75" customHeight="1">
      <c r="A873" s="9" t="s">
        <v>1162</v>
      </c>
      <c r="B873" s="12" t="str">
        <f t="array" ref="B873">XLOOKUP(C873, Channel_Listings!C:C, Channel_Listings!B:B)
</f>
        <v>Apparel_Caps_Beanies</v>
      </c>
      <c r="C873" s="23" t="s">
        <v>526</v>
      </c>
      <c r="D873" s="14" t="str">
        <f t="array" ref="D873">XLOOKUP(C873, Channel_Listings!C:C, Channel_Listings!D:D)
</f>
        <v>CAP-BASEBALL-FULLNET-WHITE</v>
      </c>
      <c r="E873" s="15"/>
      <c r="F873" s="16">
        <f t="array" ref="F873">IFERROR(
  VALUE( INDEX(Product_Master!$I:$I,
               MATCH( INDEX(Pack_Master!$B:$B, MATCH($D873, Pack_Master!$A:$A, 0)),
                      Product_Master!$B:$B, 0)
  )) 
  * VALUE( INDEX(Pack_Master!$C:$C, MATCH($D873, Pack_Master!$A:$A, 0)) )
  + VALUE( INDEX(Pack_Master!$D:$D, MATCH($D873, Pack_Master!$A:$A, 0)) ),
"")
</f>
        <v>2</v>
      </c>
      <c r="G873" s="17">
        <f t="array" ref="G873">IFERROR(
 ( INDEX(Pack_Master!E:E, MATCH($D873, Pack_Master!A:A, 0))
   * INDEX(Pack_Master!F:F, MATCH($D873, Pack_Master!A:A, 0))
   * INDEX(Pack_Master!G:G, MATCH($D873, Pack_Master!A:A, 0))
 ) / INDEX(Config!C:C, MATCH($A873, Config!A:A, 0)),
"")
</f>
        <v>0.375</v>
      </c>
      <c r="H873" s="17">
        <f t="array" ref="H873">MAX( INDEX(Pack_Master!H:H, MATCH($D873, Pack_Master!A:A, 0)),
      IFERROR(G873, 0) )
</f>
        <v>0.5</v>
      </c>
      <c r="I873" s="18">
        <f>IFERROR(__xludf.DUMMYFUNCTION("IFERROR(
 INDEX(
   FILTER(Shipping_Rate_Card!B:F, Shipping_Rate_Card!A:A=$A873),
   MATCH($H873, FILTER(Shipping_Rate_Card!B:B, Shipping_Rate_Card!A:A=$A873), 1),
   IF( INDEX(Config!B:B, MATCH($A873, Config!A:A, 0))=""Local"", 2,
     IF( INDEX(Config!B"&amp;":B, MATCH($A873, Config!A:A, 0))=""Regional"", 3, 4 )
   )
 ),
"""")
"),75.0)</f>
        <v>75</v>
      </c>
      <c r="J873" s="16">
        <f>IFERROR(__xludf.DUMMYFUNCTION("IFERROR(
 ( E873 * INDEX(FILTER(Pricing_Rules!E:E, Pricing_Rules!A:A=A873, Pricing_Rules!B:B=B873, Pricing_Rules!C:C&lt;=E873, Pricing_Rules!D:D&gt;=E873), 1)
   + INDEX(FILTER(Pricing_Rules!F:F, Pricing_Rules!A:A=A873, Pricing_Rules!B:B=B873, Pricing_Rules!C:C"&amp;"&lt;=E873, Pricing_Rules!D:D&gt;=E873), 1)
 )
 * (1 + IFERROR( INDEX(Config!D:D, MATCH(A873, Config!A:A, 0)), 0 )),
"""")
"),15.34)</f>
        <v>15.34</v>
      </c>
      <c r="K873" s="19">
        <f t="shared" si="3"/>
        <v>-92.34</v>
      </c>
      <c r="L873" s="20" t="str">
        <f t="shared" si="4"/>
        <v/>
      </c>
    </row>
    <row r="874" ht="15.75" customHeight="1">
      <c r="A874" s="9" t="s">
        <v>1162</v>
      </c>
      <c r="B874" s="12" t="str">
        <f t="array" ref="B874">XLOOKUP(C874, Channel_Listings!C:C, Channel_Listings!B:B)
</f>
        <v>Apparel_Caps_Beanies</v>
      </c>
      <c r="C874" s="23" t="s">
        <v>527</v>
      </c>
      <c r="D874" s="14" t="str">
        <f t="array" ref="D874">XLOOKUP(C874, Channel_Listings!C:C, Channel_Listings!D:D)
</f>
        <v>CAP-BASEBALL-PLAIN-GREY</v>
      </c>
      <c r="E874" s="15"/>
      <c r="F874" s="16">
        <f t="array" ref="F874">IFERROR(
  VALUE( INDEX(Product_Master!$I:$I,
               MATCH( INDEX(Pack_Master!$B:$B, MATCH($D874, Pack_Master!$A:$A, 0)),
                      Product_Master!$B:$B, 0)
  )) 
  * VALUE( INDEX(Pack_Master!$C:$C, MATCH($D874, Pack_Master!$A:$A, 0)) )
  + VALUE( INDEX(Pack_Master!$D:$D, MATCH($D874, Pack_Master!$A:$A, 0)) ),
"")
</f>
        <v>89</v>
      </c>
      <c r="G874" s="17">
        <f t="array" ref="G874">IFERROR(
 ( INDEX(Pack_Master!E:E, MATCH($D874, Pack_Master!A:A, 0))
   * INDEX(Pack_Master!F:F, MATCH($D874, Pack_Master!A:A, 0))
   * INDEX(Pack_Master!G:G, MATCH($D874, Pack_Master!A:A, 0))
 ) / INDEX(Config!C:C, MATCH($A874, Config!A:A, 0)),
"")
</f>
        <v>0.375</v>
      </c>
      <c r="H874" s="17">
        <f t="array" ref="H874">MAX( INDEX(Pack_Master!H:H, MATCH($D874, Pack_Master!A:A, 0)),
      IFERROR(G874, 0) )
</f>
        <v>0.5</v>
      </c>
      <c r="I874" s="18">
        <f>IFERROR(__xludf.DUMMYFUNCTION("IFERROR(
 INDEX(
   FILTER(Shipping_Rate_Card!B:F, Shipping_Rate_Card!A:A=$A874),
   MATCH($H874, FILTER(Shipping_Rate_Card!B:B, Shipping_Rate_Card!A:A=$A874), 1),
   IF( INDEX(Config!B:B, MATCH($A874, Config!A:A, 0))=""Local"", 2,
     IF( INDEX(Config!B"&amp;":B, MATCH($A874, Config!A:A, 0))=""Regional"", 3, 4 )
   )
 ),
"""")
"),75.0)</f>
        <v>75</v>
      </c>
      <c r="J874" s="16">
        <f>IFERROR(__xludf.DUMMYFUNCTION("IFERROR(
 ( E874 * INDEX(FILTER(Pricing_Rules!E:E, Pricing_Rules!A:A=A874, Pricing_Rules!B:B=B874, Pricing_Rules!C:C&lt;=E874, Pricing_Rules!D:D&gt;=E874), 1)
   + INDEX(FILTER(Pricing_Rules!F:F, Pricing_Rules!A:A=A874, Pricing_Rules!B:B=B874, Pricing_Rules!C:C"&amp;"&lt;=E874, Pricing_Rules!D:D&gt;=E874), 1)
 )
 * (1 + IFERROR( INDEX(Config!D:D, MATCH(A874, Config!A:A, 0)), 0 )),
"""")
"),15.34)</f>
        <v>15.34</v>
      </c>
      <c r="K874" s="19">
        <f t="shared" si="3"/>
        <v>-179.34</v>
      </c>
      <c r="L874" s="20" t="str">
        <f t="shared" si="4"/>
        <v/>
      </c>
    </row>
    <row r="875" ht="15.75" customHeight="1">
      <c r="A875" s="9" t="s">
        <v>1162</v>
      </c>
      <c r="B875" s="12" t="str">
        <f t="array" ref="B875">XLOOKUP(C875, Channel_Listings!C:C, Channel_Listings!B:B)
</f>
        <v>Apparel_Caps_Beanies</v>
      </c>
      <c r="C875" s="23" t="s">
        <v>1379</v>
      </c>
      <c r="D875" s="14" t="str">
        <f t="array" ref="D875">XLOOKUP(C875, Channel_Listings!C:C, Channel_Listings!D:D)
</f>
        <v>CAP-BASEBALL-PLAIN-MAROON</v>
      </c>
      <c r="E875" s="15"/>
      <c r="F875" s="16">
        <f t="array" ref="F875">IFERROR(
  VALUE( INDEX(Product_Master!$I:$I,
               MATCH( INDEX(Pack_Master!$B:$B, MATCH($D875, Pack_Master!$A:$A, 0)),
                      Product_Master!$B:$B, 0)
  )) 
  * VALUE( INDEX(Pack_Master!$C:$C, MATCH($D875, Pack_Master!$A:$A, 0)) )
  + VALUE( INDEX(Pack_Master!$D:$D, MATCH($D875, Pack_Master!$A:$A, 0)) ),
"")
</f>
        <v>89</v>
      </c>
      <c r="G875" s="17">
        <f t="array" ref="G875">IFERROR(
 ( INDEX(Pack_Master!E:E, MATCH($D875, Pack_Master!A:A, 0))
   * INDEX(Pack_Master!F:F, MATCH($D875, Pack_Master!A:A, 0))
   * INDEX(Pack_Master!G:G, MATCH($D875, Pack_Master!A:A, 0))
 ) / INDEX(Config!C:C, MATCH($A875, Config!A:A, 0)),
"")
</f>
        <v>0.375</v>
      </c>
      <c r="H875" s="17">
        <f t="array" ref="H875">MAX( INDEX(Pack_Master!H:H, MATCH($D875, Pack_Master!A:A, 0)),
      IFERROR(G875, 0) )
</f>
        <v>0.5</v>
      </c>
      <c r="I875" s="18">
        <f>IFERROR(__xludf.DUMMYFUNCTION("IFERROR(
 INDEX(
   FILTER(Shipping_Rate_Card!B:F, Shipping_Rate_Card!A:A=$A875),
   MATCH($H875, FILTER(Shipping_Rate_Card!B:B, Shipping_Rate_Card!A:A=$A875), 1),
   IF( INDEX(Config!B:B, MATCH($A875, Config!A:A, 0))=""Local"", 2,
     IF( INDEX(Config!B"&amp;":B, MATCH($A875, Config!A:A, 0))=""Regional"", 3, 4 )
   )
 ),
"""")
"),75.0)</f>
        <v>75</v>
      </c>
      <c r="J875" s="16">
        <f>IFERROR(__xludf.DUMMYFUNCTION("IFERROR(
 ( E875 * INDEX(FILTER(Pricing_Rules!E:E, Pricing_Rules!A:A=A875, Pricing_Rules!B:B=B875, Pricing_Rules!C:C&lt;=E875, Pricing_Rules!D:D&gt;=E875), 1)
   + INDEX(FILTER(Pricing_Rules!F:F, Pricing_Rules!A:A=A875, Pricing_Rules!B:B=B875, Pricing_Rules!C:C"&amp;"&lt;=E875, Pricing_Rules!D:D&gt;=E875), 1)
 )
 * (1 + IFERROR( INDEX(Config!D:D, MATCH(A875, Config!A:A, 0)), 0 )),
"""")
"),15.34)</f>
        <v>15.34</v>
      </c>
      <c r="K875" s="19">
        <f t="shared" si="3"/>
        <v>-179.34</v>
      </c>
      <c r="L875" s="20" t="str">
        <f t="shared" si="4"/>
        <v/>
      </c>
    </row>
    <row r="876" ht="15.75" customHeight="1">
      <c r="A876" s="9" t="s">
        <v>1162</v>
      </c>
      <c r="B876" s="12" t="str">
        <f t="array" ref="B876">XLOOKUP(C876, Channel_Listings!C:C, Channel_Listings!B:B)
</f>
        <v>Apparel_Caps_Beanies</v>
      </c>
      <c r="C876" s="23" t="s">
        <v>530</v>
      </c>
      <c r="D876" s="14" t="str">
        <f t="array" ref="D876">XLOOKUP(C876, Channel_Listings!C:C, Channel_Listings!D:D)
</f>
        <v>CAP-BASEBALL-PLAIN-MUSTARD</v>
      </c>
      <c r="E876" s="15"/>
      <c r="F876" s="16">
        <f t="array" ref="F876">IFERROR(
  VALUE( INDEX(Product_Master!$I:$I,
               MATCH( INDEX(Pack_Master!$B:$B, MATCH($D876, Pack_Master!$A:$A, 0)),
                      Product_Master!$B:$B, 0)
  )) 
  * VALUE( INDEX(Pack_Master!$C:$C, MATCH($D876, Pack_Master!$A:$A, 0)) )
  + VALUE( INDEX(Pack_Master!$D:$D, MATCH($D876, Pack_Master!$A:$A, 0)) ),
"")
</f>
        <v>89</v>
      </c>
      <c r="G876" s="17">
        <f t="array" ref="G876">IFERROR(
 ( INDEX(Pack_Master!E:E, MATCH($D876, Pack_Master!A:A, 0))
   * INDEX(Pack_Master!F:F, MATCH($D876, Pack_Master!A:A, 0))
   * INDEX(Pack_Master!G:G, MATCH($D876, Pack_Master!A:A, 0))
 ) / INDEX(Config!C:C, MATCH($A876, Config!A:A, 0)),
"")
</f>
        <v>0.375</v>
      </c>
      <c r="H876" s="17">
        <f t="array" ref="H876">MAX( INDEX(Pack_Master!H:H, MATCH($D876, Pack_Master!A:A, 0)),
      IFERROR(G876, 0) )
</f>
        <v>0.5</v>
      </c>
      <c r="I876" s="18">
        <f>IFERROR(__xludf.DUMMYFUNCTION("IFERROR(
 INDEX(
   FILTER(Shipping_Rate_Card!B:F, Shipping_Rate_Card!A:A=$A876),
   MATCH($H876, FILTER(Shipping_Rate_Card!B:B, Shipping_Rate_Card!A:A=$A876), 1),
   IF( INDEX(Config!B:B, MATCH($A876, Config!A:A, 0))=""Local"", 2,
     IF( INDEX(Config!B"&amp;":B, MATCH($A876, Config!A:A, 0))=""Regional"", 3, 4 )
   )
 ),
"""")
"),75.0)</f>
        <v>75</v>
      </c>
      <c r="J876" s="16">
        <f>IFERROR(__xludf.DUMMYFUNCTION("IFERROR(
 ( E876 * INDEX(FILTER(Pricing_Rules!E:E, Pricing_Rules!A:A=A876, Pricing_Rules!B:B=B876, Pricing_Rules!C:C&lt;=E876, Pricing_Rules!D:D&gt;=E876), 1)
   + INDEX(FILTER(Pricing_Rules!F:F, Pricing_Rules!A:A=A876, Pricing_Rules!B:B=B876, Pricing_Rules!C:C"&amp;"&lt;=E876, Pricing_Rules!D:D&gt;=E876), 1)
 )
 * (1 + IFERROR( INDEX(Config!D:D, MATCH(A876, Config!A:A, 0)), 0 )),
"""")
"),15.34)</f>
        <v>15.34</v>
      </c>
      <c r="K876" s="19">
        <f t="shared" si="3"/>
        <v>-179.34</v>
      </c>
      <c r="L876" s="20" t="str">
        <f t="shared" si="4"/>
        <v/>
      </c>
    </row>
    <row r="877" ht="15.75" customHeight="1">
      <c r="A877" s="9" t="s">
        <v>1162</v>
      </c>
      <c r="B877" s="12" t="str">
        <f t="array" ref="B877">XLOOKUP(C877, Channel_Listings!C:C, Channel_Listings!B:B)
</f>
        <v>Apparel_Caps_Beanies</v>
      </c>
      <c r="C877" s="23" t="s">
        <v>531</v>
      </c>
      <c r="D877" s="14" t="str">
        <f t="array" ref="D877">XLOOKUP(C877, Channel_Listings!C:C, Channel_Listings!D:D)
</f>
        <v>CAP-BASEBALL-PLAIN-NAVYBLUE</v>
      </c>
      <c r="E877" s="15"/>
      <c r="F877" s="16">
        <f t="array" ref="F877">IFERROR(
  VALUE( INDEX(Product_Master!$I:$I,
               MATCH( INDEX(Pack_Master!$B:$B, MATCH($D877, Pack_Master!$A:$A, 0)),
                      Product_Master!$B:$B, 0)
  )) 
  * VALUE( INDEX(Pack_Master!$C:$C, MATCH($D877, Pack_Master!$A:$A, 0)) )
  + VALUE( INDEX(Pack_Master!$D:$D, MATCH($D877, Pack_Master!$A:$A, 0)) ),
"")
</f>
        <v>89</v>
      </c>
      <c r="G877" s="17">
        <f t="array" ref="G877">IFERROR(
 ( INDEX(Pack_Master!E:E, MATCH($D877, Pack_Master!A:A, 0))
   * INDEX(Pack_Master!F:F, MATCH($D877, Pack_Master!A:A, 0))
   * INDEX(Pack_Master!G:G, MATCH($D877, Pack_Master!A:A, 0))
 ) / INDEX(Config!C:C, MATCH($A877, Config!A:A, 0)),
"")
</f>
        <v>0.375</v>
      </c>
      <c r="H877" s="17">
        <f t="array" ref="H877">MAX( INDEX(Pack_Master!H:H, MATCH($D877, Pack_Master!A:A, 0)),
      IFERROR(G877, 0) )
</f>
        <v>0.5</v>
      </c>
      <c r="I877" s="18">
        <f>IFERROR(__xludf.DUMMYFUNCTION("IFERROR(
 INDEX(
   FILTER(Shipping_Rate_Card!B:F, Shipping_Rate_Card!A:A=$A877),
   MATCH($H877, FILTER(Shipping_Rate_Card!B:B, Shipping_Rate_Card!A:A=$A877), 1),
   IF( INDEX(Config!B:B, MATCH($A877, Config!A:A, 0))=""Local"", 2,
     IF( INDEX(Config!B"&amp;":B, MATCH($A877, Config!A:A, 0))=""Regional"", 3, 4 )
   )
 ),
"""")
"),75.0)</f>
        <v>75</v>
      </c>
      <c r="J877" s="16">
        <f>IFERROR(__xludf.DUMMYFUNCTION("IFERROR(
 ( E877 * INDEX(FILTER(Pricing_Rules!E:E, Pricing_Rules!A:A=A877, Pricing_Rules!B:B=B877, Pricing_Rules!C:C&lt;=E877, Pricing_Rules!D:D&gt;=E877), 1)
   + INDEX(FILTER(Pricing_Rules!F:F, Pricing_Rules!A:A=A877, Pricing_Rules!B:B=B877, Pricing_Rules!C:C"&amp;"&lt;=E877, Pricing_Rules!D:D&gt;=E877), 1)
 )
 * (1 + IFERROR( INDEX(Config!D:D, MATCH(A877, Config!A:A, 0)), 0 )),
"""")
"),15.34)</f>
        <v>15.34</v>
      </c>
      <c r="K877" s="19">
        <f t="shared" si="3"/>
        <v>-179.34</v>
      </c>
      <c r="L877" s="20" t="str">
        <f t="shared" si="4"/>
        <v/>
      </c>
    </row>
    <row r="878" ht="15.75" customHeight="1">
      <c r="A878" s="9" t="s">
        <v>1162</v>
      </c>
      <c r="B878" s="12" t="str">
        <f t="array" ref="B878">XLOOKUP(C878, Channel_Listings!C:C, Channel_Listings!B:B)
</f>
        <v>Apparel_Caps_Beanies</v>
      </c>
      <c r="C878" s="23" t="s">
        <v>543</v>
      </c>
      <c r="D878" s="14" t="str">
        <f t="array" ref="D878">XLOOKUP(C878, Channel_Listings!C:C, Channel_Listings!D:D)
</f>
        <v>CAP-BASEBALL-PLAIN-OLIVEGREEN</v>
      </c>
      <c r="E878" s="15"/>
      <c r="F878" s="16">
        <f t="array" ref="F878">IFERROR(
  VALUE( INDEX(Product_Master!$I:$I,
               MATCH( INDEX(Pack_Master!$B:$B, MATCH($D878, Pack_Master!$A:$A, 0)),
                      Product_Master!$B:$B, 0)
  )) 
  * VALUE( INDEX(Pack_Master!$C:$C, MATCH($D878, Pack_Master!$A:$A, 0)) )
  + VALUE( INDEX(Pack_Master!$D:$D, MATCH($D878, Pack_Master!$A:$A, 0)) ),
"")
</f>
        <v>89</v>
      </c>
      <c r="G878" s="17">
        <f t="array" ref="G878">IFERROR(
 ( INDEX(Pack_Master!E:E, MATCH($D878, Pack_Master!A:A, 0))
   * INDEX(Pack_Master!F:F, MATCH($D878, Pack_Master!A:A, 0))
   * INDEX(Pack_Master!G:G, MATCH($D878, Pack_Master!A:A, 0))
 ) / INDEX(Config!C:C, MATCH($A878, Config!A:A, 0)),
"")
</f>
        <v>0.375</v>
      </c>
      <c r="H878" s="17">
        <f t="array" ref="H878">MAX( INDEX(Pack_Master!H:H, MATCH($D878, Pack_Master!A:A, 0)),
      IFERROR(G878, 0) )
</f>
        <v>0.5</v>
      </c>
      <c r="I878" s="18">
        <f>IFERROR(__xludf.DUMMYFUNCTION("IFERROR(
 INDEX(
   FILTER(Shipping_Rate_Card!B:F, Shipping_Rate_Card!A:A=$A878),
   MATCH($H878, FILTER(Shipping_Rate_Card!B:B, Shipping_Rate_Card!A:A=$A878), 1),
   IF( INDEX(Config!B:B, MATCH($A878, Config!A:A, 0))=""Local"", 2,
     IF( INDEX(Config!B"&amp;":B, MATCH($A878, Config!A:A, 0))=""Regional"", 3, 4 )
   )
 ),
"""")
"),75.0)</f>
        <v>75</v>
      </c>
      <c r="J878" s="16">
        <f>IFERROR(__xludf.DUMMYFUNCTION("IFERROR(
 ( E878 * INDEX(FILTER(Pricing_Rules!E:E, Pricing_Rules!A:A=A878, Pricing_Rules!B:B=B878, Pricing_Rules!C:C&lt;=E878, Pricing_Rules!D:D&gt;=E878), 1)
   + INDEX(FILTER(Pricing_Rules!F:F, Pricing_Rules!A:A=A878, Pricing_Rules!B:B=B878, Pricing_Rules!C:C"&amp;"&lt;=E878, Pricing_Rules!D:D&gt;=E878), 1)
 )
 * (1 + IFERROR( INDEX(Config!D:D, MATCH(A878, Config!A:A, 0)), 0 )),
"""")
"),15.34)</f>
        <v>15.34</v>
      </c>
      <c r="K878" s="19">
        <f t="shared" si="3"/>
        <v>-179.34</v>
      </c>
      <c r="L878" s="20" t="str">
        <f t="shared" si="4"/>
        <v/>
      </c>
    </row>
    <row r="879" ht="15.75" customHeight="1">
      <c r="A879" s="9" t="s">
        <v>1162</v>
      </c>
      <c r="B879" s="12" t="str">
        <f t="array" ref="B879">XLOOKUP(C879, Channel_Listings!C:C, Channel_Listings!B:B)
</f>
        <v>Apparel_Caps_Beanies</v>
      </c>
      <c r="C879" s="23" t="s">
        <v>544</v>
      </c>
      <c r="D879" s="14" t="str">
        <f t="array" ref="D879">XLOOKUP(C879, Channel_Listings!C:C, Channel_Listings!D:D)
</f>
        <v>CAP-BASEBALL-PLAIN-ORANGE</v>
      </c>
      <c r="E879" s="15"/>
      <c r="F879" s="16">
        <f t="array" ref="F879">IFERROR(
  VALUE( INDEX(Product_Master!$I:$I,
               MATCH( INDEX(Pack_Master!$B:$B, MATCH($D879, Pack_Master!$A:$A, 0)),
                      Product_Master!$B:$B, 0)
  )) 
  * VALUE( INDEX(Pack_Master!$C:$C, MATCH($D879, Pack_Master!$A:$A, 0)) )
  + VALUE( INDEX(Pack_Master!$D:$D, MATCH($D879, Pack_Master!$A:$A, 0)) ),
"")
</f>
        <v>89</v>
      </c>
      <c r="G879" s="17">
        <f t="array" ref="G879">IFERROR(
 ( INDEX(Pack_Master!E:E, MATCH($D879, Pack_Master!A:A, 0))
   * INDEX(Pack_Master!F:F, MATCH($D879, Pack_Master!A:A, 0))
   * INDEX(Pack_Master!G:G, MATCH($D879, Pack_Master!A:A, 0))
 ) / INDEX(Config!C:C, MATCH($A879, Config!A:A, 0)),
"")
</f>
        <v>0.375</v>
      </c>
      <c r="H879" s="17">
        <f t="array" ref="H879">MAX( INDEX(Pack_Master!H:H, MATCH($D879, Pack_Master!A:A, 0)),
      IFERROR(G879, 0) )
</f>
        <v>0.5</v>
      </c>
      <c r="I879" s="18">
        <f>IFERROR(__xludf.DUMMYFUNCTION("IFERROR(
 INDEX(
   FILTER(Shipping_Rate_Card!B:F, Shipping_Rate_Card!A:A=$A879),
   MATCH($H879, FILTER(Shipping_Rate_Card!B:B, Shipping_Rate_Card!A:A=$A879), 1),
   IF( INDEX(Config!B:B, MATCH($A879, Config!A:A, 0))=""Local"", 2,
     IF( INDEX(Config!B"&amp;":B, MATCH($A879, Config!A:A, 0))=""Regional"", 3, 4 )
   )
 ),
"""")
"),75.0)</f>
        <v>75</v>
      </c>
      <c r="J879" s="16">
        <f>IFERROR(__xludf.DUMMYFUNCTION("IFERROR(
 ( E879 * INDEX(FILTER(Pricing_Rules!E:E, Pricing_Rules!A:A=A879, Pricing_Rules!B:B=B879, Pricing_Rules!C:C&lt;=E879, Pricing_Rules!D:D&gt;=E879), 1)
   + INDEX(FILTER(Pricing_Rules!F:F, Pricing_Rules!A:A=A879, Pricing_Rules!B:B=B879, Pricing_Rules!C:C"&amp;"&lt;=E879, Pricing_Rules!D:D&gt;=E879), 1)
 )
 * (1 + IFERROR( INDEX(Config!D:D, MATCH(A879, Config!A:A, 0)), 0 )),
"""")
"),15.34)</f>
        <v>15.34</v>
      </c>
      <c r="K879" s="19">
        <f t="shared" si="3"/>
        <v>-179.34</v>
      </c>
      <c r="L879" s="20" t="str">
        <f t="shared" si="4"/>
        <v/>
      </c>
    </row>
    <row r="880" ht="15.75" customHeight="1">
      <c r="A880" s="9" t="s">
        <v>1162</v>
      </c>
      <c r="B880" s="12" t="str">
        <f t="array" ref="B880">XLOOKUP(C880, Channel_Listings!C:C, Channel_Listings!B:B)
</f>
        <v>Apparel_Caps_Beanies</v>
      </c>
      <c r="C880" s="23" t="s">
        <v>545</v>
      </c>
      <c r="D880" s="14" t="str">
        <f t="array" ref="D880">XLOOKUP(C880, Channel_Listings!C:C, Channel_Listings!D:D)
</f>
        <v>CAP-BASEBALL-PLAIN-PINK</v>
      </c>
      <c r="E880" s="15"/>
      <c r="F880" s="16">
        <f t="array" ref="F880">IFERROR(
  VALUE( INDEX(Product_Master!$I:$I,
               MATCH( INDEX(Pack_Master!$B:$B, MATCH($D880, Pack_Master!$A:$A, 0)),
                      Product_Master!$B:$B, 0)
  )) 
  * VALUE( INDEX(Pack_Master!$C:$C, MATCH($D880, Pack_Master!$A:$A, 0)) )
  + VALUE( INDEX(Pack_Master!$D:$D, MATCH($D880, Pack_Master!$A:$A, 0)) ),
"")
</f>
        <v>89</v>
      </c>
      <c r="G880" s="17">
        <f t="array" ref="G880">IFERROR(
 ( INDEX(Pack_Master!E:E, MATCH($D880, Pack_Master!A:A, 0))
   * INDEX(Pack_Master!F:F, MATCH($D880, Pack_Master!A:A, 0))
   * INDEX(Pack_Master!G:G, MATCH($D880, Pack_Master!A:A, 0))
 ) / INDEX(Config!C:C, MATCH($A880, Config!A:A, 0)),
"")
</f>
        <v>0.375</v>
      </c>
      <c r="H880" s="17">
        <f t="array" ref="H880">MAX( INDEX(Pack_Master!H:H, MATCH($D880, Pack_Master!A:A, 0)),
      IFERROR(G880, 0) )
</f>
        <v>0.5</v>
      </c>
      <c r="I880" s="18">
        <f>IFERROR(__xludf.DUMMYFUNCTION("IFERROR(
 INDEX(
   FILTER(Shipping_Rate_Card!B:F, Shipping_Rate_Card!A:A=$A880),
   MATCH($H880, FILTER(Shipping_Rate_Card!B:B, Shipping_Rate_Card!A:A=$A880), 1),
   IF( INDEX(Config!B:B, MATCH($A880, Config!A:A, 0))=""Local"", 2,
     IF( INDEX(Config!B"&amp;":B, MATCH($A880, Config!A:A, 0))=""Regional"", 3, 4 )
   )
 ),
"""")
"),75.0)</f>
        <v>75</v>
      </c>
      <c r="J880" s="16">
        <f>IFERROR(__xludf.DUMMYFUNCTION("IFERROR(
 ( E880 * INDEX(FILTER(Pricing_Rules!E:E, Pricing_Rules!A:A=A880, Pricing_Rules!B:B=B880, Pricing_Rules!C:C&lt;=E880, Pricing_Rules!D:D&gt;=E880), 1)
   + INDEX(FILTER(Pricing_Rules!F:F, Pricing_Rules!A:A=A880, Pricing_Rules!B:B=B880, Pricing_Rules!C:C"&amp;"&lt;=E880, Pricing_Rules!D:D&gt;=E880), 1)
 )
 * (1 + IFERROR( INDEX(Config!D:D, MATCH(A880, Config!A:A, 0)), 0 )),
"""")
"),15.34)</f>
        <v>15.34</v>
      </c>
      <c r="K880" s="19">
        <f t="shared" si="3"/>
        <v>-179.34</v>
      </c>
      <c r="L880" s="20" t="str">
        <f t="shared" si="4"/>
        <v/>
      </c>
    </row>
    <row r="881" ht="15.75" customHeight="1">
      <c r="A881" s="9" t="s">
        <v>1162</v>
      </c>
      <c r="B881" s="12" t="str">
        <f t="array" ref="B881">XLOOKUP(C881, Channel_Listings!C:C, Channel_Listings!B:B)
</f>
        <v>Apparel_Caps_Beanies</v>
      </c>
      <c r="C881" s="23" t="s">
        <v>547</v>
      </c>
      <c r="D881" s="14" t="str">
        <f t="array" ref="D881">XLOOKUP(C881, Channel_Listings!C:C, Channel_Listings!D:D)
</f>
        <v>CAP-BASEBALL-PO2-BEIGEMAROON</v>
      </c>
      <c r="E881" s="15"/>
      <c r="F881" s="16">
        <f t="array" ref="F881">IFERROR(
  VALUE( INDEX(Product_Master!$I:$I,
               MATCH( INDEX(Pack_Master!$B:$B, MATCH($D881, Pack_Master!$A:$A, 0)),
                      Product_Master!$B:$B, 0)
  )) 
  * VALUE( INDEX(Pack_Master!$C:$C, MATCH($D881, Pack_Master!$A:$A, 0)) )
  + VALUE( INDEX(Pack_Master!$D:$D, MATCH($D881, Pack_Master!$A:$A, 0)) ),
"")
</f>
        <v>2</v>
      </c>
      <c r="G881" s="17">
        <f t="array" ref="G881">IFERROR(
 ( INDEX(Pack_Master!E:E, MATCH($D881, Pack_Master!A:A, 0))
   * INDEX(Pack_Master!F:F, MATCH($D881, Pack_Master!A:A, 0))
   * INDEX(Pack_Master!G:G, MATCH($D881, Pack_Master!A:A, 0))
 ) / INDEX(Config!C:C, MATCH($A881, Config!A:A, 0)),
"")
</f>
        <v>0.375</v>
      </c>
      <c r="H881" s="17">
        <f t="array" ref="H881">MAX( INDEX(Pack_Master!H:H, MATCH($D881, Pack_Master!A:A, 0)),
      IFERROR(G881, 0) )
</f>
        <v>0.5</v>
      </c>
      <c r="I881" s="18">
        <f>IFERROR(__xludf.DUMMYFUNCTION("IFERROR(
 INDEX(
   FILTER(Shipping_Rate_Card!B:F, Shipping_Rate_Card!A:A=$A881),
   MATCH($H881, FILTER(Shipping_Rate_Card!B:B, Shipping_Rate_Card!A:A=$A881), 1),
   IF( INDEX(Config!B:B, MATCH($A881, Config!A:A, 0))=""Local"", 2,
     IF( INDEX(Config!B"&amp;":B, MATCH($A881, Config!A:A, 0))=""Regional"", 3, 4 )
   )
 ),
"""")
"),75.0)</f>
        <v>75</v>
      </c>
      <c r="J881" s="16">
        <f>IFERROR(__xludf.DUMMYFUNCTION("IFERROR(
 ( E881 * INDEX(FILTER(Pricing_Rules!E:E, Pricing_Rules!A:A=A881, Pricing_Rules!B:B=B881, Pricing_Rules!C:C&lt;=E881, Pricing_Rules!D:D&gt;=E881), 1)
   + INDEX(FILTER(Pricing_Rules!F:F, Pricing_Rules!A:A=A881, Pricing_Rules!B:B=B881, Pricing_Rules!C:C"&amp;"&lt;=E881, Pricing_Rules!D:D&gt;=E881), 1)
 )
 * (1 + IFERROR( INDEX(Config!D:D, MATCH(A881, Config!A:A, 0)), 0 )),
"""")
"),15.34)</f>
        <v>15.34</v>
      </c>
      <c r="K881" s="19">
        <f t="shared" si="3"/>
        <v>-92.34</v>
      </c>
      <c r="L881" s="20" t="str">
        <f t="shared" si="4"/>
        <v/>
      </c>
    </row>
    <row r="882" ht="15.75" customHeight="1">
      <c r="A882" s="9" t="s">
        <v>1162</v>
      </c>
      <c r="B882" s="12" t="str">
        <f t="array" ref="B882">XLOOKUP(C882, Channel_Listings!C:C, Channel_Listings!B:B)
</f>
        <v>Apparel_Caps_Beanies</v>
      </c>
      <c r="C882" s="23" t="s">
        <v>550</v>
      </c>
      <c r="D882" s="14" t="str">
        <f t="array" ref="D882">XLOOKUP(C882, Channel_Listings!C:C, Channel_Listings!D:D)
</f>
        <v>CAP-BASEBALL-PO2-BEIGENAVYBLUE</v>
      </c>
      <c r="E882" s="15"/>
      <c r="F882" s="16">
        <f t="array" ref="F882">IFERROR(
  VALUE( INDEX(Product_Master!$I:$I,
               MATCH( INDEX(Pack_Master!$B:$B, MATCH($D882, Pack_Master!$A:$A, 0)),
                      Product_Master!$B:$B, 0)
  )) 
  * VALUE( INDEX(Pack_Master!$C:$C, MATCH($D882, Pack_Master!$A:$A, 0)) )
  + VALUE( INDEX(Pack_Master!$D:$D, MATCH($D882, Pack_Master!$A:$A, 0)) ),
"")
</f>
        <v>2</v>
      </c>
      <c r="G882" s="17">
        <f t="array" ref="G882">IFERROR(
 ( INDEX(Pack_Master!E:E, MATCH($D882, Pack_Master!A:A, 0))
   * INDEX(Pack_Master!F:F, MATCH($D882, Pack_Master!A:A, 0))
   * INDEX(Pack_Master!G:G, MATCH($D882, Pack_Master!A:A, 0))
 ) / INDEX(Config!C:C, MATCH($A882, Config!A:A, 0)),
"")
</f>
        <v>0.375</v>
      </c>
      <c r="H882" s="17">
        <f t="array" ref="H882">MAX( INDEX(Pack_Master!H:H, MATCH($D882, Pack_Master!A:A, 0)),
      IFERROR(G882, 0) )
</f>
        <v>0.5</v>
      </c>
      <c r="I882" s="18">
        <f>IFERROR(__xludf.DUMMYFUNCTION("IFERROR(
 INDEX(
   FILTER(Shipping_Rate_Card!B:F, Shipping_Rate_Card!A:A=$A882),
   MATCH($H882, FILTER(Shipping_Rate_Card!B:B, Shipping_Rate_Card!A:A=$A882), 1),
   IF( INDEX(Config!B:B, MATCH($A882, Config!A:A, 0))=""Local"", 2,
     IF( INDEX(Config!B"&amp;":B, MATCH($A882, Config!A:A, 0))=""Regional"", 3, 4 )
   )
 ),
"""")
"),75.0)</f>
        <v>75</v>
      </c>
      <c r="J882" s="16">
        <f>IFERROR(__xludf.DUMMYFUNCTION("IFERROR(
 ( E882 * INDEX(FILTER(Pricing_Rules!E:E, Pricing_Rules!A:A=A882, Pricing_Rules!B:B=B882, Pricing_Rules!C:C&lt;=E882, Pricing_Rules!D:D&gt;=E882), 1)
   + INDEX(FILTER(Pricing_Rules!F:F, Pricing_Rules!A:A=A882, Pricing_Rules!B:B=B882, Pricing_Rules!C:C"&amp;"&lt;=E882, Pricing_Rules!D:D&gt;=E882), 1)
 )
 * (1 + IFERROR( INDEX(Config!D:D, MATCH(A882, Config!A:A, 0)), 0 )),
"""")
"),15.34)</f>
        <v>15.34</v>
      </c>
      <c r="K882" s="19">
        <f t="shared" si="3"/>
        <v>-92.34</v>
      </c>
      <c r="L882" s="20" t="str">
        <f t="shared" si="4"/>
        <v/>
      </c>
    </row>
    <row r="883" ht="15.75" customHeight="1">
      <c r="A883" s="9" t="s">
        <v>1162</v>
      </c>
      <c r="B883" s="12" t="str">
        <f t="array" ref="B883">XLOOKUP(C883, Channel_Listings!C:C, Channel_Listings!B:B)
</f>
        <v>Apparel_Caps_Beanies</v>
      </c>
      <c r="C883" s="23" t="s">
        <v>552</v>
      </c>
      <c r="D883" s="14" t="str">
        <f t="array" ref="D883">XLOOKUP(C883, Channel_Listings!C:C, Channel_Listings!D:D)
</f>
        <v>CAP-BASEBALL-PO2-BLACKCHARCOAL</v>
      </c>
      <c r="E883" s="15"/>
      <c r="F883" s="16">
        <f t="array" ref="F883">IFERROR(
  VALUE( INDEX(Product_Master!$I:$I,
               MATCH( INDEX(Pack_Master!$B:$B, MATCH($D883, Pack_Master!$A:$A, 0)),
                      Product_Master!$B:$B, 0)
  )) 
  * VALUE( INDEX(Pack_Master!$C:$C, MATCH($D883, Pack_Master!$A:$A, 0)) )
  + VALUE( INDEX(Pack_Master!$D:$D, MATCH($D883, Pack_Master!$A:$A, 0)) ),
"")
</f>
        <v>2</v>
      </c>
      <c r="G883" s="17">
        <f t="array" ref="G883">IFERROR(
 ( INDEX(Pack_Master!E:E, MATCH($D883, Pack_Master!A:A, 0))
   * INDEX(Pack_Master!F:F, MATCH($D883, Pack_Master!A:A, 0))
   * INDEX(Pack_Master!G:G, MATCH($D883, Pack_Master!A:A, 0))
 ) / INDEX(Config!C:C, MATCH($A883, Config!A:A, 0)),
"")
</f>
        <v>0.375</v>
      </c>
      <c r="H883" s="17">
        <f t="array" ref="H883">MAX( INDEX(Pack_Master!H:H, MATCH($D883, Pack_Master!A:A, 0)),
      IFERROR(G883, 0) )
</f>
        <v>0.5</v>
      </c>
      <c r="I883" s="18">
        <f>IFERROR(__xludf.DUMMYFUNCTION("IFERROR(
 INDEX(
   FILTER(Shipping_Rate_Card!B:F, Shipping_Rate_Card!A:A=$A883),
   MATCH($H883, FILTER(Shipping_Rate_Card!B:B, Shipping_Rate_Card!A:A=$A883), 1),
   IF( INDEX(Config!B:B, MATCH($A883, Config!A:A, 0))=""Local"", 2,
     IF( INDEX(Config!B"&amp;":B, MATCH($A883, Config!A:A, 0))=""Regional"", 3, 4 )
   )
 ),
"""")
"),75.0)</f>
        <v>75</v>
      </c>
      <c r="J883" s="16">
        <f>IFERROR(__xludf.DUMMYFUNCTION("IFERROR(
 ( E883 * INDEX(FILTER(Pricing_Rules!E:E, Pricing_Rules!A:A=A883, Pricing_Rules!B:B=B883, Pricing_Rules!C:C&lt;=E883, Pricing_Rules!D:D&gt;=E883), 1)
   + INDEX(FILTER(Pricing_Rules!F:F, Pricing_Rules!A:A=A883, Pricing_Rules!B:B=B883, Pricing_Rules!C:C"&amp;"&lt;=E883, Pricing_Rules!D:D&gt;=E883), 1)
 )
 * (1 + IFERROR( INDEX(Config!D:D, MATCH(A883, Config!A:A, 0)), 0 )),
"""")
"),15.34)</f>
        <v>15.34</v>
      </c>
      <c r="K883" s="19">
        <f t="shared" si="3"/>
        <v>-92.34</v>
      </c>
      <c r="L883" s="20" t="str">
        <f t="shared" si="4"/>
        <v/>
      </c>
    </row>
    <row r="884" ht="15.75" customHeight="1">
      <c r="A884" s="9" t="s">
        <v>1162</v>
      </c>
      <c r="B884" s="12" t="str">
        <f t="array" ref="B884">XLOOKUP(C884, Channel_Listings!C:C, Channel_Listings!B:B)
</f>
        <v>Apparel_Caps_Beanies</v>
      </c>
      <c r="C884" s="23" t="s">
        <v>554</v>
      </c>
      <c r="D884" s="14" t="str">
        <f t="array" ref="D884">XLOOKUP(C884, Channel_Listings!C:C, Channel_Listings!D:D)
</f>
        <v>CAP-BASEBALL-PO2-BLACKGREY</v>
      </c>
      <c r="E884" s="15"/>
      <c r="F884" s="16">
        <f t="array" ref="F884">IFERROR(
  VALUE( INDEX(Product_Master!$I:$I,
               MATCH( INDEX(Pack_Master!$B:$B, MATCH($D884, Pack_Master!$A:$A, 0)),
                      Product_Master!$B:$B, 0)
  )) 
  * VALUE( INDEX(Pack_Master!$C:$C, MATCH($D884, Pack_Master!$A:$A, 0)) )
  + VALUE( INDEX(Pack_Master!$D:$D, MATCH($D884, Pack_Master!$A:$A, 0)) ),
"")
</f>
        <v>2</v>
      </c>
      <c r="G884" s="17">
        <f t="array" ref="G884">IFERROR(
 ( INDEX(Pack_Master!E:E, MATCH($D884, Pack_Master!A:A, 0))
   * INDEX(Pack_Master!F:F, MATCH($D884, Pack_Master!A:A, 0))
   * INDEX(Pack_Master!G:G, MATCH($D884, Pack_Master!A:A, 0))
 ) / INDEX(Config!C:C, MATCH($A884, Config!A:A, 0)),
"")
</f>
        <v>0.375</v>
      </c>
      <c r="H884" s="17">
        <f t="array" ref="H884">MAX( INDEX(Pack_Master!H:H, MATCH($D884, Pack_Master!A:A, 0)),
      IFERROR(G884, 0) )
</f>
        <v>0.5</v>
      </c>
      <c r="I884" s="18">
        <f>IFERROR(__xludf.DUMMYFUNCTION("IFERROR(
 INDEX(
   FILTER(Shipping_Rate_Card!B:F, Shipping_Rate_Card!A:A=$A884),
   MATCH($H884, FILTER(Shipping_Rate_Card!B:B, Shipping_Rate_Card!A:A=$A884), 1),
   IF( INDEX(Config!B:B, MATCH($A884, Config!A:A, 0))=""Local"", 2,
     IF( INDEX(Config!B"&amp;":B, MATCH($A884, Config!A:A, 0))=""Regional"", 3, 4 )
   )
 ),
"""")
"),75.0)</f>
        <v>75</v>
      </c>
      <c r="J884" s="16">
        <f>IFERROR(__xludf.DUMMYFUNCTION("IFERROR(
 ( E884 * INDEX(FILTER(Pricing_Rules!E:E, Pricing_Rules!A:A=A884, Pricing_Rules!B:B=B884, Pricing_Rules!C:C&lt;=E884, Pricing_Rules!D:D&gt;=E884), 1)
   + INDEX(FILTER(Pricing_Rules!F:F, Pricing_Rules!A:A=A884, Pricing_Rules!B:B=B884, Pricing_Rules!C:C"&amp;"&lt;=E884, Pricing_Rules!D:D&gt;=E884), 1)
 )
 * (1 + IFERROR( INDEX(Config!D:D, MATCH(A884, Config!A:A, 0)), 0 )),
"""")
"),15.34)</f>
        <v>15.34</v>
      </c>
      <c r="K884" s="19">
        <f t="shared" si="3"/>
        <v>-92.34</v>
      </c>
      <c r="L884" s="20" t="str">
        <f t="shared" si="4"/>
        <v/>
      </c>
    </row>
    <row r="885" ht="15.75" customHeight="1">
      <c r="A885" s="9" t="s">
        <v>1162</v>
      </c>
      <c r="B885" s="12" t="str">
        <f t="array" ref="B885">XLOOKUP(C885, Channel_Listings!C:C, Channel_Listings!B:B)
</f>
        <v>Apparel_Caps_Beanies</v>
      </c>
      <c r="C885" s="23" t="s">
        <v>556</v>
      </c>
      <c r="D885" s="14" t="str">
        <f t="array" ref="D885">XLOOKUP(C885, Channel_Listings!C:C, Channel_Listings!D:D)
</f>
        <v>CAP-BASEBALL-PO2-BLACKORANGE</v>
      </c>
      <c r="E885" s="15"/>
      <c r="F885" s="16">
        <f t="array" ref="F885">IFERROR(
  VALUE( INDEX(Product_Master!$I:$I,
               MATCH( INDEX(Pack_Master!$B:$B, MATCH($D885, Pack_Master!$A:$A, 0)),
                      Product_Master!$B:$B, 0)
  )) 
  * VALUE( INDEX(Pack_Master!$C:$C, MATCH($D885, Pack_Master!$A:$A, 0)) )
  + VALUE( INDEX(Pack_Master!$D:$D, MATCH($D885, Pack_Master!$A:$A, 0)) ),
"")
</f>
        <v>2</v>
      </c>
      <c r="G885" s="17">
        <f t="array" ref="G885">IFERROR(
 ( INDEX(Pack_Master!E:E, MATCH($D885, Pack_Master!A:A, 0))
   * INDEX(Pack_Master!F:F, MATCH($D885, Pack_Master!A:A, 0))
   * INDEX(Pack_Master!G:G, MATCH($D885, Pack_Master!A:A, 0))
 ) / INDEX(Config!C:C, MATCH($A885, Config!A:A, 0)),
"")
</f>
        <v>0.375</v>
      </c>
      <c r="H885" s="17">
        <f t="array" ref="H885">MAX( INDEX(Pack_Master!H:H, MATCH($D885, Pack_Master!A:A, 0)),
      IFERROR(G885, 0) )
</f>
        <v>0.5</v>
      </c>
      <c r="I885" s="18">
        <f>IFERROR(__xludf.DUMMYFUNCTION("IFERROR(
 INDEX(
   FILTER(Shipping_Rate_Card!B:F, Shipping_Rate_Card!A:A=$A885),
   MATCH($H885, FILTER(Shipping_Rate_Card!B:B, Shipping_Rate_Card!A:A=$A885), 1),
   IF( INDEX(Config!B:B, MATCH($A885, Config!A:A, 0))=""Local"", 2,
     IF( INDEX(Config!B"&amp;":B, MATCH($A885, Config!A:A, 0))=""Regional"", 3, 4 )
   )
 ),
"""")
"),75.0)</f>
        <v>75</v>
      </c>
      <c r="J885" s="16">
        <f>IFERROR(__xludf.DUMMYFUNCTION("IFERROR(
 ( E885 * INDEX(FILTER(Pricing_Rules!E:E, Pricing_Rules!A:A=A885, Pricing_Rules!B:B=B885, Pricing_Rules!C:C&lt;=E885, Pricing_Rules!D:D&gt;=E885), 1)
   + INDEX(FILTER(Pricing_Rules!F:F, Pricing_Rules!A:A=A885, Pricing_Rules!B:B=B885, Pricing_Rules!C:C"&amp;"&lt;=E885, Pricing_Rules!D:D&gt;=E885), 1)
 )
 * (1 + IFERROR( INDEX(Config!D:D, MATCH(A885, Config!A:A, 0)), 0 )),
"""")
"),15.34)</f>
        <v>15.34</v>
      </c>
      <c r="K885" s="19">
        <f t="shared" si="3"/>
        <v>-92.34</v>
      </c>
      <c r="L885" s="20" t="str">
        <f t="shared" si="4"/>
        <v/>
      </c>
    </row>
    <row r="886" ht="15.75" customHeight="1">
      <c r="A886" s="9" t="s">
        <v>1162</v>
      </c>
      <c r="B886" s="12" t="str">
        <f t="array" ref="B886">XLOOKUP(C886, Channel_Listings!C:C, Channel_Listings!B:B)
</f>
        <v>Apparel_Caps_Beanies</v>
      </c>
      <c r="C886" s="23" t="s">
        <v>558</v>
      </c>
      <c r="D886" s="14" t="str">
        <f t="array" ref="D886">XLOOKUP(C886, Channel_Listings!C:C, Channel_Listings!D:D)
</f>
        <v>CAP-BASEBALL-PO2-BLACKPINK</v>
      </c>
      <c r="E886" s="15"/>
      <c r="F886" s="16">
        <f t="array" ref="F886">IFERROR(
  VALUE( INDEX(Product_Master!$I:$I,
               MATCH( INDEX(Pack_Master!$B:$B, MATCH($D886, Pack_Master!$A:$A, 0)),
                      Product_Master!$B:$B, 0)
  )) 
  * VALUE( INDEX(Pack_Master!$C:$C, MATCH($D886, Pack_Master!$A:$A, 0)) )
  + VALUE( INDEX(Pack_Master!$D:$D, MATCH($D886, Pack_Master!$A:$A, 0)) ),
"")
</f>
        <v>2</v>
      </c>
      <c r="G886" s="17">
        <f t="array" ref="G886">IFERROR(
 ( INDEX(Pack_Master!E:E, MATCH($D886, Pack_Master!A:A, 0))
   * INDEX(Pack_Master!F:F, MATCH($D886, Pack_Master!A:A, 0))
   * INDEX(Pack_Master!G:G, MATCH($D886, Pack_Master!A:A, 0))
 ) / INDEX(Config!C:C, MATCH($A886, Config!A:A, 0)),
"")
</f>
        <v>0.375</v>
      </c>
      <c r="H886" s="17">
        <f t="array" ref="H886">MAX( INDEX(Pack_Master!H:H, MATCH($D886, Pack_Master!A:A, 0)),
      IFERROR(G886, 0) )
</f>
        <v>0.5</v>
      </c>
      <c r="I886" s="18">
        <f>IFERROR(__xludf.DUMMYFUNCTION("IFERROR(
 INDEX(
   FILTER(Shipping_Rate_Card!B:F, Shipping_Rate_Card!A:A=$A886),
   MATCH($H886, FILTER(Shipping_Rate_Card!B:B, Shipping_Rate_Card!A:A=$A886), 1),
   IF( INDEX(Config!B:B, MATCH($A886, Config!A:A, 0))=""Local"", 2,
     IF( INDEX(Config!B"&amp;":B, MATCH($A886, Config!A:A, 0))=""Regional"", 3, 4 )
   )
 ),
"""")
"),75.0)</f>
        <v>75</v>
      </c>
      <c r="J886" s="16">
        <f>IFERROR(__xludf.DUMMYFUNCTION("IFERROR(
 ( E886 * INDEX(FILTER(Pricing_Rules!E:E, Pricing_Rules!A:A=A886, Pricing_Rules!B:B=B886, Pricing_Rules!C:C&lt;=E886, Pricing_Rules!D:D&gt;=E886), 1)
   + INDEX(FILTER(Pricing_Rules!F:F, Pricing_Rules!A:A=A886, Pricing_Rules!B:B=B886, Pricing_Rules!C:C"&amp;"&lt;=E886, Pricing_Rules!D:D&gt;=E886), 1)
 )
 * (1 + IFERROR( INDEX(Config!D:D, MATCH(A886, Config!A:A, 0)), 0 )),
"""")
"),15.34)</f>
        <v>15.34</v>
      </c>
      <c r="K886" s="19">
        <f t="shared" si="3"/>
        <v>-92.34</v>
      </c>
      <c r="L886" s="20" t="str">
        <f t="shared" si="4"/>
        <v/>
      </c>
    </row>
    <row r="887" ht="15.75" customHeight="1">
      <c r="A887" s="9" t="s">
        <v>1162</v>
      </c>
      <c r="B887" s="12" t="str">
        <f t="array" ref="B887">XLOOKUP(C887, Channel_Listings!C:C, Channel_Listings!B:B)
</f>
        <v>Apparel_Caps_Beanies</v>
      </c>
      <c r="C887" s="23" t="s">
        <v>560</v>
      </c>
      <c r="D887" s="14" t="str">
        <f t="array" ref="D887">XLOOKUP(C887, Channel_Listings!C:C, Channel_Listings!D:D)
</f>
        <v>CAP-BASEBALL-PO2-BLACKWHITE</v>
      </c>
      <c r="E887" s="15"/>
      <c r="F887" s="16">
        <f t="array" ref="F887">IFERROR(
  VALUE( INDEX(Product_Master!$I:$I,
               MATCH( INDEX(Pack_Master!$B:$B, MATCH($D887, Pack_Master!$A:$A, 0)),
                      Product_Master!$B:$B, 0)
  )) 
  * VALUE( INDEX(Pack_Master!$C:$C, MATCH($D887, Pack_Master!$A:$A, 0)) )
  + VALUE( INDEX(Pack_Master!$D:$D, MATCH($D887, Pack_Master!$A:$A, 0)) ),
"")
</f>
        <v>2</v>
      </c>
      <c r="G887" s="17">
        <f t="array" ref="G887">IFERROR(
 ( INDEX(Pack_Master!E:E, MATCH($D887, Pack_Master!A:A, 0))
   * INDEX(Pack_Master!F:F, MATCH($D887, Pack_Master!A:A, 0))
   * INDEX(Pack_Master!G:G, MATCH($D887, Pack_Master!A:A, 0))
 ) / INDEX(Config!C:C, MATCH($A887, Config!A:A, 0)),
"")
</f>
        <v>0.375</v>
      </c>
      <c r="H887" s="17">
        <f t="array" ref="H887">MAX( INDEX(Pack_Master!H:H, MATCH($D887, Pack_Master!A:A, 0)),
      IFERROR(G887, 0) )
</f>
        <v>0.5</v>
      </c>
      <c r="I887" s="18">
        <f>IFERROR(__xludf.DUMMYFUNCTION("IFERROR(
 INDEX(
   FILTER(Shipping_Rate_Card!B:F, Shipping_Rate_Card!A:A=$A887),
   MATCH($H887, FILTER(Shipping_Rate_Card!B:B, Shipping_Rate_Card!A:A=$A887), 1),
   IF( INDEX(Config!B:B, MATCH($A887, Config!A:A, 0))=""Local"", 2,
     IF( INDEX(Config!B"&amp;":B, MATCH($A887, Config!A:A, 0))=""Regional"", 3, 4 )
   )
 ),
"""")
"),75.0)</f>
        <v>75</v>
      </c>
      <c r="J887" s="16">
        <f>IFERROR(__xludf.DUMMYFUNCTION("IFERROR(
 ( E887 * INDEX(FILTER(Pricing_Rules!E:E, Pricing_Rules!A:A=A887, Pricing_Rules!B:B=B887, Pricing_Rules!C:C&lt;=E887, Pricing_Rules!D:D&gt;=E887), 1)
   + INDEX(FILTER(Pricing_Rules!F:F, Pricing_Rules!A:A=A887, Pricing_Rules!B:B=B887, Pricing_Rules!C:C"&amp;"&lt;=E887, Pricing_Rules!D:D&gt;=E887), 1)
 )
 * (1 + IFERROR( INDEX(Config!D:D, MATCH(A887, Config!A:A, 0)), 0 )),
"""")
"),15.34)</f>
        <v>15.34</v>
      </c>
      <c r="K887" s="19">
        <f t="shared" si="3"/>
        <v>-92.34</v>
      </c>
      <c r="L887" s="20" t="str">
        <f t="shared" si="4"/>
        <v/>
      </c>
    </row>
    <row r="888" ht="15.75" customHeight="1">
      <c r="A888" s="9" t="s">
        <v>1162</v>
      </c>
      <c r="B888" s="12" t="str">
        <f t="array" ref="B888">XLOOKUP(C888, Channel_Listings!C:C, Channel_Listings!B:B)
</f>
        <v>Apparel_Caps_Beanies</v>
      </c>
      <c r="C888" s="23" t="s">
        <v>562</v>
      </c>
      <c r="D888" s="14" t="str">
        <f t="array" ref="D888">XLOOKUP(C888, Channel_Listings!C:C, Channel_Listings!D:D)
</f>
        <v>CAP-BASEBALL-PO2-BLACKYELLOW</v>
      </c>
      <c r="E888" s="15"/>
      <c r="F888" s="16">
        <f t="array" ref="F888">IFERROR(
  VALUE( INDEX(Product_Master!$I:$I,
               MATCH( INDEX(Pack_Master!$B:$B, MATCH($D888, Pack_Master!$A:$A, 0)),
                      Product_Master!$B:$B, 0)
  )) 
  * VALUE( INDEX(Pack_Master!$C:$C, MATCH($D888, Pack_Master!$A:$A, 0)) )
  + VALUE( INDEX(Pack_Master!$D:$D, MATCH($D888, Pack_Master!$A:$A, 0)) ),
"")
</f>
        <v>2</v>
      </c>
      <c r="G888" s="17">
        <f t="array" ref="G888">IFERROR(
 ( INDEX(Pack_Master!E:E, MATCH($D888, Pack_Master!A:A, 0))
   * INDEX(Pack_Master!F:F, MATCH($D888, Pack_Master!A:A, 0))
   * INDEX(Pack_Master!G:G, MATCH($D888, Pack_Master!A:A, 0))
 ) / INDEX(Config!C:C, MATCH($A888, Config!A:A, 0)),
"")
</f>
        <v>0.375</v>
      </c>
      <c r="H888" s="17">
        <f t="array" ref="H888">MAX( INDEX(Pack_Master!H:H, MATCH($D888, Pack_Master!A:A, 0)),
      IFERROR(G888, 0) )
</f>
        <v>0.5</v>
      </c>
      <c r="I888" s="18">
        <f>IFERROR(__xludf.DUMMYFUNCTION("IFERROR(
 INDEX(
   FILTER(Shipping_Rate_Card!B:F, Shipping_Rate_Card!A:A=$A888),
   MATCH($H888, FILTER(Shipping_Rate_Card!B:B, Shipping_Rate_Card!A:A=$A888), 1),
   IF( INDEX(Config!B:B, MATCH($A888, Config!A:A, 0))=""Local"", 2,
     IF( INDEX(Config!B"&amp;":B, MATCH($A888, Config!A:A, 0))=""Regional"", 3, 4 )
   )
 ),
"""")
"),75.0)</f>
        <v>75</v>
      </c>
      <c r="J888" s="16">
        <f>IFERROR(__xludf.DUMMYFUNCTION("IFERROR(
 ( E888 * INDEX(FILTER(Pricing_Rules!E:E, Pricing_Rules!A:A=A888, Pricing_Rules!B:B=B888, Pricing_Rules!C:C&lt;=E888, Pricing_Rules!D:D&gt;=E888), 1)
   + INDEX(FILTER(Pricing_Rules!F:F, Pricing_Rules!A:A=A888, Pricing_Rules!B:B=B888, Pricing_Rules!C:C"&amp;"&lt;=E888, Pricing_Rules!D:D&gt;=E888), 1)
 )
 * (1 + IFERROR( INDEX(Config!D:D, MATCH(A888, Config!A:A, 0)), 0 )),
"""")
"),15.34)</f>
        <v>15.34</v>
      </c>
      <c r="K888" s="19">
        <f t="shared" si="3"/>
        <v>-92.34</v>
      </c>
      <c r="L888" s="20" t="str">
        <f t="shared" si="4"/>
        <v/>
      </c>
    </row>
    <row r="889" ht="15.75" customHeight="1">
      <c r="A889" s="9" t="s">
        <v>1162</v>
      </c>
      <c r="B889" s="12" t="str">
        <f t="array" ref="B889">XLOOKUP(C889, Channel_Listings!C:C, Channel_Listings!B:B)
</f>
        <v>Apparel_Caps_Beanies</v>
      </c>
      <c r="C889" s="23" t="s">
        <v>564</v>
      </c>
      <c r="D889" s="14" t="str">
        <f t="array" ref="D889">XLOOKUP(C889, Channel_Listings!C:C, Channel_Listings!D:D)
</f>
        <v>CAP-BASEBALL-PO2-CHARCOALWHITE</v>
      </c>
      <c r="E889" s="15"/>
      <c r="F889" s="16">
        <f t="array" ref="F889">IFERROR(
  VALUE( INDEX(Product_Master!$I:$I,
               MATCH( INDEX(Pack_Master!$B:$B, MATCH($D889, Pack_Master!$A:$A, 0)),
                      Product_Master!$B:$B, 0)
  )) 
  * VALUE( INDEX(Pack_Master!$C:$C, MATCH($D889, Pack_Master!$A:$A, 0)) )
  + VALUE( INDEX(Pack_Master!$D:$D, MATCH($D889, Pack_Master!$A:$A, 0)) ),
"")
</f>
        <v>2</v>
      </c>
      <c r="G889" s="17">
        <f t="array" ref="G889">IFERROR(
 ( INDEX(Pack_Master!E:E, MATCH($D889, Pack_Master!A:A, 0))
   * INDEX(Pack_Master!F:F, MATCH($D889, Pack_Master!A:A, 0))
   * INDEX(Pack_Master!G:G, MATCH($D889, Pack_Master!A:A, 0))
 ) / INDEX(Config!C:C, MATCH($A889, Config!A:A, 0)),
"")
</f>
        <v>0.375</v>
      </c>
      <c r="H889" s="17">
        <f t="array" ref="H889">MAX( INDEX(Pack_Master!H:H, MATCH($D889, Pack_Master!A:A, 0)),
      IFERROR(G889, 0) )
</f>
        <v>0.5</v>
      </c>
      <c r="I889" s="18">
        <f>IFERROR(__xludf.DUMMYFUNCTION("IFERROR(
 INDEX(
   FILTER(Shipping_Rate_Card!B:F, Shipping_Rate_Card!A:A=$A889),
   MATCH($H889, FILTER(Shipping_Rate_Card!B:B, Shipping_Rate_Card!A:A=$A889), 1),
   IF( INDEX(Config!B:B, MATCH($A889, Config!A:A, 0))=""Local"", 2,
     IF( INDEX(Config!B"&amp;":B, MATCH($A889, Config!A:A, 0))=""Regional"", 3, 4 )
   )
 ),
"""")
"),75.0)</f>
        <v>75</v>
      </c>
      <c r="J889" s="16">
        <f>IFERROR(__xludf.DUMMYFUNCTION("IFERROR(
 ( E889 * INDEX(FILTER(Pricing_Rules!E:E, Pricing_Rules!A:A=A889, Pricing_Rules!B:B=B889, Pricing_Rules!C:C&lt;=E889, Pricing_Rules!D:D&gt;=E889), 1)
   + INDEX(FILTER(Pricing_Rules!F:F, Pricing_Rules!A:A=A889, Pricing_Rules!B:B=B889, Pricing_Rules!C:C"&amp;"&lt;=E889, Pricing_Rules!D:D&gt;=E889), 1)
 )
 * (1 + IFERROR( INDEX(Config!D:D, MATCH(A889, Config!A:A, 0)), 0 )),
"""")
"),15.34)</f>
        <v>15.34</v>
      </c>
      <c r="K889" s="19">
        <f t="shared" si="3"/>
        <v>-92.34</v>
      </c>
      <c r="L889" s="20" t="str">
        <f t="shared" si="4"/>
        <v/>
      </c>
    </row>
    <row r="890" ht="15.75" customHeight="1">
      <c r="A890" s="9" t="s">
        <v>1162</v>
      </c>
      <c r="B890" s="12" t="str">
        <f t="array" ref="B890">XLOOKUP(C890, Channel_Listings!C:C, Channel_Listings!B:B)
</f>
        <v>Apparel_Caps_Beanies</v>
      </c>
      <c r="C890" s="23" t="s">
        <v>1395</v>
      </c>
      <c r="D890" s="14" t="str">
        <f t="array" ref="D890">XLOOKUP(C890, Channel_Listings!C:C, Channel_Listings!D:D)
</f>
        <v>CAP-BASEBALL-PO2-CORALRED</v>
      </c>
      <c r="E890" s="15"/>
      <c r="F890" s="16">
        <f t="array" ref="F890">IFERROR(
  VALUE( INDEX(Product_Master!$I:$I,
               MATCH( INDEX(Pack_Master!$B:$B, MATCH($D890, Pack_Master!$A:$A, 0)),
                      Product_Master!$B:$B, 0)
  )) 
  * VALUE( INDEX(Pack_Master!$C:$C, MATCH($D890, Pack_Master!$A:$A, 0)) )
  + VALUE( INDEX(Pack_Master!$D:$D, MATCH($D890, Pack_Master!$A:$A, 0)) ),
"")
</f>
        <v>2</v>
      </c>
      <c r="G890" s="17">
        <f t="array" ref="G890">IFERROR(
 ( INDEX(Pack_Master!E:E, MATCH($D890, Pack_Master!A:A, 0))
   * INDEX(Pack_Master!F:F, MATCH($D890, Pack_Master!A:A, 0))
   * INDEX(Pack_Master!G:G, MATCH($D890, Pack_Master!A:A, 0))
 ) / INDEX(Config!C:C, MATCH($A890, Config!A:A, 0)),
"")
</f>
        <v>0.375</v>
      </c>
      <c r="H890" s="17">
        <f t="array" ref="H890">MAX( INDEX(Pack_Master!H:H, MATCH($D890, Pack_Master!A:A, 0)),
      IFERROR(G890, 0) )
</f>
        <v>0.5</v>
      </c>
      <c r="I890" s="18">
        <f>IFERROR(__xludf.DUMMYFUNCTION("IFERROR(
 INDEX(
   FILTER(Shipping_Rate_Card!B:F, Shipping_Rate_Card!A:A=$A890),
   MATCH($H890, FILTER(Shipping_Rate_Card!B:B, Shipping_Rate_Card!A:A=$A890), 1),
   IF( INDEX(Config!B:B, MATCH($A890, Config!A:A, 0))=""Local"", 2,
     IF( INDEX(Config!B"&amp;":B, MATCH($A890, Config!A:A, 0))=""Regional"", 3, 4 )
   )
 ),
"""")
"),75.0)</f>
        <v>75</v>
      </c>
      <c r="J890" s="16">
        <f>IFERROR(__xludf.DUMMYFUNCTION("IFERROR(
 ( E890 * INDEX(FILTER(Pricing_Rules!E:E, Pricing_Rules!A:A=A890, Pricing_Rules!B:B=B890, Pricing_Rules!C:C&lt;=E890, Pricing_Rules!D:D&gt;=E890), 1)
   + INDEX(FILTER(Pricing_Rules!F:F, Pricing_Rules!A:A=A890, Pricing_Rules!B:B=B890, Pricing_Rules!C:C"&amp;"&lt;=E890, Pricing_Rules!D:D&gt;=E890), 1)
 )
 * (1 + IFERROR( INDEX(Config!D:D, MATCH(A890, Config!A:A, 0)), 0 )),
"""")
"),15.34)</f>
        <v>15.34</v>
      </c>
      <c r="K890" s="19">
        <f t="shared" si="3"/>
        <v>-92.34</v>
      </c>
      <c r="L890" s="20" t="str">
        <f t="shared" si="4"/>
        <v/>
      </c>
    </row>
    <row r="891" ht="15.75" customHeight="1">
      <c r="A891" s="9" t="s">
        <v>1162</v>
      </c>
      <c r="B891" s="12" t="str">
        <f t="array" ref="B891">XLOOKUP(C891, Channel_Listings!C:C, Channel_Listings!B:B)
</f>
        <v>Apparel_Caps_Beanies</v>
      </c>
      <c r="C891" s="23" t="s">
        <v>566</v>
      </c>
      <c r="D891" s="14" t="str">
        <f t="array" ref="D891">XLOOKUP(C891, Channel_Listings!C:C, Channel_Listings!D:D)
</f>
        <v>CAP-BASEBALL-PO2-GREENRED</v>
      </c>
      <c r="E891" s="15"/>
      <c r="F891" s="16">
        <f t="array" ref="F891">IFERROR(
  VALUE( INDEX(Product_Master!$I:$I,
               MATCH( INDEX(Pack_Master!$B:$B, MATCH($D891, Pack_Master!$A:$A, 0)),
                      Product_Master!$B:$B, 0)
  )) 
  * VALUE( INDEX(Pack_Master!$C:$C, MATCH($D891, Pack_Master!$A:$A, 0)) )
  + VALUE( INDEX(Pack_Master!$D:$D, MATCH($D891, Pack_Master!$A:$A, 0)) ),
"")
</f>
        <v>2</v>
      </c>
      <c r="G891" s="17">
        <f t="array" ref="G891">IFERROR(
 ( INDEX(Pack_Master!E:E, MATCH($D891, Pack_Master!A:A, 0))
   * INDEX(Pack_Master!F:F, MATCH($D891, Pack_Master!A:A, 0))
   * INDEX(Pack_Master!G:G, MATCH($D891, Pack_Master!A:A, 0))
 ) / INDEX(Config!C:C, MATCH($A891, Config!A:A, 0)),
"")
</f>
        <v>0.375</v>
      </c>
      <c r="H891" s="17">
        <f t="array" ref="H891">MAX( INDEX(Pack_Master!H:H, MATCH($D891, Pack_Master!A:A, 0)),
      IFERROR(G891, 0) )
</f>
        <v>0.5</v>
      </c>
      <c r="I891" s="18">
        <f>IFERROR(__xludf.DUMMYFUNCTION("IFERROR(
 INDEX(
   FILTER(Shipping_Rate_Card!B:F, Shipping_Rate_Card!A:A=$A891),
   MATCH($H891, FILTER(Shipping_Rate_Card!B:B, Shipping_Rate_Card!A:A=$A891), 1),
   IF( INDEX(Config!B:B, MATCH($A891, Config!A:A, 0))=""Local"", 2,
     IF( INDEX(Config!B"&amp;":B, MATCH($A891, Config!A:A, 0))=""Regional"", 3, 4 )
   )
 ),
"""")
"),75.0)</f>
        <v>75</v>
      </c>
      <c r="J891" s="16">
        <f>IFERROR(__xludf.DUMMYFUNCTION("IFERROR(
 ( E891 * INDEX(FILTER(Pricing_Rules!E:E, Pricing_Rules!A:A=A891, Pricing_Rules!B:B=B891, Pricing_Rules!C:C&lt;=E891, Pricing_Rules!D:D&gt;=E891), 1)
   + INDEX(FILTER(Pricing_Rules!F:F, Pricing_Rules!A:A=A891, Pricing_Rules!B:B=B891, Pricing_Rules!C:C"&amp;"&lt;=E891, Pricing_Rules!D:D&gt;=E891), 1)
 )
 * (1 + IFERROR( INDEX(Config!D:D, MATCH(A891, Config!A:A, 0)), 0 )),
"""")
"),15.34)</f>
        <v>15.34</v>
      </c>
      <c r="K891" s="19">
        <f t="shared" si="3"/>
        <v>-92.34</v>
      </c>
      <c r="L891" s="20" t="str">
        <f t="shared" si="4"/>
        <v/>
      </c>
    </row>
    <row r="892" ht="15.75" customHeight="1">
      <c r="A892" s="9" t="s">
        <v>1162</v>
      </c>
      <c r="B892" s="12" t="str">
        <f t="array" ref="B892">XLOOKUP(C892, Channel_Listings!C:C, Channel_Listings!B:B)
</f>
        <v>Apparel_Caps_Beanies</v>
      </c>
      <c r="C892" s="23" t="s">
        <v>568</v>
      </c>
      <c r="D892" s="14" t="str">
        <f t="array" ref="D892">XLOOKUP(C892, Channel_Listings!C:C, Channel_Listings!D:D)
</f>
        <v>CAP-BASEBALL-PO2-GREYCHARCOAL</v>
      </c>
      <c r="E892" s="15"/>
      <c r="F892" s="16">
        <f t="array" ref="F892">IFERROR(
  VALUE( INDEX(Product_Master!$I:$I,
               MATCH( INDEX(Pack_Master!$B:$B, MATCH($D892, Pack_Master!$A:$A, 0)),
                      Product_Master!$B:$B, 0)
  )) 
  * VALUE( INDEX(Pack_Master!$C:$C, MATCH($D892, Pack_Master!$A:$A, 0)) )
  + VALUE( INDEX(Pack_Master!$D:$D, MATCH($D892, Pack_Master!$A:$A, 0)) ),
"")
</f>
        <v>2</v>
      </c>
      <c r="G892" s="17">
        <f t="array" ref="G892">IFERROR(
 ( INDEX(Pack_Master!E:E, MATCH($D892, Pack_Master!A:A, 0))
   * INDEX(Pack_Master!F:F, MATCH($D892, Pack_Master!A:A, 0))
   * INDEX(Pack_Master!G:G, MATCH($D892, Pack_Master!A:A, 0))
 ) / INDEX(Config!C:C, MATCH($A892, Config!A:A, 0)),
"")
</f>
        <v>0.375</v>
      </c>
      <c r="H892" s="17">
        <f t="array" ref="H892">MAX( INDEX(Pack_Master!H:H, MATCH($D892, Pack_Master!A:A, 0)),
      IFERROR(G892, 0) )
</f>
        <v>0.5</v>
      </c>
      <c r="I892" s="18">
        <f>IFERROR(__xludf.DUMMYFUNCTION("IFERROR(
 INDEX(
   FILTER(Shipping_Rate_Card!B:F, Shipping_Rate_Card!A:A=$A892),
   MATCH($H892, FILTER(Shipping_Rate_Card!B:B, Shipping_Rate_Card!A:A=$A892), 1),
   IF( INDEX(Config!B:B, MATCH($A892, Config!A:A, 0))=""Local"", 2,
     IF( INDEX(Config!B"&amp;":B, MATCH($A892, Config!A:A, 0))=""Regional"", 3, 4 )
   )
 ),
"""")
"),75.0)</f>
        <v>75</v>
      </c>
      <c r="J892" s="16">
        <f>IFERROR(__xludf.DUMMYFUNCTION("IFERROR(
 ( E892 * INDEX(FILTER(Pricing_Rules!E:E, Pricing_Rules!A:A=A892, Pricing_Rules!B:B=B892, Pricing_Rules!C:C&lt;=E892, Pricing_Rules!D:D&gt;=E892), 1)
   + INDEX(FILTER(Pricing_Rules!F:F, Pricing_Rules!A:A=A892, Pricing_Rules!B:B=B892, Pricing_Rules!C:C"&amp;"&lt;=E892, Pricing_Rules!D:D&gt;=E892), 1)
 )
 * (1 + IFERROR( INDEX(Config!D:D, MATCH(A892, Config!A:A, 0)), 0 )),
"""")
"),15.34)</f>
        <v>15.34</v>
      </c>
      <c r="K892" s="19">
        <f t="shared" si="3"/>
        <v>-92.34</v>
      </c>
      <c r="L892" s="20" t="str">
        <f t="shared" si="4"/>
        <v/>
      </c>
    </row>
    <row r="893" ht="15.75" customHeight="1">
      <c r="A893" s="9" t="s">
        <v>1162</v>
      </c>
      <c r="B893" s="12" t="str">
        <f t="array" ref="B893">XLOOKUP(C893, Channel_Listings!C:C, Channel_Listings!B:B)
</f>
        <v>Apparel_Caps_Beanies</v>
      </c>
      <c r="C893" s="23" t="s">
        <v>570</v>
      </c>
      <c r="D893" s="14" t="str">
        <f t="array" ref="D893">XLOOKUP(C893, Channel_Listings!C:C, Channel_Listings!D:D)
</f>
        <v>CAP-BASEBALL-PO2-GREYWHITE</v>
      </c>
      <c r="E893" s="15"/>
      <c r="F893" s="16">
        <f t="array" ref="F893">IFERROR(
  VALUE( INDEX(Product_Master!$I:$I,
               MATCH( INDEX(Pack_Master!$B:$B, MATCH($D893, Pack_Master!$A:$A, 0)),
                      Product_Master!$B:$B, 0)
  )) 
  * VALUE( INDEX(Pack_Master!$C:$C, MATCH($D893, Pack_Master!$A:$A, 0)) )
  + VALUE( INDEX(Pack_Master!$D:$D, MATCH($D893, Pack_Master!$A:$A, 0)) ),
"")
</f>
        <v>2</v>
      </c>
      <c r="G893" s="17">
        <f t="array" ref="G893">IFERROR(
 ( INDEX(Pack_Master!E:E, MATCH($D893, Pack_Master!A:A, 0))
   * INDEX(Pack_Master!F:F, MATCH($D893, Pack_Master!A:A, 0))
   * INDEX(Pack_Master!G:G, MATCH($D893, Pack_Master!A:A, 0))
 ) / INDEX(Config!C:C, MATCH($A893, Config!A:A, 0)),
"")
</f>
        <v>0.375</v>
      </c>
      <c r="H893" s="17">
        <f t="array" ref="H893">MAX( INDEX(Pack_Master!H:H, MATCH($D893, Pack_Master!A:A, 0)),
      IFERROR(G893, 0) )
</f>
        <v>0.5</v>
      </c>
      <c r="I893" s="18">
        <f>IFERROR(__xludf.DUMMYFUNCTION("IFERROR(
 INDEX(
   FILTER(Shipping_Rate_Card!B:F, Shipping_Rate_Card!A:A=$A893),
   MATCH($H893, FILTER(Shipping_Rate_Card!B:B, Shipping_Rate_Card!A:A=$A893), 1),
   IF( INDEX(Config!B:B, MATCH($A893, Config!A:A, 0))=""Local"", 2,
     IF( INDEX(Config!B"&amp;":B, MATCH($A893, Config!A:A, 0))=""Regional"", 3, 4 )
   )
 ),
"""")
"),75.0)</f>
        <v>75</v>
      </c>
      <c r="J893" s="16">
        <f>IFERROR(__xludf.DUMMYFUNCTION("IFERROR(
 ( E893 * INDEX(FILTER(Pricing_Rules!E:E, Pricing_Rules!A:A=A893, Pricing_Rules!B:B=B893, Pricing_Rules!C:C&lt;=E893, Pricing_Rules!D:D&gt;=E893), 1)
   + INDEX(FILTER(Pricing_Rules!F:F, Pricing_Rules!A:A=A893, Pricing_Rules!B:B=B893, Pricing_Rules!C:C"&amp;"&lt;=E893, Pricing_Rules!D:D&gt;=E893), 1)
 )
 * (1 + IFERROR( INDEX(Config!D:D, MATCH(A893, Config!A:A, 0)), 0 )),
"""")
"),15.34)</f>
        <v>15.34</v>
      </c>
      <c r="K893" s="19">
        <f t="shared" si="3"/>
        <v>-92.34</v>
      </c>
      <c r="L893" s="20" t="str">
        <f t="shared" si="4"/>
        <v/>
      </c>
    </row>
    <row r="894" ht="15.75" customHeight="1">
      <c r="A894" s="9" t="s">
        <v>1162</v>
      </c>
      <c r="B894" s="12" t="str">
        <f t="array" ref="B894">XLOOKUP(C894, Channel_Listings!C:C, Channel_Listings!B:B)
</f>
        <v>Apparel_Caps_Beanies</v>
      </c>
      <c r="C894" s="23" t="s">
        <v>572</v>
      </c>
      <c r="D894" s="14" t="str">
        <f t="array" ref="D894">XLOOKUP(C894, Channel_Listings!C:C, Channel_Listings!D:D)
</f>
        <v>CAP-BASEBALL-PO2-MAROONGREY</v>
      </c>
      <c r="E894" s="15"/>
      <c r="F894" s="16">
        <f t="array" ref="F894">IFERROR(
  VALUE( INDEX(Product_Master!$I:$I,
               MATCH( INDEX(Pack_Master!$B:$B, MATCH($D894, Pack_Master!$A:$A, 0)),
                      Product_Master!$B:$B, 0)
  )) 
  * VALUE( INDEX(Pack_Master!$C:$C, MATCH($D894, Pack_Master!$A:$A, 0)) )
  + VALUE( INDEX(Pack_Master!$D:$D, MATCH($D894, Pack_Master!$A:$A, 0)) ),
"")
</f>
        <v>2</v>
      </c>
      <c r="G894" s="17">
        <f t="array" ref="G894">IFERROR(
 ( INDEX(Pack_Master!E:E, MATCH($D894, Pack_Master!A:A, 0))
   * INDEX(Pack_Master!F:F, MATCH($D894, Pack_Master!A:A, 0))
   * INDEX(Pack_Master!G:G, MATCH($D894, Pack_Master!A:A, 0))
 ) / INDEX(Config!C:C, MATCH($A894, Config!A:A, 0)),
"")
</f>
        <v>0.375</v>
      </c>
      <c r="H894" s="17">
        <f t="array" ref="H894">MAX( INDEX(Pack_Master!H:H, MATCH($D894, Pack_Master!A:A, 0)),
      IFERROR(G894, 0) )
</f>
        <v>0.5</v>
      </c>
      <c r="I894" s="18">
        <f>IFERROR(__xludf.DUMMYFUNCTION("IFERROR(
 INDEX(
   FILTER(Shipping_Rate_Card!B:F, Shipping_Rate_Card!A:A=$A894),
   MATCH($H894, FILTER(Shipping_Rate_Card!B:B, Shipping_Rate_Card!A:A=$A894), 1),
   IF( INDEX(Config!B:B, MATCH($A894, Config!A:A, 0))=""Local"", 2,
     IF( INDEX(Config!B"&amp;":B, MATCH($A894, Config!A:A, 0))=""Regional"", 3, 4 )
   )
 ),
"""")
"),75.0)</f>
        <v>75</v>
      </c>
      <c r="J894" s="16">
        <f>IFERROR(__xludf.DUMMYFUNCTION("IFERROR(
 ( E894 * INDEX(FILTER(Pricing_Rules!E:E, Pricing_Rules!A:A=A894, Pricing_Rules!B:B=B894, Pricing_Rules!C:C&lt;=E894, Pricing_Rules!D:D&gt;=E894), 1)
   + INDEX(FILTER(Pricing_Rules!F:F, Pricing_Rules!A:A=A894, Pricing_Rules!B:B=B894, Pricing_Rules!C:C"&amp;"&lt;=E894, Pricing_Rules!D:D&gt;=E894), 1)
 )
 * (1 + IFERROR( INDEX(Config!D:D, MATCH(A894, Config!A:A, 0)), 0 )),
"""")
"),15.34)</f>
        <v>15.34</v>
      </c>
      <c r="K894" s="19">
        <f t="shared" si="3"/>
        <v>-92.34</v>
      </c>
      <c r="L894" s="20" t="str">
        <f t="shared" si="4"/>
        <v/>
      </c>
    </row>
    <row r="895" ht="15.75" customHeight="1">
      <c r="A895" s="9" t="s">
        <v>1162</v>
      </c>
      <c r="B895" s="12" t="str">
        <f t="array" ref="B895">XLOOKUP(C895, Channel_Listings!C:C, Channel_Listings!B:B)
</f>
        <v>Apparel_Caps_Beanies</v>
      </c>
      <c r="C895" s="23" t="s">
        <v>574</v>
      </c>
      <c r="D895" s="14" t="str">
        <f t="array" ref="D895">XLOOKUP(C895, Channel_Listings!C:C, Channel_Listings!D:D)
</f>
        <v>CAP-BASEBALL-PO2-NAVYBLUEYELLOW</v>
      </c>
      <c r="E895" s="15"/>
      <c r="F895" s="16">
        <f t="array" ref="F895">IFERROR(
  VALUE( INDEX(Product_Master!$I:$I,
               MATCH( INDEX(Pack_Master!$B:$B, MATCH($D895, Pack_Master!$A:$A, 0)),
                      Product_Master!$B:$B, 0)
  )) 
  * VALUE( INDEX(Pack_Master!$C:$C, MATCH($D895, Pack_Master!$A:$A, 0)) )
  + VALUE( INDEX(Pack_Master!$D:$D, MATCH($D895, Pack_Master!$A:$A, 0)) ),
"")
</f>
        <v>2</v>
      </c>
      <c r="G895" s="17">
        <f t="array" ref="G895">IFERROR(
 ( INDEX(Pack_Master!E:E, MATCH($D895, Pack_Master!A:A, 0))
   * INDEX(Pack_Master!F:F, MATCH($D895, Pack_Master!A:A, 0))
   * INDEX(Pack_Master!G:G, MATCH($D895, Pack_Master!A:A, 0))
 ) / INDEX(Config!C:C, MATCH($A895, Config!A:A, 0)),
"")
</f>
        <v>0.375</v>
      </c>
      <c r="H895" s="17">
        <f t="array" ref="H895">MAX( INDEX(Pack_Master!H:H, MATCH($D895, Pack_Master!A:A, 0)),
      IFERROR(G895, 0) )
</f>
        <v>0.5</v>
      </c>
      <c r="I895" s="18">
        <f>IFERROR(__xludf.DUMMYFUNCTION("IFERROR(
 INDEX(
   FILTER(Shipping_Rate_Card!B:F, Shipping_Rate_Card!A:A=$A895),
   MATCH($H895, FILTER(Shipping_Rate_Card!B:B, Shipping_Rate_Card!A:A=$A895), 1),
   IF( INDEX(Config!B:B, MATCH($A895, Config!A:A, 0))=""Local"", 2,
     IF( INDEX(Config!B"&amp;":B, MATCH($A895, Config!A:A, 0))=""Regional"", 3, 4 )
   )
 ),
"""")
"),75.0)</f>
        <v>75</v>
      </c>
      <c r="J895" s="16">
        <f>IFERROR(__xludf.DUMMYFUNCTION("IFERROR(
 ( E895 * INDEX(FILTER(Pricing_Rules!E:E, Pricing_Rules!A:A=A895, Pricing_Rules!B:B=B895, Pricing_Rules!C:C&lt;=E895, Pricing_Rules!D:D&gt;=E895), 1)
   + INDEX(FILTER(Pricing_Rules!F:F, Pricing_Rules!A:A=A895, Pricing_Rules!B:B=B895, Pricing_Rules!C:C"&amp;"&lt;=E895, Pricing_Rules!D:D&gt;=E895), 1)
 )
 * (1 + IFERROR( INDEX(Config!D:D, MATCH(A895, Config!A:A, 0)), 0 )),
"""")
"),15.34)</f>
        <v>15.34</v>
      </c>
      <c r="K895" s="19">
        <f t="shared" si="3"/>
        <v>-92.34</v>
      </c>
      <c r="L895" s="20" t="str">
        <f t="shared" si="4"/>
        <v/>
      </c>
    </row>
    <row r="896" ht="15.75" customHeight="1">
      <c r="A896" s="9" t="s">
        <v>1162</v>
      </c>
      <c r="B896" s="12" t="str">
        <f t="array" ref="B896">XLOOKUP(C896, Channel_Listings!C:C, Channel_Listings!B:B)
</f>
        <v>Apparel_Caps_Beanies</v>
      </c>
      <c r="C896" s="23" t="s">
        <v>576</v>
      </c>
      <c r="D896" s="14" t="str">
        <f t="array" ref="D896">XLOOKUP(C896, Channel_Listings!C:C, Channel_Listings!D:D)
</f>
        <v>CAP-BASEBALL-PO2-OLIVEBEIGE</v>
      </c>
      <c r="E896" s="15"/>
      <c r="F896" s="16">
        <f t="array" ref="F896">IFERROR(
  VALUE( INDEX(Product_Master!$I:$I,
               MATCH( INDEX(Pack_Master!$B:$B, MATCH($D896, Pack_Master!$A:$A, 0)),
                      Product_Master!$B:$B, 0)
  )) 
  * VALUE( INDEX(Pack_Master!$C:$C, MATCH($D896, Pack_Master!$A:$A, 0)) )
  + VALUE( INDEX(Pack_Master!$D:$D, MATCH($D896, Pack_Master!$A:$A, 0)) ),
"")
</f>
        <v>2</v>
      </c>
      <c r="G896" s="17">
        <f t="array" ref="G896">IFERROR(
 ( INDEX(Pack_Master!E:E, MATCH($D896, Pack_Master!A:A, 0))
   * INDEX(Pack_Master!F:F, MATCH($D896, Pack_Master!A:A, 0))
   * INDEX(Pack_Master!G:G, MATCH($D896, Pack_Master!A:A, 0))
 ) / INDEX(Config!C:C, MATCH($A896, Config!A:A, 0)),
"")
</f>
        <v>0.375</v>
      </c>
      <c r="H896" s="17">
        <f t="array" ref="H896">MAX( INDEX(Pack_Master!H:H, MATCH($D896, Pack_Master!A:A, 0)),
      IFERROR(G896, 0) )
</f>
        <v>0.5</v>
      </c>
      <c r="I896" s="18">
        <f>IFERROR(__xludf.DUMMYFUNCTION("IFERROR(
 INDEX(
   FILTER(Shipping_Rate_Card!B:F, Shipping_Rate_Card!A:A=$A896),
   MATCH($H896, FILTER(Shipping_Rate_Card!B:B, Shipping_Rate_Card!A:A=$A896), 1),
   IF( INDEX(Config!B:B, MATCH($A896, Config!A:A, 0))=""Local"", 2,
     IF( INDEX(Config!B"&amp;":B, MATCH($A896, Config!A:A, 0))=""Regional"", 3, 4 )
   )
 ),
"""")
"),75.0)</f>
        <v>75</v>
      </c>
      <c r="J896" s="16">
        <f>IFERROR(__xludf.DUMMYFUNCTION("IFERROR(
 ( E896 * INDEX(FILTER(Pricing_Rules!E:E, Pricing_Rules!A:A=A896, Pricing_Rules!B:B=B896, Pricing_Rules!C:C&lt;=E896, Pricing_Rules!D:D&gt;=E896), 1)
   + INDEX(FILTER(Pricing_Rules!F:F, Pricing_Rules!A:A=A896, Pricing_Rules!B:B=B896, Pricing_Rules!C:C"&amp;"&lt;=E896, Pricing_Rules!D:D&gt;=E896), 1)
 )
 * (1 + IFERROR( INDEX(Config!D:D, MATCH(A896, Config!A:A, 0)), 0 )),
"""")
"),15.34)</f>
        <v>15.34</v>
      </c>
      <c r="K896" s="19">
        <f t="shared" si="3"/>
        <v>-92.34</v>
      </c>
      <c r="L896" s="20" t="str">
        <f t="shared" si="4"/>
        <v/>
      </c>
    </row>
    <row r="897" ht="15.75" customHeight="1">
      <c r="A897" s="9" t="s">
        <v>1162</v>
      </c>
      <c r="B897" s="12" t="str">
        <f t="array" ref="B897">XLOOKUP(C897, Channel_Listings!C:C, Channel_Listings!B:B)
</f>
        <v>Apparel_Caps_Beanies</v>
      </c>
      <c r="C897" s="23" t="s">
        <v>579</v>
      </c>
      <c r="D897" s="14" t="str">
        <f t="array" ref="D897">XLOOKUP(C897, Channel_Listings!C:C, Channel_Listings!D:D)
</f>
        <v>CAP-BASEBALL-PO2-OLIVECHARCOAL</v>
      </c>
      <c r="E897" s="15"/>
      <c r="F897" s="16">
        <f t="array" ref="F897">IFERROR(
  VALUE( INDEX(Product_Master!$I:$I,
               MATCH( INDEX(Pack_Master!$B:$B, MATCH($D897, Pack_Master!$A:$A, 0)),
                      Product_Master!$B:$B, 0)
  )) 
  * VALUE( INDEX(Pack_Master!$C:$C, MATCH($D897, Pack_Master!$A:$A, 0)) )
  + VALUE( INDEX(Pack_Master!$D:$D, MATCH($D897, Pack_Master!$A:$A, 0)) ),
"")
</f>
        <v>2</v>
      </c>
      <c r="G897" s="17">
        <f t="array" ref="G897">IFERROR(
 ( INDEX(Pack_Master!E:E, MATCH($D897, Pack_Master!A:A, 0))
   * INDEX(Pack_Master!F:F, MATCH($D897, Pack_Master!A:A, 0))
   * INDEX(Pack_Master!G:G, MATCH($D897, Pack_Master!A:A, 0))
 ) / INDEX(Config!C:C, MATCH($A897, Config!A:A, 0)),
"")
</f>
        <v>0.375</v>
      </c>
      <c r="H897" s="17">
        <f t="array" ref="H897">MAX( INDEX(Pack_Master!H:H, MATCH($D897, Pack_Master!A:A, 0)),
      IFERROR(G897, 0) )
</f>
        <v>0.5</v>
      </c>
      <c r="I897" s="18">
        <f>IFERROR(__xludf.DUMMYFUNCTION("IFERROR(
 INDEX(
   FILTER(Shipping_Rate_Card!B:F, Shipping_Rate_Card!A:A=$A897),
   MATCH($H897, FILTER(Shipping_Rate_Card!B:B, Shipping_Rate_Card!A:A=$A897), 1),
   IF( INDEX(Config!B:B, MATCH($A897, Config!A:A, 0))=""Local"", 2,
     IF( INDEX(Config!B"&amp;":B, MATCH($A897, Config!A:A, 0))=""Regional"", 3, 4 )
   )
 ),
"""")
"),75.0)</f>
        <v>75</v>
      </c>
      <c r="J897" s="16">
        <f>IFERROR(__xludf.DUMMYFUNCTION("IFERROR(
 ( E897 * INDEX(FILTER(Pricing_Rules!E:E, Pricing_Rules!A:A=A897, Pricing_Rules!B:B=B897, Pricing_Rules!C:C&lt;=E897, Pricing_Rules!D:D&gt;=E897), 1)
   + INDEX(FILTER(Pricing_Rules!F:F, Pricing_Rules!A:A=A897, Pricing_Rules!B:B=B897, Pricing_Rules!C:C"&amp;"&lt;=E897, Pricing_Rules!D:D&gt;=E897), 1)
 )
 * (1 + IFERROR( INDEX(Config!D:D, MATCH(A897, Config!A:A, 0)), 0 )),
"""")
"),15.34)</f>
        <v>15.34</v>
      </c>
      <c r="K897" s="19">
        <f t="shared" si="3"/>
        <v>-92.34</v>
      </c>
      <c r="L897" s="20" t="str">
        <f t="shared" si="4"/>
        <v/>
      </c>
    </row>
    <row r="898" ht="15.75" customHeight="1">
      <c r="A898" s="9" t="s">
        <v>1162</v>
      </c>
      <c r="B898" s="12" t="str">
        <f t="array" ref="B898">XLOOKUP(C898, Channel_Listings!C:C, Channel_Listings!B:B)
</f>
        <v>Apparel_Caps_Beanies</v>
      </c>
      <c r="C898" s="23" t="s">
        <v>581</v>
      </c>
      <c r="D898" s="14" t="str">
        <f t="array" ref="D898">XLOOKUP(C898, Channel_Listings!C:C, Channel_Listings!D:D)
</f>
        <v>CAP-BASEBALL-PO2-ORANGEGREY</v>
      </c>
      <c r="E898" s="15"/>
      <c r="F898" s="16">
        <f t="array" ref="F898">IFERROR(
  VALUE( INDEX(Product_Master!$I:$I,
               MATCH( INDEX(Pack_Master!$B:$B, MATCH($D898, Pack_Master!$A:$A, 0)),
                      Product_Master!$B:$B, 0)
  )) 
  * VALUE( INDEX(Pack_Master!$C:$C, MATCH($D898, Pack_Master!$A:$A, 0)) )
  + VALUE( INDEX(Pack_Master!$D:$D, MATCH($D898, Pack_Master!$A:$A, 0)) ),
"")
</f>
        <v>2</v>
      </c>
      <c r="G898" s="17">
        <f t="array" ref="G898">IFERROR(
 ( INDEX(Pack_Master!E:E, MATCH($D898, Pack_Master!A:A, 0))
   * INDEX(Pack_Master!F:F, MATCH($D898, Pack_Master!A:A, 0))
   * INDEX(Pack_Master!G:G, MATCH($D898, Pack_Master!A:A, 0))
 ) / INDEX(Config!C:C, MATCH($A898, Config!A:A, 0)),
"")
</f>
        <v>0.375</v>
      </c>
      <c r="H898" s="17">
        <f t="array" ref="H898">MAX( INDEX(Pack_Master!H:H, MATCH($D898, Pack_Master!A:A, 0)),
      IFERROR(G898, 0) )
</f>
        <v>0.5</v>
      </c>
      <c r="I898" s="18">
        <f>IFERROR(__xludf.DUMMYFUNCTION("IFERROR(
 INDEX(
   FILTER(Shipping_Rate_Card!B:F, Shipping_Rate_Card!A:A=$A898),
   MATCH($H898, FILTER(Shipping_Rate_Card!B:B, Shipping_Rate_Card!A:A=$A898), 1),
   IF( INDEX(Config!B:B, MATCH($A898, Config!A:A, 0))=""Local"", 2,
     IF( INDEX(Config!B"&amp;":B, MATCH($A898, Config!A:A, 0))=""Regional"", 3, 4 )
   )
 ),
"""")
"),75.0)</f>
        <v>75</v>
      </c>
      <c r="J898" s="16">
        <f>IFERROR(__xludf.DUMMYFUNCTION("IFERROR(
 ( E898 * INDEX(FILTER(Pricing_Rules!E:E, Pricing_Rules!A:A=A898, Pricing_Rules!B:B=B898, Pricing_Rules!C:C&lt;=E898, Pricing_Rules!D:D&gt;=E898), 1)
   + INDEX(FILTER(Pricing_Rules!F:F, Pricing_Rules!A:A=A898, Pricing_Rules!B:B=B898, Pricing_Rules!C:C"&amp;"&lt;=E898, Pricing_Rules!D:D&gt;=E898), 1)
 )
 * (1 + IFERROR( INDEX(Config!D:D, MATCH(A898, Config!A:A, 0)), 0 )),
"""")
"),15.34)</f>
        <v>15.34</v>
      </c>
      <c r="K898" s="19">
        <f t="shared" si="3"/>
        <v>-92.34</v>
      </c>
      <c r="L898" s="20" t="str">
        <f t="shared" si="4"/>
        <v/>
      </c>
    </row>
    <row r="899" ht="15.75" customHeight="1">
      <c r="A899" s="9" t="s">
        <v>1162</v>
      </c>
      <c r="B899" s="12" t="str">
        <f t="array" ref="B899">XLOOKUP(C899, Channel_Listings!C:C, Channel_Listings!B:B)
</f>
        <v>Apparel_Caps_Beanies</v>
      </c>
      <c r="C899" s="23" t="s">
        <v>583</v>
      </c>
      <c r="D899" s="14" t="str">
        <f t="array" ref="D899">XLOOKUP(C899, Channel_Listings!C:C, Channel_Listings!D:D)
</f>
        <v>CAP-BASEBALL-PO2-ORANGESKYBLUE</v>
      </c>
      <c r="E899" s="15"/>
      <c r="F899" s="16">
        <f t="array" ref="F899">IFERROR(
  VALUE( INDEX(Product_Master!$I:$I,
               MATCH( INDEX(Pack_Master!$B:$B, MATCH($D899, Pack_Master!$A:$A, 0)),
                      Product_Master!$B:$B, 0)
  )) 
  * VALUE( INDEX(Pack_Master!$C:$C, MATCH($D899, Pack_Master!$A:$A, 0)) )
  + VALUE( INDEX(Pack_Master!$D:$D, MATCH($D899, Pack_Master!$A:$A, 0)) ),
"")
</f>
        <v>2</v>
      </c>
      <c r="G899" s="17">
        <f t="array" ref="G899">IFERROR(
 ( INDEX(Pack_Master!E:E, MATCH($D899, Pack_Master!A:A, 0))
   * INDEX(Pack_Master!F:F, MATCH($D899, Pack_Master!A:A, 0))
   * INDEX(Pack_Master!G:G, MATCH($D899, Pack_Master!A:A, 0))
 ) / INDEX(Config!C:C, MATCH($A899, Config!A:A, 0)),
"")
</f>
        <v>0.375</v>
      </c>
      <c r="H899" s="17">
        <f t="array" ref="H899">MAX( INDEX(Pack_Master!H:H, MATCH($D899, Pack_Master!A:A, 0)),
      IFERROR(G899, 0) )
</f>
        <v>0.5</v>
      </c>
      <c r="I899" s="18">
        <f>IFERROR(__xludf.DUMMYFUNCTION("IFERROR(
 INDEX(
   FILTER(Shipping_Rate_Card!B:F, Shipping_Rate_Card!A:A=$A899),
   MATCH($H899, FILTER(Shipping_Rate_Card!B:B, Shipping_Rate_Card!A:A=$A899), 1),
   IF( INDEX(Config!B:B, MATCH($A899, Config!A:A, 0))=""Local"", 2,
     IF( INDEX(Config!B"&amp;":B, MATCH($A899, Config!A:A, 0))=""Regional"", 3, 4 )
   )
 ),
"""")
"),75.0)</f>
        <v>75</v>
      </c>
      <c r="J899" s="16">
        <f>IFERROR(__xludf.DUMMYFUNCTION("IFERROR(
 ( E899 * INDEX(FILTER(Pricing_Rules!E:E, Pricing_Rules!A:A=A899, Pricing_Rules!B:B=B899, Pricing_Rules!C:C&lt;=E899, Pricing_Rules!D:D&gt;=E899), 1)
   + INDEX(FILTER(Pricing_Rules!F:F, Pricing_Rules!A:A=A899, Pricing_Rules!B:B=B899, Pricing_Rules!C:C"&amp;"&lt;=E899, Pricing_Rules!D:D&gt;=E899), 1)
 )
 * (1 + IFERROR( INDEX(Config!D:D, MATCH(A899, Config!A:A, 0)), 0 )),
"""")
"),15.34)</f>
        <v>15.34</v>
      </c>
      <c r="K899" s="19">
        <f t="shared" si="3"/>
        <v>-92.34</v>
      </c>
      <c r="L899" s="20" t="str">
        <f t="shared" si="4"/>
        <v/>
      </c>
    </row>
    <row r="900" ht="15.75" customHeight="1">
      <c r="A900" s="9" t="s">
        <v>1162</v>
      </c>
      <c r="B900" s="12" t="str">
        <f t="array" ref="B900">XLOOKUP(C900, Channel_Listings!C:C, Channel_Listings!B:B)
</f>
        <v>Apparel_Caps_Beanies</v>
      </c>
      <c r="C900" s="23" t="s">
        <v>585</v>
      </c>
      <c r="D900" s="14" t="str">
        <f t="array" ref="D900">XLOOKUP(C900, Channel_Listings!C:C, Channel_Listings!D:D)
</f>
        <v>CAP-BASEBALL-PO2-PINKCHARCOAL</v>
      </c>
      <c r="E900" s="15"/>
      <c r="F900" s="16">
        <f t="array" ref="F900">IFERROR(
  VALUE( INDEX(Product_Master!$I:$I,
               MATCH( INDEX(Pack_Master!$B:$B, MATCH($D900, Pack_Master!$A:$A, 0)),
                      Product_Master!$B:$B, 0)
  )) 
  * VALUE( INDEX(Pack_Master!$C:$C, MATCH($D900, Pack_Master!$A:$A, 0)) )
  + VALUE( INDEX(Pack_Master!$D:$D, MATCH($D900, Pack_Master!$A:$A, 0)) ),
"")
</f>
        <v>2</v>
      </c>
      <c r="G900" s="17">
        <f t="array" ref="G900">IFERROR(
 ( INDEX(Pack_Master!E:E, MATCH($D900, Pack_Master!A:A, 0))
   * INDEX(Pack_Master!F:F, MATCH($D900, Pack_Master!A:A, 0))
   * INDEX(Pack_Master!G:G, MATCH($D900, Pack_Master!A:A, 0))
 ) / INDEX(Config!C:C, MATCH($A900, Config!A:A, 0)),
"")
</f>
        <v>0.375</v>
      </c>
      <c r="H900" s="17">
        <f t="array" ref="H900">MAX( INDEX(Pack_Master!H:H, MATCH($D900, Pack_Master!A:A, 0)),
      IFERROR(G900, 0) )
</f>
        <v>0.5</v>
      </c>
      <c r="I900" s="18">
        <f>IFERROR(__xludf.DUMMYFUNCTION("IFERROR(
 INDEX(
   FILTER(Shipping_Rate_Card!B:F, Shipping_Rate_Card!A:A=$A900),
   MATCH($H900, FILTER(Shipping_Rate_Card!B:B, Shipping_Rate_Card!A:A=$A900), 1),
   IF( INDEX(Config!B:B, MATCH($A900, Config!A:A, 0))=""Local"", 2,
     IF( INDEX(Config!B"&amp;":B, MATCH($A900, Config!A:A, 0))=""Regional"", 3, 4 )
   )
 ),
"""")
"),75.0)</f>
        <v>75</v>
      </c>
      <c r="J900" s="16">
        <f>IFERROR(__xludf.DUMMYFUNCTION("IFERROR(
 ( E900 * INDEX(FILTER(Pricing_Rules!E:E, Pricing_Rules!A:A=A900, Pricing_Rules!B:B=B900, Pricing_Rules!C:C&lt;=E900, Pricing_Rules!D:D&gt;=E900), 1)
   + INDEX(FILTER(Pricing_Rules!F:F, Pricing_Rules!A:A=A900, Pricing_Rules!B:B=B900, Pricing_Rules!C:C"&amp;"&lt;=E900, Pricing_Rules!D:D&gt;=E900), 1)
 )
 * (1 + IFERROR( INDEX(Config!D:D, MATCH(A900, Config!A:A, 0)), 0 )),
"""")
"),15.34)</f>
        <v>15.34</v>
      </c>
      <c r="K900" s="19">
        <f t="shared" si="3"/>
        <v>-92.34</v>
      </c>
      <c r="L900" s="20" t="str">
        <f t="shared" si="4"/>
        <v/>
      </c>
    </row>
    <row r="901" ht="15.75" customHeight="1">
      <c r="A901" s="9" t="s">
        <v>1162</v>
      </c>
      <c r="B901" s="12" t="str">
        <f t="array" ref="B901">XLOOKUP(C901, Channel_Listings!C:C, Channel_Listings!B:B)
</f>
        <v>Apparel_Caps_Beanies</v>
      </c>
      <c r="C901" s="23" t="s">
        <v>587</v>
      </c>
      <c r="D901" s="14" t="str">
        <f t="array" ref="D901">XLOOKUP(C901, Channel_Listings!C:C, Channel_Listings!D:D)
</f>
        <v>CAP-BASEBALL-PO2-PINKSKYBLUE</v>
      </c>
      <c r="E901" s="15"/>
      <c r="F901" s="16">
        <f t="array" ref="F901">IFERROR(
  VALUE( INDEX(Product_Master!$I:$I,
               MATCH( INDEX(Pack_Master!$B:$B, MATCH($D901, Pack_Master!$A:$A, 0)),
                      Product_Master!$B:$B, 0)
  )) 
  * VALUE( INDEX(Pack_Master!$C:$C, MATCH($D901, Pack_Master!$A:$A, 0)) )
  + VALUE( INDEX(Pack_Master!$D:$D, MATCH($D901, Pack_Master!$A:$A, 0)) ),
"")
</f>
        <v>2</v>
      </c>
      <c r="G901" s="17">
        <f t="array" ref="G901">IFERROR(
 ( INDEX(Pack_Master!E:E, MATCH($D901, Pack_Master!A:A, 0))
   * INDEX(Pack_Master!F:F, MATCH($D901, Pack_Master!A:A, 0))
   * INDEX(Pack_Master!G:G, MATCH($D901, Pack_Master!A:A, 0))
 ) / INDEX(Config!C:C, MATCH($A901, Config!A:A, 0)),
"")
</f>
        <v>0.375</v>
      </c>
      <c r="H901" s="17">
        <f t="array" ref="H901">MAX( INDEX(Pack_Master!H:H, MATCH($D901, Pack_Master!A:A, 0)),
      IFERROR(G901, 0) )
</f>
        <v>0.5</v>
      </c>
      <c r="I901" s="18">
        <f>IFERROR(__xludf.DUMMYFUNCTION("IFERROR(
 INDEX(
   FILTER(Shipping_Rate_Card!B:F, Shipping_Rate_Card!A:A=$A901),
   MATCH($H901, FILTER(Shipping_Rate_Card!B:B, Shipping_Rate_Card!A:A=$A901), 1),
   IF( INDEX(Config!B:B, MATCH($A901, Config!A:A, 0))=""Local"", 2,
     IF( INDEX(Config!B"&amp;":B, MATCH($A901, Config!A:A, 0))=""Regional"", 3, 4 )
   )
 ),
"""")
"),75.0)</f>
        <v>75</v>
      </c>
      <c r="J901" s="16">
        <f>IFERROR(__xludf.DUMMYFUNCTION("IFERROR(
 ( E901 * INDEX(FILTER(Pricing_Rules!E:E, Pricing_Rules!A:A=A901, Pricing_Rules!B:B=B901, Pricing_Rules!C:C&lt;=E901, Pricing_Rules!D:D&gt;=E901), 1)
   + INDEX(FILTER(Pricing_Rules!F:F, Pricing_Rules!A:A=A901, Pricing_Rules!B:B=B901, Pricing_Rules!C:C"&amp;"&lt;=E901, Pricing_Rules!D:D&gt;=E901), 1)
 )
 * (1 + IFERROR( INDEX(Config!D:D, MATCH(A901, Config!A:A, 0)), 0 )),
"""")
"),15.34)</f>
        <v>15.34</v>
      </c>
      <c r="K901" s="19">
        <f t="shared" si="3"/>
        <v>-92.34</v>
      </c>
      <c r="L901" s="20" t="str">
        <f t="shared" si="4"/>
        <v/>
      </c>
    </row>
    <row r="902" ht="15.75" customHeight="1">
      <c r="A902" s="9" t="s">
        <v>1162</v>
      </c>
      <c r="B902" s="12" t="str">
        <f t="array" ref="B902">XLOOKUP(C902, Channel_Listings!C:C, Channel_Listings!B:B)
</f>
        <v>Apparel_Caps_Beanies</v>
      </c>
      <c r="C902" s="23" t="s">
        <v>590</v>
      </c>
      <c r="D902" s="14" t="str">
        <f t="array" ref="D902">XLOOKUP(C902, Channel_Listings!C:C, Channel_Listings!D:D)
</f>
        <v>CAP-BASEBALL-PO2-PINKWHITE</v>
      </c>
      <c r="E902" s="15"/>
      <c r="F902" s="16">
        <f t="array" ref="F902">IFERROR(
  VALUE( INDEX(Product_Master!$I:$I,
               MATCH( INDEX(Pack_Master!$B:$B, MATCH($D902, Pack_Master!$A:$A, 0)),
                      Product_Master!$B:$B, 0)
  )) 
  * VALUE( INDEX(Pack_Master!$C:$C, MATCH($D902, Pack_Master!$A:$A, 0)) )
  + VALUE( INDEX(Pack_Master!$D:$D, MATCH($D902, Pack_Master!$A:$A, 0)) ),
"")
</f>
        <v>2</v>
      </c>
      <c r="G902" s="17">
        <f t="array" ref="G902">IFERROR(
 ( INDEX(Pack_Master!E:E, MATCH($D902, Pack_Master!A:A, 0))
   * INDEX(Pack_Master!F:F, MATCH($D902, Pack_Master!A:A, 0))
   * INDEX(Pack_Master!G:G, MATCH($D902, Pack_Master!A:A, 0))
 ) / INDEX(Config!C:C, MATCH($A902, Config!A:A, 0)),
"")
</f>
        <v>0.375</v>
      </c>
      <c r="H902" s="17">
        <f t="array" ref="H902">MAX( INDEX(Pack_Master!H:H, MATCH($D902, Pack_Master!A:A, 0)),
      IFERROR(G902, 0) )
</f>
        <v>0.5</v>
      </c>
      <c r="I902" s="18">
        <f>IFERROR(__xludf.DUMMYFUNCTION("IFERROR(
 INDEX(
   FILTER(Shipping_Rate_Card!B:F, Shipping_Rate_Card!A:A=$A902),
   MATCH($H902, FILTER(Shipping_Rate_Card!B:B, Shipping_Rate_Card!A:A=$A902), 1),
   IF( INDEX(Config!B:B, MATCH($A902, Config!A:A, 0))=""Local"", 2,
     IF( INDEX(Config!B"&amp;":B, MATCH($A902, Config!A:A, 0))=""Regional"", 3, 4 )
   )
 ),
"""")
"),75.0)</f>
        <v>75</v>
      </c>
      <c r="J902" s="16">
        <f>IFERROR(__xludf.DUMMYFUNCTION("IFERROR(
 ( E902 * INDEX(FILTER(Pricing_Rules!E:E, Pricing_Rules!A:A=A902, Pricing_Rules!B:B=B902, Pricing_Rules!C:C&lt;=E902, Pricing_Rules!D:D&gt;=E902), 1)
   + INDEX(FILTER(Pricing_Rules!F:F, Pricing_Rules!A:A=A902, Pricing_Rules!B:B=B902, Pricing_Rules!C:C"&amp;"&lt;=E902, Pricing_Rules!D:D&gt;=E902), 1)
 )
 * (1 + IFERROR( INDEX(Config!D:D, MATCH(A902, Config!A:A, 0)), 0 )),
"""")
"),15.34)</f>
        <v>15.34</v>
      </c>
      <c r="K902" s="19">
        <f t="shared" si="3"/>
        <v>-92.34</v>
      </c>
      <c r="L902" s="20" t="str">
        <f t="shared" si="4"/>
        <v/>
      </c>
    </row>
    <row r="903" ht="15.75" customHeight="1">
      <c r="A903" s="9" t="s">
        <v>1162</v>
      </c>
      <c r="B903" s="12" t="str">
        <f t="array" ref="B903">XLOOKUP(C903, Channel_Listings!C:C, Channel_Listings!B:B)
</f>
        <v>Apparel_Caps_Beanies</v>
      </c>
      <c r="C903" s="23" t="s">
        <v>593</v>
      </c>
      <c r="D903" s="14" t="str">
        <f t="array" ref="D903">XLOOKUP(C903, Channel_Listings!C:C, Channel_Listings!D:D)
</f>
        <v>CAP-BASEBALL-PO2-WHITEMUSTARD</v>
      </c>
      <c r="E903" s="15"/>
      <c r="F903" s="16">
        <f t="array" ref="F903">IFERROR(
  VALUE( INDEX(Product_Master!$I:$I,
               MATCH( INDEX(Pack_Master!$B:$B, MATCH($D903, Pack_Master!$A:$A, 0)),
                      Product_Master!$B:$B, 0)
  )) 
  * VALUE( INDEX(Pack_Master!$C:$C, MATCH($D903, Pack_Master!$A:$A, 0)) )
  + VALUE( INDEX(Pack_Master!$D:$D, MATCH($D903, Pack_Master!$A:$A, 0)) ),
"")
</f>
        <v>2</v>
      </c>
      <c r="G903" s="17">
        <f t="array" ref="G903">IFERROR(
 ( INDEX(Pack_Master!E:E, MATCH($D903, Pack_Master!A:A, 0))
   * INDEX(Pack_Master!F:F, MATCH($D903, Pack_Master!A:A, 0))
   * INDEX(Pack_Master!G:G, MATCH($D903, Pack_Master!A:A, 0))
 ) / INDEX(Config!C:C, MATCH($A903, Config!A:A, 0)),
"")
</f>
        <v>0.375</v>
      </c>
      <c r="H903" s="17">
        <f t="array" ref="H903">MAX( INDEX(Pack_Master!H:H, MATCH($D903, Pack_Master!A:A, 0)),
      IFERROR(G903, 0) )
</f>
        <v>0.5</v>
      </c>
      <c r="I903" s="18">
        <f>IFERROR(__xludf.DUMMYFUNCTION("IFERROR(
 INDEX(
   FILTER(Shipping_Rate_Card!B:F, Shipping_Rate_Card!A:A=$A903),
   MATCH($H903, FILTER(Shipping_Rate_Card!B:B, Shipping_Rate_Card!A:A=$A903), 1),
   IF( INDEX(Config!B:B, MATCH($A903, Config!A:A, 0))=""Local"", 2,
     IF( INDEX(Config!B"&amp;":B, MATCH($A903, Config!A:A, 0))=""Regional"", 3, 4 )
   )
 ),
"""")
"),75.0)</f>
        <v>75</v>
      </c>
      <c r="J903" s="16">
        <f>IFERROR(__xludf.DUMMYFUNCTION("IFERROR(
 ( E903 * INDEX(FILTER(Pricing_Rules!E:E, Pricing_Rules!A:A=A903, Pricing_Rules!B:B=B903, Pricing_Rules!C:C&lt;=E903, Pricing_Rules!D:D&gt;=E903), 1)
   + INDEX(FILTER(Pricing_Rules!F:F, Pricing_Rules!A:A=A903, Pricing_Rules!B:B=B903, Pricing_Rules!C:C"&amp;"&lt;=E903, Pricing_Rules!D:D&gt;=E903), 1)
 )
 * (1 + IFERROR( INDEX(Config!D:D, MATCH(A903, Config!A:A, 0)), 0 )),
"""")
"),15.34)</f>
        <v>15.34</v>
      </c>
      <c r="K903" s="19">
        <f t="shared" si="3"/>
        <v>-92.34</v>
      </c>
      <c r="L903" s="20" t="str">
        <f t="shared" si="4"/>
        <v/>
      </c>
    </row>
    <row r="904" ht="15.75" customHeight="1">
      <c r="A904" s="9" t="s">
        <v>1162</v>
      </c>
      <c r="B904" s="12" t="str">
        <f t="array" ref="B904">XLOOKUP(C904, Channel_Listings!C:C, Channel_Listings!B:B)
</f>
        <v>Apparel_Caps_Beanies</v>
      </c>
      <c r="C904" s="23" t="s">
        <v>596</v>
      </c>
      <c r="D904" s="14" t="str">
        <f t="array" ref="D904">XLOOKUP(C904, Channel_Listings!C:C, Channel_Listings!D:D)
</f>
        <v>CAP-BASEBALL-PLAIN-RED</v>
      </c>
      <c r="E904" s="15"/>
      <c r="F904" s="16">
        <f t="array" ref="F904">IFERROR(
  VALUE( INDEX(Product_Master!$I:$I,
               MATCH( INDEX(Pack_Master!$B:$B, MATCH($D904, Pack_Master!$A:$A, 0)),
                      Product_Master!$B:$B, 0)
  )) 
  * VALUE( INDEX(Pack_Master!$C:$C, MATCH($D904, Pack_Master!$A:$A, 0)) )
  + VALUE( INDEX(Pack_Master!$D:$D, MATCH($D904, Pack_Master!$A:$A, 0)) ),
"")
</f>
        <v>89</v>
      </c>
      <c r="G904" s="17">
        <f t="array" ref="G904">IFERROR(
 ( INDEX(Pack_Master!E:E, MATCH($D904, Pack_Master!A:A, 0))
   * INDEX(Pack_Master!F:F, MATCH($D904, Pack_Master!A:A, 0))
   * INDEX(Pack_Master!G:G, MATCH($D904, Pack_Master!A:A, 0))
 ) / INDEX(Config!C:C, MATCH($A904, Config!A:A, 0)),
"")
</f>
        <v>0.375</v>
      </c>
      <c r="H904" s="17">
        <f t="array" ref="H904">MAX( INDEX(Pack_Master!H:H, MATCH($D904, Pack_Master!A:A, 0)),
      IFERROR(G904, 0) )
</f>
        <v>0.5</v>
      </c>
      <c r="I904" s="18">
        <f>IFERROR(__xludf.DUMMYFUNCTION("IFERROR(
 INDEX(
   FILTER(Shipping_Rate_Card!B:F, Shipping_Rate_Card!A:A=$A904),
   MATCH($H904, FILTER(Shipping_Rate_Card!B:B, Shipping_Rate_Card!A:A=$A904), 1),
   IF( INDEX(Config!B:B, MATCH($A904, Config!A:A, 0))=""Local"", 2,
     IF( INDEX(Config!B"&amp;":B, MATCH($A904, Config!A:A, 0))=""Regional"", 3, 4 )
   )
 ),
"""")
"),75.0)</f>
        <v>75</v>
      </c>
      <c r="J904" s="16">
        <f>IFERROR(__xludf.DUMMYFUNCTION("IFERROR(
 ( E904 * INDEX(FILTER(Pricing_Rules!E:E, Pricing_Rules!A:A=A904, Pricing_Rules!B:B=B904, Pricing_Rules!C:C&lt;=E904, Pricing_Rules!D:D&gt;=E904), 1)
   + INDEX(FILTER(Pricing_Rules!F:F, Pricing_Rules!A:A=A904, Pricing_Rules!B:B=B904, Pricing_Rules!C:C"&amp;"&lt;=E904, Pricing_Rules!D:D&gt;=E904), 1)
 )
 * (1 + IFERROR( INDEX(Config!D:D, MATCH(A904, Config!A:A, 0)), 0 )),
"""")
"),15.34)</f>
        <v>15.34</v>
      </c>
      <c r="K904" s="19">
        <f t="shared" si="3"/>
        <v>-179.34</v>
      </c>
      <c r="L904" s="20" t="str">
        <f t="shared" si="4"/>
        <v/>
      </c>
    </row>
    <row r="905" ht="15.75" customHeight="1">
      <c r="A905" s="9" t="s">
        <v>1162</v>
      </c>
      <c r="B905" s="12" t="str">
        <f t="array" ref="B905">XLOOKUP(C905, Channel_Listings!C:C, Channel_Listings!B:B)
</f>
        <v>Apparel_Caps_Beanies</v>
      </c>
      <c r="C905" s="23" t="s">
        <v>598</v>
      </c>
      <c r="D905" s="14" t="str">
        <f t="array" ref="D905">XLOOKUP(C905, Channel_Listings!C:C, Channel_Listings!D:D)
</f>
        <v>CAP-BASEBALL-PLAIN-WHITE</v>
      </c>
      <c r="E905" s="15"/>
      <c r="F905" s="16">
        <f t="array" ref="F905">IFERROR(
  VALUE( INDEX(Product_Master!$I:$I,
               MATCH( INDEX(Pack_Master!$B:$B, MATCH($D905, Pack_Master!$A:$A, 0)),
                      Product_Master!$B:$B, 0)
  )) 
  * VALUE( INDEX(Pack_Master!$C:$C, MATCH($D905, Pack_Master!$A:$A, 0)) )
  + VALUE( INDEX(Pack_Master!$D:$D, MATCH($D905, Pack_Master!$A:$A, 0)) ),
"")
</f>
        <v>89</v>
      </c>
      <c r="G905" s="17">
        <f t="array" ref="G905">IFERROR(
 ( INDEX(Pack_Master!E:E, MATCH($D905, Pack_Master!A:A, 0))
   * INDEX(Pack_Master!F:F, MATCH($D905, Pack_Master!A:A, 0))
   * INDEX(Pack_Master!G:G, MATCH($D905, Pack_Master!A:A, 0))
 ) / INDEX(Config!C:C, MATCH($A905, Config!A:A, 0)),
"")
</f>
        <v>0.375</v>
      </c>
      <c r="H905" s="17">
        <f t="array" ref="H905">MAX( INDEX(Pack_Master!H:H, MATCH($D905, Pack_Master!A:A, 0)),
      IFERROR(G905, 0) )
</f>
        <v>0.5</v>
      </c>
      <c r="I905" s="18">
        <f>IFERROR(__xludf.DUMMYFUNCTION("IFERROR(
 INDEX(
   FILTER(Shipping_Rate_Card!B:F, Shipping_Rate_Card!A:A=$A905),
   MATCH($H905, FILTER(Shipping_Rate_Card!B:B, Shipping_Rate_Card!A:A=$A905), 1),
   IF( INDEX(Config!B:B, MATCH($A905, Config!A:A, 0))=""Local"", 2,
     IF( INDEX(Config!B"&amp;":B, MATCH($A905, Config!A:A, 0))=""Regional"", 3, 4 )
   )
 ),
"""")
"),75.0)</f>
        <v>75</v>
      </c>
      <c r="J905" s="16">
        <f>IFERROR(__xludf.DUMMYFUNCTION("IFERROR(
 ( E905 * INDEX(FILTER(Pricing_Rules!E:E, Pricing_Rules!A:A=A905, Pricing_Rules!B:B=B905, Pricing_Rules!C:C&lt;=E905, Pricing_Rules!D:D&gt;=E905), 1)
   + INDEX(FILTER(Pricing_Rules!F:F, Pricing_Rules!A:A=A905, Pricing_Rules!B:B=B905, Pricing_Rules!C:C"&amp;"&lt;=E905, Pricing_Rules!D:D&gt;=E905), 1)
 )
 * (1 + IFERROR( INDEX(Config!D:D, MATCH(A905, Config!A:A, 0)), 0 )),
"""")
"),15.34)</f>
        <v>15.34</v>
      </c>
      <c r="K905" s="19">
        <f t="shared" si="3"/>
        <v>-179.34</v>
      </c>
      <c r="L905" s="20" t="str">
        <f t="shared" si="4"/>
        <v/>
      </c>
    </row>
    <row r="906" ht="15.75" customHeight="1">
      <c r="A906" s="9" t="s">
        <v>1162</v>
      </c>
      <c r="B906" s="12" t="str">
        <f t="array" ref="B906">XLOOKUP(C906, Channel_Listings!C:C, Channel_Listings!B:B)
</f>
        <v>Apparel_Caps_Beanies</v>
      </c>
      <c r="C906" s="23" t="s">
        <v>599</v>
      </c>
      <c r="D906" s="14" t="str">
        <f t="array" ref="D906">XLOOKUP(C906, Channel_Listings!C:C, Channel_Listings!D:D)
</f>
        <v>CAP-RAIN-BASEBALL-BLACK</v>
      </c>
      <c r="E906" s="15"/>
      <c r="F906" s="16">
        <f t="array" ref="F906">IFERROR(
  VALUE( INDEX(Product_Master!$I:$I,
               MATCH( INDEX(Pack_Master!$B:$B, MATCH($D906, Pack_Master!$A:$A, 0)),
                      Product_Master!$B:$B, 0)
  )) 
  * VALUE( INDEX(Pack_Master!$C:$C, MATCH($D906, Pack_Master!$A:$A, 0)) )
  + VALUE( INDEX(Pack_Master!$D:$D, MATCH($D906, Pack_Master!$A:$A, 0)) ),
"")
</f>
        <v>2</v>
      </c>
      <c r="G906" s="17">
        <f t="array" ref="G906">IFERROR(
 ( INDEX(Pack_Master!E:E, MATCH($D906, Pack_Master!A:A, 0))
   * INDEX(Pack_Master!F:F, MATCH($D906, Pack_Master!A:A, 0))
   * INDEX(Pack_Master!G:G, MATCH($D906, Pack_Master!A:A, 0))
 ) / INDEX(Config!C:C, MATCH($A906, Config!A:A, 0)),
"")
</f>
        <v>0.375</v>
      </c>
      <c r="H906" s="17">
        <f t="array" ref="H906">MAX( INDEX(Pack_Master!H:H, MATCH($D906, Pack_Master!A:A, 0)),
      IFERROR(G906, 0) )
</f>
        <v>0.5</v>
      </c>
      <c r="I906" s="18">
        <f>IFERROR(__xludf.DUMMYFUNCTION("IFERROR(
 INDEX(
   FILTER(Shipping_Rate_Card!B:F, Shipping_Rate_Card!A:A=$A906),
   MATCH($H906, FILTER(Shipping_Rate_Card!B:B, Shipping_Rate_Card!A:A=$A906), 1),
   IF( INDEX(Config!B:B, MATCH($A906, Config!A:A, 0))=""Local"", 2,
     IF( INDEX(Config!B"&amp;":B, MATCH($A906, Config!A:A, 0))=""Regional"", 3, 4 )
   )
 ),
"""")
"),75.0)</f>
        <v>75</v>
      </c>
      <c r="J906" s="16">
        <f>IFERROR(__xludf.DUMMYFUNCTION("IFERROR(
 ( E906 * INDEX(FILTER(Pricing_Rules!E:E, Pricing_Rules!A:A=A906, Pricing_Rules!B:B=B906, Pricing_Rules!C:C&lt;=E906, Pricing_Rules!D:D&gt;=E906), 1)
   + INDEX(FILTER(Pricing_Rules!F:F, Pricing_Rules!A:A=A906, Pricing_Rules!B:B=B906, Pricing_Rules!C:C"&amp;"&lt;=E906, Pricing_Rules!D:D&gt;=E906), 1)
 )
 * (1 + IFERROR( INDEX(Config!D:D, MATCH(A906, Config!A:A, 0)), 0 )),
"""")
"),15.34)</f>
        <v>15.34</v>
      </c>
      <c r="K906" s="19">
        <f t="shared" si="3"/>
        <v>-92.34</v>
      </c>
      <c r="L906" s="20" t="str">
        <f t="shared" si="4"/>
        <v/>
      </c>
    </row>
    <row r="907" ht="15.75" customHeight="1">
      <c r="A907" s="9" t="s">
        <v>1162</v>
      </c>
      <c r="B907" s="12" t="str">
        <f t="array" ref="B907">XLOOKUP(C907, Channel_Listings!C:C, Channel_Listings!B:B)
</f>
        <v>Apparel_Caps_Beanies</v>
      </c>
      <c r="C907" s="23" t="s">
        <v>1414</v>
      </c>
      <c r="D907" s="14" t="str">
        <f t="array" ref="D907">XLOOKUP(C907, Channel_Listings!C:C, Channel_Listings!D:D)
</f>
        <v>CAP-RAIN-BASEBALL-BLACK</v>
      </c>
      <c r="E907" s="15"/>
      <c r="F907" s="16">
        <f t="array" ref="F907">IFERROR(
  VALUE( INDEX(Product_Master!$I:$I,
               MATCH( INDEX(Pack_Master!$B:$B, MATCH($D907, Pack_Master!$A:$A, 0)),
                      Product_Master!$B:$B, 0)
  )) 
  * VALUE( INDEX(Pack_Master!$C:$C, MATCH($D907, Pack_Master!$A:$A, 0)) )
  + VALUE( INDEX(Pack_Master!$D:$D, MATCH($D907, Pack_Master!$A:$A, 0)) ),
"")
</f>
        <v>2</v>
      </c>
      <c r="G907" s="17">
        <f t="array" ref="G907">IFERROR(
 ( INDEX(Pack_Master!E:E, MATCH($D907, Pack_Master!A:A, 0))
   * INDEX(Pack_Master!F:F, MATCH($D907, Pack_Master!A:A, 0))
   * INDEX(Pack_Master!G:G, MATCH($D907, Pack_Master!A:A, 0))
 ) / INDEX(Config!C:C, MATCH($A907, Config!A:A, 0)),
"")
</f>
        <v>0.375</v>
      </c>
      <c r="H907" s="17">
        <f t="array" ref="H907">MAX( INDEX(Pack_Master!H:H, MATCH($D907, Pack_Master!A:A, 0)),
      IFERROR(G907, 0) )
</f>
        <v>0.5</v>
      </c>
      <c r="I907" s="18">
        <f>IFERROR(__xludf.DUMMYFUNCTION("IFERROR(
 INDEX(
   FILTER(Shipping_Rate_Card!B:F, Shipping_Rate_Card!A:A=$A907),
   MATCH($H907, FILTER(Shipping_Rate_Card!B:B, Shipping_Rate_Card!A:A=$A907), 1),
   IF( INDEX(Config!B:B, MATCH($A907, Config!A:A, 0))=""Local"", 2,
     IF( INDEX(Config!B"&amp;":B, MATCH($A907, Config!A:A, 0))=""Regional"", 3, 4 )
   )
 ),
"""")
"),75.0)</f>
        <v>75</v>
      </c>
      <c r="J907" s="16">
        <f>IFERROR(__xludf.DUMMYFUNCTION("IFERROR(
 ( E907 * INDEX(FILTER(Pricing_Rules!E:E, Pricing_Rules!A:A=A907, Pricing_Rules!B:B=B907, Pricing_Rules!C:C&lt;=E907, Pricing_Rules!D:D&gt;=E907), 1)
   + INDEX(FILTER(Pricing_Rules!F:F, Pricing_Rules!A:A=A907, Pricing_Rules!B:B=B907, Pricing_Rules!C:C"&amp;"&lt;=E907, Pricing_Rules!D:D&gt;=E907), 1)
 )
 * (1 + IFERROR( INDEX(Config!D:D, MATCH(A907, Config!A:A, 0)), 0 )),
"""")
"),15.34)</f>
        <v>15.34</v>
      </c>
      <c r="K907" s="19">
        <f t="shared" si="3"/>
        <v>-92.34</v>
      </c>
      <c r="L907" s="20" t="str">
        <f t="shared" si="4"/>
        <v/>
      </c>
    </row>
    <row r="908" ht="15.75" customHeight="1">
      <c r="A908" s="9" t="s">
        <v>1162</v>
      </c>
      <c r="B908" s="12" t="str">
        <f t="array" ref="B908">XLOOKUP(C908, Channel_Listings!C:C, Channel_Listings!B:B)
</f>
        <v>Apparel_Caps_Beanies</v>
      </c>
      <c r="C908" s="23" t="s">
        <v>601</v>
      </c>
      <c r="D908" s="14" t="str">
        <f t="array" ref="D908">XLOOKUP(C908, Channel_Listings!C:C, Channel_Listings!D:D)
</f>
        <v>CAP-RAIN-BASEBALL-GREY</v>
      </c>
      <c r="E908" s="15"/>
      <c r="F908" s="16">
        <f t="array" ref="F908">IFERROR(
  VALUE( INDEX(Product_Master!$I:$I,
               MATCH( INDEX(Pack_Master!$B:$B, MATCH($D908, Pack_Master!$A:$A, 0)),
                      Product_Master!$B:$B, 0)
  )) 
  * VALUE( INDEX(Pack_Master!$C:$C, MATCH($D908, Pack_Master!$A:$A, 0)) )
  + VALUE( INDEX(Pack_Master!$D:$D, MATCH($D908, Pack_Master!$A:$A, 0)) ),
"")
</f>
        <v>2</v>
      </c>
      <c r="G908" s="17">
        <f t="array" ref="G908">IFERROR(
 ( INDEX(Pack_Master!E:E, MATCH($D908, Pack_Master!A:A, 0))
   * INDEX(Pack_Master!F:F, MATCH($D908, Pack_Master!A:A, 0))
   * INDEX(Pack_Master!G:G, MATCH($D908, Pack_Master!A:A, 0))
 ) / INDEX(Config!C:C, MATCH($A908, Config!A:A, 0)),
"")
</f>
        <v>0.375</v>
      </c>
      <c r="H908" s="17">
        <f t="array" ref="H908">MAX( INDEX(Pack_Master!H:H, MATCH($D908, Pack_Master!A:A, 0)),
      IFERROR(G908, 0) )
</f>
        <v>0.5</v>
      </c>
      <c r="I908" s="18">
        <f>IFERROR(__xludf.DUMMYFUNCTION("IFERROR(
 INDEX(
   FILTER(Shipping_Rate_Card!B:F, Shipping_Rate_Card!A:A=$A908),
   MATCH($H908, FILTER(Shipping_Rate_Card!B:B, Shipping_Rate_Card!A:A=$A908), 1),
   IF( INDEX(Config!B:B, MATCH($A908, Config!A:A, 0))=""Local"", 2,
     IF( INDEX(Config!B"&amp;":B, MATCH($A908, Config!A:A, 0))=""Regional"", 3, 4 )
   )
 ),
"""")
"),75.0)</f>
        <v>75</v>
      </c>
      <c r="J908" s="16">
        <f>IFERROR(__xludf.DUMMYFUNCTION("IFERROR(
 ( E908 * INDEX(FILTER(Pricing_Rules!E:E, Pricing_Rules!A:A=A908, Pricing_Rules!B:B=B908, Pricing_Rules!C:C&lt;=E908, Pricing_Rules!D:D&gt;=E908), 1)
   + INDEX(FILTER(Pricing_Rules!F:F, Pricing_Rules!A:A=A908, Pricing_Rules!B:B=B908, Pricing_Rules!C:C"&amp;"&lt;=E908, Pricing_Rules!D:D&gt;=E908), 1)
 )
 * (1 + IFERROR( INDEX(Config!D:D, MATCH(A908, Config!A:A, 0)), 0 )),
"""")
"),15.34)</f>
        <v>15.34</v>
      </c>
      <c r="K908" s="19">
        <f t="shared" si="3"/>
        <v>-92.34</v>
      </c>
      <c r="L908" s="20" t="str">
        <f t="shared" si="4"/>
        <v/>
      </c>
    </row>
    <row r="909" ht="15.75" customHeight="1">
      <c r="A909" s="9" t="s">
        <v>1162</v>
      </c>
      <c r="B909" s="12" t="str">
        <f t="array" ref="B909">XLOOKUP(C909, Channel_Listings!C:C, Channel_Listings!B:B)
</f>
        <v>Apparel_Caps_Beanies</v>
      </c>
      <c r="C909" s="23" t="s">
        <v>604</v>
      </c>
      <c r="D909" s="14" t="str">
        <f t="array" ref="D909">XLOOKUP(C909, Channel_Listings!C:C, Channel_Listings!D:D)
</f>
        <v>CAP-RAIN-BASEBALL-NAVYBLUE</v>
      </c>
      <c r="E909" s="15"/>
      <c r="F909" s="16">
        <f t="array" ref="F909">IFERROR(
  VALUE( INDEX(Product_Master!$I:$I,
               MATCH( INDEX(Pack_Master!$B:$B, MATCH($D909, Pack_Master!$A:$A, 0)),
                      Product_Master!$B:$B, 0)
  )) 
  * VALUE( INDEX(Pack_Master!$C:$C, MATCH($D909, Pack_Master!$A:$A, 0)) )
  + VALUE( INDEX(Pack_Master!$D:$D, MATCH($D909, Pack_Master!$A:$A, 0)) ),
"")
</f>
        <v>2</v>
      </c>
      <c r="G909" s="17">
        <f t="array" ref="G909">IFERROR(
 ( INDEX(Pack_Master!E:E, MATCH($D909, Pack_Master!A:A, 0))
   * INDEX(Pack_Master!F:F, MATCH($D909, Pack_Master!A:A, 0))
   * INDEX(Pack_Master!G:G, MATCH($D909, Pack_Master!A:A, 0))
 ) / INDEX(Config!C:C, MATCH($A909, Config!A:A, 0)),
"")
</f>
        <v>0.375</v>
      </c>
      <c r="H909" s="17">
        <f t="array" ref="H909">MAX( INDEX(Pack_Master!H:H, MATCH($D909, Pack_Master!A:A, 0)),
      IFERROR(G909, 0) )
</f>
        <v>0.5</v>
      </c>
      <c r="I909" s="18">
        <f>IFERROR(__xludf.DUMMYFUNCTION("IFERROR(
 INDEX(
   FILTER(Shipping_Rate_Card!B:F, Shipping_Rate_Card!A:A=$A909),
   MATCH($H909, FILTER(Shipping_Rate_Card!B:B, Shipping_Rate_Card!A:A=$A909), 1),
   IF( INDEX(Config!B:B, MATCH($A909, Config!A:A, 0))=""Local"", 2,
     IF( INDEX(Config!B"&amp;":B, MATCH($A909, Config!A:A, 0))=""Regional"", 3, 4 )
   )
 ),
"""")
"),75.0)</f>
        <v>75</v>
      </c>
      <c r="J909" s="16">
        <f>IFERROR(__xludf.DUMMYFUNCTION("IFERROR(
 ( E909 * INDEX(FILTER(Pricing_Rules!E:E, Pricing_Rules!A:A=A909, Pricing_Rules!B:B=B909, Pricing_Rules!C:C&lt;=E909, Pricing_Rules!D:D&gt;=E909), 1)
   + INDEX(FILTER(Pricing_Rules!F:F, Pricing_Rules!A:A=A909, Pricing_Rules!B:B=B909, Pricing_Rules!C:C"&amp;"&lt;=E909, Pricing_Rules!D:D&gt;=E909), 1)
 )
 * (1 + IFERROR( INDEX(Config!D:D, MATCH(A909, Config!A:A, 0)), 0 )),
"""")
"),15.34)</f>
        <v>15.34</v>
      </c>
      <c r="K909" s="19">
        <f t="shared" si="3"/>
        <v>-92.34</v>
      </c>
      <c r="L909" s="20" t="str">
        <f t="shared" si="4"/>
        <v/>
      </c>
    </row>
    <row r="910" ht="15.75" customHeight="1">
      <c r="A910" s="9" t="s">
        <v>1162</v>
      </c>
      <c r="B910" s="12" t="str">
        <f t="array" ref="B910">XLOOKUP(C910, Channel_Listings!C:C, Channel_Listings!B:B)
</f>
        <v>Apparel_Caps_Beanies</v>
      </c>
      <c r="C910" s="23" t="s">
        <v>1418</v>
      </c>
      <c r="D910" s="14" t="str">
        <f t="array" ref="D910">XLOOKUP(C910, Channel_Listings!C:C, Channel_Listings!D:D)
</f>
        <v>CAP-RAIN-BASEBALL-NAVYBLUE</v>
      </c>
      <c r="E910" s="15"/>
      <c r="F910" s="16">
        <f t="array" ref="F910">IFERROR(
  VALUE( INDEX(Product_Master!$I:$I,
               MATCH( INDEX(Pack_Master!$B:$B, MATCH($D910, Pack_Master!$A:$A, 0)),
                      Product_Master!$B:$B, 0)
  )) 
  * VALUE( INDEX(Pack_Master!$C:$C, MATCH($D910, Pack_Master!$A:$A, 0)) )
  + VALUE( INDEX(Pack_Master!$D:$D, MATCH($D910, Pack_Master!$A:$A, 0)) ),
"")
</f>
        <v>2</v>
      </c>
      <c r="G910" s="17">
        <f t="array" ref="G910">IFERROR(
 ( INDEX(Pack_Master!E:E, MATCH($D910, Pack_Master!A:A, 0))
   * INDEX(Pack_Master!F:F, MATCH($D910, Pack_Master!A:A, 0))
   * INDEX(Pack_Master!G:G, MATCH($D910, Pack_Master!A:A, 0))
 ) / INDEX(Config!C:C, MATCH($A910, Config!A:A, 0)),
"")
</f>
        <v>0.375</v>
      </c>
      <c r="H910" s="17">
        <f t="array" ref="H910">MAX( INDEX(Pack_Master!H:H, MATCH($D910, Pack_Master!A:A, 0)),
      IFERROR(G910, 0) )
</f>
        <v>0.5</v>
      </c>
      <c r="I910" s="18">
        <f>IFERROR(__xludf.DUMMYFUNCTION("IFERROR(
 INDEX(
   FILTER(Shipping_Rate_Card!B:F, Shipping_Rate_Card!A:A=$A910),
   MATCH($H910, FILTER(Shipping_Rate_Card!B:B, Shipping_Rate_Card!A:A=$A910), 1),
   IF( INDEX(Config!B:B, MATCH($A910, Config!A:A, 0))=""Local"", 2,
     IF( INDEX(Config!B"&amp;":B, MATCH($A910, Config!A:A, 0))=""Regional"", 3, 4 )
   )
 ),
"""")
"),75.0)</f>
        <v>75</v>
      </c>
      <c r="J910" s="16">
        <f>IFERROR(__xludf.DUMMYFUNCTION("IFERROR(
 ( E910 * INDEX(FILTER(Pricing_Rules!E:E, Pricing_Rules!A:A=A910, Pricing_Rules!B:B=B910, Pricing_Rules!C:C&lt;=E910, Pricing_Rules!D:D&gt;=E910), 1)
   + INDEX(FILTER(Pricing_Rules!F:F, Pricing_Rules!A:A=A910, Pricing_Rules!B:B=B910, Pricing_Rules!C:C"&amp;"&lt;=E910, Pricing_Rules!D:D&gt;=E910), 1)
 )
 * (1 + IFERROR( INDEX(Config!D:D, MATCH(A910, Config!A:A, 0)), 0 )),
"""")
"),15.34)</f>
        <v>15.34</v>
      </c>
      <c r="K910" s="19">
        <f t="shared" si="3"/>
        <v>-92.34</v>
      </c>
      <c r="L910" s="20" t="str">
        <f t="shared" si="4"/>
        <v/>
      </c>
    </row>
    <row r="911" ht="15.75" customHeight="1">
      <c r="A911" s="9" t="s">
        <v>1162</v>
      </c>
      <c r="B911" s="12" t="str">
        <f t="array" ref="B911">XLOOKUP(C911, Channel_Listings!C:C, Channel_Listings!B:B)
</f>
        <v>Apparel_Caps_Beanies</v>
      </c>
      <c r="C911" s="23" t="s">
        <v>606</v>
      </c>
      <c r="D911" s="14" t="str">
        <f t="array" ref="D911">XLOOKUP(C911, Channel_Listings!C:C, Channel_Listings!D:D)
</f>
        <v>CAP-RAIN-MILITARY-BLACK</v>
      </c>
      <c r="E911" s="15"/>
      <c r="F911" s="16">
        <f t="array" ref="F911">IFERROR(
  VALUE( INDEX(Product_Master!$I:$I,
               MATCH( INDEX(Pack_Master!$B:$B, MATCH($D911, Pack_Master!$A:$A, 0)),
                      Product_Master!$B:$B, 0)
  )) 
  * VALUE( INDEX(Pack_Master!$C:$C, MATCH($D911, Pack_Master!$A:$A, 0)) )
  + VALUE( INDEX(Pack_Master!$D:$D, MATCH($D911, Pack_Master!$A:$A, 0)) ),
"")
</f>
        <v>2</v>
      </c>
      <c r="G911" s="17">
        <f t="array" ref="G911">IFERROR(
 ( INDEX(Pack_Master!E:E, MATCH($D911, Pack_Master!A:A, 0))
   * INDEX(Pack_Master!F:F, MATCH($D911, Pack_Master!A:A, 0))
   * INDEX(Pack_Master!G:G, MATCH($D911, Pack_Master!A:A, 0))
 ) / INDEX(Config!C:C, MATCH($A911, Config!A:A, 0)),
"")
</f>
        <v>0.375</v>
      </c>
      <c r="H911" s="17">
        <f t="array" ref="H911">MAX( INDEX(Pack_Master!H:H, MATCH($D911, Pack_Master!A:A, 0)),
      IFERROR(G911, 0) )
</f>
        <v>0.5</v>
      </c>
      <c r="I911" s="18">
        <f>IFERROR(__xludf.DUMMYFUNCTION("IFERROR(
 INDEX(
   FILTER(Shipping_Rate_Card!B:F, Shipping_Rate_Card!A:A=$A911),
   MATCH($H911, FILTER(Shipping_Rate_Card!B:B, Shipping_Rate_Card!A:A=$A911), 1),
   IF( INDEX(Config!B:B, MATCH($A911, Config!A:A, 0))=""Local"", 2,
     IF( INDEX(Config!B"&amp;":B, MATCH($A911, Config!A:A, 0))=""Regional"", 3, 4 )
   )
 ),
"""")
"),75.0)</f>
        <v>75</v>
      </c>
      <c r="J911" s="16">
        <f>IFERROR(__xludf.DUMMYFUNCTION("IFERROR(
 ( E911 * INDEX(FILTER(Pricing_Rules!E:E, Pricing_Rules!A:A=A911, Pricing_Rules!B:B=B911, Pricing_Rules!C:C&lt;=E911, Pricing_Rules!D:D&gt;=E911), 1)
   + INDEX(FILTER(Pricing_Rules!F:F, Pricing_Rules!A:A=A911, Pricing_Rules!B:B=B911, Pricing_Rules!C:C"&amp;"&lt;=E911, Pricing_Rules!D:D&gt;=E911), 1)
 )
 * (1 + IFERROR( INDEX(Config!D:D, MATCH(A911, Config!A:A, 0)), 0 )),
"""")
"),15.34)</f>
        <v>15.34</v>
      </c>
      <c r="K911" s="19">
        <f t="shared" si="3"/>
        <v>-92.34</v>
      </c>
      <c r="L911" s="20" t="str">
        <f t="shared" si="4"/>
        <v/>
      </c>
    </row>
    <row r="912" ht="15.75" customHeight="1">
      <c r="A912" s="9" t="s">
        <v>1162</v>
      </c>
      <c r="B912" s="12" t="str">
        <f t="array" ref="B912">XLOOKUP(C912, Channel_Listings!C:C, Channel_Listings!B:B)
</f>
        <v>Apparel_Caps_Beanies</v>
      </c>
      <c r="C912" s="23" t="s">
        <v>612</v>
      </c>
      <c r="D912" s="14" t="str">
        <f t="array" ref="D912">XLOOKUP(C912, Channel_Listings!C:C, Channel_Listings!D:D)
</f>
        <v>CAP-RAIN-MILITARY-NAVY</v>
      </c>
      <c r="E912" s="15"/>
      <c r="F912" s="16">
        <f t="array" ref="F912">IFERROR(
  VALUE( INDEX(Product_Master!$I:$I,
               MATCH( INDEX(Pack_Master!$B:$B, MATCH($D912, Pack_Master!$A:$A, 0)),
                      Product_Master!$B:$B, 0)
  )) 
  * VALUE( INDEX(Pack_Master!$C:$C, MATCH($D912, Pack_Master!$A:$A, 0)) )
  + VALUE( INDEX(Pack_Master!$D:$D, MATCH($D912, Pack_Master!$A:$A, 0)) ),
"")
</f>
        <v>2</v>
      </c>
      <c r="G912" s="17">
        <f t="array" ref="G912">IFERROR(
 ( INDEX(Pack_Master!E:E, MATCH($D912, Pack_Master!A:A, 0))
   * INDEX(Pack_Master!F:F, MATCH($D912, Pack_Master!A:A, 0))
   * INDEX(Pack_Master!G:G, MATCH($D912, Pack_Master!A:A, 0))
 ) / INDEX(Config!C:C, MATCH($A912, Config!A:A, 0)),
"")
</f>
        <v>0.375</v>
      </c>
      <c r="H912" s="17">
        <f t="array" ref="H912">MAX( INDEX(Pack_Master!H:H, MATCH($D912, Pack_Master!A:A, 0)),
      IFERROR(G912, 0) )
</f>
        <v>0.5</v>
      </c>
      <c r="I912" s="18">
        <f>IFERROR(__xludf.DUMMYFUNCTION("IFERROR(
 INDEX(
   FILTER(Shipping_Rate_Card!B:F, Shipping_Rate_Card!A:A=$A912),
   MATCH($H912, FILTER(Shipping_Rate_Card!B:B, Shipping_Rate_Card!A:A=$A912), 1),
   IF( INDEX(Config!B:B, MATCH($A912, Config!A:A, 0))=""Local"", 2,
     IF( INDEX(Config!B"&amp;":B, MATCH($A912, Config!A:A, 0))=""Regional"", 3, 4 )
   )
 ),
"""")
"),75.0)</f>
        <v>75</v>
      </c>
      <c r="J912" s="16">
        <f>IFERROR(__xludf.DUMMYFUNCTION("IFERROR(
 ( E912 * INDEX(FILTER(Pricing_Rules!E:E, Pricing_Rules!A:A=A912, Pricing_Rules!B:B=B912, Pricing_Rules!C:C&lt;=E912, Pricing_Rules!D:D&gt;=E912), 1)
   + INDEX(FILTER(Pricing_Rules!F:F, Pricing_Rules!A:A=A912, Pricing_Rules!B:B=B912, Pricing_Rules!C:C"&amp;"&lt;=E912, Pricing_Rules!D:D&gt;=E912), 1)
 )
 * (1 + IFERROR( INDEX(Config!D:D, MATCH(A912, Config!A:A, 0)), 0 )),
"""")
"),15.34)</f>
        <v>15.34</v>
      </c>
      <c r="K912" s="19">
        <f t="shared" si="3"/>
        <v>-92.34</v>
      </c>
      <c r="L912" s="20" t="str">
        <f t="shared" si="4"/>
        <v/>
      </c>
    </row>
    <row r="913" ht="15.75" customHeight="1">
      <c r="A913" s="9" t="s">
        <v>1162</v>
      </c>
      <c r="B913" s="12" t="str">
        <f t="array" ref="B913">XLOOKUP(C913, Channel_Listings!C:C, Channel_Listings!B:B)
</f>
        <v>Automotive_FaceMasks</v>
      </c>
      <c r="C913" s="23" t="s">
        <v>624</v>
      </c>
      <c r="D913" s="14" t="str">
        <f t="array" ref="D913">XLOOKUP(C913, Channel_Listings!C:C, Channel_Listings!D:D)
</f>
        <v>MASK-HALF-BLUE-PK1</v>
      </c>
      <c r="E913" s="15"/>
      <c r="F913" s="16">
        <f t="array" ref="F913">IFERROR(
  VALUE( INDEX(Product_Master!$I:$I,
               MATCH( INDEX(Pack_Master!$B:$B, MATCH($D913, Pack_Master!$A:$A, 0)),
                      Product_Master!$B:$B, 0)
  )) 
  * VALUE( INDEX(Pack_Master!$C:$C, MATCH($D913, Pack_Master!$A:$A, 0)) )
  + VALUE( INDEX(Pack_Master!$D:$D, MATCH($D913, Pack_Master!$A:$A, 0)) ),
"")
</f>
        <v>0</v>
      </c>
      <c r="G913" s="17">
        <f t="array" ref="G913">IFERROR(
 ( INDEX(Pack_Master!E:E, MATCH($D913, Pack_Master!A:A, 0))
   * INDEX(Pack_Master!F:F, MATCH($D913, Pack_Master!A:A, 0))
   * INDEX(Pack_Master!G:G, MATCH($D913, Pack_Master!A:A, 0))
 ) / INDEX(Config!C:C, MATCH($A913, Config!A:A, 0)),
"")
</f>
        <v>0</v>
      </c>
      <c r="H913" s="17">
        <f t="array" ref="H913">MAX( INDEX(Pack_Master!H:H, MATCH($D913, Pack_Master!A:A, 0)),
      IFERROR(G913, 0) )
</f>
        <v>0</v>
      </c>
      <c r="I913" s="18" t="str">
        <f>IFERROR(__xludf.DUMMYFUNCTION("IFERROR(
 INDEX(
   FILTER(Shipping_Rate_Card!B:F, Shipping_Rate_Card!A:A=$A913),
   MATCH($H913, FILTER(Shipping_Rate_Card!B:B, Shipping_Rate_Card!A:A=$A913), 1),
   IF( INDEX(Config!B:B, MATCH($A913, Config!A:A, 0))=""Local"", 2,
     IF( INDEX(Config!B"&amp;":B, MATCH($A913, Config!A:A, 0))=""Regional"", 3, 4 )
   )
 ),
"""")
"),"")</f>
        <v/>
      </c>
      <c r="J913" s="16">
        <f>IFERROR(__xludf.DUMMYFUNCTION("IFERROR(
 ( E913 * INDEX(FILTER(Pricing_Rules!E:E, Pricing_Rules!A:A=A913, Pricing_Rules!B:B=B913, Pricing_Rules!C:C&lt;=E913, Pricing_Rules!D:D&gt;=E913), 1)
   + INDEX(FILTER(Pricing_Rules!F:F, Pricing_Rules!A:A=A913, Pricing_Rules!B:B=B913, Pricing_Rules!C:C"&amp;"&lt;=E913, Pricing_Rules!D:D&gt;=E913), 1)
 )
 * (1 + IFERROR( INDEX(Config!D:D, MATCH(A913, Config!A:A, 0)), 0 )),
"""")
"),0.0)</f>
        <v>0</v>
      </c>
      <c r="K913" s="19">
        <f t="shared" si="3"/>
        <v>0</v>
      </c>
      <c r="L913" s="20" t="str">
        <f t="shared" si="4"/>
        <v/>
      </c>
    </row>
    <row r="914" ht="15.75" customHeight="1">
      <c r="A914" s="9" t="s">
        <v>1162</v>
      </c>
      <c r="B914" s="12" t="str">
        <f t="array" ref="B914">XLOOKUP(C914, Channel_Listings!C:C, Channel_Listings!B:B)
</f>
        <v>Automotive_FaceMasks</v>
      </c>
      <c r="C914" s="23" t="s">
        <v>1423</v>
      </c>
      <c r="D914" s="14" t="str">
        <f t="array" ref="D914">XLOOKUP(C914, Channel_Listings!C:C, Channel_Listings!D:D)
</f>
        <v>MASK-HALF-BLACK-PK2</v>
      </c>
      <c r="E914" s="15"/>
      <c r="F914" s="16">
        <f t="array" ref="F914">IFERROR(
  VALUE( INDEX(Product_Master!$I:$I,
               MATCH( INDEX(Pack_Master!$B:$B, MATCH($D914, Pack_Master!$A:$A, 0)),
                      Product_Master!$B:$B, 0)
  )) 
  * VALUE( INDEX(Pack_Master!$C:$C, MATCH($D914, Pack_Master!$A:$A, 0)) )
  + VALUE( INDEX(Pack_Master!$D:$D, MATCH($D914, Pack_Master!$A:$A, 0)) ),
"")
</f>
        <v>0</v>
      </c>
      <c r="G914" s="17">
        <f t="array" ref="G914">IFERROR(
 ( INDEX(Pack_Master!E:E, MATCH($D914, Pack_Master!A:A, 0))
   * INDEX(Pack_Master!F:F, MATCH($D914, Pack_Master!A:A, 0))
   * INDEX(Pack_Master!G:G, MATCH($D914, Pack_Master!A:A, 0))
 ) / INDEX(Config!C:C, MATCH($A914, Config!A:A, 0)),
"")
</f>
        <v>0</v>
      </c>
      <c r="H914" s="17">
        <f t="array" ref="H914">MAX( INDEX(Pack_Master!H:H, MATCH($D914, Pack_Master!A:A, 0)),
      IFERROR(G914, 0) )
</f>
        <v>0</v>
      </c>
      <c r="I914" s="18" t="str">
        <f>IFERROR(__xludf.DUMMYFUNCTION("IFERROR(
 INDEX(
   FILTER(Shipping_Rate_Card!B:F, Shipping_Rate_Card!A:A=$A914),
   MATCH($H914, FILTER(Shipping_Rate_Card!B:B, Shipping_Rate_Card!A:A=$A914), 1),
   IF( INDEX(Config!B:B, MATCH($A914, Config!A:A, 0))=""Local"", 2,
     IF( INDEX(Config!B"&amp;":B, MATCH($A914, Config!A:A, 0))=""Regional"", 3, 4 )
   )
 ),
"""")
"),"")</f>
        <v/>
      </c>
      <c r="J914" s="16">
        <f>IFERROR(__xludf.DUMMYFUNCTION("IFERROR(
 ( E914 * INDEX(FILTER(Pricing_Rules!E:E, Pricing_Rules!A:A=A914, Pricing_Rules!B:B=B914, Pricing_Rules!C:C&lt;=E914, Pricing_Rules!D:D&gt;=E914), 1)
   + INDEX(FILTER(Pricing_Rules!F:F, Pricing_Rules!A:A=A914, Pricing_Rules!B:B=B914, Pricing_Rules!C:C"&amp;"&lt;=E914, Pricing_Rules!D:D&gt;=E914), 1)
 )
 * (1 + IFERROR( INDEX(Config!D:D, MATCH(A914, Config!A:A, 0)), 0 )),
"""")
"),0.0)</f>
        <v>0</v>
      </c>
      <c r="K914" s="19">
        <f t="shared" si="3"/>
        <v>0</v>
      </c>
      <c r="L914" s="20" t="str">
        <f t="shared" si="4"/>
        <v/>
      </c>
    </row>
    <row r="915" ht="15.75" customHeight="1">
      <c r="A915" s="9" t="s">
        <v>1162</v>
      </c>
      <c r="B915" s="12" t="str">
        <f t="array" ref="B915">XLOOKUP(C915, Channel_Listings!C:C, Channel_Listings!B:B)
</f>
        <v>Automotive_FaceMasks</v>
      </c>
      <c r="C915" s="23" t="s">
        <v>633</v>
      </c>
      <c r="D915" s="14" t="str">
        <f t="array" ref="D915">XLOOKUP(C915, Channel_Listings!C:C, Channel_Listings!D:D)
</f>
        <v>MASK-HALF-BLACK-PK4</v>
      </c>
      <c r="E915" s="15"/>
      <c r="F915" s="16">
        <f t="array" ref="F915">IFERROR(
  VALUE( INDEX(Product_Master!$I:$I,
               MATCH( INDEX(Pack_Master!$B:$B, MATCH($D915, Pack_Master!$A:$A, 0)),
                      Product_Master!$B:$B, 0)
  )) 
  * VALUE( INDEX(Pack_Master!$C:$C, MATCH($D915, Pack_Master!$A:$A, 0)) )
  + VALUE( INDEX(Pack_Master!$D:$D, MATCH($D915, Pack_Master!$A:$A, 0)) ),
"")
</f>
        <v>0</v>
      </c>
      <c r="G915" s="17">
        <f t="array" ref="G915">IFERROR(
 ( INDEX(Pack_Master!E:E, MATCH($D915, Pack_Master!A:A, 0))
   * INDEX(Pack_Master!F:F, MATCH($D915, Pack_Master!A:A, 0))
   * INDEX(Pack_Master!G:G, MATCH($D915, Pack_Master!A:A, 0))
 ) / INDEX(Config!C:C, MATCH($A915, Config!A:A, 0)),
"")
</f>
        <v>0</v>
      </c>
      <c r="H915" s="17">
        <f t="array" ref="H915">MAX( INDEX(Pack_Master!H:H, MATCH($D915, Pack_Master!A:A, 0)),
      IFERROR(G915, 0) )
</f>
        <v>0</v>
      </c>
      <c r="I915" s="18" t="str">
        <f>IFERROR(__xludf.DUMMYFUNCTION("IFERROR(
 INDEX(
   FILTER(Shipping_Rate_Card!B:F, Shipping_Rate_Card!A:A=$A915),
   MATCH($H915, FILTER(Shipping_Rate_Card!B:B, Shipping_Rate_Card!A:A=$A915), 1),
   IF( INDEX(Config!B:B, MATCH($A915, Config!A:A, 0))=""Local"", 2,
     IF( INDEX(Config!B"&amp;":B, MATCH($A915, Config!A:A, 0))=""Regional"", 3, 4 )
   )
 ),
"""")
"),"")</f>
        <v/>
      </c>
      <c r="J915" s="16">
        <f>IFERROR(__xludf.DUMMYFUNCTION("IFERROR(
 ( E915 * INDEX(FILTER(Pricing_Rules!E:E, Pricing_Rules!A:A=A915, Pricing_Rules!B:B=B915, Pricing_Rules!C:C&lt;=E915, Pricing_Rules!D:D&gt;=E915), 1)
   + INDEX(FILTER(Pricing_Rules!F:F, Pricing_Rules!A:A=A915, Pricing_Rules!B:B=B915, Pricing_Rules!C:C"&amp;"&lt;=E915, Pricing_Rules!D:D&gt;=E915), 1)
 )
 * (1 + IFERROR( INDEX(Config!D:D, MATCH(A915, Config!A:A, 0)), 0 )),
"""")
"),0.0)</f>
        <v>0</v>
      </c>
      <c r="K915" s="19">
        <f t="shared" si="3"/>
        <v>0</v>
      </c>
      <c r="L915" s="20" t="str">
        <f t="shared" si="4"/>
        <v/>
      </c>
    </row>
    <row r="916" ht="15.75" customHeight="1">
      <c r="A916" s="9" t="s">
        <v>1162</v>
      </c>
      <c r="B916" s="12" t="str">
        <f t="array" ref="B916">XLOOKUP(C916, Channel_Listings!C:C, Channel_Listings!B:B)
</f>
        <v>Apparel_Accessories_Winter</v>
      </c>
      <c r="C916" s="23" t="s">
        <v>649</v>
      </c>
      <c r="D916" s="14" t="str">
        <f t="array" ref="D916">XLOOKUP(C916, Channel_Listings!C:C, Channel_Listings!D:D)
</f>
        <v>STOLE-SILK-WHITE</v>
      </c>
      <c r="E916" s="15"/>
      <c r="F916" s="16">
        <f t="array" ref="F916">IFERROR(
  VALUE( INDEX(Product_Master!$I:$I,
               MATCH( INDEX(Pack_Master!$B:$B, MATCH($D916, Pack_Master!$A:$A, 0)),
                      Product_Master!$B:$B, 0)
  )) 
  * VALUE( INDEX(Pack_Master!$C:$C, MATCH($D916, Pack_Master!$A:$A, 0)) )
  + VALUE( INDEX(Pack_Master!$D:$D, MATCH($D916, Pack_Master!$A:$A, 0)) ),
"")
</f>
        <v>0</v>
      </c>
      <c r="G916" s="17">
        <f t="array" ref="G916">IFERROR(
 ( INDEX(Pack_Master!E:E, MATCH($D916, Pack_Master!A:A, 0))
   * INDEX(Pack_Master!F:F, MATCH($D916, Pack_Master!A:A, 0))
   * INDEX(Pack_Master!G:G, MATCH($D916, Pack_Master!A:A, 0))
 ) / INDEX(Config!C:C, MATCH($A916, Config!A:A, 0)),
"")
</f>
        <v>0</v>
      </c>
      <c r="H916" s="17">
        <f t="array" ref="H916">MAX( INDEX(Pack_Master!H:H, MATCH($D916, Pack_Master!A:A, 0)),
      IFERROR(G916, 0) )
</f>
        <v>0</v>
      </c>
      <c r="I916" s="18" t="str">
        <f>IFERROR(__xludf.DUMMYFUNCTION("IFERROR(
 INDEX(
   FILTER(Shipping_Rate_Card!B:F, Shipping_Rate_Card!A:A=$A916),
   MATCH($H916, FILTER(Shipping_Rate_Card!B:B, Shipping_Rate_Card!A:A=$A916), 1),
   IF( INDEX(Config!B:B, MATCH($A916, Config!A:A, 0))=""Local"", 2,
     IF( INDEX(Config!B"&amp;":B, MATCH($A916, Config!A:A, 0))=""Regional"", 3, 4 )
   )
 ),
"""")
"),"")</f>
        <v/>
      </c>
      <c r="J916" s="16">
        <f>IFERROR(__xludf.DUMMYFUNCTION("IFERROR(
 ( E916 * INDEX(FILTER(Pricing_Rules!E:E, Pricing_Rules!A:A=A916, Pricing_Rules!B:B=B916, Pricing_Rules!C:C&lt;=E916, Pricing_Rules!D:D&gt;=E916), 1)
   + INDEX(FILTER(Pricing_Rules!F:F, Pricing_Rules!A:A=A916, Pricing_Rules!B:B=B916, Pricing_Rules!C:C"&amp;"&lt;=E916, Pricing_Rules!D:D&gt;=E916), 1)
 )
 * (1 + IFERROR( INDEX(Config!D:D, MATCH(A916, Config!A:A, 0)), 0 )),
"""")
"),0.0)</f>
        <v>0</v>
      </c>
      <c r="K916" s="19">
        <f t="shared" si="3"/>
        <v>0</v>
      </c>
      <c r="L916" s="20" t="str">
        <f t="shared" si="4"/>
        <v/>
      </c>
    </row>
    <row r="917" ht="15.75" customHeight="1">
      <c r="A917" s="9" t="s">
        <v>1162</v>
      </c>
      <c r="B917" s="12" t="str">
        <f t="array" ref="B917">XLOOKUP(C917, Channel_Listings!C:C, Channel_Listings!B:B)
</f>
        <v>Apparel_Tshirts</v>
      </c>
      <c r="C917" s="23" t="s">
        <v>651</v>
      </c>
      <c r="D917" s="14" t="str">
        <f t="array" ref="D917">XLOOKUP(C917, Channel_Listings!C:C, Channel_Listings!D:D)
</f>
        <v>TSHIRT-COTTONROUND-AIRFORCEBLUE-2XL</v>
      </c>
      <c r="E917" s="15"/>
      <c r="F917" s="16">
        <f t="array" ref="F917">IFERROR(
  VALUE( INDEX(Product_Master!$I:$I,
               MATCH( INDEX(Pack_Master!$B:$B, MATCH($D917, Pack_Master!$A:$A, 0)),
                      Product_Master!$B:$B, 0)
  )) 
  * VALUE( INDEX(Pack_Master!$C:$C, MATCH($D917, Pack_Master!$A:$A, 0)) )
  + VALUE( INDEX(Pack_Master!$D:$D, MATCH($D917, Pack_Master!$A:$A, 0)) ),
"")
</f>
        <v>0</v>
      </c>
      <c r="G917" s="17">
        <f t="array" ref="G917">IFERROR(
 ( INDEX(Pack_Master!E:E, MATCH($D917, Pack_Master!A:A, 0))
   * INDEX(Pack_Master!F:F, MATCH($D917, Pack_Master!A:A, 0))
   * INDEX(Pack_Master!G:G, MATCH($D917, Pack_Master!A:A, 0))
 ) / INDEX(Config!C:C, MATCH($A917, Config!A:A, 0)),
"")
</f>
        <v>0</v>
      </c>
      <c r="H917" s="17">
        <f t="array" ref="H917">MAX( INDEX(Pack_Master!H:H, MATCH($D917, Pack_Master!A:A, 0)),
      IFERROR(G917, 0) )
</f>
        <v>0</v>
      </c>
      <c r="I917" s="18" t="str">
        <f>IFERROR(__xludf.DUMMYFUNCTION("IFERROR(
 INDEX(
   FILTER(Shipping_Rate_Card!B:F, Shipping_Rate_Card!A:A=$A917),
   MATCH($H917, FILTER(Shipping_Rate_Card!B:B, Shipping_Rate_Card!A:A=$A917), 1),
   IF( INDEX(Config!B:B, MATCH($A917, Config!A:A, 0))=""Local"", 2,
     IF( INDEX(Config!B"&amp;":B, MATCH($A917, Config!A:A, 0))=""Regional"", 3, 4 )
   )
 ),
"""")
"),"")</f>
        <v/>
      </c>
      <c r="J917" s="16">
        <f>IFERROR(__xludf.DUMMYFUNCTION("IFERROR(
 ( E917 * INDEX(FILTER(Pricing_Rules!E:E, Pricing_Rules!A:A=A917, Pricing_Rules!B:B=B917, Pricing_Rules!C:C&lt;=E917, Pricing_Rules!D:D&gt;=E917), 1)
   + INDEX(FILTER(Pricing_Rules!F:F, Pricing_Rules!A:A=A917, Pricing_Rules!B:B=B917, Pricing_Rules!C:C"&amp;"&lt;=E917, Pricing_Rules!D:D&gt;=E917), 1)
 )
 * (1 + IFERROR( INDEX(Config!D:D, MATCH(A917, Config!A:A, 0)), 0 )),
"""")
"),15.34)</f>
        <v>15.34</v>
      </c>
      <c r="K917" s="19">
        <f t="shared" si="3"/>
        <v>-15.34</v>
      </c>
      <c r="L917" s="20" t="str">
        <f t="shared" si="4"/>
        <v/>
      </c>
    </row>
    <row r="918" ht="15.75" customHeight="1">
      <c r="A918" s="9" t="s">
        <v>1162</v>
      </c>
      <c r="B918" s="12" t="str">
        <f t="array" ref="B918">XLOOKUP(C918, Channel_Listings!C:C, Channel_Listings!B:B)
</f>
        <v>Apparel_Tshirts</v>
      </c>
      <c r="C918" s="23" t="s">
        <v>653</v>
      </c>
      <c r="D918" s="14" t="str">
        <f t="array" ref="D918">XLOOKUP(C918, Channel_Listings!C:C, Channel_Listings!D:D)
</f>
        <v>TSHIRT-COTTONROUND-AIRFORCEBLUE-L</v>
      </c>
      <c r="E918" s="15"/>
      <c r="F918" s="16">
        <f t="array" ref="F918">IFERROR(
  VALUE( INDEX(Product_Master!$I:$I,
               MATCH( INDEX(Pack_Master!$B:$B, MATCH($D918, Pack_Master!$A:$A, 0)),
                      Product_Master!$B:$B, 0)
  )) 
  * VALUE( INDEX(Pack_Master!$C:$C, MATCH($D918, Pack_Master!$A:$A, 0)) )
  + VALUE( INDEX(Pack_Master!$D:$D, MATCH($D918, Pack_Master!$A:$A, 0)) ),
"")
</f>
        <v>0</v>
      </c>
      <c r="G918" s="17">
        <f t="array" ref="G918">IFERROR(
 ( INDEX(Pack_Master!E:E, MATCH($D918, Pack_Master!A:A, 0))
   * INDEX(Pack_Master!F:F, MATCH($D918, Pack_Master!A:A, 0))
   * INDEX(Pack_Master!G:G, MATCH($D918, Pack_Master!A:A, 0))
 ) / INDEX(Config!C:C, MATCH($A918, Config!A:A, 0)),
"")
</f>
        <v>0</v>
      </c>
      <c r="H918" s="17">
        <f t="array" ref="H918">MAX( INDEX(Pack_Master!H:H, MATCH($D918, Pack_Master!A:A, 0)),
      IFERROR(G918, 0) )
</f>
        <v>0</v>
      </c>
      <c r="I918" s="18" t="str">
        <f>IFERROR(__xludf.DUMMYFUNCTION("IFERROR(
 INDEX(
   FILTER(Shipping_Rate_Card!B:F, Shipping_Rate_Card!A:A=$A918),
   MATCH($H918, FILTER(Shipping_Rate_Card!B:B, Shipping_Rate_Card!A:A=$A918), 1),
   IF( INDEX(Config!B:B, MATCH($A918, Config!A:A, 0))=""Local"", 2,
     IF( INDEX(Config!B"&amp;":B, MATCH($A918, Config!A:A, 0))=""Regional"", 3, 4 )
   )
 ),
"""")
"),"")</f>
        <v/>
      </c>
      <c r="J918" s="16">
        <f>IFERROR(__xludf.DUMMYFUNCTION("IFERROR(
 ( E918 * INDEX(FILTER(Pricing_Rules!E:E, Pricing_Rules!A:A=A918, Pricing_Rules!B:B=B918, Pricing_Rules!C:C&lt;=E918, Pricing_Rules!D:D&gt;=E918), 1)
   + INDEX(FILTER(Pricing_Rules!F:F, Pricing_Rules!A:A=A918, Pricing_Rules!B:B=B918, Pricing_Rules!C:C"&amp;"&lt;=E918, Pricing_Rules!D:D&gt;=E918), 1)
 )
 * (1 + IFERROR( INDEX(Config!D:D, MATCH(A918, Config!A:A, 0)), 0 )),
"""")
"),15.34)</f>
        <v>15.34</v>
      </c>
      <c r="K918" s="19">
        <f t="shared" si="3"/>
        <v>-15.34</v>
      </c>
      <c r="L918" s="20" t="str">
        <f t="shared" si="4"/>
        <v/>
      </c>
    </row>
    <row r="919" ht="15.75" customHeight="1">
      <c r="A919" s="9" t="s">
        <v>1162</v>
      </c>
      <c r="B919" s="12" t="str">
        <f t="array" ref="B919">XLOOKUP(C919, Channel_Listings!C:C, Channel_Listings!B:B)
</f>
        <v>Apparel_Tshirts</v>
      </c>
      <c r="C919" s="23" t="s">
        <v>659</v>
      </c>
      <c r="D919" s="14" t="str">
        <f t="array" ref="D919">XLOOKUP(C919, Channel_Listings!C:C, Channel_Listings!D:D)
</f>
        <v>TSHIRT-COTTONROUND-BLACK-2XL</v>
      </c>
      <c r="E919" s="15"/>
      <c r="F919" s="16">
        <f t="array" ref="F919">IFERROR(
  VALUE( INDEX(Product_Master!$I:$I,
               MATCH( INDEX(Pack_Master!$B:$B, MATCH($D919, Pack_Master!$A:$A, 0)),
                      Product_Master!$B:$B, 0)
  )) 
  * VALUE( INDEX(Pack_Master!$C:$C, MATCH($D919, Pack_Master!$A:$A, 0)) )
  + VALUE( INDEX(Pack_Master!$D:$D, MATCH($D919, Pack_Master!$A:$A, 0)) ),
"")
</f>
        <v>0</v>
      </c>
      <c r="G919" s="17">
        <f t="array" ref="G919">IFERROR(
 ( INDEX(Pack_Master!E:E, MATCH($D919, Pack_Master!A:A, 0))
   * INDEX(Pack_Master!F:F, MATCH($D919, Pack_Master!A:A, 0))
   * INDEX(Pack_Master!G:G, MATCH($D919, Pack_Master!A:A, 0))
 ) / INDEX(Config!C:C, MATCH($A919, Config!A:A, 0)),
"")
</f>
        <v>0</v>
      </c>
      <c r="H919" s="17">
        <f t="array" ref="H919">MAX( INDEX(Pack_Master!H:H, MATCH($D919, Pack_Master!A:A, 0)),
      IFERROR(G919, 0) )
</f>
        <v>0</v>
      </c>
      <c r="I919" s="18" t="str">
        <f>IFERROR(__xludf.DUMMYFUNCTION("IFERROR(
 INDEX(
   FILTER(Shipping_Rate_Card!B:F, Shipping_Rate_Card!A:A=$A919),
   MATCH($H919, FILTER(Shipping_Rate_Card!B:B, Shipping_Rate_Card!A:A=$A919), 1),
   IF( INDEX(Config!B:B, MATCH($A919, Config!A:A, 0))=""Local"", 2,
     IF( INDEX(Config!B"&amp;":B, MATCH($A919, Config!A:A, 0))=""Regional"", 3, 4 )
   )
 ),
"""")
"),"")</f>
        <v/>
      </c>
      <c r="J919" s="16">
        <f>IFERROR(__xludf.DUMMYFUNCTION("IFERROR(
 ( E919 * INDEX(FILTER(Pricing_Rules!E:E, Pricing_Rules!A:A=A919, Pricing_Rules!B:B=B919, Pricing_Rules!C:C&lt;=E919, Pricing_Rules!D:D&gt;=E919), 1)
   + INDEX(FILTER(Pricing_Rules!F:F, Pricing_Rules!A:A=A919, Pricing_Rules!B:B=B919, Pricing_Rules!C:C"&amp;"&lt;=E919, Pricing_Rules!D:D&gt;=E919), 1)
 )
 * (1 + IFERROR( INDEX(Config!D:D, MATCH(A919, Config!A:A, 0)), 0 )),
"""")
"),15.34)</f>
        <v>15.34</v>
      </c>
      <c r="K919" s="19">
        <f t="shared" si="3"/>
        <v>-15.34</v>
      </c>
      <c r="L919" s="20" t="str">
        <f t="shared" si="4"/>
        <v/>
      </c>
    </row>
    <row r="920" ht="15.75" customHeight="1">
      <c r="A920" s="9" t="s">
        <v>1162</v>
      </c>
      <c r="B920" s="12" t="str">
        <f t="array" ref="B920">XLOOKUP(C920, Channel_Listings!C:C, Channel_Listings!B:B)
</f>
        <v>Apparel_Tshirts</v>
      </c>
      <c r="C920" s="23" t="s">
        <v>661</v>
      </c>
      <c r="D920" s="14" t="str">
        <f t="array" ref="D920">XLOOKUP(C920, Channel_Listings!C:C, Channel_Listings!D:D)
</f>
        <v>TSHIRT-COTTONROUND-BLACK-L</v>
      </c>
      <c r="E920" s="15"/>
      <c r="F920" s="16">
        <f t="array" ref="F920">IFERROR(
  VALUE( INDEX(Product_Master!$I:$I,
               MATCH( INDEX(Pack_Master!$B:$B, MATCH($D920, Pack_Master!$A:$A, 0)),
                      Product_Master!$B:$B, 0)
  )) 
  * VALUE( INDEX(Pack_Master!$C:$C, MATCH($D920, Pack_Master!$A:$A, 0)) )
  + VALUE( INDEX(Pack_Master!$D:$D, MATCH($D920, Pack_Master!$A:$A, 0)) ),
"")
</f>
        <v>0</v>
      </c>
      <c r="G920" s="17">
        <f t="array" ref="G920">IFERROR(
 ( INDEX(Pack_Master!E:E, MATCH($D920, Pack_Master!A:A, 0))
   * INDEX(Pack_Master!F:F, MATCH($D920, Pack_Master!A:A, 0))
   * INDEX(Pack_Master!G:G, MATCH($D920, Pack_Master!A:A, 0))
 ) / INDEX(Config!C:C, MATCH($A920, Config!A:A, 0)),
"")
</f>
        <v>0</v>
      </c>
      <c r="H920" s="17">
        <f t="array" ref="H920">MAX( INDEX(Pack_Master!H:H, MATCH($D920, Pack_Master!A:A, 0)),
      IFERROR(G920, 0) )
</f>
        <v>0</v>
      </c>
      <c r="I920" s="18" t="str">
        <f>IFERROR(__xludf.DUMMYFUNCTION("IFERROR(
 INDEX(
   FILTER(Shipping_Rate_Card!B:F, Shipping_Rate_Card!A:A=$A920),
   MATCH($H920, FILTER(Shipping_Rate_Card!B:B, Shipping_Rate_Card!A:A=$A920), 1),
   IF( INDEX(Config!B:B, MATCH($A920, Config!A:A, 0))=""Local"", 2,
     IF( INDEX(Config!B"&amp;":B, MATCH($A920, Config!A:A, 0))=""Regional"", 3, 4 )
   )
 ),
"""")
"),"")</f>
        <v/>
      </c>
      <c r="J920" s="16">
        <f>IFERROR(__xludf.DUMMYFUNCTION("IFERROR(
 ( E920 * INDEX(FILTER(Pricing_Rules!E:E, Pricing_Rules!A:A=A920, Pricing_Rules!B:B=B920, Pricing_Rules!C:C&lt;=E920, Pricing_Rules!D:D&gt;=E920), 1)
   + INDEX(FILTER(Pricing_Rules!F:F, Pricing_Rules!A:A=A920, Pricing_Rules!B:B=B920, Pricing_Rules!C:C"&amp;"&lt;=E920, Pricing_Rules!D:D&gt;=E920), 1)
 )
 * (1 + IFERROR( INDEX(Config!D:D, MATCH(A920, Config!A:A, 0)), 0 )),
"""")
"),15.34)</f>
        <v>15.34</v>
      </c>
      <c r="K920" s="19">
        <f t="shared" si="3"/>
        <v>-15.34</v>
      </c>
      <c r="L920" s="20" t="str">
        <f t="shared" si="4"/>
        <v/>
      </c>
    </row>
    <row r="921" ht="15.75" customHeight="1">
      <c r="A921" s="9" t="s">
        <v>1162</v>
      </c>
      <c r="B921" s="12" t="str">
        <f t="array" ref="B921">XLOOKUP(C921, Channel_Listings!C:C, Channel_Listings!B:B)
</f>
        <v>Apparel_Tshirts</v>
      </c>
      <c r="C921" s="23" t="s">
        <v>663</v>
      </c>
      <c r="D921" s="14" t="str">
        <f t="array" ref="D921">XLOOKUP(C921, Channel_Listings!C:C, Channel_Listings!D:D)
</f>
        <v>TSHIRT-COTTONROUND-BLACK-M</v>
      </c>
      <c r="E921" s="15"/>
      <c r="F921" s="16">
        <f t="array" ref="F921">IFERROR(
  VALUE( INDEX(Product_Master!$I:$I,
               MATCH( INDEX(Pack_Master!$B:$B, MATCH($D921, Pack_Master!$A:$A, 0)),
                      Product_Master!$B:$B, 0)
  )) 
  * VALUE( INDEX(Pack_Master!$C:$C, MATCH($D921, Pack_Master!$A:$A, 0)) )
  + VALUE( INDEX(Pack_Master!$D:$D, MATCH($D921, Pack_Master!$A:$A, 0)) ),
"")
</f>
        <v>0</v>
      </c>
      <c r="G921" s="17">
        <f t="array" ref="G921">IFERROR(
 ( INDEX(Pack_Master!E:E, MATCH($D921, Pack_Master!A:A, 0))
   * INDEX(Pack_Master!F:F, MATCH($D921, Pack_Master!A:A, 0))
   * INDEX(Pack_Master!G:G, MATCH($D921, Pack_Master!A:A, 0))
 ) / INDEX(Config!C:C, MATCH($A921, Config!A:A, 0)),
"")
</f>
        <v>0</v>
      </c>
      <c r="H921" s="17">
        <f t="array" ref="H921">MAX( INDEX(Pack_Master!H:H, MATCH($D921, Pack_Master!A:A, 0)),
      IFERROR(G921, 0) )
</f>
        <v>0</v>
      </c>
      <c r="I921" s="18" t="str">
        <f>IFERROR(__xludf.DUMMYFUNCTION("IFERROR(
 INDEX(
   FILTER(Shipping_Rate_Card!B:F, Shipping_Rate_Card!A:A=$A921),
   MATCH($H921, FILTER(Shipping_Rate_Card!B:B, Shipping_Rate_Card!A:A=$A921), 1),
   IF( INDEX(Config!B:B, MATCH($A921, Config!A:A, 0))=""Local"", 2,
     IF( INDEX(Config!B"&amp;":B, MATCH($A921, Config!A:A, 0))=""Regional"", 3, 4 )
   )
 ),
"""")
"),"")</f>
        <v/>
      </c>
      <c r="J921" s="16">
        <f>IFERROR(__xludf.DUMMYFUNCTION("IFERROR(
 ( E921 * INDEX(FILTER(Pricing_Rules!E:E, Pricing_Rules!A:A=A921, Pricing_Rules!B:B=B921, Pricing_Rules!C:C&lt;=E921, Pricing_Rules!D:D&gt;=E921), 1)
   + INDEX(FILTER(Pricing_Rules!F:F, Pricing_Rules!A:A=A921, Pricing_Rules!B:B=B921, Pricing_Rules!C:C"&amp;"&lt;=E921, Pricing_Rules!D:D&gt;=E921), 1)
 )
 * (1 + IFERROR( INDEX(Config!D:D, MATCH(A921, Config!A:A, 0)), 0 )),
"""")
"),15.34)</f>
        <v>15.34</v>
      </c>
      <c r="K921" s="19">
        <f t="shared" si="3"/>
        <v>-15.34</v>
      </c>
      <c r="L921" s="20" t="str">
        <f t="shared" si="4"/>
        <v/>
      </c>
    </row>
    <row r="922" ht="15.75" customHeight="1">
      <c r="A922" s="9" t="s">
        <v>1162</v>
      </c>
      <c r="B922" s="12" t="str">
        <f t="array" ref="B922">XLOOKUP(C922, Channel_Listings!C:C, Channel_Listings!B:B)
</f>
        <v>Apparel_Tshirts</v>
      </c>
      <c r="C922" s="23" t="s">
        <v>665</v>
      </c>
      <c r="D922" s="14" t="str">
        <f t="array" ref="D922">XLOOKUP(C922, Channel_Listings!C:C, Channel_Listings!D:D)
</f>
        <v>TSHIRT-COTTONROUND-BLACK-XL</v>
      </c>
      <c r="E922" s="15"/>
      <c r="F922" s="16">
        <f t="array" ref="F922">IFERROR(
  VALUE( INDEX(Product_Master!$I:$I,
               MATCH( INDEX(Pack_Master!$B:$B, MATCH($D922, Pack_Master!$A:$A, 0)),
                      Product_Master!$B:$B, 0)
  )) 
  * VALUE( INDEX(Pack_Master!$C:$C, MATCH($D922, Pack_Master!$A:$A, 0)) )
  + VALUE( INDEX(Pack_Master!$D:$D, MATCH($D922, Pack_Master!$A:$A, 0)) ),
"")
</f>
        <v>0</v>
      </c>
      <c r="G922" s="17">
        <f t="array" ref="G922">IFERROR(
 ( INDEX(Pack_Master!E:E, MATCH($D922, Pack_Master!A:A, 0))
   * INDEX(Pack_Master!F:F, MATCH($D922, Pack_Master!A:A, 0))
   * INDEX(Pack_Master!G:G, MATCH($D922, Pack_Master!A:A, 0))
 ) / INDEX(Config!C:C, MATCH($A922, Config!A:A, 0)),
"")
</f>
        <v>0</v>
      </c>
      <c r="H922" s="17">
        <f t="array" ref="H922">MAX( INDEX(Pack_Master!H:H, MATCH($D922, Pack_Master!A:A, 0)),
      IFERROR(G922, 0) )
</f>
        <v>0</v>
      </c>
      <c r="I922" s="18" t="str">
        <f>IFERROR(__xludf.DUMMYFUNCTION("IFERROR(
 INDEX(
   FILTER(Shipping_Rate_Card!B:F, Shipping_Rate_Card!A:A=$A922),
   MATCH($H922, FILTER(Shipping_Rate_Card!B:B, Shipping_Rate_Card!A:A=$A922), 1),
   IF( INDEX(Config!B:B, MATCH($A922, Config!A:A, 0))=""Local"", 2,
     IF( INDEX(Config!B"&amp;":B, MATCH($A922, Config!A:A, 0))=""Regional"", 3, 4 )
   )
 ),
"""")
"),"")</f>
        <v/>
      </c>
      <c r="J922" s="16">
        <f>IFERROR(__xludf.DUMMYFUNCTION("IFERROR(
 ( E922 * INDEX(FILTER(Pricing_Rules!E:E, Pricing_Rules!A:A=A922, Pricing_Rules!B:B=B922, Pricing_Rules!C:C&lt;=E922, Pricing_Rules!D:D&gt;=E922), 1)
   + INDEX(FILTER(Pricing_Rules!F:F, Pricing_Rules!A:A=A922, Pricing_Rules!B:B=B922, Pricing_Rules!C:C"&amp;"&lt;=E922, Pricing_Rules!D:D&gt;=E922), 1)
 )
 * (1 + IFERROR( INDEX(Config!D:D, MATCH(A922, Config!A:A, 0)), 0 )),
"""")
"),15.34)</f>
        <v>15.34</v>
      </c>
      <c r="K922" s="19">
        <f t="shared" si="3"/>
        <v>-15.34</v>
      </c>
      <c r="L922" s="20" t="str">
        <f t="shared" si="4"/>
        <v/>
      </c>
    </row>
    <row r="923" ht="15.75" customHeight="1">
      <c r="A923" s="9" t="s">
        <v>1162</v>
      </c>
      <c r="B923" s="12" t="str">
        <f t="array" ref="B923">XLOOKUP(C923, Channel_Listings!C:C, Channel_Listings!B:B)
</f>
        <v>Apparel_Tshirts</v>
      </c>
      <c r="C923" s="23" t="s">
        <v>667</v>
      </c>
      <c r="D923" s="14" t="str">
        <f t="array" ref="D923">XLOOKUP(C923, Channel_Listings!C:C, Channel_Listings!D:D)
</f>
        <v>TSHIRT-COTTONROUND-BOTTLEGREEN-2XL</v>
      </c>
      <c r="E923" s="15"/>
      <c r="F923" s="16">
        <f t="array" ref="F923">IFERROR(
  VALUE( INDEX(Product_Master!$I:$I,
               MATCH( INDEX(Pack_Master!$B:$B, MATCH($D923, Pack_Master!$A:$A, 0)),
                      Product_Master!$B:$B, 0)
  )) 
  * VALUE( INDEX(Pack_Master!$C:$C, MATCH($D923, Pack_Master!$A:$A, 0)) )
  + VALUE( INDEX(Pack_Master!$D:$D, MATCH($D923, Pack_Master!$A:$A, 0)) ),
"")
</f>
        <v>0</v>
      </c>
      <c r="G923" s="17">
        <f t="array" ref="G923">IFERROR(
 ( INDEX(Pack_Master!E:E, MATCH($D923, Pack_Master!A:A, 0))
   * INDEX(Pack_Master!F:F, MATCH($D923, Pack_Master!A:A, 0))
   * INDEX(Pack_Master!G:G, MATCH($D923, Pack_Master!A:A, 0))
 ) / INDEX(Config!C:C, MATCH($A923, Config!A:A, 0)),
"")
</f>
        <v>0</v>
      </c>
      <c r="H923" s="17">
        <f t="array" ref="H923">MAX( INDEX(Pack_Master!H:H, MATCH($D923, Pack_Master!A:A, 0)),
      IFERROR(G923, 0) )
</f>
        <v>0</v>
      </c>
      <c r="I923" s="18" t="str">
        <f>IFERROR(__xludf.DUMMYFUNCTION("IFERROR(
 INDEX(
   FILTER(Shipping_Rate_Card!B:F, Shipping_Rate_Card!A:A=$A923),
   MATCH($H923, FILTER(Shipping_Rate_Card!B:B, Shipping_Rate_Card!A:A=$A923), 1),
   IF( INDEX(Config!B:B, MATCH($A923, Config!A:A, 0))=""Local"", 2,
     IF( INDEX(Config!B"&amp;":B, MATCH($A923, Config!A:A, 0))=""Regional"", 3, 4 )
   )
 ),
"""")
"),"")</f>
        <v/>
      </c>
      <c r="J923" s="16">
        <f>IFERROR(__xludf.DUMMYFUNCTION("IFERROR(
 ( E923 * INDEX(FILTER(Pricing_Rules!E:E, Pricing_Rules!A:A=A923, Pricing_Rules!B:B=B923, Pricing_Rules!C:C&lt;=E923, Pricing_Rules!D:D&gt;=E923), 1)
   + INDEX(FILTER(Pricing_Rules!F:F, Pricing_Rules!A:A=A923, Pricing_Rules!B:B=B923, Pricing_Rules!C:C"&amp;"&lt;=E923, Pricing_Rules!D:D&gt;=E923), 1)
 )
 * (1 + IFERROR( INDEX(Config!D:D, MATCH(A923, Config!A:A, 0)), 0 )),
"""")
"),15.34)</f>
        <v>15.34</v>
      </c>
      <c r="K923" s="19">
        <f t="shared" si="3"/>
        <v>-15.34</v>
      </c>
      <c r="L923" s="20" t="str">
        <f t="shared" si="4"/>
        <v/>
      </c>
    </row>
    <row r="924" ht="15.75" customHeight="1">
      <c r="A924" s="9" t="s">
        <v>1162</v>
      </c>
      <c r="B924" s="12" t="str">
        <f t="array" ref="B924">XLOOKUP(C924, Channel_Listings!C:C, Channel_Listings!B:B)
</f>
        <v>Apparel_Tshirts</v>
      </c>
      <c r="C924" s="23" t="s">
        <v>669</v>
      </c>
      <c r="D924" s="14" t="str">
        <f t="array" ref="D924">XLOOKUP(C924, Channel_Listings!C:C, Channel_Listings!D:D)
</f>
        <v>TSHIRT-COTTONROUND-BOTTLEGREEN-L</v>
      </c>
      <c r="E924" s="15"/>
      <c r="F924" s="16">
        <f t="array" ref="F924">IFERROR(
  VALUE( INDEX(Product_Master!$I:$I,
               MATCH( INDEX(Pack_Master!$B:$B, MATCH($D924, Pack_Master!$A:$A, 0)),
                      Product_Master!$B:$B, 0)
  )) 
  * VALUE( INDEX(Pack_Master!$C:$C, MATCH($D924, Pack_Master!$A:$A, 0)) )
  + VALUE( INDEX(Pack_Master!$D:$D, MATCH($D924, Pack_Master!$A:$A, 0)) ),
"")
</f>
        <v>0</v>
      </c>
      <c r="G924" s="17">
        <f t="array" ref="G924">IFERROR(
 ( INDEX(Pack_Master!E:E, MATCH($D924, Pack_Master!A:A, 0))
   * INDEX(Pack_Master!F:F, MATCH($D924, Pack_Master!A:A, 0))
   * INDEX(Pack_Master!G:G, MATCH($D924, Pack_Master!A:A, 0))
 ) / INDEX(Config!C:C, MATCH($A924, Config!A:A, 0)),
"")
</f>
        <v>0</v>
      </c>
      <c r="H924" s="17">
        <f t="array" ref="H924">MAX( INDEX(Pack_Master!H:H, MATCH($D924, Pack_Master!A:A, 0)),
      IFERROR(G924, 0) )
</f>
        <v>0</v>
      </c>
      <c r="I924" s="18" t="str">
        <f>IFERROR(__xludf.DUMMYFUNCTION("IFERROR(
 INDEX(
   FILTER(Shipping_Rate_Card!B:F, Shipping_Rate_Card!A:A=$A924),
   MATCH($H924, FILTER(Shipping_Rate_Card!B:B, Shipping_Rate_Card!A:A=$A924), 1),
   IF( INDEX(Config!B:B, MATCH($A924, Config!A:A, 0))=""Local"", 2,
     IF( INDEX(Config!B"&amp;":B, MATCH($A924, Config!A:A, 0))=""Regional"", 3, 4 )
   )
 ),
"""")
"),"")</f>
        <v/>
      </c>
      <c r="J924" s="16">
        <f>IFERROR(__xludf.DUMMYFUNCTION("IFERROR(
 ( E924 * INDEX(FILTER(Pricing_Rules!E:E, Pricing_Rules!A:A=A924, Pricing_Rules!B:B=B924, Pricing_Rules!C:C&lt;=E924, Pricing_Rules!D:D&gt;=E924), 1)
   + INDEX(FILTER(Pricing_Rules!F:F, Pricing_Rules!A:A=A924, Pricing_Rules!B:B=B924, Pricing_Rules!C:C"&amp;"&lt;=E924, Pricing_Rules!D:D&gt;=E924), 1)
 )
 * (1 + IFERROR( INDEX(Config!D:D, MATCH(A924, Config!A:A, 0)), 0 )),
"""")
"),15.34)</f>
        <v>15.34</v>
      </c>
      <c r="K924" s="19">
        <f t="shared" si="3"/>
        <v>-15.34</v>
      </c>
      <c r="L924" s="20" t="str">
        <f t="shared" si="4"/>
        <v/>
      </c>
    </row>
    <row r="925" ht="15.75" customHeight="1">
      <c r="A925" s="9" t="s">
        <v>1162</v>
      </c>
      <c r="B925" s="12" t="str">
        <f t="array" ref="B925">XLOOKUP(C925, Channel_Listings!C:C, Channel_Listings!B:B)
</f>
        <v>Apparel_Tshirts</v>
      </c>
      <c r="C925" s="23" t="s">
        <v>676</v>
      </c>
      <c r="D925" s="14" t="str">
        <f t="array" ref="D925">XLOOKUP(C925, Channel_Listings!C:C, Channel_Listings!D:D)
</f>
        <v>TSHIRT-COTTONROUND-BRICKRED-2XL</v>
      </c>
      <c r="E925" s="15"/>
      <c r="F925" s="16">
        <f t="array" ref="F925">IFERROR(
  VALUE( INDEX(Product_Master!$I:$I,
               MATCH( INDEX(Pack_Master!$B:$B, MATCH($D925, Pack_Master!$A:$A, 0)),
                      Product_Master!$B:$B, 0)
  )) 
  * VALUE( INDEX(Pack_Master!$C:$C, MATCH($D925, Pack_Master!$A:$A, 0)) )
  + VALUE( INDEX(Pack_Master!$D:$D, MATCH($D925, Pack_Master!$A:$A, 0)) ),
"")
</f>
        <v>0</v>
      </c>
      <c r="G925" s="17">
        <f t="array" ref="G925">IFERROR(
 ( INDEX(Pack_Master!E:E, MATCH($D925, Pack_Master!A:A, 0))
   * INDEX(Pack_Master!F:F, MATCH($D925, Pack_Master!A:A, 0))
   * INDEX(Pack_Master!G:G, MATCH($D925, Pack_Master!A:A, 0))
 ) / INDEX(Config!C:C, MATCH($A925, Config!A:A, 0)),
"")
</f>
        <v>0</v>
      </c>
      <c r="H925" s="17">
        <f t="array" ref="H925">MAX( INDEX(Pack_Master!H:H, MATCH($D925, Pack_Master!A:A, 0)),
      IFERROR(G925, 0) )
</f>
        <v>0</v>
      </c>
      <c r="I925" s="18" t="str">
        <f>IFERROR(__xludf.DUMMYFUNCTION("IFERROR(
 INDEX(
   FILTER(Shipping_Rate_Card!B:F, Shipping_Rate_Card!A:A=$A925),
   MATCH($H925, FILTER(Shipping_Rate_Card!B:B, Shipping_Rate_Card!A:A=$A925), 1),
   IF( INDEX(Config!B:B, MATCH($A925, Config!A:A, 0))=""Local"", 2,
     IF( INDEX(Config!B"&amp;":B, MATCH($A925, Config!A:A, 0))=""Regional"", 3, 4 )
   )
 ),
"""")
"),"")</f>
        <v/>
      </c>
      <c r="J925" s="16">
        <f>IFERROR(__xludf.DUMMYFUNCTION("IFERROR(
 ( E925 * INDEX(FILTER(Pricing_Rules!E:E, Pricing_Rules!A:A=A925, Pricing_Rules!B:B=B925, Pricing_Rules!C:C&lt;=E925, Pricing_Rules!D:D&gt;=E925), 1)
   + INDEX(FILTER(Pricing_Rules!F:F, Pricing_Rules!A:A=A925, Pricing_Rules!B:B=B925, Pricing_Rules!C:C"&amp;"&lt;=E925, Pricing_Rules!D:D&gt;=E925), 1)
 )
 * (1 + IFERROR( INDEX(Config!D:D, MATCH(A925, Config!A:A, 0)), 0 )),
"""")
"),15.34)</f>
        <v>15.34</v>
      </c>
      <c r="K925" s="19">
        <f t="shared" si="3"/>
        <v>-15.34</v>
      </c>
      <c r="L925" s="20" t="str">
        <f t="shared" si="4"/>
        <v/>
      </c>
    </row>
    <row r="926" ht="15.75" customHeight="1">
      <c r="A926" s="9" t="s">
        <v>1162</v>
      </c>
      <c r="B926" s="12" t="str">
        <f t="array" ref="B926">XLOOKUP(C926, Channel_Listings!C:C, Channel_Listings!B:B)
</f>
        <v>Apparel_Tshirts</v>
      </c>
      <c r="C926" s="23" t="s">
        <v>678</v>
      </c>
      <c r="D926" s="14" t="str">
        <f t="array" ref="D926">XLOOKUP(C926, Channel_Listings!C:C, Channel_Listings!D:D)
</f>
        <v>TSHIRT-COTTONROUND-BRICKRED-L</v>
      </c>
      <c r="E926" s="15"/>
      <c r="F926" s="16">
        <f t="array" ref="F926">IFERROR(
  VALUE( INDEX(Product_Master!$I:$I,
               MATCH( INDEX(Pack_Master!$B:$B, MATCH($D926, Pack_Master!$A:$A, 0)),
                      Product_Master!$B:$B, 0)
  )) 
  * VALUE( INDEX(Pack_Master!$C:$C, MATCH($D926, Pack_Master!$A:$A, 0)) )
  + VALUE( INDEX(Pack_Master!$D:$D, MATCH($D926, Pack_Master!$A:$A, 0)) ),
"")
</f>
        <v>0</v>
      </c>
      <c r="G926" s="17">
        <f t="array" ref="G926">IFERROR(
 ( INDEX(Pack_Master!E:E, MATCH($D926, Pack_Master!A:A, 0))
   * INDEX(Pack_Master!F:F, MATCH($D926, Pack_Master!A:A, 0))
   * INDEX(Pack_Master!G:G, MATCH($D926, Pack_Master!A:A, 0))
 ) / INDEX(Config!C:C, MATCH($A926, Config!A:A, 0)),
"")
</f>
        <v>0</v>
      </c>
      <c r="H926" s="17">
        <f t="array" ref="H926">MAX( INDEX(Pack_Master!H:H, MATCH($D926, Pack_Master!A:A, 0)),
      IFERROR(G926, 0) )
</f>
        <v>0</v>
      </c>
      <c r="I926" s="18" t="str">
        <f>IFERROR(__xludf.DUMMYFUNCTION("IFERROR(
 INDEX(
   FILTER(Shipping_Rate_Card!B:F, Shipping_Rate_Card!A:A=$A926),
   MATCH($H926, FILTER(Shipping_Rate_Card!B:B, Shipping_Rate_Card!A:A=$A926), 1),
   IF( INDEX(Config!B:B, MATCH($A926, Config!A:A, 0))=""Local"", 2,
     IF( INDEX(Config!B"&amp;":B, MATCH($A926, Config!A:A, 0))=""Regional"", 3, 4 )
   )
 ),
"""")
"),"")</f>
        <v/>
      </c>
      <c r="J926" s="16">
        <f>IFERROR(__xludf.DUMMYFUNCTION("IFERROR(
 ( E926 * INDEX(FILTER(Pricing_Rules!E:E, Pricing_Rules!A:A=A926, Pricing_Rules!B:B=B926, Pricing_Rules!C:C&lt;=E926, Pricing_Rules!D:D&gt;=E926), 1)
   + INDEX(FILTER(Pricing_Rules!F:F, Pricing_Rules!A:A=A926, Pricing_Rules!B:B=B926, Pricing_Rules!C:C"&amp;"&lt;=E926, Pricing_Rules!D:D&gt;=E926), 1)
 )
 * (1 + IFERROR( INDEX(Config!D:D, MATCH(A926, Config!A:A, 0)), 0 )),
"""")
"),15.34)</f>
        <v>15.34</v>
      </c>
      <c r="K926" s="19">
        <f t="shared" si="3"/>
        <v>-15.34</v>
      </c>
      <c r="L926" s="20" t="str">
        <f t="shared" si="4"/>
        <v/>
      </c>
    </row>
    <row r="927" ht="15.75" customHeight="1">
      <c r="A927" s="9" t="s">
        <v>1162</v>
      </c>
      <c r="B927" s="12" t="str">
        <f t="array" ref="B927">XLOOKUP(C927, Channel_Listings!C:C, Channel_Listings!B:B)
</f>
        <v>Apparel_Tshirts</v>
      </c>
      <c r="C927" s="23" t="s">
        <v>680</v>
      </c>
      <c r="D927" s="14" t="str">
        <f t="array" ref="D927">XLOOKUP(C927, Channel_Listings!C:C, Channel_Listings!D:D)
</f>
        <v>TSHIRT-COTTONROUND-BRICKRED-M</v>
      </c>
      <c r="E927" s="15"/>
      <c r="F927" s="16">
        <f t="array" ref="F927">IFERROR(
  VALUE( INDEX(Product_Master!$I:$I,
               MATCH( INDEX(Pack_Master!$B:$B, MATCH($D927, Pack_Master!$A:$A, 0)),
                      Product_Master!$B:$B, 0)
  )) 
  * VALUE( INDEX(Pack_Master!$C:$C, MATCH($D927, Pack_Master!$A:$A, 0)) )
  + VALUE( INDEX(Pack_Master!$D:$D, MATCH($D927, Pack_Master!$A:$A, 0)) ),
"")
</f>
        <v>0</v>
      </c>
      <c r="G927" s="17">
        <f t="array" ref="G927">IFERROR(
 ( INDEX(Pack_Master!E:E, MATCH($D927, Pack_Master!A:A, 0))
   * INDEX(Pack_Master!F:F, MATCH($D927, Pack_Master!A:A, 0))
   * INDEX(Pack_Master!G:G, MATCH($D927, Pack_Master!A:A, 0))
 ) / INDEX(Config!C:C, MATCH($A927, Config!A:A, 0)),
"")
</f>
        <v>0</v>
      </c>
      <c r="H927" s="17">
        <f t="array" ref="H927">MAX( INDEX(Pack_Master!H:H, MATCH($D927, Pack_Master!A:A, 0)),
      IFERROR(G927, 0) )
</f>
        <v>0</v>
      </c>
      <c r="I927" s="18" t="str">
        <f>IFERROR(__xludf.DUMMYFUNCTION("IFERROR(
 INDEX(
   FILTER(Shipping_Rate_Card!B:F, Shipping_Rate_Card!A:A=$A927),
   MATCH($H927, FILTER(Shipping_Rate_Card!B:B, Shipping_Rate_Card!A:A=$A927), 1),
   IF( INDEX(Config!B:B, MATCH($A927, Config!A:A, 0))=""Local"", 2,
     IF( INDEX(Config!B"&amp;":B, MATCH($A927, Config!A:A, 0))=""Regional"", 3, 4 )
   )
 ),
"""")
"),"")</f>
        <v/>
      </c>
      <c r="J927" s="16">
        <f>IFERROR(__xludf.DUMMYFUNCTION("IFERROR(
 ( E927 * INDEX(FILTER(Pricing_Rules!E:E, Pricing_Rules!A:A=A927, Pricing_Rules!B:B=B927, Pricing_Rules!C:C&lt;=E927, Pricing_Rules!D:D&gt;=E927), 1)
   + INDEX(FILTER(Pricing_Rules!F:F, Pricing_Rules!A:A=A927, Pricing_Rules!B:B=B927, Pricing_Rules!C:C"&amp;"&lt;=E927, Pricing_Rules!D:D&gt;=E927), 1)
 )
 * (1 + IFERROR( INDEX(Config!D:D, MATCH(A927, Config!A:A, 0)), 0 )),
"""")
"),15.34)</f>
        <v>15.34</v>
      </c>
      <c r="K927" s="19">
        <f t="shared" si="3"/>
        <v>-15.34</v>
      </c>
      <c r="L927" s="20" t="str">
        <f t="shared" si="4"/>
        <v/>
      </c>
    </row>
    <row r="928" ht="15.75" customHeight="1">
      <c r="A928" s="9" t="s">
        <v>1162</v>
      </c>
      <c r="B928" s="12" t="str">
        <f t="array" ref="B928">XLOOKUP(C928, Channel_Listings!C:C, Channel_Listings!B:B)
</f>
        <v>Apparel_Tshirts</v>
      </c>
      <c r="C928" s="23" t="s">
        <v>682</v>
      </c>
      <c r="D928" s="14" t="str">
        <f t="array" ref="D928">XLOOKUP(C928, Channel_Listings!C:C, Channel_Listings!D:D)
</f>
        <v>TSHIRT-COTTONROUND-BRICKRED-XL</v>
      </c>
      <c r="E928" s="15"/>
      <c r="F928" s="16">
        <f t="array" ref="F928">IFERROR(
  VALUE( INDEX(Product_Master!$I:$I,
               MATCH( INDEX(Pack_Master!$B:$B, MATCH($D928, Pack_Master!$A:$A, 0)),
                      Product_Master!$B:$B, 0)
  )) 
  * VALUE( INDEX(Pack_Master!$C:$C, MATCH($D928, Pack_Master!$A:$A, 0)) )
  + VALUE( INDEX(Pack_Master!$D:$D, MATCH($D928, Pack_Master!$A:$A, 0)) ),
"")
</f>
        <v>0</v>
      </c>
      <c r="G928" s="17">
        <f t="array" ref="G928">IFERROR(
 ( INDEX(Pack_Master!E:E, MATCH($D928, Pack_Master!A:A, 0))
   * INDEX(Pack_Master!F:F, MATCH($D928, Pack_Master!A:A, 0))
   * INDEX(Pack_Master!G:G, MATCH($D928, Pack_Master!A:A, 0))
 ) / INDEX(Config!C:C, MATCH($A928, Config!A:A, 0)),
"")
</f>
        <v>0</v>
      </c>
      <c r="H928" s="17">
        <f t="array" ref="H928">MAX( INDEX(Pack_Master!H:H, MATCH($D928, Pack_Master!A:A, 0)),
      IFERROR(G928, 0) )
</f>
        <v>0</v>
      </c>
      <c r="I928" s="18" t="str">
        <f>IFERROR(__xludf.DUMMYFUNCTION("IFERROR(
 INDEX(
   FILTER(Shipping_Rate_Card!B:F, Shipping_Rate_Card!A:A=$A928),
   MATCH($H928, FILTER(Shipping_Rate_Card!B:B, Shipping_Rate_Card!A:A=$A928), 1),
   IF( INDEX(Config!B:B, MATCH($A928, Config!A:A, 0))=""Local"", 2,
     IF( INDEX(Config!B"&amp;":B, MATCH($A928, Config!A:A, 0))=""Regional"", 3, 4 )
   )
 ),
"""")
"),"")</f>
        <v/>
      </c>
      <c r="J928" s="16">
        <f>IFERROR(__xludf.DUMMYFUNCTION("IFERROR(
 ( E928 * INDEX(FILTER(Pricing_Rules!E:E, Pricing_Rules!A:A=A928, Pricing_Rules!B:B=B928, Pricing_Rules!C:C&lt;=E928, Pricing_Rules!D:D&gt;=E928), 1)
   + INDEX(FILTER(Pricing_Rules!F:F, Pricing_Rules!A:A=A928, Pricing_Rules!B:B=B928, Pricing_Rules!C:C"&amp;"&lt;=E928, Pricing_Rules!D:D&gt;=E928), 1)
 )
 * (1 + IFERROR( INDEX(Config!D:D, MATCH(A928, Config!A:A, 0)), 0 )),
"""")
"),15.34)</f>
        <v>15.34</v>
      </c>
      <c r="K928" s="19">
        <f t="shared" si="3"/>
        <v>-15.34</v>
      </c>
      <c r="L928" s="20" t="str">
        <f t="shared" si="4"/>
        <v/>
      </c>
    </row>
    <row r="929" ht="15.75" customHeight="1">
      <c r="A929" s="9" t="s">
        <v>1162</v>
      </c>
      <c r="B929" s="12" t="str">
        <f t="array" ref="B929">XLOOKUP(C929, Channel_Listings!C:C, Channel_Listings!B:B)
</f>
        <v>Apparel_Tshirts</v>
      </c>
      <c r="C929" s="23" t="s">
        <v>686</v>
      </c>
      <c r="D929" s="14" t="str">
        <f t="array" ref="D929">XLOOKUP(C929, Channel_Listings!C:C, Channel_Listings!D:D)
</f>
        <v>TSHIRT-COTTONROUND-CORALGREEN-M</v>
      </c>
      <c r="E929" s="15"/>
      <c r="F929" s="16">
        <f t="array" ref="F929">IFERROR(
  VALUE( INDEX(Product_Master!$I:$I,
               MATCH( INDEX(Pack_Master!$B:$B, MATCH($D929, Pack_Master!$A:$A, 0)),
                      Product_Master!$B:$B, 0)
  )) 
  * VALUE( INDEX(Pack_Master!$C:$C, MATCH($D929, Pack_Master!$A:$A, 0)) )
  + VALUE( INDEX(Pack_Master!$D:$D, MATCH($D929, Pack_Master!$A:$A, 0)) ),
"")
</f>
        <v>0</v>
      </c>
      <c r="G929" s="17">
        <f t="array" ref="G929">IFERROR(
 ( INDEX(Pack_Master!E:E, MATCH($D929, Pack_Master!A:A, 0))
   * INDEX(Pack_Master!F:F, MATCH($D929, Pack_Master!A:A, 0))
   * INDEX(Pack_Master!G:G, MATCH($D929, Pack_Master!A:A, 0))
 ) / INDEX(Config!C:C, MATCH($A929, Config!A:A, 0)),
"")
</f>
        <v>0</v>
      </c>
      <c r="H929" s="17">
        <f t="array" ref="H929">MAX( INDEX(Pack_Master!H:H, MATCH($D929, Pack_Master!A:A, 0)),
      IFERROR(G929, 0) )
</f>
        <v>0</v>
      </c>
      <c r="I929" s="18" t="str">
        <f>IFERROR(__xludf.DUMMYFUNCTION("IFERROR(
 INDEX(
   FILTER(Shipping_Rate_Card!B:F, Shipping_Rate_Card!A:A=$A929),
   MATCH($H929, FILTER(Shipping_Rate_Card!B:B, Shipping_Rate_Card!A:A=$A929), 1),
   IF( INDEX(Config!B:B, MATCH($A929, Config!A:A, 0))=""Local"", 2,
     IF( INDEX(Config!B"&amp;":B, MATCH($A929, Config!A:A, 0))=""Regional"", 3, 4 )
   )
 ),
"""")
"),"")</f>
        <v/>
      </c>
      <c r="J929" s="16">
        <f>IFERROR(__xludf.DUMMYFUNCTION("IFERROR(
 ( E929 * INDEX(FILTER(Pricing_Rules!E:E, Pricing_Rules!A:A=A929, Pricing_Rules!B:B=B929, Pricing_Rules!C:C&lt;=E929, Pricing_Rules!D:D&gt;=E929), 1)
   + INDEX(FILTER(Pricing_Rules!F:F, Pricing_Rules!A:A=A929, Pricing_Rules!B:B=B929, Pricing_Rules!C:C"&amp;"&lt;=E929, Pricing_Rules!D:D&gt;=E929), 1)
 )
 * (1 + IFERROR( INDEX(Config!D:D, MATCH(A929, Config!A:A, 0)), 0 )),
"""")
"),15.34)</f>
        <v>15.34</v>
      </c>
      <c r="K929" s="19">
        <f t="shared" si="3"/>
        <v>-15.34</v>
      </c>
      <c r="L929" s="20" t="str">
        <f t="shared" si="4"/>
        <v/>
      </c>
    </row>
    <row r="930" ht="15.75" customHeight="1">
      <c r="A930" s="9" t="s">
        <v>1162</v>
      </c>
      <c r="B930" s="12" t="str">
        <f t="array" ref="B930">XLOOKUP(C930, Channel_Listings!C:C, Channel_Listings!B:B)
</f>
        <v>Apparel_Tshirts</v>
      </c>
      <c r="C930" s="23" t="s">
        <v>688</v>
      </c>
      <c r="D930" s="14" t="str">
        <f t="array" ref="D930">XLOOKUP(C930, Channel_Listings!C:C, Channel_Listings!D:D)
</f>
        <v>TSHIRT-COTTONROUND-CORALGREEN-XL</v>
      </c>
      <c r="E930" s="15"/>
      <c r="F930" s="16">
        <f t="array" ref="F930">IFERROR(
  VALUE( INDEX(Product_Master!$I:$I,
               MATCH( INDEX(Pack_Master!$B:$B, MATCH($D930, Pack_Master!$A:$A, 0)),
                      Product_Master!$B:$B, 0)
  )) 
  * VALUE( INDEX(Pack_Master!$C:$C, MATCH($D930, Pack_Master!$A:$A, 0)) )
  + VALUE( INDEX(Pack_Master!$D:$D, MATCH($D930, Pack_Master!$A:$A, 0)) ),
"")
</f>
        <v>0</v>
      </c>
      <c r="G930" s="17">
        <f t="array" ref="G930">IFERROR(
 ( INDEX(Pack_Master!E:E, MATCH($D930, Pack_Master!A:A, 0))
   * INDEX(Pack_Master!F:F, MATCH($D930, Pack_Master!A:A, 0))
   * INDEX(Pack_Master!G:G, MATCH($D930, Pack_Master!A:A, 0))
 ) / INDEX(Config!C:C, MATCH($A930, Config!A:A, 0)),
"")
</f>
        <v>0</v>
      </c>
      <c r="H930" s="17">
        <f t="array" ref="H930">MAX( INDEX(Pack_Master!H:H, MATCH($D930, Pack_Master!A:A, 0)),
      IFERROR(G930, 0) )
</f>
        <v>0</v>
      </c>
      <c r="I930" s="18" t="str">
        <f>IFERROR(__xludf.DUMMYFUNCTION("IFERROR(
 INDEX(
   FILTER(Shipping_Rate_Card!B:F, Shipping_Rate_Card!A:A=$A930),
   MATCH($H930, FILTER(Shipping_Rate_Card!B:B, Shipping_Rate_Card!A:A=$A930), 1),
   IF( INDEX(Config!B:B, MATCH($A930, Config!A:A, 0))=""Local"", 2,
     IF( INDEX(Config!B"&amp;":B, MATCH($A930, Config!A:A, 0))=""Regional"", 3, 4 )
   )
 ),
"""")
"),"")</f>
        <v/>
      </c>
      <c r="J930" s="16">
        <f>IFERROR(__xludf.DUMMYFUNCTION("IFERROR(
 ( E930 * INDEX(FILTER(Pricing_Rules!E:E, Pricing_Rules!A:A=A930, Pricing_Rules!B:B=B930, Pricing_Rules!C:C&lt;=E930, Pricing_Rules!D:D&gt;=E930), 1)
   + INDEX(FILTER(Pricing_Rules!F:F, Pricing_Rules!A:A=A930, Pricing_Rules!B:B=B930, Pricing_Rules!C:C"&amp;"&lt;=E930, Pricing_Rules!D:D&gt;=E930), 1)
 )
 * (1 + IFERROR( INDEX(Config!D:D, MATCH(A930, Config!A:A, 0)), 0 )),
"""")
"),15.34)</f>
        <v>15.34</v>
      </c>
      <c r="K930" s="19">
        <f t="shared" si="3"/>
        <v>-15.34</v>
      </c>
      <c r="L930" s="20" t="str">
        <f t="shared" si="4"/>
        <v/>
      </c>
    </row>
    <row r="931" ht="15.75" customHeight="1">
      <c r="A931" s="9" t="s">
        <v>1162</v>
      </c>
      <c r="B931" s="12" t="str">
        <f t="array" ref="B931">XLOOKUP(C931, Channel_Listings!C:C, Channel_Listings!B:B)
</f>
        <v>Apparel_Tshirts</v>
      </c>
      <c r="C931" s="23" t="s">
        <v>690</v>
      </c>
      <c r="D931" s="14" t="str">
        <f t="array" ref="D931">XLOOKUP(C931, Channel_Listings!C:C, Channel_Listings!D:D)
</f>
        <v>TSHIRT-COTTONROUND-CORALGREEN-XXL</v>
      </c>
      <c r="E931" s="15"/>
      <c r="F931" s="16">
        <f t="array" ref="F931">IFERROR(
  VALUE( INDEX(Product_Master!$I:$I,
               MATCH( INDEX(Pack_Master!$B:$B, MATCH($D931, Pack_Master!$A:$A, 0)),
                      Product_Master!$B:$B, 0)
  )) 
  * VALUE( INDEX(Pack_Master!$C:$C, MATCH($D931, Pack_Master!$A:$A, 0)) )
  + VALUE( INDEX(Pack_Master!$D:$D, MATCH($D931, Pack_Master!$A:$A, 0)) ),
"")
</f>
        <v>0</v>
      </c>
      <c r="G931" s="17">
        <f t="array" ref="G931">IFERROR(
 ( INDEX(Pack_Master!E:E, MATCH($D931, Pack_Master!A:A, 0))
   * INDEX(Pack_Master!F:F, MATCH($D931, Pack_Master!A:A, 0))
   * INDEX(Pack_Master!G:G, MATCH($D931, Pack_Master!A:A, 0))
 ) / INDEX(Config!C:C, MATCH($A931, Config!A:A, 0)),
"")
</f>
        <v>0</v>
      </c>
      <c r="H931" s="17">
        <f t="array" ref="H931">MAX( INDEX(Pack_Master!H:H, MATCH($D931, Pack_Master!A:A, 0)),
      IFERROR(G931, 0) )
</f>
        <v>0</v>
      </c>
      <c r="I931" s="18" t="str">
        <f>IFERROR(__xludf.DUMMYFUNCTION("IFERROR(
 INDEX(
   FILTER(Shipping_Rate_Card!B:F, Shipping_Rate_Card!A:A=$A931),
   MATCH($H931, FILTER(Shipping_Rate_Card!B:B, Shipping_Rate_Card!A:A=$A931), 1),
   IF( INDEX(Config!B:B, MATCH($A931, Config!A:A, 0))=""Local"", 2,
     IF( INDEX(Config!B"&amp;":B, MATCH($A931, Config!A:A, 0))=""Regional"", 3, 4 )
   )
 ),
"""")
"),"")</f>
        <v/>
      </c>
      <c r="J931" s="16">
        <f>IFERROR(__xludf.DUMMYFUNCTION("IFERROR(
 ( E931 * INDEX(FILTER(Pricing_Rules!E:E, Pricing_Rules!A:A=A931, Pricing_Rules!B:B=B931, Pricing_Rules!C:C&lt;=E931, Pricing_Rules!D:D&gt;=E931), 1)
   + INDEX(FILTER(Pricing_Rules!F:F, Pricing_Rules!A:A=A931, Pricing_Rules!B:B=B931, Pricing_Rules!C:C"&amp;"&lt;=E931, Pricing_Rules!D:D&gt;=E931), 1)
 )
 * (1 + IFERROR( INDEX(Config!D:D, MATCH(A931, Config!A:A, 0)), 0 )),
"""")
"),15.34)</f>
        <v>15.34</v>
      </c>
      <c r="K931" s="19">
        <f t="shared" si="3"/>
        <v>-15.34</v>
      </c>
      <c r="L931" s="20" t="str">
        <f t="shared" si="4"/>
        <v/>
      </c>
    </row>
    <row r="932" ht="15.75" customHeight="1">
      <c r="A932" s="9" t="s">
        <v>1162</v>
      </c>
      <c r="B932" s="12" t="str">
        <f t="array" ref="B932">XLOOKUP(C932, Channel_Listings!C:C, Channel_Listings!B:B)
</f>
        <v>Apparel_Tshirts</v>
      </c>
      <c r="C932" s="23" t="s">
        <v>702</v>
      </c>
      <c r="D932" s="14" t="str">
        <f t="array" ref="D932">XLOOKUP(C932, Channel_Listings!C:C, Channel_Listings!D:D)
</f>
        <v>TSHIRT-COTTONROUND-GREY-L</v>
      </c>
      <c r="E932" s="15"/>
      <c r="F932" s="16">
        <f t="array" ref="F932">IFERROR(
  VALUE( INDEX(Product_Master!$I:$I,
               MATCH( INDEX(Pack_Master!$B:$B, MATCH($D932, Pack_Master!$A:$A, 0)),
                      Product_Master!$B:$B, 0)
  )) 
  * VALUE( INDEX(Pack_Master!$C:$C, MATCH($D932, Pack_Master!$A:$A, 0)) )
  + VALUE( INDEX(Pack_Master!$D:$D, MATCH($D932, Pack_Master!$A:$A, 0)) ),
"")
</f>
        <v>0</v>
      </c>
      <c r="G932" s="17">
        <f t="array" ref="G932">IFERROR(
 ( INDEX(Pack_Master!E:E, MATCH($D932, Pack_Master!A:A, 0))
   * INDEX(Pack_Master!F:F, MATCH($D932, Pack_Master!A:A, 0))
   * INDEX(Pack_Master!G:G, MATCH($D932, Pack_Master!A:A, 0))
 ) / INDEX(Config!C:C, MATCH($A932, Config!A:A, 0)),
"")
</f>
        <v>0</v>
      </c>
      <c r="H932" s="17">
        <f t="array" ref="H932">MAX( INDEX(Pack_Master!H:H, MATCH($D932, Pack_Master!A:A, 0)),
      IFERROR(G932, 0) )
</f>
        <v>0</v>
      </c>
      <c r="I932" s="18" t="str">
        <f>IFERROR(__xludf.DUMMYFUNCTION("IFERROR(
 INDEX(
   FILTER(Shipping_Rate_Card!B:F, Shipping_Rate_Card!A:A=$A932),
   MATCH($H932, FILTER(Shipping_Rate_Card!B:B, Shipping_Rate_Card!A:A=$A932), 1),
   IF( INDEX(Config!B:B, MATCH($A932, Config!A:A, 0))=""Local"", 2,
     IF( INDEX(Config!B"&amp;":B, MATCH($A932, Config!A:A, 0))=""Regional"", 3, 4 )
   )
 ),
"""")
"),"")</f>
        <v/>
      </c>
      <c r="J932" s="16">
        <f>IFERROR(__xludf.DUMMYFUNCTION("IFERROR(
 ( E932 * INDEX(FILTER(Pricing_Rules!E:E, Pricing_Rules!A:A=A932, Pricing_Rules!B:B=B932, Pricing_Rules!C:C&lt;=E932, Pricing_Rules!D:D&gt;=E932), 1)
   + INDEX(FILTER(Pricing_Rules!F:F, Pricing_Rules!A:A=A932, Pricing_Rules!B:B=B932, Pricing_Rules!C:C"&amp;"&lt;=E932, Pricing_Rules!D:D&gt;=E932), 1)
 )
 * (1 + IFERROR( INDEX(Config!D:D, MATCH(A932, Config!A:A, 0)), 0 )),
"""")
"),15.34)</f>
        <v>15.34</v>
      </c>
      <c r="K932" s="19">
        <f t="shared" si="3"/>
        <v>-15.34</v>
      </c>
      <c r="L932" s="20" t="str">
        <f t="shared" si="4"/>
        <v/>
      </c>
    </row>
    <row r="933" ht="15.75" customHeight="1">
      <c r="A933" s="9" t="s">
        <v>1162</v>
      </c>
      <c r="B933" s="12" t="str">
        <f t="array" ref="B933">XLOOKUP(C933, Channel_Listings!C:C, Channel_Listings!B:B)
</f>
        <v>Apparel_Tshirts</v>
      </c>
      <c r="C933" s="23" t="s">
        <v>704</v>
      </c>
      <c r="D933" s="14" t="str">
        <f t="array" ref="D933">XLOOKUP(C933, Channel_Listings!C:C, Channel_Listings!D:D)
</f>
        <v>TSHIRT-COTTONROUND-GREY-M</v>
      </c>
      <c r="E933" s="15"/>
      <c r="F933" s="16">
        <f t="array" ref="F933">IFERROR(
  VALUE( INDEX(Product_Master!$I:$I,
               MATCH( INDEX(Pack_Master!$B:$B, MATCH($D933, Pack_Master!$A:$A, 0)),
                      Product_Master!$B:$B, 0)
  )) 
  * VALUE( INDEX(Pack_Master!$C:$C, MATCH($D933, Pack_Master!$A:$A, 0)) )
  + VALUE( INDEX(Pack_Master!$D:$D, MATCH($D933, Pack_Master!$A:$A, 0)) ),
"")
</f>
        <v>0</v>
      </c>
      <c r="G933" s="17">
        <f t="array" ref="G933">IFERROR(
 ( INDEX(Pack_Master!E:E, MATCH($D933, Pack_Master!A:A, 0))
   * INDEX(Pack_Master!F:F, MATCH($D933, Pack_Master!A:A, 0))
   * INDEX(Pack_Master!G:G, MATCH($D933, Pack_Master!A:A, 0))
 ) / INDEX(Config!C:C, MATCH($A933, Config!A:A, 0)),
"")
</f>
        <v>0</v>
      </c>
      <c r="H933" s="17">
        <f t="array" ref="H933">MAX( INDEX(Pack_Master!H:H, MATCH($D933, Pack_Master!A:A, 0)),
      IFERROR(G933, 0) )
</f>
        <v>0</v>
      </c>
      <c r="I933" s="18" t="str">
        <f>IFERROR(__xludf.DUMMYFUNCTION("IFERROR(
 INDEX(
   FILTER(Shipping_Rate_Card!B:F, Shipping_Rate_Card!A:A=$A933),
   MATCH($H933, FILTER(Shipping_Rate_Card!B:B, Shipping_Rate_Card!A:A=$A933), 1),
   IF( INDEX(Config!B:B, MATCH($A933, Config!A:A, 0))=""Local"", 2,
     IF( INDEX(Config!B"&amp;":B, MATCH($A933, Config!A:A, 0))=""Regional"", 3, 4 )
   )
 ),
"""")
"),"")</f>
        <v/>
      </c>
      <c r="J933" s="16">
        <f>IFERROR(__xludf.DUMMYFUNCTION("IFERROR(
 ( E933 * INDEX(FILTER(Pricing_Rules!E:E, Pricing_Rules!A:A=A933, Pricing_Rules!B:B=B933, Pricing_Rules!C:C&lt;=E933, Pricing_Rules!D:D&gt;=E933), 1)
   + INDEX(FILTER(Pricing_Rules!F:F, Pricing_Rules!A:A=A933, Pricing_Rules!B:B=B933, Pricing_Rules!C:C"&amp;"&lt;=E933, Pricing_Rules!D:D&gt;=E933), 1)
 )
 * (1 + IFERROR( INDEX(Config!D:D, MATCH(A933, Config!A:A, 0)), 0 )),
"""")
"),15.34)</f>
        <v>15.34</v>
      </c>
      <c r="K933" s="19">
        <f t="shared" si="3"/>
        <v>-15.34</v>
      </c>
      <c r="L933" s="20" t="str">
        <f t="shared" si="4"/>
        <v/>
      </c>
    </row>
    <row r="934" ht="15.75" customHeight="1">
      <c r="A934" s="9" t="s">
        <v>1162</v>
      </c>
      <c r="B934" s="12" t="str">
        <f t="array" ref="B934">XLOOKUP(C934, Channel_Listings!C:C, Channel_Listings!B:B)
</f>
        <v>Apparel_Tshirts</v>
      </c>
      <c r="C934" s="23" t="s">
        <v>708</v>
      </c>
      <c r="D934" s="14" t="str">
        <f t="array" ref="D934">XLOOKUP(C934, Channel_Listings!C:C, Channel_Listings!D:D)
</f>
        <v>TSHIRT-COTTONROUND-LIGHTGREEN-2XL</v>
      </c>
      <c r="E934" s="15"/>
      <c r="F934" s="16">
        <f t="array" ref="F934">IFERROR(
  VALUE( INDEX(Product_Master!$I:$I,
               MATCH( INDEX(Pack_Master!$B:$B, MATCH($D934, Pack_Master!$A:$A, 0)),
                      Product_Master!$B:$B, 0)
  )) 
  * VALUE( INDEX(Pack_Master!$C:$C, MATCH($D934, Pack_Master!$A:$A, 0)) )
  + VALUE( INDEX(Pack_Master!$D:$D, MATCH($D934, Pack_Master!$A:$A, 0)) ),
"")
</f>
        <v>0</v>
      </c>
      <c r="G934" s="17">
        <f t="array" ref="G934">IFERROR(
 ( INDEX(Pack_Master!E:E, MATCH($D934, Pack_Master!A:A, 0))
   * INDEX(Pack_Master!F:F, MATCH($D934, Pack_Master!A:A, 0))
   * INDEX(Pack_Master!G:G, MATCH($D934, Pack_Master!A:A, 0))
 ) / INDEX(Config!C:C, MATCH($A934, Config!A:A, 0)),
"")
</f>
        <v>0</v>
      </c>
      <c r="H934" s="17">
        <f t="array" ref="H934">MAX( INDEX(Pack_Master!H:H, MATCH($D934, Pack_Master!A:A, 0)),
      IFERROR(G934, 0) )
</f>
        <v>0</v>
      </c>
      <c r="I934" s="18" t="str">
        <f>IFERROR(__xludf.DUMMYFUNCTION("IFERROR(
 INDEX(
   FILTER(Shipping_Rate_Card!B:F, Shipping_Rate_Card!A:A=$A934),
   MATCH($H934, FILTER(Shipping_Rate_Card!B:B, Shipping_Rate_Card!A:A=$A934), 1),
   IF( INDEX(Config!B:B, MATCH($A934, Config!A:A, 0))=""Local"", 2,
     IF( INDEX(Config!B"&amp;":B, MATCH($A934, Config!A:A, 0))=""Regional"", 3, 4 )
   )
 ),
"""")
"),"")</f>
        <v/>
      </c>
      <c r="J934" s="16">
        <f>IFERROR(__xludf.DUMMYFUNCTION("IFERROR(
 ( E934 * INDEX(FILTER(Pricing_Rules!E:E, Pricing_Rules!A:A=A934, Pricing_Rules!B:B=B934, Pricing_Rules!C:C&lt;=E934, Pricing_Rules!D:D&gt;=E934), 1)
   + INDEX(FILTER(Pricing_Rules!F:F, Pricing_Rules!A:A=A934, Pricing_Rules!B:B=B934, Pricing_Rules!C:C"&amp;"&lt;=E934, Pricing_Rules!D:D&gt;=E934), 1)
 )
 * (1 + IFERROR( INDEX(Config!D:D, MATCH(A934, Config!A:A, 0)), 0 )),
"""")
"),15.34)</f>
        <v>15.34</v>
      </c>
      <c r="K934" s="19">
        <f t="shared" si="3"/>
        <v>-15.34</v>
      </c>
      <c r="L934" s="20" t="str">
        <f t="shared" si="4"/>
        <v/>
      </c>
    </row>
    <row r="935" ht="15.75" customHeight="1">
      <c r="A935" s="9" t="s">
        <v>1162</v>
      </c>
      <c r="B935" s="12" t="str">
        <f t="array" ref="B935">XLOOKUP(C935, Channel_Listings!C:C, Channel_Listings!B:B)
</f>
        <v>Apparel_Tshirts</v>
      </c>
      <c r="C935" s="23" t="s">
        <v>710</v>
      </c>
      <c r="D935" s="14" t="str">
        <f t="array" ref="D935">XLOOKUP(C935, Channel_Listings!C:C, Channel_Listings!D:D)
</f>
        <v>TSHIRT-COTTONROUND-LIGHTGREEN-L</v>
      </c>
      <c r="E935" s="15"/>
      <c r="F935" s="16">
        <f t="array" ref="F935">IFERROR(
  VALUE( INDEX(Product_Master!$I:$I,
               MATCH( INDEX(Pack_Master!$B:$B, MATCH($D935, Pack_Master!$A:$A, 0)),
                      Product_Master!$B:$B, 0)
  )) 
  * VALUE( INDEX(Pack_Master!$C:$C, MATCH($D935, Pack_Master!$A:$A, 0)) )
  + VALUE( INDEX(Pack_Master!$D:$D, MATCH($D935, Pack_Master!$A:$A, 0)) ),
"")
</f>
        <v>0</v>
      </c>
      <c r="G935" s="17">
        <f t="array" ref="G935">IFERROR(
 ( INDEX(Pack_Master!E:E, MATCH($D935, Pack_Master!A:A, 0))
   * INDEX(Pack_Master!F:F, MATCH($D935, Pack_Master!A:A, 0))
   * INDEX(Pack_Master!G:G, MATCH($D935, Pack_Master!A:A, 0))
 ) / INDEX(Config!C:C, MATCH($A935, Config!A:A, 0)),
"")
</f>
        <v>0</v>
      </c>
      <c r="H935" s="17">
        <f t="array" ref="H935">MAX( INDEX(Pack_Master!H:H, MATCH($D935, Pack_Master!A:A, 0)),
      IFERROR(G935, 0) )
</f>
        <v>0</v>
      </c>
      <c r="I935" s="18" t="str">
        <f>IFERROR(__xludf.DUMMYFUNCTION("IFERROR(
 INDEX(
   FILTER(Shipping_Rate_Card!B:F, Shipping_Rate_Card!A:A=$A935),
   MATCH($H935, FILTER(Shipping_Rate_Card!B:B, Shipping_Rate_Card!A:A=$A935), 1),
   IF( INDEX(Config!B:B, MATCH($A935, Config!A:A, 0))=""Local"", 2,
     IF( INDEX(Config!B"&amp;":B, MATCH($A935, Config!A:A, 0))=""Regional"", 3, 4 )
   )
 ),
"""")
"),"")</f>
        <v/>
      </c>
      <c r="J935" s="16">
        <f>IFERROR(__xludf.DUMMYFUNCTION("IFERROR(
 ( E935 * INDEX(FILTER(Pricing_Rules!E:E, Pricing_Rules!A:A=A935, Pricing_Rules!B:B=B935, Pricing_Rules!C:C&lt;=E935, Pricing_Rules!D:D&gt;=E935), 1)
   + INDEX(FILTER(Pricing_Rules!F:F, Pricing_Rules!A:A=A935, Pricing_Rules!B:B=B935, Pricing_Rules!C:C"&amp;"&lt;=E935, Pricing_Rules!D:D&gt;=E935), 1)
 )
 * (1 + IFERROR( INDEX(Config!D:D, MATCH(A935, Config!A:A, 0)), 0 )),
"""")
"),15.34)</f>
        <v>15.34</v>
      </c>
      <c r="K935" s="19">
        <f t="shared" si="3"/>
        <v>-15.34</v>
      </c>
      <c r="L935" s="20" t="str">
        <f t="shared" si="4"/>
        <v/>
      </c>
    </row>
    <row r="936" ht="15.75" customHeight="1">
      <c r="A936" s="9" t="s">
        <v>1162</v>
      </c>
      <c r="B936" s="12" t="str">
        <f t="array" ref="B936">XLOOKUP(C936, Channel_Listings!C:C, Channel_Listings!B:B)
</f>
        <v>Apparel_Tshirts</v>
      </c>
      <c r="C936" s="23" t="s">
        <v>716</v>
      </c>
      <c r="D936" s="14" t="str">
        <f t="array" ref="D936">XLOOKUP(C936, Channel_Listings!C:C, Channel_Listings!D:D)
</f>
        <v>TSHIRT-COTTONROUND-MAROON-L</v>
      </c>
      <c r="E936" s="15"/>
      <c r="F936" s="16">
        <f t="array" ref="F936">IFERROR(
  VALUE( INDEX(Product_Master!$I:$I,
               MATCH( INDEX(Pack_Master!$B:$B, MATCH($D936, Pack_Master!$A:$A, 0)),
                      Product_Master!$B:$B, 0)
  )) 
  * VALUE( INDEX(Pack_Master!$C:$C, MATCH($D936, Pack_Master!$A:$A, 0)) )
  + VALUE( INDEX(Pack_Master!$D:$D, MATCH($D936, Pack_Master!$A:$A, 0)) ),
"")
</f>
        <v>0</v>
      </c>
      <c r="G936" s="17">
        <f t="array" ref="G936">IFERROR(
 ( INDEX(Pack_Master!E:E, MATCH($D936, Pack_Master!A:A, 0))
   * INDEX(Pack_Master!F:F, MATCH($D936, Pack_Master!A:A, 0))
   * INDEX(Pack_Master!G:G, MATCH($D936, Pack_Master!A:A, 0))
 ) / INDEX(Config!C:C, MATCH($A936, Config!A:A, 0)),
"")
</f>
        <v>0</v>
      </c>
      <c r="H936" s="17">
        <f t="array" ref="H936">MAX( INDEX(Pack_Master!H:H, MATCH($D936, Pack_Master!A:A, 0)),
      IFERROR(G936, 0) )
</f>
        <v>0</v>
      </c>
      <c r="I936" s="18" t="str">
        <f>IFERROR(__xludf.DUMMYFUNCTION("IFERROR(
 INDEX(
   FILTER(Shipping_Rate_Card!B:F, Shipping_Rate_Card!A:A=$A936),
   MATCH($H936, FILTER(Shipping_Rate_Card!B:B, Shipping_Rate_Card!A:A=$A936), 1),
   IF( INDEX(Config!B:B, MATCH($A936, Config!A:A, 0))=""Local"", 2,
     IF( INDEX(Config!B"&amp;":B, MATCH($A936, Config!A:A, 0))=""Regional"", 3, 4 )
   )
 ),
"""")
"),"")</f>
        <v/>
      </c>
      <c r="J936" s="16">
        <f>IFERROR(__xludf.DUMMYFUNCTION("IFERROR(
 ( E936 * INDEX(FILTER(Pricing_Rules!E:E, Pricing_Rules!A:A=A936, Pricing_Rules!B:B=B936, Pricing_Rules!C:C&lt;=E936, Pricing_Rules!D:D&gt;=E936), 1)
   + INDEX(FILTER(Pricing_Rules!F:F, Pricing_Rules!A:A=A936, Pricing_Rules!B:B=B936, Pricing_Rules!C:C"&amp;"&lt;=E936, Pricing_Rules!D:D&gt;=E936), 1)
 )
 * (1 + IFERROR( INDEX(Config!D:D, MATCH(A936, Config!A:A, 0)), 0 )),
"""")
"),15.34)</f>
        <v>15.34</v>
      </c>
      <c r="K936" s="19">
        <f t="shared" si="3"/>
        <v>-15.34</v>
      </c>
      <c r="L936" s="20" t="str">
        <f t="shared" si="4"/>
        <v/>
      </c>
    </row>
    <row r="937" ht="15.75" customHeight="1">
      <c r="A937" s="9" t="s">
        <v>1162</v>
      </c>
      <c r="B937" s="12" t="str">
        <f t="array" ref="B937">XLOOKUP(C937, Channel_Listings!C:C, Channel_Listings!B:B)
</f>
        <v>Apparel_Tshirts</v>
      </c>
      <c r="C937" s="23" t="s">
        <v>719</v>
      </c>
      <c r="D937" s="14" t="str">
        <f t="array" ref="D937">XLOOKUP(C937, Channel_Listings!C:C, Channel_Listings!D:D)
</f>
        <v>TSHIRT-COTTONROUND-MAROON-M</v>
      </c>
      <c r="E937" s="15"/>
      <c r="F937" s="16">
        <f t="array" ref="F937">IFERROR(
  VALUE( INDEX(Product_Master!$I:$I,
               MATCH( INDEX(Pack_Master!$B:$B, MATCH($D937, Pack_Master!$A:$A, 0)),
                      Product_Master!$B:$B, 0)
  )) 
  * VALUE( INDEX(Pack_Master!$C:$C, MATCH($D937, Pack_Master!$A:$A, 0)) )
  + VALUE( INDEX(Pack_Master!$D:$D, MATCH($D937, Pack_Master!$A:$A, 0)) ),
"")
</f>
        <v>0</v>
      </c>
      <c r="G937" s="17">
        <f t="array" ref="G937">IFERROR(
 ( INDEX(Pack_Master!E:E, MATCH($D937, Pack_Master!A:A, 0))
   * INDEX(Pack_Master!F:F, MATCH($D937, Pack_Master!A:A, 0))
   * INDEX(Pack_Master!G:G, MATCH($D937, Pack_Master!A:A, 0))
 ) / INDEX(Config!C:C, MATCH($A937, Config!A:A, 0)),
"")
</f>
        <v>0</v>
      </c>
      <c r="H937" s="17">
        <f t="array" ref="H937">MAX( INDEX(Pack_Master!H:H, MATCH($D937, Pack_Master!A:A, 0)),
      IFERROR(G937, 0) )
</f>
        <v>0</v>
      </c>
      <c r="I937" s="18" t="str">
        <f>IFERROR(__xludf.DUMMYFUNCTION("IFERROR(
 INDEX(
   FILTER(Shipping_Rate_Card!B:F, Shipping_Rate_Card!A:A=$A937),
   MATCH($H937, FILTER(Shipping_Rate_Card!B:B, Shipping_Rate_Card!A:A=$A937), 1),
   IF( INDEX(Config!B:B, MATCH($A937, Config!A:A, 0))=""Local"", 2,
     IF( INDEX(Config!B"&amp;":B, MATCH($A937, Config!A:A, 0))=""Regional"", 3, 4 )
   )
 ),
"""")
"),"")</f>
        <v/>
      </c>
      <c r="J937" s="16">
        <f>IFERROR(__xludf.DUMMYFUNCTION("IFERROR(
 ( E937 * INDEX(FILTER(Pricing_Rules!E:E, Pricing_Rules!A:A=A937, Pricing_Rules!B:B=B937, Pricing_Rules!C:C&lt;=E937, Pricing_Rules!D:D&gt;=E937), 1)
   + INDEX(FILTER(Pricing_Rules!F:F, Pricing_Rules!A:A=A937, Pricing_Rules!B:B=B937, Pricing_Rules!C:C"&amp;"&lt;=E937, Pricing_Rules!D:D&gt;=E937), 1)
 )
 * (1 + IFERROR( INDEX(Config!D:D, MATCH(A937, Config!A:A, 0)), 0 )),
"""")
"),15.34)</f>
        <v>15.34</v>
      </c>
      <c r="K937" s="19">
        <f t="shared" si="3"/>
        <v>-15.34</v>
      </c>
      <c r="L937" s="20" t="str">
        <f t="shared" si="4"/>
        <v/>
      </c>
    </row>
    <row r="938" ht="15.75" customHeight="1">
      <c r="A938" s="9" t="s">
        <v>1162</v>
      </c>
      <c r="B938" s="12" t="str">
        <f t="array" ref="B938">XLOOKUP(C938, Channel_Listings!C:C, Channel_Listings!B:B)
</f>
        <v>Apparel_Tshirts</v>
      </c>
      <c r="C938" s="23" t="s">
        <v>722</v>
      </c>
      <c r="D938" s="14" t="str">
        <f t="array" ref="D938">XLOOKUP(C938, Channel_Listings!C:C, Channel_Listings!D:D)
</f>
        <v>TSHIRT-COTTONROUND-MAROON-XL</v>
      </c>
      <c r="E938" s="15"/>
      <c r="F938" s="16">
        <f t="array" ref="F938">IFERROR(
  VALUE( INDEX(Product_Master!$I:$I,
               MATCH( INDEX(Pack_Master!$B:$B, MATCH($D938, Pack_Master!$A:$A, 0)),
                      Product_Master!$B:$B, 0)
  )) 
  * VALUE( INDEX(Pack_Master!$C:$C, MATCH($D938, Pack_Master!$A:$A, 0)) )
  + VALUE( INDEX(Pack_Master!$D:$D, MATCH($D938, Pack_Master!$A:$A, 0)) ),
"")
</f>
        <v>0</v>
      </c>
      <c r="G938" s="17">
        <f t="array" ref="G938">IFERROR(
 ( INDEX(Pack_Master!E:E, MATCH($D938, Pack_Master!A:A, 0))
   * INDEX(Pack_Master!F:F, MATCH($D938, Pack_Master!A:A, 0))
   * INDEX(Pack_Master!G:G, MATCH($D938, Pack_Master!A:A, 0))
 ) / INDEX(Config!C:C, MATCH($A938, Config!A:A, 0)),
"")
</f>
        <v>0</v>
      </c>
      <c r="H938" s="17">
        <f t="array" ref="H938">MAX( INDEX(Pack_Master!H:H, MATCH($D938, Pack_Master!A:A, 0)),
      IFERROR(G938, 0) )
</f>
        <v>0</v>
      </c>
      <c r="I938" s="18" t="str">
        <f>IFERROR(__xludf.DUMMYFUNCTION("IFERROR(
 INDEX(
   FILTER(Shipping_Rate_Card!B:F, Shipping_Rate_Card!A:A=$A938),
   MATCH($H938, FILTER(Shipping_Rate_Card!B:B, Shipping_Rate_Card!A:A=$A938), 1),
   IF( INDEX(Config!B:B, MATCH($A938, Config!A:A, 0))=""Local"", 2,
     IF( INDEX(Config!B"&amp;":B, MATCH($A938, Config!A:A, 0))=""Regional"", 3, 4 )
   )
 ),
"""")
"),"")</f>
        <v/>
      </c>
      <c r="J938" s="16">
        <f>IFERROR(__xludf.DUMMYFUNCTION("IFERROR(
 ( E938 * INDEX(FILTER(Pricing_Rules!E:E, Pricing_Rules!A:A=A938, Pricing_Rules!B:B=B938, Pricing_Rules!C:C&lt;=E938, Pricing_Rules!D:D&gt;=E938), 1)
   + INDEX(FILTER(Pricing_Rules!F:F, Pricing_Rules!A:A=A938, Pricing_Rules!B:B=B938, Pricing_Rules!C:C"&amp;"&lt;=E938, Pricing_Rules!D:D&gt;=E938), 1)
 )
 * (1 + IFERROR( INDEX(Config!D:D, MATCH(A938, Config!A:A, 0)), 0 )),
"""")
"),15.34)</f>
        <v>15.34</v>
      </c>
      <c r="K938" s="19">
        <f t="shared" si="3"/>
        <v>-15.34</v>
      </c>
      <c r="L938" s="20" t="str">
        <f t="shared" si="4"/>
        <v/>
      </c>
    </row>
    <row r="939" ht="15.75" customHeight="1">
      <c r="A939" s="9" t="s">
        <v>1162</v>
      </c>
      <c r="B939" s="12" t="str">
        <f t="array" ref="B939">XLOOKUP(C939, Channel_Listings!C:C, Channel_Listings!B:B)
</f>
        <v>Apparel_Tshirts</v>
      </c>
      <c r="C939" s="23" t="s">
        <v>725</v>
      </c>
      <c r="D939" s="14" t="str">
        <f t="array" ref="D939">XLOOKUP(C939, Channel_Listings!C:C, Channel_Listings!D:D)
</f>
        <v>TSHIRT-COTTONROUND-MAROON-XXL</v>
      </c>
      <c r="E939" s="15"/>
      <c r="F939" s="16">
        <f t="array" ref="F939">IFERROR(
  VALUE( INDEX(Product_Master!$I:$I,
               MATCH( INDEX(Pack_Master!$B:$B, MATCH($D939, Pack_Master!$A:$A, 0)),
                      Product_Master!$B:$B, 0)
  )) 
  * VALUE( INDEX(Pack_Master!$C:$C, MATCH($D939, Pack_Master!$A:$A, 0)) )
  + VALUE( INDEX(Pack_Master!$D:$D, MATCH($D939, Pack_Master!$A:$A, 0)) ),
"")
</f>
        <v>0</v>
      </c>
      <c r="G939" s="17">
        <f t="array" ref="G939">IFERROR(
 ( INDEX(Pack_Master!E:E, MATCH($D939, Pack_Master!A:A, 0))
   * INDEX(Pack_Master!F:F, MATCH($D939, Pack_Master!A:A, 0))
   * INDEX(Pack_Master!G:G, MATCH($D939, Pack_Master!A:A, 0))
 ) / INDEX(Config!C:C, MATCH($A939, Config!A:A, 0)),
"")
</f>
        <v>0</v>
      </c>
      <c r="H939" s="17">
        <f t="array" ref="H939">MAX( INDEX(Pack_Master!H:H, MATCH($D939, Pack_Master!A:A, 0)),
      IFERROR(G939, 0) )
</f>
        <v>0</v>
      </c>
      <c r="I939" s="18" t="str">
        <f>IFERROR(__xludf.DUMMYFUNCTION("IFERROR(
 INDEX(
   FILTER(Shipping_Rate_Card!B:F, Shipping_Rate_Card!A:A=$A939),
   MATCH($H939, FILTER(Shipping_Rate_Card!B:B, Shipping_Rate_Card!A:A=$A939), 1),
   IF( INDEX(Config!B:B, MATCH($A939, Config!A:A, 0))=""Local"", 2,
     IF( INDEX(Config!B"&amp;":B, MATCH($A939, Config!A:A, 0))=""Regional"", 3, 4 )
   )
 ),
"""")
"),"")</f>
        <v/>
      </c>
      <c r="J939" s="16">
        <f>IFERROR(__xludf.DUMMYFUNCTION("IFERROR(
 ( E939 * INDEX(FILTER(Pricing_Rules!E:E, Pricing_Rules!A:A=A939, Pricing_Rules!B:B=B939, Pricing_Rules!C:C&lt;=E939, Pricing_Rules!D:D&gt;=E939), 1)
   + INDEX(FILTER(Pricing_Rules!F:F, Pricing_Rules!A:A=A939, Pricing_Rules!B:B=B939, Pricing_Rules!C:C"&amp;"&lt;=E939, Pricing_Rules!D:D&gt;=E939), 1)
 )
 * (1 + IFERROR( INDEX(Config!D:D, MATCH(A939, Config!A:A, 0)), 0 )),
"""")
"),15.34)</f>
        <v>15.34</v>
      </c>
      <c r="K939" s="19">
        <f t="shared" si="3"/>
        <v>-15.34</v>
      </c>
      <c r="L939" s="20" t="str">
        <f t="shared" si="4"/>
        <v/>
      </c>
    </row>
    <row r="940" ht="15.75" customHeight="1">
      <c r="A940" s="9" t="s">
        <v>1162</v>
      </c>
      <c r="B940" s="12" t="str">
        <f t="array" ref="B940">XLOOKUP(C940, Channel_Listings!C:C, Channel_Listings!B:B)
</f>
        <v>Apparel_Tshirts</v>
      </c>
      <c r="C940" s="23" t="s">
        <v>728</v>
      </c>
      <c r="D940" s="14" t="str">
        <f t="array" ref="D940">XLOOKUP(C940, Channel_Listings!C:C, Channel_Listings!D:D)
</f>
        <v>TSHIRT-COTTONROUND-MELANGGREY-L</v>
      </c>
      <c r="E940" s="15"/>
      <c r="F940" s="16">
        <f t="array" ref="F940">IFERROR(
  VALUE( INDEX(Product_Master!$I:$I,
               MATCH( INDEX(Pack_Master!$B:$B, MATCH($D940, Pack_Master!$A:$A, 0)),
                      Product_Master!$B:$B, 0)
  )) 
  * VALUE( INDEX(Pack_Master!$C:$C, MATCH($D940, Pack_Master!$A:$A, 0)) )
  + VALUE( INDEX(Pack_Master!$D:$D, MATCH($D940, Pack_Master!$A:$A, 0)) ),
"")
</f>
        <v>0</v>
      </c>
      <c r="G940" s="17">
        <f t="array" ref="G940">IFERROR(
 ( INDEX(Pack_Master!E:E, MATCH($D940, Pack_Master!A:A, 0))
   * INDEX(Pack_Master!F:F, MATCH($D940, Pack_Master!A:A, 0))
   * INDEX(Pack_Master!G:G, MATCH($D940, Pack_Master!A:A, 0))
 ) / INDEX(Config!C:C, MATCH($A940, Config!A:A, 0)),
"")
</f>
        <v>0</v>
      </c>
      <c r="H940" s="17">
        <f t="array" ref="H940">MAX( INDEX(Pack_Master!H:H, MATCH($D940, Pack_Master!A:A, 0)),
      IFERROR(G940, 0) )
</f>
        <v>0</v>
      </c>
      <c r="I940" s="18" t="str">
        <f>IFERROR(__xludf.DUMMYFUNCTION("IFERROR(
 INDEX(
   FILTER(Shipping_Rate_Card!B:F, Shipping_Rate_Card!A:A=$A940),
   MATCH($H940, FILTER(Shipping_Rate_Card!B:B, Shipping_Rate_Card!A:A=$A940), 1),
   IF( INDEX(Config!B:B, MATCH($A940, Config!A:A, 0))=""Local"", 2,
     IF( INDEX(Config!B"&amp;":B, MATCH($A940, Config!A:A, 0))=""Regional"", 3, 4 )
   )
 ),
"""")
"),"")</f>
        <v/>
      </c>
      <c r="J940" s="16">
        <f>IFERROR(__xludf.DUMMYFUNCTION("IFERROR(
 ( E940 * INDEX(FILTER(Pricing_Rules!E:E, Pricing_Rules!A:A=A940, Pricing_Rules!B:B=B940, Pricing_Rules!C:C&lt;=E940, Pricing_Rules!D:D&gt;=E940), 1)
   + INDEX(FILTER(Pricing_Rules!F:F, Pricing_Rules!A:A=A940, Pricing_Rules!B:B=B940, Pricing_Rules!C:C"&amp;"&lt;=E940, Pricing_Rules!D:D&gt;=E940), 1)
 )
 * (1 + IFERROR( INDEX(Config!D:D, MATCH(A940, Config!A:A, 0)), 0 )),
"""")
"),15.34)</f>
        <v>15.34</v>
      </c>
      <c r="K940" s="19">
        <f t="shared" si="3"/>
        <v>-15.34</v>
      </c>
      <c r="L940" s="20" t="str">
        <f t="shared" si="4"/>
        <v/>
      </c>
    </row>
    <row r="941" ht="15.75" customHeight="1">
      <c r="A941" s="9" t="s">
        <v>1162</v>
      </c>
      <c r="B941" s="12" t="str">
        <f t="array" ref="B941">XLOOKUP(C941, Channel_Listings!C:C, Channel_Listings!B:B)
</f>
        <v>Apparel_Tshirts</v>
      </c>
      <c r="C941" s="23" t="s">
        <v>731</v>
      </c>
      <c r="D941" s="14" t="str">
        <f t="array" ref="D941">XLOOKUP(C941, Channel_Listings!C:C, Channel_Listings!D:D)
</f>
        <v>TSHIRT-COTTONROUND-MELANGGREY-M</v>
      </c>
      <c r="E941" s="15"/>
      <c r="F941" s="16">
        <f t="array" ref="F941">IFERROR(
  VALUE( INDEX(Product_Master!$I:$I,
               MATCH( INDEX(Pack_Master!$B:$B, MATCH($D941, Pack_Master!$A:$A, 0)),
                      Product_Master!$B:$B, 0)
  )) 
  * VALUE( INDEX(Pack_Master!$C:$C, MATCH($D941, Pack_Master!$A:$A, 0)) )
  + VALUE( INDEX(Pack_Master!$D:$D, MATCH($D941, Pack_Master!$A:$A, 0)) ),
"")
</f>
        <v>0</v>
      </c>
      <c r="G941" s="17">
        <f t="array" ref="G941">IFERROR(
 ( INDEX(Pack_Master!E:E, MATCH($D941, Pack_Master!A:A, 0))
   * INDEX(Pack_Master!F:F, MATCH($D941, Pack_Master!A:A, 0))
   * INDEX(Pack_Master!G:G, MATCH($D941, Pack_Master!A:A, 0))
 ) / INDEX(Config!C:C, MATCH($A941, Config!A:A, 0)),
"")
</f>
        <v>0</v>
      </c>
      <c r="H941" s="17">
        <f t="array" ref="H941">MAX( INDEX(Pack_Master!H:H, MATCH($D941, Pack_Master!A:A, 0)),
      IFERROR(G941, 0) )
</f>
        <v>0</v>
      </c>
      <c r="I941" s="18" t="str">
        <f>IFERROR(__xludf.DUMMYFUNCTION("IFERROR(
 INDEX(
   FILTER(Shipping_Rate_Card!B:F, Shipping_Rate_Card!A:A=$A941),
   MATCH($H941, FILTER(Shipping_Rate_Card!B:B, Shipping_Rate_Card!A:A=$A941), 1),
   IF( INDEX(Config!B:B, MATCH($A941, Config!A:A, 0))=""Local"", 2,
     IF( INDEX(Config!B"&amp;":B, MATCH($A941, Config!A:A, 0))=""Regional"", 3, 4 )
   )
 ),
"""")
"),"")</f>
        <v/>
      </c>
      <c r="J941" s="16">
        <f>IFERROR(__xludf.DUMMYFUNCTION("IFERROR(
 ( E941 * INDEX(FILTER(Pricing_Rules!E:E, Pricing_Rules!A:A=A941, Pricing_Rules!B:B=B941, Pricing_Rules!C:C&lt;=E941, Pricing_Rules!D:D&gt;=E941), 1)
   + INDEX(FILTER(Pricing_Rules!F:F, Pricing_Rules!A:A=A941, Pricing_Rules!B:B=B941, Pricing_Rules!C:C"&amp;"&lt;=E941, Pricing_Rules!D:D&gt;=E941), 1)
 )
 * (1 + IFERROR( INDEX(Config!D:D, MATCH(A941, Config!A:A, 0)), 0 )),
"""")
"),15.34)</f>
        <v>15.34</v>
      </c>
      <c r="K941" s="19">
        <f t="shared" si="3"/>
        <v>-15.34</v>
      </c>
      <c r="L941" s="20" t="str">
        <f t="shared" si="4"/>
        <v/>
      </c>
    </row>
    <row r="942" ht="15.75" customHeight="1">
      <c r="A942" s="9" t="s">
        <v>1162</v>
      </c>
      <c r="B942" s="12" t="str">
        <f t="array" ref="B942">XLOOKUP(C942, Channel_Listings!C:C, Channel_Listings!B:B)
</f>
        <v>Apparel_Tshirts</v>
      </c>
      <c r="C942" s="23" t="s">
        <v>734</v>
      </c>
      <c r="D942" s="14" t="str">
        <f t="array" ref="D942">XLOOKUP(C942, Channel_Listings!C:C, Channel_Listings!D:D)
</f>
        <v>TSHIRT-COTTONROUND-MELANGGREY-XL</v>
      </c>
      <c r="E942" s="15"/>
      <c r="F942" s="16">
        <f t="array" ref="F942">IFERROR(
  VALUE( INDEX(Product_Master!$I:$I,
               MATCH( INDEX(Pack_Master!$B:$B, MATCH($D942, Pack_Master!$A:$A, 0)),
                      Product_Master!$B:$B, 0)
  )) 
  * VALUE( INDEX(Pack_Master!$C:$C, MATCH($D942, Pack_Master!$A:$A, 0)) )
  + VALUE( INDEX(Pack_Master!$D:$D, MATCH($D942, Pack_Master!$A:$A, 0)) ),
"")
</f>
        <v>0</v>
      </c>
      <c r="G942" s="17">
        <f t="array" ref="G942">IFERROR(
 ( INDEX(Pack_Master!E:E, MATCH($D942, Pack_Master!A:A, 0))
   * INDEX(Pack_Master!F:F, MATCH($D942, Pack_Master!A:A, 0))
   * INDEX(Pack_Master!G:G, MATCH($D942, Pack_Master!A:A, 0))
 ) / INDEX(Config!C:C, MATCH($A942, Config!A:A, 0)),
"")
</f>
        <v>0</v>
      </c>
      <c r="H942" s="17">
        <f t="array" ref="H942">MAX( INDEX(Pack_Master!H:H, MATCH($D942, Pack_Master!A:A, 0)),
      IFERROR(G942, 0) )
</f>
        <v>0</v>
      </c>
      <c r="I942" s="18" t="str">
        <f>IFERROR(__xludf.DUMMYFUNCTION("IFERROR(
 INDEX(
   FILTER(Shipping_Rate_Card!B:F, Shipping_Rate_Card!A:A=$A942),
   MATCH($H942, FILTER(Shipping_Rate_Card!B:B, Shipping_Rate_Card!A:A=$A942), 1),
   IF( INDEX(Config!B:B, MATCH($A942, Config!A:A, 0))=""Local"", 2,
     IF( INDEX(Config!B"&amp;":B, MATCH($A942, Config!A:A, 0))=""Regional"", 3, 4 )
   )
 ),
"""")
"),"")</f>
        <v/>
      </c>
      <c r="J942" s="16">
        <f>IFERROR(__xludf.DUMMYFUNCTION("IFERROR(
 ( E942 * INDEX(FILTER(Pricing_Rules!E:E, Pricing_Rules!A:A=A942, Pricing_Rules!B:B=B942, Pricing_Rules!C:C&lt;=E942, Pricing_Rules!D:D&gt;=E942), 1)
   + INDEX(FILTER(Pricing_Rules!F:F, Pricing_Rules!A:A=A942, Pricing_Rules!B:B=B942, Pricing_Rules!C:C"&amp;"&lt;=E942, Pricing_Rules!D:D&gt;=E942), 1)
 )
 * (1 + IFERROR( INDEX(Config!D:D, MATCH(A942, Config!A:A, 0)), 0 )),
"""")
"),15.34)</f>
        <v>15.34</v>
      </c>
      <c r="K942" s="19">
        <f t="shared" si="3"/>
        <v>-15.34</v>
      </c>
      <c r="L942" s="20" t="str">
        <f t="shared" si="4"/>
        <v/>
      </c>
    </row>
    <row r="943" ht="15.75" customHeight="1">
      <c r="A943" s="9" t="s">
        <v>1162</v>
      </c>
      <c r="B943" s="12" t="str">
        <f t="array" ref="B943">XLOOKUP(C943, Channel_Listings!C:C, Channel_Listings!B:B)
</f>
        <v>Apparel_Tshirts</v>
      </c>
      <c r="C943" s="23" t="s">
        <v>737</v>
      </c>
      <c r="D943" s="14" t="str">
        <f t="array" ref="D943">XLOOKUP(C943, Channel_Listings!C:C, Channel_Listings!D:D)
</f>
        <v>TSHIRT-COTTONROUND-MELANGGREY-XXL</v>
      </c>
      <c r="E943" s="15"/>
      <c r="F943" s="16">
        <f t="array" ref="F943">IFERROR(
  VALUE( INDEX(Product_Master!$I:$I,
               MATCH( INDEX(Pack_Master!$B:$B, MATCH($D943, Pack_Master!$A:$A, 0)),
                      Product_Master!$B:$B, 0)
  )) 
  * VALUE( INDEX(Pack_Master!$C:$C, MATCH($D943, Pack_Master!$A:$A, 0)) )
  + VALUE( INDEX(Pack_Master!$D:$D, MATCH($D943, Pack_Master!$A:$A, 0)) ),
"")
</f>
        <v>0</v>
      </c>
      <c r="G943" s="17">
        <f t="array" ref="G943">IFERROR(
 ( INDEX(Pack_Master!E:E, MATCH($D943, Pack_Master!A:A, 0))
   * INDEX(Pack_Master!F:F, MATCH($D943, Pack_Master!A:A, 0))
   * INDEX(Pack_Master!G:G, MATCH($D943, Pack_Master!A:A, 0))
 ) / INDEX(Config!C:C, MATCH($A943, Config!A:A, 0)),
"")
</f>
        <v>0</v>
      </c>
      <c r="H943" s="17">
        <f t="array" ref="H943">MAX( INDEX(Pack_Master!H:H, MATCH($D943, Pack_Master!A:A, 0)),
      IFERROR(G943, 0) )
</f>
        <v>0</v>
      </c>
      <c r="I943" s="18" t="str">
        <f>IFERROR(__xludf.DUMMYFUNCTION("IFERROR(
 INDEX(
   FILTER(Shipping_Rate_Card!B:F, Shipping_Rate_Card!A:A=$A943),
   MATCH($H943, FILTER(Shipping_Rate_Card!B:B, Shipping_Rate_Card!A:A=$A943), 1),
   IF( INDEX(Config!B:B, MATCH($A943, Config!A:A, 0))=""Local"", 2,
     IF( INDEX(Config!B"&amp;":B, MATCH($A943, Config!A:A, 0))=""Regional"", 3, 4 )
   )
 ),
"""")
"),"")</f>
        <v/>
      </c>
      <c r="J943" s="16">
        <f>IFERROR(__xludf.DUMMYFUNCTION("IFERROR(
 ( E943 * INDEX(FILTER(Pricing_Rules!E:E, Pricing_Rules!A:A=A943, Pricing_Rules!B:B=B943, Pricing_Rules!C:C&lt;=E943, Pricing_Rules!D:D&gt;=E943), 1)
   + INDEX(FILTER(Pricing_Rules!F:F, Pricing_Rules!A:A=A943, Pricing_Rules!B:B=B943, Pricing_Rules!C:C"&amp;"&lt;=E943, Pricing_Rules!D:D&gt;=E943), 1)
 )
 * (1 + IFERROR( INDEX(Config!D:D, MATCH(A943, Config!A:A, 0)), 0 )),
"""")
"),15.34)</f>
        <v>15.34</v>
      </c>
      <c r="K943" s="19">
        <f t="shared" si="3"/>
        <v>-15.34</v>
      </c>
      <c r="L943" s="20" t="str">
        <f t="shared" si="4"/>
        <v/>
      </c>
    </row>
    <row r="944" ht="15.75" customHeight="1">
      <c r="A944" s="9" t="s">
        <v>1162</v>
      </c>
      <c r="B944" s="12" t="str">
        <f t="array" ref="B944">XLOOKUP(C944, Channel_Listings!C:C, Channel_Listings!B:B)
</f>
        <v>Apparel_Tshirts</v>
      </c>
      <c r="C944" s="23" t="s">
        <v>744</v>
      </c>
      <c r="D944" s="14" t="str">
        <f t="array" ref="D944">XLOOKUP(C944, Channel_Listings!C:C, Channel_Listings!D:D)
</f>
        <v>TSHIRT-COTTONROUND-MUSTARDYELLOW-M</v>
      </c>
      <c r="E944" s="15"/>
      <c r="F944" s="16">
        <f t="array" ref="F944">IFERROR(
  VALUE( INDEX(Product_Master!$I:$I,
               MATCH( INDEX(Pack_Master!$B:$B, MATCH($D944, Pack_Master!$A:$A, 0)),
                      Product_Master!$B:$B, 0)
  )) 
  * VALUE( INDEX(Pack_Master!$C:$C, MATCH($D944, Pack_Master!$A:$A, 0)) )
  + VALUE( INDEX(Pack_Master!$D:$D, MATCH($D944, Pack_Master!$A:$A, 0)) ),
"")
</f>
        <v>0</v>
      </c>
      <c r="G944" s="17">
        <f t="array" ref="G944">IFERROR(
 ( INDEX(Pack_Master!E:E, MATCH($D944, Pack_Master!A:A, 0))
   * INDEX(Pack_Master!F:F, MATCH($D944, Pack_Master!A:A, 0))
   * INDEX(Pack_Master!G:G, MATCH($D944, Pack_Master!A:A, 0))
 ) / INDEX(Config!C:C, MATCH($A944, Config!A:A, 0)),
"")
</f>
        <v>0</v>
      </c>
      <c r="H944" s="17">
        <f t="array" ref="H944">MAX( INDEX(Pack_Master!H:H, MATCH($D944, Pack_Master!A:A, 0)),
      IFERROR(G944, 0) )
</f>
        <v>0</v>
      </c>
      <c r="I944" s="18" t="str">
        <f>IFERROR(__xludf.DUMMYFUNCTION("IFERROR(
 INDEX(
   FILTER(Shipping_Rate_Card!B:F, Shipping_Rate_Card!A:A=$A944),
   MATCH($H944, FILTER(Shipping_Rate_Card!B:B, Shipping_Rate_Card!A:A=$A944), 1),
   IF( INDEX(Config!B:B, MATCH($A944, Config!A:A, 0))=""Local"", 2,
     IF( INDEX(Config!B"&amp;":B, MATCH($A944, Config!A:A, 0))=""Regional"", 3, 4 )
   )
 ),
"""")
"),"")</f>
        <v/>
      </c>
      <c r="J944" s="16">
        <f>IFERROR(__xludf.DUMMYFUNCTION("IFERROR(
 ( E944 * INDEX(FILTER(Pricing_Rules!E:E, Pricing_Rules!A:A=A944, Pricing_Rules!B:B=B944, Pricing_Rules!C:C&lt;=E944, Pricing_Rules!D:D&gt;=E944), 1)
   + INDEX(FILTER(Pricing_Rules!F:F, Pricing_Rules!A:A=A944, Pricing_Rules!B:B=B944, Pricing_Rules!C:C"&amp;"&lt;=E944, Pricing_Rules!D:D&gt;=E944), 1)
 )
 * (1 + IFERROR( INDEX(Config!D:D, MATCH(A944, Config!A:A, 0)), 0 )),
"""")
"),15.34)</f>
        <v>15.34</v>
      </c>
      <c r="K944" s="19">
        <f t="shared" si="3"/>
        <v>-15.34</v>
      </c>
      <c r="L944" s="20" t="str">
        <f t="shared" si="4"/>
        <v/>
      </c>
    </row>
    <row r="945" ht="15.75" customHeight="1">
      <c r="A945" s="9" t="s">
        <v>1162</v>
      </c>
      <c r="B945" s="12" t="str">
        <f t="array" ref="B945">XLOOKUP(C945, Channel_Listings!C:C, Channel_Listings!B:B)
</f>
        <v>Apparel_Tshirts</v>
      </c>
      <c r="C945" s="23" t="s">
        <v>746</v>
      </c>
      <c r="D945" s="14" t="str">
        <f t="array" ref="D945">XLOOKUP(C945, Channel_Listings!C:C, Channel_Listings!D:D)
</f>
        <v>TSHIRT-COTTONROUND-MUSTARDYELLOW-XL</v>
      </c>
      <c r="E945" s="15"/>
      <c r="F945" s="16">
        <f t="array" ref="F945">IFERROR(
  VALUE( INDEX(Product_Master!$I:$I,
               MATCH( INDEX(Pack_Master!$B:$B, MATCH($D945, Pack_Master!$A:$A, 0)),
                      Product_Master!$B:$B, 0)
  )) 
  * VALUE( INDEX(Pack_Master!$C:$C, MATCH($D945, Pack_Master!$A:$A, 0)) )
  + VALUE( INDEX(Pack_Master!$D:$D, MATCH($D945, Pack_Master!$A:$A, 0)) ),
"")
</f>
        <v>0</v>
      </c>
      <c r="G945" s="17">
        <f t="array" ref="G945">IFERROR(
 ( INDEX(Pack_Master!E:E, MATCH($D945, Pack_Master!A:A, 0))
   * INDEX(Pack_Master!F:F, MATCH($D945, Pack_Master!A:A, 0))
   * INDEX(Pack_Master!G:G, MATCH($D945, Pack_Master!A:A, 0))
 ) / INDEX(Config!C:C, MATCH($A945, Config!A:A, 0)),
"")
</f>
        <v>0</v>
      </c>
      <c r="H945" s="17">
        <f t="array" ref="H945">MAX( INDEX(Pack_Master!H:H, MATCH($D945, Pack_Master!A:A, 0)),
      IFERROR(G945, 0) )
</f>
        <v>0</v>
      </c>
      <c r="I945" s="18" t="str">
        <f>IFERROR(__xludf.DUMMYFUNCTION("IFERROR(
 INDEX(
   FILTER(Shipping_Rate_Card!B:F, Shipping_Rate_Card!A:A=$A945),
   MATCH($H945, FILTER(Shipping_Rate_Card!B:B, Shipping_Rate_Card!A:A=$A945), 1),
   IF( INDEX(Config!B:B, MATCH($A945, Config!A:A, 0))=""Local"", 2,
     IF( INDEX(Config!B"&amp;":B, MATCH($A945, Config!A:A, 0))=""Regional"", 3, 4 )
   )
 ),
"""")
"),"")</f>
        <v/>
      </c>
      <c r="J945" s="16">
        <f>IFERROR(__xludf.DUMMYFUNCTION("IFERROR(
 ( E945 * INDEX(FILTER(Pricing_Rules!E:E, Pricing_Rules!A:A=A945, Pricing_Rules!B:B=B945, Pricing_Rules!C:C&lt;=E945, Pricing_Rules!D:D&gt;=E945), 1)
   + INDEX(FILTER(Pricing_Rules!F:F, Pricing_Rules!A:A=A945, Pricing_Rules!B:B=B945, Pricing_Rules!C:C"&amp;"&lt;=E945, Pricing_Rules!D:D&gt;=E945), 1)
 )
 * (1 + IFERROR( INDEX(Config!D:D, MATCH(A945, Config!A:A, 0)), 0 )),
"""")
"),15.34)</f>
        <v>15.34</v>
      </c>
      <c r="K945" s="19">
        <f t="shared" si="3"/>
        <v>-15.34</v>
      </c>
      <c r="L945" s="20" t="str">
        <f t="shared" si="4"/>
        <v/>
      </c>
    </row>
    <row r="946" ht="15.75" customHeight="1">
      <c r="A946" s="9" t="s">
        <v>1162</v>
      </c>
      <c r="B946" s="12" t="str">
        <f t="array" ref="B946">XLOOKUP(C946, Channel_Listings!C:C, Channel_Listings!B:B)
</f>
        <v>Apparel_Tshirts</v>
      </c>
      <c r="C946" s="23" t="s">
        <v>1457</v>
      </c>
      <c r="D946" s="14" t="str">
        <f t="array" ref="D946">XLOOKUP(C946, Channel_Listings!C:C, Channel_Listings!D:D)
</f>
        <v>TSHIRT-COTTONROUND-MUSTARDYELLOW-2XL</v>
      </c>
      <c r="E946" s="15"/>
      <c r="F946" s="16">
        <f t="array" ref="F946">IFERROR(
  VALUE( INDEX(Product_Master!$I:$I,
               MATCH( INDEX(Pack_Master!$B:$B, MATCH($D946, Pack_Master!$A:$A, 0)),
                      Product_Master!$B:$B, 0)
  )) 
  * VALUE( INDEX(Pack_Master!$C:$C, MATCH($D946, Pack_Master!$A:$A, 0)) )
  + VALUE( INDEX(Pack_Master!$D:$D, MATCH($D946, Pack_Master!$A:$A, 0)) ),
"")
</f>
        <v>0</v>
      </c>
      <c r="G946" s="17">
        <f t="array" ref="G946">IFERROR(
 ( INDEX(Pack_Master!E:E, MATCH($D946, Pack_Master!A:A, 0))
   * INDEX(Pack_Master!F:F, MATCH($D946, Pack_Master!A:A, 0))
   * INDEX(Pack_Master!G:G, MATCH($D946, Pack_Master!A:A, 0))
 ) / INDEX(Config!C:C, MATCH($A946, Config!A:A, 0)),
"")
</f>
        <v>0</v>
      </c>
      <c r="H946" s="17">
        <f t="array" ref="H946">MAX( INDEX(Pack_Master!H:H, MATCH($D946, Pack_Master!A:A, 0)),
      IFERROR(G946, 0) )
</f>
        <v>0</v>
      </c>
      <c r="I946" s="18" t="str">
        <f>IFERROR(__xludf.DUMMYFUNCTION("IFERROR(
 INDEX(
   FILTER(Shipping_Rate_Card!B:F, Shipping_Rate_Card!A:A=$A946),
   MATCH($H946, FILTER(Shipping_Rate_Card!B:B, Shipping_Rate_Card!A:A=$A946), 1),
   IF( INDEX(Config!B:B, MATCH($A946, Config!A:A, 0))=""Local"", 2,
     IF( INDEX(Config!B"&amp;":B, MATCH($A946, Config!A:A, 0))=""Regional"", 3, 4 )
   )
 ),
"""")
"),"")</f>
        <v/>
      </c>
      <c r="J946" s="16">
        <f>IFERROR(__xludf.DUMMYFUNCTION("IFERROR(
 ( E946 * INDEX(FILTER(Pricing_Rules!E:E, Pricing_Rules!A:A=A946, Pricing_Rules!B:B=B946, Pricing_Rules!C:C&lt;=E946, Pricing_Rules!D:D&gt;=E946), 1)
   + INDEX(FILTER(Pricing_Rules!F:F, Pricing_Rules!A:A=A946, Pricing_Rules!B:B=B946, Pricing_Rules!C:C"&amp;"&lt;=E946, Pricing_Rules!D:D&gt;=E946), 1)
 )
 * (1 + IFERROR( INDEX(Config!D:D, MATCH(A946, Config!A:A, 0)), 0 )),
"""")
"),15.34)</f>
        <v>15.34</v>
      </c>
      <c r="K946" s="19">
        <f t="shared" si="3"/>
        <v>-15.34</v>
      </c>
      <c r="L946" s="20" t="str">
        <f t="shared" si="4"/>
        <v/>
      </c>
    </row>
    <row r="947" ht="15.75" customHeight="1">
      <c r="A947" s="9" t="s">
        <v>1162</v>
      </c>
      <c r="B947" s="12" t="str">
        <f t="array" ref="B947">XLOOKUP(C947, Channel_Listings!C:C, Channel_Listings!B:B)
</f>
        <v>Apparel_Tshirts</v>
      </c>
      <c r="C947" s="23" t="s">
        <v>748</v>
      </c>
      <c r="D947" s="14" t="str">
        <f t="array" ref="D947">XLOOKUP(C947, Channel_Listings!C:C, Channel_Listings!D:D)
</f>
        <v>TSHIRT-COTTONROUND-NAVYBLUE-2XL</v>
      </c>
      <c r="E947" s="15"/>
      <c r="F947" s="16">
        <f t="array" ref="F947">IFERROR(
  VALUE( INDEX(Product_Master!$I:$I,
               MATCH( INDEX(Pack_Master!$B:$B, MATCH($D947, Pack_Master!$A:$A, 0)),
                      Product_Master!$B:$B, 0)
  )) 
  * VALUE( INDEX(Pack_Master!$C:$C, MATCH($D947, Pack_Master!$A:$A, 0)) )
  + VALUE( INDEX(Pack_Master!$D:$D, MATCH($D947, Pack_Master!$A:$A, 0)) ),
"")
</f>
        <v>0</v>
      </c>
      <c r="G947" s="17">
        <f t="array" ref="G947">IFERROR(
 ( INDEX(Pack_Master!E:E, MATCH($D947, Pack_Master!A:A, 0))
   * INDEX(Pack_Master!F:F, MATCH($D947, Pack_Master!A:A, 0))
   * INDEX(Pack_Master!G:G, MATCH($D947, Pack_Master!A:A, 0))
 ) / INDEX(Config!C:C, MATCH($A947, Config!A:A, 0)),
"")
</f>
        <v>0</v>
      </c>
      <c r="H947" s="17">
        <f t="array" ref="H947">MAX( INDEX(Pack_Master!H:H, MATCH($D947, Pack_Master!A:A, 0)),
      IFERROR(G947, 0) )
</f>
        <v>0</v>
      </c>
      <c r="I947" s="18" t="str">
        <f>IFERROR(__xludf.DUMMYFUNCTION("IFERROR(
 INDEX(
   FILTER(Shipping_Rate_Card!B:F, Shipping_Rate_Card!A:A=$A947),
   MATCH($H947, FILTER(Shipping_Rate_Card!B:B, Shipping_Rate_Card!A:A=$A947), 1),
   IF( INDEX(Config!B:B, MATCH($A947, Config!A:A, 0))=""Local"", 2,
     IF( INDEX(Config!B"&amp;":B, MATCH($A947, Config!A:A, 0))=""Regional"", 3, 4 )
   )
 ),
"""")
"),"")</f>
        <v/>
      </c>
      <c r="J947" s="16">
        <f>IFERROR(__xludf.DUMMYFUNCTION("IFERROR(
 ( E947 * INDEX(FILTER(Pricing_Rules!E:E, Pricing_Rules!A:A=A947, Pricing_Rules!B:B=B947, Pricing_Rules!C:C&lt;=E947, Pricing_Rules!D:D&gt;=E947), 1)
   + INDEX(FILTER(Pricing_Rules!F:F, Pricing_Rules!A:A=A947, Pricing_Rules!B:B=B947, Pricing_Rules!C:C"&amp;"&lt;=E947, Pricing_Rules!D:D&gt;=E947), 1)
 )
 * (1 + IFERROR( INDEX(Config!D:D, MATCH(A947, Config!A:A, 0)), 0 )),
"""")
"),15.34)</f>
        <v>15.34</v>
      </c>
      <c r="K947" s="19">
        <f t="shared" si="3"/>
        <v>-15.34</v>
      </c>
      <c r="L947" s="20" t="str">
        <f t="shared" si="4"/>
        <v/>
      </c>
    </row>
    <row r="948" ht="15.75" customHeight="1">
      <c r="A948" s="9" t="s">
        <v>1162</v>
      </c>
      <c r="B948" s="12" t="str">
        <f t="array" ref="B948">XLOOKUP(C948, Channel_Listings!C:C, Channel_Listings!B:B)
</f>
        <v>Apparel_Tshirts</v>
      </c>
      <c r="C948" s="23" t="s">
        <v>750</v>
      </c>
      <c r="D948" s="14" t="str">
        <f t="array" ref="D948">XLOOKUP(C948, Channel_Listings!C:C, Channel_Listings!D:D)
</f>
        <v>TSHIRT-COTTONROUND-NAVYBLUE-L</v>
      </c>
      <c r="E948" s="15"/>
      <c r="F948" s="16">
        <f t="array" ref="F948">IFERROR(
  VALUE( INDEX(Product_Master!$I:$I,
               MATCH( INDEX(Pack_Master!$B:$B, MATCH($D948, Pack_Master!$A:$A, 0)),
                      Product_Master!$B:$B, 0)
  )) 
  * VALUE( INDEX(Pack_Master!$C:$C, MATCH($D948, Pack_Master!$A:$A, 0)) )
  + VALUE( INDEX(Pack_Master!$D:$D, MATCH($D948, Pack_Master!$A:$A, 0)) ),
"")
</f>
        <v>0</v>
      </c>
      <c r="G948" s="17">
        <f t="array" ref="G948">IFERROR(
 ( INDEX(Pack_Master!E:E, MATCH($D948, Pack_Master!A:A, 0))
   * INDEX(Pack_Master!F:F, MATCH($D948, Pack_Master!A:A, 0))
   * INDEX(Pack_Master!G:G, MATCH($D948, Pack_Master!A:A, 0))
 ) / INDEX(Config!C:C, MATCH($A948, Config!A:A, 0)),
"")
</f>
        <v>0</v>
      </c>
      <c r="H948" s="17">
        <f t="array" ref="H948">MAX( INDEX(Pack_Master!H:H, MATCH($D948, Pack_Master!A:A, 0)),
      IFERROR(G948, 0) )
</f>
        <v>0</v>
      </c>
      <c r="I948" s="18" t="str">
        <f>IFERROR(__xludf.DUMMYFUNCTION("IFERROR(
 INDEX(
   FILTER(Shipping_Rate_Card!B:F, Shipping_Rate_Card!A:A=$A948),
   MATCH($H948, FILTER(Shipping_Rate_Card!B:B, Shipping_Rate_Card!A:A=$A948), 1),
   IF( INDEX(Config!B:B, MATCH($A948, Config!A:A, 0))=""Local"", 2,
     IF( INDEX(Config!B"&amp;":B, MATCH($A948, Config!A:A, 0))=""Regional"", 3, 4 )
   )
 ),
"""")
"),"")</f>
        <v/>
      </c>
      <c r="J948" s="16">
        <f>IFERROR(__xludf.DUMMYFUNCTION("IFERROR(
 ( E948 * INDEX(FILTER(Pricing_Rules!E:E, Pricing_Rules!A:A=A948, Pricing_Rules!B:B=B948, Pricing_Rules!C:C&lt;=E948, Pricing_Rules!D:D&gt;=E948), 1)
   + INDEX(FILTER(Pricing_Rules!F:F, Pricing_Rules!A:A=A948, Pricing_Rules!B:B=B948, Pricing_Rules!C:C"&amp;"&lt;=E948, Pricing_Rules!D:D&gt;=E948), 1)
 )
 * (1 + IFERROR( INDEX(Config!D:D, MATCH(A948, Config!A:A, 0)), 0 )),
"""")
"),15.34)</f>
        <v>15.34</v>
      </c>
      <c r="K948" s="19">
        <f t="shared" si="3"/>
        <v>-15.34</v>
      </c>
      <c r="L948" s="20" t="str">
        <f t="shared" si="4"/>
        <v/>
      </c>
    </row>
    <row r="949" ht="15.75" customHeight="1">
      <c r="A949" s="9" t="s">
        <v>1162</v>
      </c>
      <c r="B949" s="12" t="str">
        <f t="array" ref="B949">XLOOKUP(C949, Channel_Listings!C:C, Channel_Listings!B:B)
</f>
        <v>Apparel_Tshirts</v>
      </c>
      <c r="C949" s="23" t="s">
        <v>754</v>
      </c>
      <c r="D949" s="14" t="str">
        <f t="array" ref="D949">XLOOKUP(C949, Channel_Listings!C:C, Channel_Listings!D:D)
</f>
        <v>TSHIRT-COTTONROUND-NAVYBLUE-XL</v>
      </c>
      <c r="E949" s="15"/>
      <c r="F949" s="16">
        <f t="array" ref="F949">IFERROR(
  VALUE( INDEX(Product_Master!$I:$I,
               MATCH( INDEX(Pack_Master!$B:$B, MATCH($D949, Pack_Master!$A:$A, 0)),
                      Product_Master!$B:$B, 0)
  )) 
  * VALUE( INDEX(Pack_Master!$C:$C, MATCH($D949, Pack_Master!$A:$A, 0)) )
  + VALUE( INDEX(Pack_Master!$D:$D, MATCH($D949, Pack_Master!$A:$A, 0)) ),
"")
</f>
        <v>0</v>
      </c>
      <c r="G949" s="17">
        <f t="array" ref="G949">IFERROR(
 ( INDEX(Pack_Master!E:E, MATCH($D949, Pack_Master!A:A, 0))
   * INDEX(Pack_Master!F:F, MATCH($D949, Pack_Master!A:A, 0))
   * INDEX(Pack_Master!G:G, MATCH($D949, Pack_Master!A:A, 0))
 ) / INDEX(Config!C:C, MATCH($A949, Config!A:A, 0)),
"")
</f>
        <v>0</v>
      </c>
      <c r="H949" s="17">
        <f t="array" ref="H949">MAX( INDEX(Pack_Master!H:H, MATCH($D949, Pack_Master!A:A, 0)),
      IFERROR(G949, 0) )
</f>
        <v>0</v>
      </c>
      <c r="I949" s="18" t="str">
        <f>IFERROR(__xludf.DUMMYFUNCTION("IFERROR(
 INDEX(
   FILTER(Shipping_Rate_Card!B:F, Shipping_Rate_Card!A:A=$A949),
   MATCH($H949, FILTER(Shipping_Rate_Card!B:B, Shipping_Rate_Card!A:A=$A949), 1),
   IF( INDEX(Config!B:B, MATCH($A949, Config!A:A, 0))=""Local"", 2,
     IF( INDEX(Config!B"&amp;":B, MATCH($A949, Config!A:A, 0))=""Regional"", 3, 4 )
   )
 ),
"""")
"),"")</f>
        <v/>
      </c>
      <c r="J949" s="16">
        <f>IFERROR(__xludf.DUMMYFUNCTION("IFERROR(
 ( E949 * INDEX(FILTER(Pricing_Rules!E:E, Pricing_Rules!A:A=A949, Pricing_Rules!B:B=B949, Pricing_Rules!C:C&lt;=E949, Pricing_Rules!D:D&gt;=E949), 1)
   + INDEX(FILTER(Pricing_Rules!F:F, Pricing_Rules!A:A=A949, Pricing_Rules!B:B=B949, Pricing_Rules!C:C"&amp;"&lt;=E949, Pricing_Rules!D:D&gt;=E949), 1)
 )
 * (1 + IFERROR( INDEX(Config!D:D, MATCH(A949, Config!A:A, 0)), 0 )),
"""")
"),15.34)</f>
        <v>15.34</v>
      </c>
      <c r="K949" s="19">
        <f t="shared" si="3"/>
        <v>-15.34</v>
      </c>
      <c r="L949" s="20" t="str">
        <f t="shared" si="4"/>
        <v/>
      </c>
    </row>
    <row r="950" ht="15.75" customHeight="1">
      <c r="A950" s="9" t="s">
        <v>1162</v>
      </c>
      <c r="B950" s="12" t="str">
        <f t="array" ref="B950">XLOOKUP(C950, Channel_Listings!C:C, Channel_Listings!B:B)
</f>
        <v>Apparel_Tshirts</v>
      </c>
      <c r="C950" s="23" t="s">
        <v>756</v>
      </c>
      <c r="D950" s="14" t="str">
        <f t="array" ref="D950">XLOOKUP(C950, Channel_Listings!C:C, Channel_Listings!D:D)
</f>
        <v>TSHIRT-COTTONROUND-OCCEANBLUE-L</v>
      </c>
      <c r="E950" s="15"/>
      <c r="F950" s="16">
        <f t="array" ref="F950">IFERROR(
  VALUE( INDEX(Product_Master!$I:$I,
               MATCH( INDEX(Pack_Master!$B:$B, MATCH($D950, Pack_Master!$A:$A, 0)),
                      Product_Master!$B:$B, 0)
  )) 
  * VALUE( INDEX(Pack_Master!$C:$C, MATCH($D950, Pack_Master!$A:$A, 0)) )
  + VALUE( INDEX(Pack_Master!$D:$D, MATCH($D950, Pack_Master!$A:$A, 0)) ),
"")
</f>
        <v>0</v>
      </c>
      <c r="G950" s="17">
        <f t="array" ref="G950">IFERROR(
 ( INDEX(Pack_Master!E:E, MATCH($D950, Pack_Master!A:A, 0))
   * INDEX(Pack_Master!F:F, MATCH($D950, Pack_Master!A:A, 0))
   * INDEX(Pack_Master!G:G, MATCH($D950, Pack_Master!A:A, 0))
 ) / INDEX(Config!C:C, MATCH($A950, Config!A:A, 0)),
"")
</f>
        <v>0</v>
      </c>
      <c r="H950" s="17">
        <f t="array" ref="H950">MAX( INDEX(Pack_Master!H:H, MATCH($D950, Pack_Master!A:A, 0)),
      IFERROR(G950, 0) )
</f>
        <v>0</v>
      </c>
      <c r="I950" s="18" t="str">
        <f>IFERROR(__xludf.DUMMYFUNCTION("IFERROR(
 INDEX(
   FILTER(Shipping_Rate_Card!B:F, Shipping_Rate_Card!A:A=$A950),
   MATCH($H950, FILTER(Shipping_Rate_Card!B:B, Shipping_Rate_Card!A:A=$A950), 1),
   IF( INDEX(Config!B:B, MATCH($A950, Config!A:A, 0))=""Local"", 2,
     IF( INDEX(Config!B"&amp;":B, MATCH($A950, Config!A:A, 0))=""Regional"", 3, 4 )
   )
 ),
"""")
"),"")</f>
        <v/>
      </c>
      <c r="J950" s="16">
        <f>IFERROR(__xludf.DUMMYFUNCTION("IFERROR(
 ( E950 * INDEX(FILTER(Pricing_Rules!E:E, Pricing_Rules!A:A=A950, Pricing_Rules!B:B=B950, Pricing_Rules!C:C&lt;=E950, Pricing_Rules!D:D&gt;=E950), 1)
   + INDEX(FILTER(Pricing_Rules!F:F, Pricing_Rules!A:A=A950, Pricing_Rules!B:B=B950, Pricing_Rules!C:C"&amp;"&lt;=E950, Pricing_Rules!D:D&gt;=E950), 1)
 )
 * (1 + IFERROR( INDEX(Config!D:D, MATCH(A950, Config!A:A, 0)), 0 )),
"""")
"),15.34)</f>
        <v>15.34</v>
      </c>
      <c r="K950" s="19">
        <f t="shared" si="3"/>
        <v>-15.34</v>
      </c>
      <c r="L950" s="20" t="str">
        <f t="shared" si="4"/>
        <v/>
      </c>
    </row>
    <row r="951" ht="15.75" customHeight="1">
      <c r="A951" s="9" t="s">
        <v>1162</v>
      </c>
      <c r="B951" s="12" t="str">
        <f t="array" ref="B951">XLOOKUP(C951, Channel_Listings!C:C, Channel_Listings!B:B)
</f>
        <v>Apparel_Tshirts</v>
      </c>
      <c r="C951" s="23" t="s">
        <v>759</v>
      </c>
      <c r="D951" s="14" t="str">
        <f t="array" ref="D951">XLOOKUP(C951, Channel_Listings!C:C, Channel_Listings!D:D)
</f>
        <v>TSHIRT-COTTONROUND-OCCEANBLUE-M</v>
      </c>
      <c r="E951" s="15"/>
      <c r="F951" s="16">
        <f t="array" ref="F951">IFERROR(
  VALUE( INDEX(Product_Master!$I:$I,
               MATCH( INDEX(Pack_Master!$B:$B, MATCH($D951, Pack_Master!$A:$A, 0)),
                      Product_Master!$B:$B, 0)
  )) 
  * VALUE( INDEX(Pack_Master!$C:$C, MATCH($D951, Pack_Master!$A:$A, 0)) )
  + VALUE( INDEX(Pack_Master!$D:$D, MATCH($D951, Pack_Master!$A:$A, 0)) ),
"")
</f>
        <v>0</v>
      </c>
      <c r="G951" s="17">
        <f t="array" ref="G951">IFERROR(
 ( INDEX(Pack_Master!E:E, MATCH($D951, Pack_Master!A:A, 0))
   * INDEX(Pack_Master!F:F, MATCH($D951, Pack_Master!A:A, 0))
   * INDEX(Pack_Master!G:G, MATCH($D951, Pack_Master!A:A, 0))
 ) / INDEX(Config!C:C, MATCH($A951, Config!A:A, 0)),
"")
</f>
        <v>0</v>
      </c>
      <c r="H951" s="17">
        <f t="array" ref="H951">MAX( INDEX(Pack_Master!H:H, MATCH($D951, Pack_Master!A:A, 0)),
      IFERROR(G951, 0) )
</f>
        <v>0</v>
      </c>
      <c r="I951" s="18" t="str">
        <f>IFERROR(__xludf.DUMMYFUNCTION("IFERROR(
 INDEX(
   FILTER(Shipping_Rate_Card!B:F, Shipping_Rate_Card!A:A=$A951),
   MATCH($H951, FILTER(Shipping_Rate_Card!B:B, Shipping_Rate_Card!A:A=$A951), 1),
   IF( INDEX(Config!B:B, MATCH($A951, Config!A:A, 0))=""Local"", 2,
     IF( INDEX(Config!B"&amp;":B, MATCH($A951, Config!A:A, 0))=""Regional"", 3, 4 )
   )
 ),
"""")
"),"")</f>
        <v/>
      </c>
      <c r="J951" s="16">
        <f>IFERROR(__xludf.DUMMYFUNCTION("IFERROR(
 ( E951 * INDEX(FILTER(Pricing_Rules!E:E, Pricing_Rules!A:A=A951, Pricing_Rules!B:B=B951, Pricing_Rules!C:C&lt;=E951, Pricing_Rules!D:D&gt;=E951), 1)
   + INDEX(FILTER(Pricing_Rules!F:F, Pricing_Rules!A:A=A951, Pricing_Rules!B:B=B951, Pricing_Rules!C:C"&amp;"&lt;=E951, Pricing_Rules!D:D&gt;=E951), 1)
 )
 * (1 + IFERROR( INDEX(Config!D:D, MATCH(A951, Config!A:A, 0)), 0 )),
"""")
"),15.34)</f>
        <v>15.34</v>
      </c>
      <c r="K951" s="19">
        <f t="shared" si="3"/>
        <v>-15.34</v>
      </c>
      <c r="L951" s="20" t="str">
        <f t="shared" si="4"/>
        <v/>
      </c>
    </row>
    <row r="952" ht="15.75" customHeight="1">
      <c r="A952" s="9" t="s">
        <v>1162</v>
      </c>
      <c r="B952" s="12" t="str">
        <f t="array" ref="B952">XLOOKUP(C952, Channel_Listings!C:C, Channel_Listings!B:B)
</f>
        <v>Apparel_Tshirts</v>
      </c>
      <c r="C952" s="23" t="s">
        <v>762</v>
      </c>
      <c r="D952" s="14" t="str">
        <f t="array" ref="D952">XLOOKUP(C952, Channel_Listings!C:C, Channel_Listings!D:D)
</f>
        <v>TSHIRT-COTTONROUND-OCCEANBLUE-XL</v>
      </c>
      <c r="E952" s="15"/>
      <c r="F952" s="16">
        <f t="array" ref="F952">IFERROR(
  VALUE( INDEX(Product_Master!$I:$I,
               MATCH( INDEX(Pack_Master!$B:$B, MATCH($D952, Pack_Master!$A:$A, 0)),
                      Product_Master!$B:$B, 0)
  )) 
  * VALUE( INDEX(Pack_Master!$C:$C, MATCH($D952, Pack_Master!$A:$A, 0)) )
  + VALUE( INDEX(Pack_Master!$D:$D, MATCH($D952, Pack_Master!$A:$A, 0)) ),
"")
</f>
        <v>0</v>
      </c>
      <c r="G952" s="17">
        <f t="array" ref="G952">IFERROR(
 ( INDEX(Pack_Master!E:E, MATCH($D952, Pack_Master!A:A, 0))
   * INDEX(Pack_Master!F:F, MATCH($D952, Pack_Master!A:A, 0))
   * INDEX(Pack_Master!G:G, MATCH($D952, Pack_Master!A:A, 0))
 ) / INDEX(Config!C:C, MATCH($A952, Config!A:A, 0)),
"")
</f>
        <v>0</v>
      </c>
      <c r="H952" s="17">
        <f t="array" ref="H952">MAX( INDEX(Pack_Master!H:H, MATCH($D952, Pack_Master!A:A, 0)),
      IFERROR(G952, 0) )
</f>
        <v>0</v>
      </c>
      <c r="I952" s="18" t="str">
        <f>IFERROR(__xludf.DUMMYFUNCTION("IFERROR(
 INDEX(
   FILTER(Shipping_Rate_Card!B:F, Shipping_Rate_Card!A:A=$A952),
   MATCH($H952, FILTER(Shipping_Rate_Card!B:B, Shipping_Rate_Card!A:A=$A952), 1),
   IF( INDEX(Config!B:B, MATCH($A952, Config!A:A, 0))=""Local"", 2,
     IF( INDEX(Config!B"&amp;":B, MATCH($A952, Config!A:A, 0))=""Regional"", 3, 4 )
   )
 ),
"""")
"),"")</f>
        <v/>
      </c>
      <c r="J952" s="16">
        <f>IFERROR(__xludf.DUMMYFUNCTION("IFERROR(
 ( E952 * INDEX(FILTER(Pricing_Rules!E:E, Pricing_Rules!A:A=A952, Pricing_Rules!B:B=B952, Pricing_Rules!C:C&lt;=E952, Pricing_Rules!D:D&gt;=E952), 1)
   + INDEX(FILTER(Pricing_Rules!F:F, Pricing_Rules!A:A=A952, Pricing_Rules!B:B=B952, Pricing_Rules!C:C"&amp;"&lt;=E952, Pricing_Rules!D:D&gt;=E952), 1)
 )
 * (1 + IFERROR( INDEX(Config!D:D, MATCH(A952, Config!A:A, 0)), 0 )),
"""")
"),15.34)</f>
        <v>15.34</v>
      </c>
      <c r="K952" s="19">
        <f t="shared" si="3"/>
        <v>-15.34</v>
      </c>
      <c r="L952" s="20" t="str">
        <f t="shared" si="4"/>
        <v/>
      </c>
    </row>
    <row r="953" ht="15.75" customHeight="1">
      <c r="A953" s="9" t="s">
        <v>1162</v>
      </c>
      <c r="B953" s="12" t="str">
        <f t="array" ref="B953">XLOOKUP(C953, Channel_Listings!C:C, Channel_Listings!B:B)
</f>
        <v>Apparel_Tshirts</v>
      </c>
      <c r="C953" s="23" t="s">
        <v>765</v>
      </c>
      <c r="D953" s="14" t="str">
        <f t="array" ref="D953">XLOOKUP(C953, Channel_Listings!C:C, Channel_Listings!D:D)
</f>
        <v>TSHIRT-COTTONROUND-OCCEANBLUE-XXL</v>
      </c>
      <c r="E953" s="15"/>
      <c r="F953" s="16">
        <f t="array" ref="F953">IFERROR(
  VALUE( INDEX(Product_Master!$I:$I,
               MATCH( INDEX(Pack_Master!$B:$B, MATCH($D953, Pack_Master!$A:$A, 0)),
                      Product_Master!$B:$B, 0)
  )) 
  * VALUE( INDEX(Pack_Master!$C:$C, MATCH($D953, Pack_Master!$A:$A, 0)) )
  + VALUE( INDEX(Pack_Master!$D:$D, MATCH($D953, Pack_Master!$A:$A, 0)) ),
"")
</f>
        <v>0</v>
      </c>
      <c r="G953" s="17">
        <f t="array" ref="G953">IFERROR(
 ( INDEX(Pack_Master!E:E, MATCH($D953, Pack_Master!A:A, 0))
   * INDEX(Pack_Master!F:F, MATCH($D953, Pack_Master!A:A, 0))
   * INDEX(Pack_Master!G:G, MATCH($D953, Pack_Master!A:A, 0))
 ) / INDEX(Config!C:C, MATCH($A953, Config!A:A, 0)),
"")
</f>
        <v>0</v>
      </c>
      <c r="H953" s="17">
        <f t="array" ref="H953">MAX( INDEX(Pack_Master!H:H, MATCH($D953, Pack_Master!A:A, 0)),
      IFERROR(G953, 0) )
</f>
        <v>0</v>
      </c>
      <c r="I953" s="18" t="str">
        <f>IFERROR(__xludf.DUMMYFUNCTION("IFERROR(
 INDEX(
   FILTER(Shipping_Rate_Card!B:F, Shipping_Rate_Card!A:A=$A953),
   MATCH($H953, FILTER(Shipping_Rate_Card!B:B, Shipping_Rate_Card!A:A=$A953), 1),
   IF( INDEX(Config!B:B, MATCH($A953, Config!A:A, 0))=""Local"", 2,
     IF( INDEX(Config!B"&amp;":B, MATCH($A953, Config!A:A, 0))=""Regional"", 3, 4 )
   )
 ),
"""")
"),"")</f>
        <v/>
      </c>
      <c r="J953" s="16">
        <f>IFERROR(__xludf.DUMMYFUNCTION("IFERROR(
 ( E953 * INDEX(FILTER(Pricing_Rules!E:E, Pricing_Rules!A:A=A953, Pricing_Rules!B:B=B953, Pricing_Rules!C:C&lt;=E953, Pricing_Rules!D:D&gt;=E953), 1)
   + INDEX(FILTER(Pricing_Rules!F:F, Pricing_Rules!A:A=A953, Pricing_Rules!B:B=B953, Pricing_Rules!C:C"&amp;"&lt;=E953, Pricing_Rules!D:D&gt;=E953), 1)
 )
 * (1 + IFERROR( INDEX(Config!D:D, MATCH(A953, Config!A:A, 0)), 0 )),
"""")
"),15.34)</f>
        <v>15.34</v>
      </c>
      <c r="K953" s="19">
        <f t="shared" si="3"/>
        <v>-15.34</v>
      </c>
      <c r="L953" s="20" t="str">
        <f t="shared" si="4"/>
        <v/>
      </c>
    </row>
    <row r="954" ht="15.75" customHeight="1">
      <c r="A954" s="9" t="s">
        <v>1162</v>
      </c>
      <c r="B954" s="12" t="str">
        <f t="array" ref="B954">XLOOKUP(C954, Channel_Listings!C:C, Channel_Listings!B:B)
</f>
        <v>Apparel_Tshirts</v>
      </c>
      <c r="C954" s="23" t="s">
        <v>768</v>
      </c>
      <c r="D954" s="14" t="str">
        <f t="array" ref="D954">XLOOKUP(C954, Channel_Listings!C:C, Channel_Listings!D:D)
</f>
        <v>TSHIRT-COTTONROUND-OLIVEGREEN-L</v>
      </c>
      <c r="E954" s="15"/>
      <c r="F954" s="16">
        <f t="array" ref="F954">IFERROR(
  VALUE( INDEX(Product_Master!$I:$I,
               MATCH( INDEX(Pack_Master!$B:$B, MATCH($D954, Pack_Master!$A:$A, 0)),
                      Product_Master!$B:$B, 0)
  )) 
  * VALUE( INDEX(Pack_Master!$C:$C, MATCH($D954, Pack_Master!$A:$A, 0)) )
  + VALUE( INDEX(Pack_Master!$D:$D, MATCH($D954, Pack_Master!$A:$A, 0)) ),
"")
</f>
        <v>0</v>
      </c>
      <c r="G954" s="17">
        <f t="array" ref="G954">IFERROR(
 ( INDEX(Pack_Master!E:E, MATCH($D954, Pack_Master!A:A, 0))
   * INDEX(Pack_Master!F:F, MATCH($D954, Pack_Master!A:A, 0))
   * INDEX(Pack_Master!G:G, MATCH($D954, Pack_Master!A:A, 0))
 ) / INDEX(Config!C:C, MATCH($A954, Config!A:A, 0)),
"")
</f>
        <v>0</v>
      </c>
      <c r="H954" s="17">
        <f t="array" ref="H954">MAX( INDEX(Pack_Master!H:H, MATCH($D954, Pack_Master!A:A, 0)),
      IFERROR(G954, 0) )
</f>
        <v>0</v>
      </c>
      <c r="I954" s="18" t="str">
        <f>IFERROR(__xludf.DUMMYFUNCTION("IFERROR(
 INDEX(
   FILTER(Shipping_Rate_Card!B:F, Shipping_Rate_Card!A:A=$A954),
   MATCH($H954, FILTER(Shipping_Rate_Card!B:B, Shipping_Rate_Card!A:A=$A954), 1),
   IF( INDEX(Config!B:B, MATCH($A954, Config!A:A, 0))=""Local"", 2,
     IF( INDEX(Config!B"&amp;":B, MATCH($A954, Config!A:A, 0))=""Regional"", 3, 4 )
   )
 ),
"""")
"),"")</f>
        <v/>
      </c>
      <c r="J954" s="16">
        <f>IFERROR(__xludf.DUMMYFUNCTION("IFERROR(
 ( E954 * INDEX(FILTER(Pricing_Rules!E:E, Pricing_Rules!A:A=A954, Pricing_Rules!B:B=B954, Pricing_Rules!C:C&lt;=E954, Pricing_Rules!D:D&gt;=E954), 1)
   + INDEX(FILTER(Pricing_Rules!F:F, Pricing_Rules!A:A=A954, Pricing_Rules!B:B=B954, Pricing_Rules!C:C"&amp;"&lt;=E954, Pricing_Rules!D:D&gt;=E954), 1)
 )
 * (1 + IFERROR( INDEX(Config!D:D, MATCH(A954, Config!A:A, 0)), 0 )),
"""")
"),15.34)</f>
        <v>15.34</v>
      </c>
      <c r="K954" s="19">
        <f t="shared" si="3"/>
        <v>-15.34</v>
      </c>
      <c r="L954" s="20" t="str">
        <f t="shared" si="4"/>
        <v/>
      </c>
    </row>
    <row r="955" ht="15.75" customHeight="1">
      <c r="A955" s="9" t="s">
        <v>1162</v>
      </c>
      <c r="B955" s="12" t="str">
        <f t="array" ref="B955">XLOOKUP(C955, Channel_Listings!C:C, Channel_Listings!B:B)
</f>
        <v>Apparel_Tshirts</v>
      </c>
      <c r="C955" s="23" t="s">
        <v>771</v>
      </c>
      <c r="D955" s="14" t="str">
        <f t="array" ref="D955">XLOOKUP(C955, Channel_Listings!C:C, Channel_Listings!D:D)
</f>
        <v>TSHIRT-COTTONROUND-OLIVEGREEN-M</v>
      </c>
      <c r="E955" s="15"/>
      <c r="F955" s="16">
        <f t="array" ref="F955">IFERROR(
  VALUE( INDEX(Product_Master!$I:$I,
               MATCH( INDEX(Pack_Master!$B:$B, MATCH($D955, Pack_Master!$A:$A, 0)),
                      Product_Master!$B:$B, 0)
  )) 
  * VALUE( INDEX(Pack_Master!$C:$C, MATCH($D955, Pack_Master!$A:$A, 0)) )
  + VALUE( INDEX(Pack_Master!$D:$D, MATCH($D955, Pack_Master!$A:$A, 0)) ),
"")
</f>
        <v>0</v>
      </c>
      <c r="G955" s="17">
        <f t="array" ref="G955">IFERROR(
 ( INDEX(Pack_Master!E:E, MATCH($D955, Pack_Master!A:A, 0))
   * INDEX(Pack_Master!F:F, MATCH($D955, Pack_Master!A:A, 0))
   * INDEX(Pack_Master!G:G, MATCH($D955, Pack_Master!A:A, 0))
 ) / INDEX(Config!C:C, MATCH($A955, Config!A:A, 0)),
"")
</f>
        <v>0</v>
      </c>
      <c r="H955" s="17">
        <f t="array" ref="H955">MAX( INDEX(Pack_Master!H:H, MATCH($D955, Pack_Master!A:A, 0)),
      IFERROR(G955, 0) )
</f>
        <v>0</v>
      </c>
      <c r="I955" s="18" t="str">
        <f>IFERROR(__xludf.DUMMYFUNCTION("IFERROR(
 INDEX(
   FILTER(Shipping_Rate_Card!B:F, Shipping_Rate_Card!A:A=$A955),
   MATCH($H955, FILTER(Shipping_Rate_Card!B:B, Shipping_Rate_Card!A:A=$A955), 1),
   IF( INDEX(Config!B:B, MATCH($A955, Config!A:A, 0))=""Local"", 2,
     IF( INDEX(Config!B"&amp;":B, MATCH($A955, Config!A:A, 0))=""Regional"", 3, 4 )
   )
 ),
"""")
"),"")</f>
        <v/>
      </c>
      <c r="J955" s="16">
        <f>IFERROR(__xludf.DUMMYFUNCTION("IFERROR(
 ( E955 * INDEX(FILTER(Pricing_Rules!E:E, Pricing_Rules!A:A=A955, Pricing_Rules!B:B=B955, Pricing_Rules!C:C&lt;=E955, Pricing_Rules!D:D&gt;=E955), 1)
   + INDEX(FILTER(Pricing_Rules!F:F, Pricing_Rules!A:A=A955, Pricing_Rules!B:B=B955, Pricing_Rules!C:C"&amp;"&lt;=E955, Pricing_Rules!D:D&gt;=E955), 1)
 )
 * (1 + IFERROR( INDEX(Config!D:D, MATCH(A955, Config!A:A, 0)), 0 )),
"""")
"),15.34)</f>
        <v>15.34</v>
      </c>
      <c r="K955" s="19">
        <f t="shared" si="3"/>
        <v>-15.34</v>
      </c>
      <c r="L955" s="20" t="str">
        <f t="shared" si="4"/>
        <v/>
      </c>
    </row>
    <row r="956" ht="15.75" customHeight="1">
      <c r="A956" s="9" t="s">
        <v>1162</v>
      </c>
      <c r="B956" s="12" t="str">
        <f t="array" ref="B956">XLOOKUP(C956, Channel_Listings!C:C, Channel_Listings!B:B)
</f>
        <v>Apparel_Tshirts</v>
      </c>
      <c r="C956" s="23" t="s">
        <v>774</v>
      </c>
      <c r="D956" s="14" t="str">
        <f t="array" ref="D956">XLOOKUP(C956, Channel_Listings!C:C, Channel_Listings!D:D)
</f>
        <v>TSHIRT-COTTONROUND-OLIVEGREEN-XL</v>
      </c>
      <c r="E956" s="15"/>
      <c r="F956" s="16">
        <f t="array" ref="F956">IFERROR(
  VALUE( INDEX(Product_Master!$I:$I,
               MATCH( INDEX(Pack_Master!$B:$B, MATCH($D956, Pack_Master!$A:$A, 0)),
                      Product_Master!$B:$B, 0)
  )) 
  * VALUE( INDEX(Pack_Master!$C:$C, MATCH($D956, Pack_Master!$A:$A, 0)) )
  + VALUE( INDEX(Pack_Master!$D:$D, MATCH($D956, Pack_Master!$A:$A, 0)) ),
"")
</f>
        <v>0</v>
      </c>
      <c r="G956" s="17">
        <f t="array" ref="G956">IFERROR(
 ( INDEX(Pack_Master!E:E, MATCH($D956, Pack_Master!A:A, 0))
   * INDEX(Pack_Master!F:F, MATCH($D956, Pack_Master!A:A, 0))
   * INDEX(Pack_Master!G:G, MATCH($D956, Pack_Master!A:A, 0))
 ) / INDEX(Config!C:C, MATCH($A956, Config!A:A, 0)),
"")
</f>
        <v>0</v>
      </c>
      <c r="H956" s="17">
        <f t="array" ref="H956">MAX( INDEX(Pack_Master!H:H, MATCH($D956, Pack_Master!A:A, 0)),
      IFERROR(G956, 0) )
</f>
        <v>0</v>
      </c>
      <c r="I956" s="18" t="str">
        <f>IFERROR(__xludf.DUMMYFUNCTION("IFERROR(
 INDEX(
   FILTER(Shipping_Rate_Card!B:F, Shipping_Rate_Card!A:A=$A956),
   MATCH($H956, FILTER(Shipping_Rate_Card!B:B, Shipping_Rate_Card!A:A=$A956), 1),
   IF( INDEX(Config!B:B, MATCH($A956, Config!A:A, 0))=""Local"", 2,
     IF( INDEX(Config!B"&amp;":B, MATCH($A956, Config!A:A, 0))=""Regional"", 3, 4 )
   )
 ),
"""")
"),"")</f>
        <v/>
      </c>
      <c r="J956" s="16">
        <f>IFERROR(__xludf.DUMMYFUNCTION("IFERROR(
 ( E956 * INDEX(FILTER(Pricing_Rules!E:E, Pricing_Rules!A:A=A956, Pricing_Rules!B:B=B956, Pricing_Rules!C:C&lt;=E956, Pricing_Rules!D:D&gt;=E956), 1)
   + INDEX(FILTER(Pricing_Rules!F:F, Pricing_Rules!A:A=A956, Pricing_Rules!B:B=B956, Pricing_Rules!C:C"&amp;"&lt;=E956, Pricing_Rules!D:D&gt;=E956), 1)
 )
 * (1 + IFERROR( INDEX(Config!D:D, MATCH(A956, Config!A:A, 0)), 0 )),
"""")
"),15.34)</f>
        <v>15.34</v>
      </c>
      <c r="K956" s="19">
        <f t="shared" si="3"/>
        <v>-15.34</v>
      </c>
      <c r="L956" s="20" t="str">
        <f t="shared" si="4"/>
        <v/>
      </c>
    </row>
    <row r="957" ht="15.75" customHeight="1">
      <c r="A957" s="9" t="s">
        <v>1162</v>
      </c>
      <c r="B957" s="12" t="str">
        <f t="array" ref="B957">XLOOKUP(C957, Channel_Listings!C:C, Channel_Listings!B:B)
</f>
        <v>Apparel_Tshirts</v>
      </c>
      <c r="C957" s="23" t="s">
        <v>777</v>
      </c>
      <c r="D957" s="14" t="str">
        <f t="array" ref="D957">XLOOKUP(C957, Channel_Listings!C:C, Channel_Listings!D:D)
</f>
        <v>TSHIRT-COTTONROUND-OLIVEGREEN-XXL</v>
      </c>
      <c r="E957" s="15"/>
      <c r="F957" s="16">
        <f t="array" ref="F957">IFERROR(
  VALUE( INDEX(Product_Master!$I:$I,
               MATCH( INDEX(Pack_Master!$B:$B, MATCH($D957, Pack_Master!$A:$A, 0)),
                      Product_Master!$B:$B, 0)
  )) 
  * VALUE( INDEX(Pack_Master!$C:$C, MATCH($D957, Pack_Master!$A:$A, 0)) )
  + VALUE( INDEX(Pack_Master!$D:$D, MATCH($D957, Pack_Master!$A:$A, 0)) ),
"")
</f>
        <v>0</v>
      </c>
      <c r="G957" s="17">
        <f t="array" ref="G957">IFERROR(
 ( INDEX(Pack_Master!E:E, MATCH($D957, Pack_Master!A:A, 0))
   * INDEX(Pack_Master!F:F, MATCH($D957, Pack_Master!A:A, 0))
   * INDEX(Pack_Master!G:G, MATCH($D957, Pack_Master!A:A, 0))
 ) / INDEX(Config!C:C, MATCH($A957, Config!A:A, 0)),
"")
</f>
        <v>0</v>
      </c>
      <c r="H957" s="17">
        <f t="array" ref="H957">MAX( INDEX(Pack_Master!H:H, MATCH($D957, Pack_Master!A:A, 0)),
      IFERROR(G957, 0) )
</f>
        <v>0</v>
      </c>
      <c r="I957" s="18" t="str">
        <f>IFERROR(__xludf.DUMMYFUNCTION("IFERROR(
 INDEX(
   FILTER(Shipping_Rate_Card!B:F, Shipping_Rate_Card!A:A=$A957),
   MATCH($H957, FILTER(Shipping_Rate_Card!B:B, Shipping_Rate_Card!A:A=$A957), 1),
   IF( INDEX(Config!B:B, MATCH($A957, Config!A:A, 0))=""Local"", 2,
     IF( INDEX(Config!B"&amp;":B, MATCH($A957, Config!A:A, 0))=""Regional"", 3, 4 )
   )
 ),
"""")
"),"")</f>
        <v/>
      </c>
      <c r="J957" s="16">
        <f>IFERROR(__xludf.DUMMYFUNCTION("IFERROR(
 ( E957 * INDEX(FILTER(Pricing_Rules!E:E, Pricing_Rules!A:A=A957, Pricing_Rules!B:B=B957, Pricing_Rules!C:C&lt;=E957, Pricing_Rules!D:D&gt;=E957), 1)
   + INDEX(FILTER(Pricing_Rules!F:F, Pricing_Rules!A:A=A957, Pricing_Rules!B:B=B957, Pricing_Rules!C:C"&amp;"&lt;=E957, Pricing_Rules!D:D&gt;=E957), 1)
 )
 * (1 + IFERROR( INDEX(Config!D:D, MATCH(A957, Config!A:A, 0)), 0 )),
"""")
"),15.34)</f>
        <v>15.34</v>
      </c>
      <c r="K957" s="19">
        <f t="shared" si="3"/>
        <v>-15.34</v>
      </c>
      <c r="L957" s="20" t="str">
        <f t="shared" si="4"/>
        <v/>
      </c>
    </row>
    <row r="958" ht="15.75" customHeight="1">
      <c r="A958" s="9" t="s">
        <v>1162</v>
      </c>
      <c r="B958" s="12" t="str">
        <f t="array" ref="B958">XLOOKUP(C958, Channel_Listings!C:C, Channel_Listings!B:B)
</f>
        <v>Apparel_Tshirts</v>
      </c>
      <c r="C958" s="23" t="s">
        <v>1470</v>
      </c>
      <c r="D958" s="14" t="str">
        <f t="array" ref="D958">XLOOKUP(C958, Channel_Listings!C:C, Channel_Listings!D:D)
</f>
        <v>TSHIRT-COTTONROUND-PITCH-L</v>
      </c>
      <c r="E958" s="15"/>
      <c r="F958" s="16">
        <f t="array" ref="F958">IFERROR(
  VALUE( INDEX(Product_Master!$I:$I,
               MATCH( INDEX(Pack_Master!$B:$B, MATCH($D958, Pack_Master!$A:$A, 0)),
                      Product_Master!$B:$B, 0)
  )) 
  * VALUE( INDEX(Pack_Master!$C:$C, MATCH($D958, Pack_Master!$A:$A, 0)) )
  + VALUE( INDEX(Pack_Master!$D:$D, MATCH($D958, Pack_Master!$A:$A, 0)) ),
"")
</f>
        <v>0</v>
      </c>
      <c r="G958" s="17">
        <f t="array" ref="G958">IFERROR(
 ( INDEX(Pack_Master!E:E, MATCH($D958, Pack_Master!A:A, 0))
   * INDEX(Pack_Master!F:F, MATCH($D958, Pack_Master!A:A, 0))
   * INDEX(Pack_Master!G:G, MATCH($D958, Pack_Master!A:A, 0))
 ) / INDEX(Config!C:C, MATCH($A958, Config!A:A, 0)),
"")
</f>
        <v>0</v>
      </c>
      <c r="H958" s="17">
        <f t="array" ref="H958">MAX( INDEX(Pack_Master!H:H, MATCH($D958, Pack_Master!A:A, 0)),
      IFERROR(G958, 0) )
</f>
        <v>0</v>
      </c>
      <c r="I958" s="18" t="str">
        <f>IFERROR(__xludf.DUMMYFUNCTION("IFERROR(
 INDEX(
   FILTER(Shipping_Rate_Card!B:F, Shipping_Rate_Card!A:A=$A958),
   MATCH($H958, FILTER(Shipping_Rate_Card!B:B, Shipping_Rate_Card!A:A=$A958), 1),
   IF( INDEX(Config!B:B, MATCH($A958, Config!A:A, 0))=""Local"", 2,
     IF( INDEX(Config!B"&amp;":B, MATCH($A958, Config!A:A, 0))=""Regional"", 3, 4 )
   )
 ),
"""")
"),"")</f>
        <v/>
      </c>
      <c r="J958" s="16">
        <f>IFERROR(__xludf.DUMMYFUNCTION("IFERROR(
 ( E958 * INDEX(FILTER(Pricing_Rules!E:E, Pricing_Rules!A:A=A958, Pricing_Rules!B:B=B958, Pricing_Rules!C:C&lt;=E958, Pricing_Rules!D:D&gt;=E958), 1)
   + INDEX(FILTER(Pricing_Rules!F:F, Pricing_Rules!A:A=A958, Pricing_Rules!B:B=B958, Pricing_Rules!C:C"&amp;"&lt;=E958, Pricing_Rules!D:D&gt;=E958), 1)
 )
 * (1 + IFERROR( INDEX(Config!D:D, MATCH(A958, Config!A:A, 0)), 0 )),
"""")
"),15.34)</f>
        <v>15.34</v>
      </c>
      <c r="K958" s="19">
        <f t="shared" si="3"/>
        <v>-15.34</v>
      </c>
      <c r="L958" s="20" t="str">
        <f t="shared" si="4"/>
        <v/>
      </c>
    </row>
    <row r="959" ht="15.75" customHeight="1">
      <c r="A959" s="9" t="s">
        <v>1162</v>
      </c>
      <c r="B959" s="12" t="str">
        <f t="array" ref="B959">XLOOKUP(C959, Channel_Listings!C:C, Channel_Listings!B:B)
</f>
        <v>Apparel_Tshirts</v>
      </c>
      <c r="C959" s="23" t="s">
        <v>1472</v>
      </c>
      <c r="D959" s="14" t="str">
        <f t="array" ref="D959">XLOOKUP(C959, Channel_Listings!C:C, Channel_Listings!D:D)
</f>
        <v>TSHIRT-COTTONROUND-PITCH-M</v>
      </c>
      <c r="E959" s="15"/>
      <c r="F959" s="16">
        <f t="array" ref="F959">IFERROR(
  VALUE( INDEX(Product_Master!$I:$I,
               MATCH( INDEX(Pack_Master!$B:$B, MATCH($D959, Pack_Master!$A:$A, 0)),
                      Product_Master!$B:$B, 0)
  )) 
  * VALUE( INDEX(Pack_Master!$C:$C, MATCH($D959, Pack_Master!$A:$A, 0)) )
  + VALUE( INDEX(Pack_Master!$D:$D, MATCH($D959, Pack_Master!$A:$A, 0)) ),
"")
</f>
        <v>0</v>
      </c>
      <c r="G959" s="17">
        <f t="array" ref="G959">IFERROR(
 ( INDEX(Pack_Master!E:E, MATCH($D959, Pack_Master!A:A, 0))
   * INDEX(Pack_Master!F:F, MATCH($D959, Pack_Master!A:A, 0))
   * INDEX(Pack_Master!G:G, MATCH($D959, Pack_Master!A:A, 0))
 ) / INDEX(Config!C:C, MATCH($A959, Config!A:A, 0)),
"")
</f>
        <v>0</v>
      </c>
      <c r="H959" s="17">
        <f t="array" ref="H959">MAX( INDEX(Pack_Master!H:H, MATCH($D959, Pack_Master!A:A, 0)),
      IFERROR(G959, 0) )
</f>
        <v>0</v>
      </c>
      <c r="I959" s="18" t="str">
        <f>IFERROR(__xludf.DUMMYFUNCTION("IFERROR(
 INDEX(
   FILTER(Shipping_Rate_Card!B:F, Shipping_Rate_Card!A:A=$A959),
   MATCH($H959, FILTER(Shipping_Rate_Card!B:B, Shipping_Rate_Card!A:A=$A959), 1),
   IF( INDEX(Config!B:B, MATCH($A959, Config!A:A, 0))=""Local"", 2,
     IF( INDEX(Config!B"&amp;":B, MATCH($A959, Config!A:A, 0))=""Regional"", 3, 4 )
   )
 ),
"""")
"),"")</f>
        <v/>
      </c>
      <c r="J959" s="16">
        <f>IFERROR(__xludf.DUMMYFUNCTION("IFERROR(
 ( E959 * INDEX(FILTER(Pricing_Rules!E:E, Pricing_Rules!A:A=A959, Pricing_Rules!B:B=B959, Pricing_Rules!C:C&lt;=E959, Pricing_Rules!D:D&gt;=E959), 1)
   + INDEX(FILTER(Pricing_Rules!F:F, Pricing_Rules!A:A=A959, Pricing_Rules!B:B=B959, Pricing_Rules!C:C"&amp;"&lt;=E959, Pricing_Rules!D:D&gt;=E959), 1)
 )
 * (1 + IFERROR( INDEX(Config!D:D, MATCH(A959, Config!A:A, 0)), 0 )),
"""")
"),15.34)</f>
        <v>15.34</v>
      </c>
      <c r="K959" s="19">
        <f t="shared" si="3"/>
        <v>-15.34</v>
      </c>
      <c r="L959" s="20" t="str">
        <f t="shared" si="4"/>
        <v/>
      </c>
    </row>
    <row r="960" ht="15.75" customHeight="1">
      <c r="A960" s="9" t="s">
        <v>1162</v>
      </c>
      <c r="B960" s="12" t="str">
        <f t="array" ref="B960">XLOOKUP(C960, Channel_Listings!C:C, Channel_Listings!B:B)
</f>
        <v>Apparel_Tshirts</v>
      </c>
      <c r="C960" s="23" t="s">
        <v>1474</v>
      </c>
      <c r="D960" s="14" t="str">
        <f t="array" ref="D960">XLOOKUP(C960, Channel_Listings!C:C, Channel_Listings!D:D)
</f>
        <v>TSHIRT-COTTONROUND-PITCH-XL</v>
      </c>
      <c r="E960" s="15"/>
      <c r="F960" s="16">
        <f t="array" ref="F960">IFERROR(
  VALUE( INDEX(Product_Master!$I:$I,
               MATCH( INDEX(Pack_Master!$B:$B, MATCH($D960, Pack_Master!$A:$A, 0)),
                      Product_Master!$B:$B, 0)
  )) 
  * VALUE( INDEX(Pack_Master!$C:$C, MATCH($D960, Pack_Master!$A:$A, 0)) )
  + VALUE( INDEX(Pack_Master!$D:$D, MATCH($D960, Pack_Master!$A:$A, 0)) ),
"")
</f>
        <v>0</v>
      </c>
      <c r="G960" s="17">
        <f t="array" ref="G960">IFERROR(
 ( INDEX(Pack_Master!E:E, MATCH($D960, Pack_Master!A:A, 0))
   * INDEX(Pack_Master!F:F, MATCH($D960, Pack_Master!A:A, 0))
   * INDEX(Pack_Master!G:G, MATCH($D960, Pack_Master!A:A, 0))
 ) / INDEX(Config!C:C, MATCH($A960, Config!A:A, 0)),
"")
</f>
        <v>0</v>
      </c>
      <c r="H960" s="17">
        <f t="array" ref="H960">MAX( INDEX(Pack_Master!H:H, MATCH($D960, Pack_Master!A:A, 0)),
      IFERROR(G960, 0) )
</f>
        <v>0</v>
      </c>
      <c r="I960" s="18" t="str">
        <f>IFERROR(__xludf.DUMMYFUNCTION("IFERROR(
 INDEX(
   FILTER(Shipping_Rate_Card!B:F, Shipping_Rate_Card!A:A=$A960),
   MATCH($H960, FILTER(Shipping_Rate_Card!B:B, Shipping_Rate_Card!A:A=$A960), 1),
   IF( INDEX(Config!B:B, MATCH($A960, Config!A:A, 0))=""Local"", 2,
     IF( INDEX(Config!B"&amp;":B, MATCH($A960, Config!A:A, 0))=""Regional"", 3, 4 )
   )
 ),
"""")
"),"")</f>
        <v/>
      </c>
      <c r="J960" s="16">
        <f>IFERROR(__xludf.DUMMYFUNCTION("IFERROR(
 ( E960 * INDEX(FILTER(Pricing_Rules!E:E, Pricing_Rules!A:A=A960, Pricing_Rules!B:B=B960, Pricing_Rules!C:C&lt;=E960, Pricing_Rules!D:D&gt;=E960), 1)
   + INDEX(FILTER(Pricing_Rules!F:F, Pricing_Rules!A:A=A960, Pricing_Rules!B:B=B960, Pricing_Rules!C:C"&amp;"&lt;=E960, Pricing_Rules!D:D&gt;=E960), 1)
 )
 * (1 + IFERROR( INDEX(Config!D:D, MATCH(A960, Config!A:A, 0)), 0 )),
"""")
"),15.34)</f>
        <v>15.34</v>
      </c>
      <c r="K960" s="19">
        <f t="shared" si="3"/>
        <v>-15.34</v>
      </c>
      <c r="L960" s="20" t="str">
        <f t="shared" si="4"/>
        <v/>
      </c>
    </row>
    <row r="961" ht="15.75" customHeight="1">
      <c r="A961" s="9" t="s">
        <v>1162</v>
      </c>
      <c r="B961" s="12" t="str">
        <f t="array" ref="B961">XLOOKUP(C961, Channel_Listings!C:C, Channel_Listings!B:B)
</f>
        <v>Apparel_Tshirts</v>
      </c>
      <c r="C961" s="23" t="s">
        <v>1476</v>
      </c>
      <c r="D961" s="14" t="str">
        <f t="array" ref="D961">XLOOKUP(C961, Channel_Listings!C:C, Channel_Listings!D:D)
</f>
        <v>TSHIRT-COTTONROUND-PITCH-XXL</v>
      </c>
      <c r="E961" s="15"/>
      <c r="F961" s="16">
        <f t="array" ref="F961">IFERROR(
  VALUE( INDEX(Product_Master!$I:$I,
               MATCH( INDEX(Pack_Master!$B:$B, MATCH($D961, Pack_Master!$A:$A, 0)),
                      Product_Master!$B:$B, 0)
  )) 
  * VALUE( INDEX(Pack_Master!$C:$C, MATCH($D961, Pack_Master!$A:$A, 0)) )
  + VALUE( INDEX(Pack_Master!$D:$D, MATCH($D961, Pack_Master!$A:$A, 0)) ),
"")
</f>
        <v>0</v>
      </c>
      <c r="G961" s="17">
        <f t="array" ref="G961">IFERROR(
 ( INDEX(Pack_Master!E:E, MATCH($D961, Pack_Master!A:A, 0))
   * INDEX(Pack_Master!F:F, MATCH($D961, Pack_Master!A:A, 0))
   * INDEX(Pack_Master!G:G, MATCH($D961, Pack_Master!A:A, 0))
 ) / INDEX(Config!C:C, MATCH($A961, Config!A:A, 0)),
"")
</f>
        <v>0</v>
      </c>
      <c r="H961" s="17">
        <f t="array" ref="H961">MAX( INDEX(Pack_Master!H:H, MATCH($D961, Pack_Master!A:A, 0)),
      IFERROR(G961, 0) )
</f>
        <v>0</v>
      </c>
      <c r="I961" s="18" t="str">
        <f>IFERROR(__xludf.DUMMYFUNCTION("IFERROR(
 INDEX(
   FILTER(Shipping_Rate_Card!B:F, Shipping_Rate_Card!A:A=$A961),
   MATCH($H961, FILTER(Shipping_Rate_Card!B:B, Shipping_Rate_Card!A:A=$A961), 1),
   IF( INDEX(Config!B:B, MATCH($A961, Config!A:A, 0))=""Local"", 2,
     IF( INDEX(Config!B"&amp;":B, MATCH($A961, Config!A:A, 0))=""Regional"", 3, 4 )
   )
 ),
"""")
"),"")</f>
        <v/>
      </c>
      <c r="J961" s="16">
        <f>IFERROR(__xludf.DUMMYFUNCTION("IFERROR(
 ( E961 * INDEX(FILTER(Pricing_Rules!E:E, Pricing_Rules!A:A=A961, Pricing_Rules!B:B=B961, Pricing_Rules!C:C&lt;=E961, Pricing_Rules!D:D&gt;=E961), 1)
   + INDEX(FILTER(Pricing_Rules!F:F, Pricing_Rules!A:A=A961, Pricing_Rules!B:B=B961, Pricing_Rules!C:C"&amp;"&lt;=E961, Pricing_Rules!D:D&gt;=E961), 1)
 )
 * (1 + IFERROR( INDEX(Config!D:D, MATCH(A961, Config!A:A, 0)), 0 )),
"""")
"),15.34)</f>
        <v>15.34</v>
      </c>
      <c r="K961" s="19">
        <f t="shared" si="3"/>
        <v>-15.34</v>
      </c>
      <c r="L961" s="20" t="str">
        <f t="shared" si="4"/>
        <v/>
      </c>
    </row>
    <row r="962" ht="15.75" customHeight="1">
      <c r="A962" s="9" t="s">
        <v>1162</v>
      </c>
      <c r="B962" s="12" t="str">
        <f t="array" ref="B962">XLOOKUP(C962, Channel_Listings!C:C, Channel_Listings!B:B)
</f>
        <v>Apparel_Tshirts</v>
      </c>
      <c r="C962" s="23" t="s">
        <v>780</v>
      </c>
      <c r="D962" s="14" t="str">
        <f t="array" ref="D962">XLOOKUP(C962, Channel_Listings!C:C, Channel_Listings!D:D)
</f>
        <v>TSHIRT-COTTONROUND-SKYBLUE-2XL</v>
      </c>
      <c r="E962" s="15"/>
      <c r="F962" s="16">
        <f t="array" ref="F962">IFERROR(
  VALUE( INDEX(Product_Master!$I:$I,
               MATCH( INDEX(Pack_Master!$B:$B, MATCH($D962, Pack_Master!$A:$A, 0)),
                      Product_Master!$B:$B, 0)
  )) 
  * VALUE( INDEX(Pack_Master!$C:$C, MATCH($D962, Pack_Master!$A:$A, 0)) )
  + VALUE( INDEX(Pack_Master!$D:$D, MATCH($D962, Pack_Master!$A:$A, 0)) ),
"")
</f>
        <v>0</v>
      </c>
      <c r="G962" s="17">
        <f t="array" ref="G962">IFERROR(
 ( INDEX(Pack_Master!E:E, MATCH($D962, Pack_Master!A:A, 0))
   * INDEX(Pack_Master!F:F, MATCH($D962, Pack_Master!A:A, 0))
   * INDEX(Pack_Master!G:G, MATCH($D962, Pack_Master!A:A, 0))
 ) / INDEX(Config!C:C, MATCH($A962, Config!A:A, 0)),
"")
</f>
        <v>0</v>
      </c>
      <c r="H962" s="17">
        <f t="array" ref="H962">MAX( INDEX(Pack_Master!H:H, MATCH($D962, Pack_Master!A:A, 0)),
      IFERROR(G962, 0) )
</f>
        <v>0</v>
      </c>
      <c r="I962" s="18" t="str">
        <f>IFERROR(__xludf.DUMMYFUNCTION("IFERROR(
 INDEX(
   FILTER(Shipping_Rate_Card!B:F, Shipping_Rate_Card!A:A=$A962),
   MATCH($H962, FILTER(Shipping_Rate_Card!B:B, Shipping_Rate_Card!A:A=$A962), 1),
   IF( INDEX(Config!B:B, MATCH($A962, Config!A:A, 0))=""Local"", 2,
     IF( INDEX(Config!B"&amp;":B, MATCH($A962, Config!A:A, 0))=""Regional"", 3, 4 )
   )
 ),
"""")
"),"")</f>
        <v/>
      </c>
      <c r="J962" s="16">
        <f>IFERROR(__xludf.DUMMYFUNCTION("IFERROR(
 ( E962 * INDEX(FILTER(Pricing_Rules!E:E, Pricing_Rules!A:A=A962, Pricing_Rules!B:B=B962, Pricing_Rules!C:C&lt;=E962, Pricing_Rules!D:D&gt;=E962), 1)
   + INDEX(FILTER(Pricing_Rules!F:F, Pricing_Rules!A:A=A962, Pricing_Rules!B:B=B962, Pricing_Rules!C:C"&amp;"&lt;=E962, Pricing_Rules!D:D&gt;=E962), 1)
 )
 * (1 + IFERROR( INDEX(Config!D:D, MATCH(A962, Config!A:A, 0)), 0 )),
"""")
"),15.34)</f>
        <v>15.34</v>
      </c>
      <c r="K962" s="19">
        <f t="shared" si="3"/>
        <v>-15.34</v>
      </c>
      <c r="L962" s="20" t="str">
        <f t="shared" si="4"/>
        <v/>
      </c>
    </row>
    <row r="963" ht="15.75" customHeight="1">
      <c r="A963" s="9" t="s">
        <v>1162</v>
      </c>
      <c r="B963" s="12" t="str">
        <f t="array" ref="B963">XLOOKUP(C963, Channel_Listings!C:C, Channel_Listings!B:B)
</f>
        <v>Apparel_Tshirts</v>
      </c>
      <c r="C963" s="23" t="s">
        <v>782</v>
      </c>
      <c r="D963" s="14" t="str">
        <f t="array" ref="D963">XLOOKUP(C963, Channel_Listings!C:C, Channel_Listings!D:D)
</f>
        <v>TSHIRT-COTTONROUND-SKYBLUE-L</v>
      </c>
      <c r="E963" s="15"/>
      <c r="F963" s="16">
        <f t="array" ref="F963">IFERROR(
  VALUE( INDEX(Product_Master!$I:$I,
               MATCH( INDEX(Pack_Master!$B:$B, MATCH($D963, Pack_Master!$A:$A, 0)),
                      Product_Master!$B:$B, 0)
  )) 
  * VALUE( INDEX(Pack_Master!$C:$C, MATCH($D963, Pack_Master!$A:$A, 0)) )
  + VALUE( INDEX(Pack_Master!$D:$D, MATCH($D963, Pack_Master!$A:$A, 0)) ),
"")
</f>
        <v>0</v>
      </c>
      <c r="G963" s="17">
        <f t="array" ref="G963">IFERROR(
 ( INDEX(Pack_Master!E:E, MATCH($D963, Pack_Master!A:A, 0))
   * INDEX(Pack_Master!F:F, MATCH($D963, Pack_Master!A:A, 0))
   * INDEX(Pack_Master!G:G, MATCH($D963, Pack_Master!A:A, 0))
 ) / INDEX(Config!C:C, MATCH($A963, Config!A:A, 0)),
"")
</f>
        <v>0</v>
      </c>
      <c r="H963" s="17">
        <f t="array" ref="H963">MAX( INDEX(Pack_Master!H:H, MATCH($D963, Pack_Master!A:A, 0)),
      IFERROR(G963, 0) )
</f>
        <v>0</v>
      </c>
      <c r="I963" s="18" t="str">
        <f>IFERROR(__xludf.DUMMYFUNCTION("IFERROR(
 INDEX(
   FILTER(Shipping_Rate_Card!B:F, Shipping_Rate_Card!A:A=$A963),
   MATCH($H963, FILTER(Shipping_Rate_Card!B:B, Shipping_Rate_Card!A:A=$A963), 1),
   IF( INDEX(Config!B:B, MATCH($A963, Config!A:A, 0))=""Local"", 2,
     IF( INDEX(Config!B"&amp;":B, MATCH($A963, Config!A:A, 0))=""Regional"", 3, 4 )
   )
 ),
"""")
"),"")</f>
        <v/>
      </c>
      <c r="J963" s="16">
        <f>IFERROR(__xludf.DUMMYFUNCTION("IFERROR(
 ( E963 * INDEX(FILTER(Pricing_Rules!E:E, Pricing_Rules!A:A=A963, Pricing_Rules!B:B=B963, Pricing_Rules!C:C&lt;=E963, Pricing_Rules!D:D&gt;=E963), 1)
   + INDEX(FILTER(Pricing_Rules!F:F, Pricing_Rules!A:A=A963, Pricing_Rules!B:B=B963, Pricing_Rules!C:C"&amp;"&lt;=E963, Pricing_Rules!D:D&gt;=E963), 1)
 )
 * (1 + IFERROR( INDEX(Config!D:D, MATCH(A963, Config!A:A, 0)), 0 )),
"""")
"),15.34)</f>
        <v>15.34</v>
      </c>
      <c r="K963" s="19">
        <f t="shared" si="3"/>
        <v>-15.34</v>
      </c>
      <c r="L963" s="20" t="str">
        <f t="shared" si="4"/>
        <v/>
      </c>
    </row>
    <row r="964" ht="15.75" customHeight="1">
      <c r="A964" s="9" t="s">
        <v>1162</v>
      </c>
      <c r="B964" s="12" t="str">
        <f t="array" ref="B964">XLOOKUP(C964, Channel_Listings!C:C, Channel_Listings!B:B)
</f>
        <v>Apparel_Tshirts</v>
      </c>
      <c r="C964" s="23" t="s">
        <v>786</v>
      </c>
      <c r="D964" s="14" t="str">
        <f t="array" ref="D964">XLOOKUP(C964, Channel_Listings!C:C, Channel_Listings!D:D)
</f>
        <v>TSHIRT-COTTONROUND-SKYBLUE-XL</v>
      </c>
      <c r="E964" s="15"/>
      <c r="F964" s="16">
        <f t="array" ref="F964">IFERROR(
  VALUE( INDEX(Product_Master!$I:$I,
               MATCH( INDEX(Pack_Master!$B:$B, MATCH($D964, Pack_Master!$A:$A, 0)),
                      Product_Master!$B:$B, 0)
  )) 
  * VALUE( INDEX(Pack_Master!$C:$C, MATCH($D964, Pack_Master!$A:$A, 0)) )
  + VALUE( INDEX(Pack_Master!$D:$D, MATCH($D964, Pack_Master!$A:$A, 0)) ),
"")
</f>
        <v>0</v>
      </c>
      <c r="G964" s="17">
        <f t="array" ref="G964">IFERROR(
 ( INDEX(Pack_Master!E:E, MATCH($D964, Pack_Master!A:A, 0))
   * INDEX(Pack_Master!F:F, MATCH($D964, Pack_Master!A:A, 0))
   * INDEX(Pack_Master!G:G, MATCH($D964, Pack_Master!A:A, 0))
 ) / INDEX(Config!C:C, MATCH($A964, Config!A:A, 0)),
"")
</f>
        <v>0</v>
      </c>
      <c r="H964" s="17">
        <f t="array" ref="H964">MAX( INDEX(Pack_Master!H:H, MATCH($D964, Pack_Master!A:A, 0)),
      IFERROR(G964, 0) )
</f>
        <v>0</v>
      </c>
      <c r="I964" s="18" t="str">
        <f>IFERROR(__xludf.DUMMYFUNCTION("IFERROR(
 INDEX(
   FILTER(Shipping_Rate_Card!B:F, Shipping_Rate_Card!A:A=$A964),
   MATCH($H964, FILTER(Shipping_Rate_Card!B:B, Shipping_Rate_Card!A:A=$A964), 1),
   IF( INDEX(Config!B:B, MATCH($A964, Config!A:A, 0))=""Local"", 2,
     IF( INDEX(Config!B"&amp;":B, MATCH($A964, Config!A:A, 0))=""Regional"", 3, 4 )
   )
 ),
"""")
"),"")</f>
        <v/>
      </c>
      <c r="J964" s="16">
        <f>IFERROR(__xludf.DUMMYFUNCTION("IFERROR(
 ( E964 * INDEX(FILTER(Pricing_Rules!E:E, Pricing_Rules!A:A=A964, Pricing_Rules!B:B=B964, Pricing_Rules!C:C&lt;=E964, Pricing_Rules!D:D&gt;=E964), 1)
   + INDEX(FILTER(Pricing_Rules!F:F, Pricing_Rules!A:A=A964, Pricing_Rules!B:B=B964, Pricing_Rules!C:C"&amp;"&lt;=E964, Pricing_Rules!D:D&gt;=E964), 1)
 )
 * (1 + IFERROR( INDEX(Config!D:D, MATCH(A964, Config!A:A, 0)), 0 )),
"""")
"),15.34)</f>
        <v>15.34</v>
      </c>
      <c r="K964" s="19">
        <f t="shared" si="3"/>
        <v>-15.34</v>
      </c>
      <c r="L964" s="20" t="str">
        <f t="shared" si="4"/>
        <v/>
      </c>
    </row>
    <row r="965" ht="15.75" customHeight="1">
      <c r="A965" s="9" t="s">
        <v>1162</v>
      </c>
      <c r="B965" s="12" t="str">
        <f t="array" ref="B965">XLOOKUP(C965, Channel_Listings!C:C, Channel_Listings!B:B)
</f>
        <v>Apparel_Tshirts</v>
      </c>
      <c r="C965" s="23" t="s">
        <v>790</v>
      </c>
      <c r="D965" s="14" t="str">
        <f t="array" ref="D965">XLOOKUP(C965, Channel_Listings!C:C, Channel_Listings!D:D)
</f>
        <v>TSHIRT-COTTONROUND-WHITE-2XL.0</v>
      </c>
      <c r="E965" s="15"/>
      <c r="F965" s="16">
        <f t="array" ref="F965">IFERROR(
  VALUE( INDEX(Product_Master!$I:$I,
               MATCH( INDEX(Pack_Master!$B:$B, MATCH($D965, Pack_Master!$A:$A, 0)),
                      Product_Master!$B:$B, 0)
  )) 
  * VALUE( INDEX(Pack_Master!$C:$C, MATCH($D965, Pack_Master!$A:$A, 0)) )
  + VALUE( INDEX(Pack_Master!$D:$D, MATCH($D965, Pack_Master!$A:$A, 0)) ),
"")
</f>
        <v>0</v>
      </c>
      <c r="G965" s="17">
        <f t="array" ref="G965">IFERROR(
 ( INDEX(Pack_Master!E:E, MATCH($D965, Pack_Master!A:A, 0))
   * INDEX(Pack_Master!F:F, MATCH($D965, Pack_Master!A:A, 0))
   * INDEX(Pack_Master!G:G, MATCH($D965, Pack_Master!A:A, 0))
 ) / INDEX(Config!C:C, MATCH($A965, Config!A:A, 0)),
"")
</f>
        <v>0</v>
      </c>
      <c r="H965" s="17">
        <f t="array" ref="H965">MAX( INDEX(Pack_Master!H:H, MATCH($D965, Pack_Master!A:A, 0)),
      IFERROR(G965, 0) )
</f>
        <v>0</v>
      </c>
      <c r="I965" s="18" t="str">
        <f>IFERROR(__xludf.DUMMYFUNCTION("IFERROR(
 INDEX(
   FILTER(Shipping_Rate_Card!B:F, Shipping_Rate_Card!A:A=$A965),
   MATCH($H965, FILTER(Shipping_Rate_Card!B:B, Shipping_Rate_Card!A:A=$A965), 1),
   IF( INDEX(Config!B:B, MATCH($A965, Config!A:A, 0))=""Local"", 2,
     IF( INDEX(Config!B"&amp;":B, MATCH($A965, Config!A:A, 0))=""Regional"", 3, 4 )
   )
 ),
"""")
"),"")</f>
        <v/>
      </c>
      <c r="J965" s="16">
        <f>IFERROR(__xludf.DUMMYFUNCTION("IFERROR(
 ( E965 * INDEX(FILTER(Pricing_Rules!E:E, Pricing_Rules!A:A=A965, Pricing_Rules!B:B=B965, Pricing_Rules!C:C&lt;=E965, Pricing_Rules!D:D&gt;=E965), 1)
   + INDEX(FILTER(Pricing_Rules!F:F, Pricing_Rules!A:A=A965, Pricing_Rules!B:B=B965, Pricing_Rules!C:C"&amp;"&lt;=E965, Pricing_Rules!D:D&gt;=E965), 1)
 )
 * (1 + IFERROR( INDEX(Config!D:D, MATCH(A965, Config!A:A, 0)), 0 )),
"""")
"),15.34)</f>
        <v>15.34</v>
      </c>
      <c r="K965" s="19">
        <f t="shared" si="3"/>
        <v>-15.34</v>
      </c>
      <c r="L965" s="20" t="str">
        <f t="shared" si="4"/>
        <v/>
      </c>
    </row>
    <row r="966" ht="15.75" customHeight="1">
      <c r="A966" s="9" t="s">
        <v>1162</v>
      </c>
      <c r="B966" s="12" t="str">
        <f t="array" ref="B966">XLOOKUP(C966, Channel_Listings!C:C, Channel_Listings!B:B)
</f>
        <v>Apparel_Tshirts</v>
      </c>
      <c r="C966" s="23" t="s">
        <v>794</v>
      </c>
      <c r="D966" s="14" t="str">
        <f t="array" ref="D966">XLOOKUP(C966, Channel_Listings!C:C, Channel_Listings!D:D)
</f>
        <v>TSHIRT-COTTONROUND-WHITE-M</v>
      </c>
      <c r="E966" s="15"/>
      <c r="F966" s="16">
        <f t="array" ref="F966">IFERROR(
  VALUE( INDEX(Product_Master!$I:$I,
               MATCH( INDEX(Pack_Master!$B:$B, MATCH($D966, Pack_Master!$A:$A, 0)),
                      Product_Master!$B:$B, 0)
  )) 
  * VALUE( INDEX(Pack_Master!$C:$C, MATCH($D966, Pack_Master!$A:$A, 0)) )
  + VALUE( INDEX(Pack_Master!$D:$D, MATCH($D966, Pack_Master!$A:$A, 0)) ),
"")
</f>
        <v>0</v>
      </c>
      <c r="G966" s="17">
        <f t="array" ref="G966">IFERROR(
 ( INDEX(Pack_Master!E:E, MATCH($D966, Pack_Master!A:A, 0))
   * INDEX(Pack_Master!F:F, MATCH($D966, Pack_Master!A:A, 0))
   * INDEX(Pack_Master!G:G, MATCH($D966, Pack_Master!A:A, 0))
 ) / INDEX(Config!C:C, MATCH($A966, Config!A:A, 0)),
"")
</f>
        <v>0</v>
      </c>
      <c r="H966" s="17">
        <f t="array" ref="H966">MAX( INDEX(Pack_Master!H:H, MATCH($D966, Pack_Master!A:A, 0)),
      IFERROR(G966, 0) )
</f>
        <v>0</v>
      </c>
      <c r="I966" s="18" t="str">
        <f>IFERROR(__xludf.DUMMYFUNCTION("IFERROR(
 INDEX(
   FILTER(Shipping_Rate_Card!B:F, Shipping_Rate_Card!A:A=$A966),
   MATCH($H966, FILTER(Shipping_Rate_Card!B:B, Shipping_Rate_Card!A:A=$A966), 1),
   IF( INDEX(Config!B:B, MATCH($A966, Config!A:A, 0))=""Local"", 2,
     IF( INDEX(Config!B"&amp;":B, MATCH($A966, Config!A:A, 0))=""Regional"", 3, 4 )
   )
 ),
"""")
"),"")</f>
        <v/>
      </c>
      <c r="J966" s="16">
        <f>IFERROR(__xludf.DUMMYFUNCTION("IFERROR(
 ( E966 * INDEX(FILTER(Pricing_Rules!E:E, Pricing_Rules!A:A=A966, Pricing_Rules!B:B=B966, Pricing_Rules!C:C&lt;=E966, Pricing_Rules!D:D&gt;=E966), 1)
   + INDEX(FILTER(Pricing_Rules!F:F, Pricing_Rules!A:A=A966, Pricing_Rules!B:B=B966, Pricing_Rules!C:C"&amp;"&lt;=E966, Pricing_Rules!D:D&gt;=E966), 1)
 )
 * (1 + IFERROR( INDEX(Config!D:D, MATCH(A966, Config!A:A, 0)), 0 )),
"""")
"),15.34)</f>
        <v>15.34</v>
      </c>
      <c r="K966" s="19">
        <f t="shared" si="3"/>
        <v>-15.34</v>
      </c>
      <c r="L966" s="20" t="str">
        <f t="shared" si="4"/>
        <v/>
      </c>
    </row>
    <row r="967" ht="15.75" customHeight="1">
      <c r="A967" s="9" t="s">
        <v>1162</v>
      </c>
      <c r="B967" s="12" t="str">
        <f t="array" ref="B967">XLOOKUP(C967, Channel_Listings!C:C, Channel_Listings!B:B)
</f>
        <v>Apparel_Tshirts</v>
      </c>
      <c r="C967" s="23" t="s">
        <v>1483</v>
      </c>
      <c r="D967" s="14" t="str">
        <f t="array" ref="D967">XLOOKUP(C967, Channel_Listings!C:C, Channel_Listings!D:D)
</f>
        <v>TSHIRT-COTTONROUND-WHITE-M</v>
      </c>
      <c r="E967" s="15"/>
      <c r="F967" s="16">
        <f t="array" ref="F967">IFERROR(
  VALUE( INDEX(Product_Master!$I:$I,
               MATCH( INDEX(Pack_Master!$B:$B, MATCH($D967, Pack_Master!$A:$A, 0)),
                      Product_Master!$B:$B, 0)
  )) 
  * VALUE( INDEX(Pack_Master!$C:$C, MATCH($D967, Pack_Master!$A:$A, 0)) )
  + VALUE( INDEX(Pack_Master!$D:$D, MATCH($D967, Pack_Master!$A:$A, 0)) ),
"")
</f>
        <v>0</v>
      </c>
      <c r="G967" s="17">
        <f t="array" ref="G967">IFERROR(
 ( INDEX(Pack_Master!E:E, MATCH($D967, Pack_Master!A:A, 0))
   * INDEX(Pack_Master!F:F, MATCH($D967, Pack_Master!A:A, 0))
   * INDEX(Pack_Master!G:G, MATCH($D967, Pack_Master!A:A, 0))
 ) / INDEX(Config!C:C, MATCH($A967, Config!A:A, 0)),
"")
</f>
        <v>0</v>
      </c>
      <c r="H967" s="17">
        <f t="array" ref="H967">MAX( INDEX(Pack_Master!H:H, MATCH($D967, Pack_Master!A:A, 0)),
      IFERROR(G967, 0) )
</f>
        <v>0</v>
      </c>
      <c r="I967" s="18" t="str">
        <f>IFERROR(__xludf.DUMMYFUNCTION("IFERROR(
 INDEX(
   FILTER(Shipping_Rate_Card!B:F, Shipping_Rate_Card!A:A=$A967),
   MATCH($H967, FILTER(Shipping_Rate_Card!B:B, Shipping_Rate_Card!A:A=$A967), 1),
   IF( INDEX(Config!B:B, MATCH($A967, Config!A:A, 0))=""Local"", 2,
     IF( INDEX(Config!B"&amp;":B, MATCH($A967, Config!A:A, 0))=""Regional"", 3, 4 )
   )
 ),
"""")
"),"")</f>
        <v/>
      </c>
      <c r="J967" s="16">
        <f>IFERROR(__xludf.DUMMYFUNCTION("IFERROR(
 ( E967 * INDEX(FILTER(Pricing_Rules!E:E, Pricing_Rules!A:A=A967, Pricing_Rules!B:B=B967, Pricing_Rules!C:C&lt;=E967, Pricing_Rules!D:D&gt;=E967), 1)
   + INDEX(FILTER(Pricing_Rules!F:F, Pricing_Rules!A:A=A967, Pricing_Rules!B:B=B967, Pricing_Rules!C:C"&amp;"&lt;=E967, Pricing_Rules!D:D&gt;=E967), 1)
 )
 * (1 + IFERROR( INDEX(Config!D:D, MATCH(A967, Config!A:A, 0)), 0 )),
"""")
"),15.34)</f>
        <v>15.34</v>
      </c>
      <c r="K967" s="19">
        <f t="shared" si="3"/>
        <v>-15.34</v>
      </c>
      <c r="L967" s="20" t="str">
        <f t="shared" si="4"/>
        <v/>
      </c>
    </row>
    <row r="968" ht="15.75" customHeight="1">
      <c r="A968" s="9" t="s">
        <v>1162</v>
      </c>
      <c r="B968" s="12" t="str">
        <f t="array" ref="B968">XLOOKUP(C968, Channel_Listings!C:C, Channel_Listings!B:B)
</f>
        <v>Apparel_Tshirts</v>
      </c>
      <c r="C968" s="23" t="s">
        <v>796</v>
      </c>
      <c r="D968" s="14" t="str">
        <f t="array" ref="D968">XLOOKUP(C968, Channel_Listings!C:C, Channel_Listings!D:D)
</f>
        <v>TSHIRT-COTTONROUND-WHITE-XL</v>
      </c>
      <c r="E968" s="15"/>
      <c r="F968" s="16">
        <f t="array" ref="F968">IFERROR(
  VALUE( INDEX(Product_Master!$I:$I,
               MATCH( INDEX(Pack_Master!$B:$B, MATCH($D968, Pack_Master!$A:$A, 0)),
                      Product_Master!$B:$B, 0)
  )) 
  * VALUE( INDEX(Pack_Master!$C:$C, MATCH($D968, Pack_Master!$A:$A, 0)) )
  + VALUE( INDEX(Pack_Master!$D:$D, MATCH($D968, Pack_Master!$A:$A, 0)) ),
"")
</f>
        <v>0</v>
      </c>
      <c r="G968" s="17">
        <f t="array" ref="G968">IFERROR(
 ( INDEX(Pack_Master!E:E, MATCH($D968, Pack_Master!A:A, 0))
   * INDEX(Pack_Master!F:F, MATCH($D968, Pack_Master!A:A, 0))
   * INDEX(Pack_Master!G:G, MATCH($D968, Pack_Master!A:A, 0))
 ) / INDEX(Config!C:C, MATCH($A968, Config!A:A, 0)),
"")
</f>
        <v>0</v>
      </c>
      <c r="H968" s="17">
        <f t="array" ref="H968">MAX( INDEX(Pack_Master!H:H, MATCH($D968, Pack_Master!A:A, 0)),
      IFERROR(G968, 0) )
</f>
        <v>0</v>
      </c>
      <c r="I968" s="18" t="str">
        <f>IFERROR(__xludf.DUMMYFUNCTION("IFERROR(
 INDEX(
   FILTER(Shipping_Rate_Card!B:F, Shipping_Rate_Card!A:A=$A968),
   MATCH($H968, FILTER(Shipping_Rate_Card!B:B, Shipping_Rate_Card!A:A=$A968), 1),
   IF( INDEX(Config!B:B, MATCH($A968, Config!A:A, 0))=""Local"", 2,
     IF( INDEX(Config!B"&amp;":B, MATCH($A968, Config!A:A, 0))=""Regional"", 3, 4 )
   )
 ),
"""")
"),"")</f>
        <v/>
      </c>
      <c r="J968" s="16">
        <f>IFERROR(__xludf.DUMMYFUNCTION("IFERROR(
 ( E968 * INDEX(FILTER(Pricing_Rules!E:E, Pricing_Rules!A:A=A968, Pricing_Rules!B:B=B968, Pricing_Rules!C:C&lt;=E968, Pricing_Rules!D:D&gt;=E968), 1)
   + INDEX(FILTER(Pricing_Rules!F:F, Pricing_Rules!A:A=A968, Pricing_Rules!B:B=B968, Pricing_Rules!C:C"&amp;"&lt;=E968, Pricing_Rules!D:D&gt;=E968), 1)
 )
 * (1 + IFERROR( INDEX(Config!D:D, MATCH(A968, Config!A:A, 0)), 0 )),
"""")
"),15.34)</f>
        <v>15.34</v>
      </c>
      <c r="K968" s="19">
        <f t="shared" si="3"/>
        <v>-15.34</v>
      </c>
      <c r="L968" s="20" t="str">
        <f t="shared" si="4"/>
        <v/>
      </c>
    </row>
    <row r="969" ht="15.75" customHeight="1">
      <c r="A969" s="9" t="s">
        <v>1162</v>
      </c>
      <c r="B969" s="12" t="str">
        <f t="array" ref="B969">XLOOKUP(C969, Channel_Listings!C:C, Channel_Listings!B:B)
</f>
        <v>Apparel_Tshirts</v>
      </c>
      <c r="C969" s="23" t="s">
        <v>1486</v>
      </c>
      <c r="D969" s="14" t="str">
        <f t="array" ref="D969">XLOOKUP(C969, Channel_Listings!C:C, Channel_Listings!D:D)
</f>
        <v>TSHIRT-COTTONROUND-MUSTARDYELLOW-L</v>
      </c>
      <c r="E969" s="15"/>
      <c r="F969" s="16">
        <f t="array" ref="F969">IFERROR(
  VALUE( INDEX(Product_Master!$I:$I,
               MATCH( INDEX(Pack_Master!$B:$B, MATCH($D969, Pack_Master!$A:$A, 0)),
                      Product_Master!$B:$B, 0)
  )) 
  * VALUE( INDEX(Pack_Master!$C:$C, MATCH($D969, Pack_Master!$A:$A, 0)) )
  + VALUE( INDEX(Pack_Master!$D:$D, MATCH($D969, Pack_Master!$A:$A, 0)) ),
"")
</f>
        <v>0</v>
      </c>
      <c r="G969" s="17">
        <f t="array" ref="G969">IFERROR(
 ( INDEX(Pack_Master!E:E, MATCH($D969, Pack_Master!A:A, 0))
   * INDEX(Pack_Master!F:F, MATCH($D969, Pack_Master!A:A, 0))
   * INDEX(Pack_Master!G:G, MATCH($D969, Pack_Master!A:A, 0))
 ) / INDEX(Config!C:C, MATCH($A969, Config!A:A, 0)),
"")
</f>
        <v>0</v>
      </c>
      <c r="H969" s="17">
        <f t="array" ref="H969">MAX( INDEX(Pack_Master!H:H, MATCH($D969, Pack_Master!A:A, 0)),
      IFERROR(G969, 0) )
</f>
        <v>0</v>
      </c>
      <c r="I969" s="18" t="str">
        <f>IFERROR(__xludf.DUMMYFUNCTION("IFERROR(
 INDEX(
   FILTER(Shipping_Rate_Card!B:F, Shipping_Rate_Card!A:A=$A969),
   MATCH($H969, FILTER(Shipping_Rate_Card!B:B, Shipping_Rate_Card!A:A=$A969), 1),
   IF( INDEX(Config!B:B, MATCH($A969, Config!A:A, 0))=""Local"", 2,
     IF( INDEX(Config!B"&amp;":B, MATCH($A969, Config!A:A, 0))=""Regional"", 3, 4 )
   )
 ),
"""")
"),"")</f>
        <v/>
      </c>
      <c r="J969" s="16">
        <f>IFERROR(__xludf.DUMMYFUNCTION("IFERROR(
 ( E969 * INDEX(FILTER(Pricing_Rules!E:E, Pricing_Rules!A:A=A969, Pricing_Rules!B:B=B969, Pricing_Rules!C:C&lt;=E969, Pricing_Rules!D:D&gt;=E969), 1)
   + INDEX(FILTER(Pricing_Rules!F:F, Pricing_Rules!A:A=A969, Pricing_Rules!B:B=B969, Pricing_Rules!C:C"&amp;"&lt;=E969, Pricing_Rules!D:D&gt;=E969), 1)
 )
 * (1 + IFERROR( INDEX(Config!D:D, MATCH(A969, Config!A:A, 0)), 0 )),
"""")
"),15.34)</f>
        <v>15.34</v>
      </c>
      <c r="K969" s="19">
        <f t="shared" si="3"/>
        <v>-15.34</v>
      </c>
      <c r="L969" s="20" t="str">
        <f t="shared" si="4"/>
        <v/>
      </c>
    </row>
    <row r="970" ht="15.75" customHeight="1">
      <c r="A970" s="9" t="s">
        <v>1162</v>
      </c>
      <c r="B970" s="12" t="str">
        <f t="array" ref="B970">XLOOKUP(C970, Channel_Listings!C:C, Channel_Listings!B:B)
</f>
        <v>Apparel_Tshirts</v>
      </c>
      <c r="C970" s="23" t="s">
        <v>1488</v>
      </c>
      <c r="D970" s="14" t="str">
        <f t="array" ref="D970">XLOOKUP(C970, Channel_Listings!C:C, Channel_Listings!D:D)
</f>
        <v>TSHIRT-COTTONROUND-MUSTARDYELLOW-M</v>
      </c>
      <c r="E970" s="15"/>
      <c r="F970" s="16">
        <f t="array" ref="F970">IFERROR(
  VALUE( INDEX(Product_Master!$I:$I,
               MATCH( INDEX(Pack_Master!$B:$B, MATCH($D970, Pack_Master!$A:$A, 0)),
                      Product_Master!$B:$B, 0)
  )) 
  * VALUE( INDEX(Pack_Master!$C:$C, MATCH($D970, Pack_Master!$A:$A, 0)) )
  + VALUE( INDEX(Pack_Master!$D:$D, MATCH($D970, Pack_Master!$A:$A, 0)) ),
"")
</f>
        <v>0</v>
      </c>
      <c r="G970" s="17">
        <f t="array" ref="G970">IFERROR(
 ( INDEX(Pack_Master!E:E, MATCH($D970, Pack_Master!A:A, 0))
   * INDEX(Pack_Master!F:F, MATCH($D970, Pack_Master!A:A, 0))
   * INDEX(Pack_Master!G:G, MATCH($D970, Pack_Master!A:A, 0))
 ) / INDEX(Config!C:C, MATCH($A970, Config!A:A, 0)),
"")
</f>
        <v>0</v>
      </c>
      <c r="H970" s="17">
        <f t="array" ref="H970">MAX( INDEX(Pack_Master!H:H, MATCH($D970, Pack_Master!A:A, 0)),
      IFERROR(G970, 0) )
</f>
        <v>0</v>
      </c>
      <c r="I970" s="18" t="str">
        <f>IFERROR(__xludf.DUMMYFUNCTION("IFERROR(
 INDEX(
   FILTER(Shipping_Rate_Card!B:F, Shipping_Rate_Card!A:A=$A970),
   MATCH($H970, FILTER(Shipping_Rate_Card!B:B, Shipping_Rate_Card!A:A=$A970), 1),
   IF( INDEX(Config!B:B, MATCH($A970, Config!A:A, 0))=""Local"", 2,
     IF( INDEX(Config!B"&amp;":B, MATCH($A970, Config!A:A, 0))=""Regional"", 3, 4 )
   )
 ),
"""")
"),"")</f>
        <v/>
      </c>
      <c r="J970" s="16">
        <f>IFERROR(__xludf.DUMMYFUNCTION("IFERROR(
 ( E970 * INDEX(FILTER(Pricing_Rules!E:E, Pricing_Rules!A:A=A970, Pricing_Rules!B:B=B970, Pricing_Rules!C:C&lt;=E970, Pricing_Rules!D:D&gt;=E970), 1)
   + INDEX(FILTER(Pricing_Rules!F:F, Pricing_Rules!A:A=A970, Pricing_Rules!B:B=B970, Pricing_Rules!C:C"&amp;"&lt;=E970, Pricing_Rules!D:D&gt;=E970), 1)
 )
 * (1 + IFERROR( INDEX(Config!D:D, MATCH(A970, Config!A:A, 0)), 0 )),
"""")
"),15.34)</f>
        <v>15.34</v>
      </c>
      <c r="K970" s="19">
        <f t="shared" si="3"/>
        <v>-15.34</v>
      </c>
      <c r="L970" s="20" t="str">
        <f t="shared" si="4"/>
        <v/>
      </c>
    </row>
    <row r="971" ht="15.75" customHeight="1">
      <c r="A971" s="9" t="s">
        <v>1162</v>
      </c>
      <c r="B971" s="12" t="str">
        <f t="array" ref="B971">XLOOKUP(C971, Channel_Listings!C:C, Channel_Listings!B:B)
</f>
        <v>Apparel_Tshirts</v>
      </c>
      <c r="C971" s="23" t="s">
        <v>1490</v>
      </c>
      <c r="D971" s="14" t="str">
        <f t="array" ref="D971">XLOOKUP(C971, Channel_Listings!C:C, Channel_Listings!D:D)
</f>
        <v>TSHIRT-COTTONROUND-MUSTARDYELLOW-XL</v>
      </c>
      <c r="E971" s="15"/>
      <c r="F971" s="16">
        <f t="array" ref="F971">IFERROR(
  VALUE( INDEX(Product_Master!$I:$I,
               MATCH( INDEX(Pack_Master!$B:$B, MATCH($D971, Pack_Master!$A:$A, 0)),
                      Product_Master!$B:$B, 0)
  )) 
  * VALUE( INDEX(Pack_Master!$C:$C, MATCH($D971, Pack_Master!$A:$A, 0)) )
  + VALUE( INDEX(Pack_Master!$D:$D, MATCH($D971, Pack_Master!$A:$A, 0)) ),
"")
</f>
        <v>0</v>
      </c>
      <c r="G971" s="17">
        <f t="array" ref="G971">IFERROR(
 ( INDEX(Pack_Master!E:E, MATCH($D971, Pack_Master!A:A, 0))
   * INDEX(Pack_Master!F:F, MATCH($D971, Pack_Master!A:A, 0))
   * INDEX(Pack_Master!G:G, MATCH($D971, Pack_Master!A:A, 0))
 ) / INDEX(Config!C:C, MATCH($A971, Config!A:A, 0)),
"")
</f>
        <v>0</v>
      </c>
      <c r="H971" s="17">
        <f t="array" ref="H971">MAX( INDEX(Pack_Master!H:H, MATCH($D971, Pack_Master!A:A, 0)),
      IFERROR(G971, 0) )
</f>
        <v>0</v>
      </c>
      <c r="I971" s="18" t="str">
        <f>IFERROR(__xludf.DUMMYFUNCTION("IFERROR(
 INDEX(
   FILTER(Shipping_Rate_Card!B:F, Shipping_Rate_Card!A:A=$A971),
   MATCH($H971, FILTER(Shipping_Rate_Card!B:B, Shipping_Rate_Card!A:A=$A971), 1),
   IF( INDEX(Config!B:B, MATCH($A971, Config!A:A, 0))=""Local"", 2,
     IF( INDEX(Config!B"&amp;":B, MATCH($A971, Config!A:A, 0))=""Regional"", 3, 4 )
   )
 ),
"""")
"),"")</f>
        <v/>
      </c>
      <c r="J971" s="16">
        <f>IFERROR(__xludf.DUMMYFUNCTION("IFERROR(
 ( E971 * INDEX(FILTER(Pricing_Rules!E:E, Pricing_Rules!A:A=A971, Pricing_Rules!B:B=B971, Pricing_Rules!C:C&lt;=E971, Pricing_Rules!D:D&gt;=E971), 1)
   + INDEX(FILTER(Pricing_Rules!F:F, Pricing_Rules!A:A=A971, Pricing_Rules!B:B=B971, Pricing_Rules!C:C"&amp;"&lt;=E971, Pricing_Rules!D:D&gt;=E971), 1)
 )
 * (1 + IFERROR( INDEX(Config!D:D, MATCH(A971, Config!A:A, 0)), 0 )),
"""")
"),15.34)</f>
        <v>15.34</v>
      </c>
      <c r="K971" s="19">
        <f t="shared" si="3"/>
        <v>-15.34</v>
      </c>
      <c r="L971" s="20" t="str">
        <f t="shared" si="4"/>
        <v/>
      </c>
    </row>
    <row r="972" ht="15.75" customHeight="1">
      <c r="A972" s="9" t="s">
        <v>1162</v>
      </c>
      <c r="B972" s="12" t="str">
        <f t="array" ref="B972">XLOOKUP(C972, Channel_Listings!C:C, Channel_Listings!B:B)
</f>
        <v>Automotive_FaceMasks</v>
      </c>
      <c r="C972" s="23" t="s">
        <v>1492</v>
      </c>
      <c r="D972" s="14" t="str">
        <f t="array" ref="D972">XLOOKUP(C972, Channel_Listings!C:C, Channel_Listings!D:D)
</f>
        <v>BANDANA-PATTERN-MULTICOLOR-PK5</v>
      </c>
      <c r="E972" s="15"/>
      <c r="F972" s="16">
        <f t="array" ref="F972">IFERROR(
  VALUE( INDEX(Product_Master!$I:$I,
               MATCH( INDEX(Pack_Master!$B:$B, MATCH($D972, Pack_Master!$A:$A, 0)),
                      Product_Master!$B:$B, 0)
  )) 
  * VALUE( INDEX(Pack_Master!$C:$C, MATCH($D972, Pack_Master!$A:$A, 0)) )
  + VALUE( INDEX(Pack_Master!$D:$D, MATCH($D972, Pack_Master!$A:$A, 0)) ),
"")
</f>
        <v>0</v>
      </c>
      <c r="G972" s="17">
        <f t="array" ref="G972">IFERROR(
 ( INDEX(Pack_Master!E:E, MATCH($D972, Pack_Master!A:A, 0))
   * INDEX(Pack_Master!F:F, MATCH($D972, Pack_Master!A:A, 0))
   * INDEX(Pack_Master!G:G, MATCH($D972, Pack_Master!A:A, 0))
 ) / INDEX(Config!C:C, MATCH($A972, Config!A:A, 0)),
"")
</f>
        <v>0</v>
      </c>
      <c r="H972" s="17">
        <f t="array" ref="H972">MAX( INDEX(Pack_Master!H:H, MATCH($D972, Pack_Master!A:A, 0)),
      IFERROR(G972, 0) )
</f>
        <v>0</v>
      </c>
      <c r="I972" s="18" t="str">
        <f>IFERROR(__xludf.DUMMYFUNCTION("IFERROR(
 INDEX(
   FILTER(Shipping_Rate_Card!B:F, Shipping_Rate_Card!A:A=$A972),
   MATCH($H972, FILTER(Shipping_Rate_Card!B:B, Shipping_Rate_Card!A:A=$A972), 1),
   IF( INDEX(Config!B:B, MATCH($A972, Config!A:A, 0))=""Local"", 2,
     IF( INDEX(Config!B"&amp;":B, MATCH($A972, Config!A:A, 0))=""Regional"", 3, 4 )
   )
 ),
"""")
"),"")</f>
        <v/>
      </c>
      <c r="J972" s="16">
        <f>IFERROR(__xludf.DUMMYFUNCTION("IFERROR(
 ( E972 * INDEX(FILTER(Pricing_Rules!E:E, Pricing_Rules!A:A=A972, Pricing_Rules!B:B=B972, Pricing_Rules!C:C&lt;=E972, Pricing_Rules!D:D&gt;=E972), 1)
   + INDEX(FILTER(Pricing_Rules!F:F, Pricing_Rules!A:A=A972, Pricing_Rules!B:B=B972, Pricing_Rules!C:C"&amp;"&lt;=E972, Pricing_Rules!D:D&gt;=E972), 1)
 )
 * (1 + IFERROR( INDEX(Config!D:D, MATCH(A972, Config!A:A, 0)), 0 )),
"""")
"),0.0)</f>
        <v>0</v>
      </c>
      <c r="K972" s="19">
        <f t="shared" si="3"/>
        <v>0</v>
      </c>
      <c r="L972" s="20" t="str">
        <f t="shared" si="4"/>
        <v/>
      </c>
    </row>
    <row r="973" ht="15.75" customHeight="1">
      <c r="A973" s="9" t="s">
        <v>1162</v>
      </c>
      <c r="B973" s="12" t="str">
        <f t="array" ref="B973">XLOOKUP(C973, Channel_Listings!C:C, Channel_Listings!B:B)
</f>
        <v>Apparel_Caps_Beanies</v>
      </c>
      <c r="C973" s="23" t="s">
        <v>1494</v>
      </c>
      <c r="D973" s="14" t="str">
        <f t="array" ref="D973">XLOOKUP(C973, Channel_Listings!C:C, Channel_Listings!D:D)
</f>
        <v>CAP-BASEBALL-PLAIN-CAMOUFLAGE</v>
      </c>
      <c r="E973" s="15"/>
      <c r="F973" s="16">
        <f t="array" ref="F973">IFERROR(
  VALUE( INDEX(Product_Master!$I:$I,
               MATCH( INDEX(Pack_Master!$B:$B, MATCH($D973, Pack_Master!$A:$A, 0)),
                      Product_Master!$B:$B, 0)
  )) 
  * VALUE( INDEX(Pack_Master!$C:$C, MATCH($D973, Pack_Master!$A:$A, 0)) )
  + VALUE( INDEX(Pack_Master!$D:$D, MATCH($D973, Pack_Master!$A:$A, 0)) ),
"")
</f>
        <v>89</v>
      </c>
      <c r="G973" s="17">
        <f t="array" ref="G973">IFERROR(
 ( INDEX(Pack_Master!E:E, MATCH($D973, Pack_Master!A:A, 0))
   * INDEX(Pack_Master!F:F, MATCH($D973, Pack_Master!A:A, 0))
   * INDEX(Pack_Master!G:G, MATCH($D973, Pack_Master!A:A, 0))
 ) / INDEX(Config!C:C, MATCH($A973, Config!A:A, 0)),
"")
</f>
        <v>0.375</v>
      </c>
      <c r="H973" s="17">
        <f t="array" ref="H973">MAX( INDEX(Pack_Master!H:H, MATCH($D973, Pack_Master!A:A, 0)),
      IFERROR(G973, 0) )
</f>
        <v>0.5</v>
      </c>
      <c r="I973" s="18">
        <f>IFERROR(__xludf.DUMMYFUNCTION("IFERROR(
 INDEX(
   FILTER(Shipping_Rate_Card!B:F, Shipping_Rate_Card!A:A=$A973),
   MATCH($H973, FILTER(Shipping_Rate_Card!B:B, Shipping_Rate_Card!A:A=$A973), 1),
   IF( INDEX(Config!B:B, MATCH($A973, Config!A:A, 0))=""Local"", 2,
     IF( INDEX(Config!B"&amp;":B, MATCH($A973, Config!A:A, 0))=""Regional"", 3, 4 )
   )
 ),
"""")
"),75.0)</f>
        <v>75</v>
      </c>
      <c r="J973" s="16">
        <f>IFERROR(__xludf.DUMMYFUNCTION("IFERROR(
 ( E973 * INDEX(FILTER(Pricing_Rules!E:E, Pricing_Rules!A:A=A973, Pricing_Rules!B:B=B973, Pricing_Rules!C:C&lt;=E973, Pricing_Rules!D:D&gt;=E973), 1)
   + INDEX(FILTER(Pricing_Rules!F:F, Pricing_Rules!A:A=A973, Pricing_Rules!B:B=B973, Pricing_Rules!C:C"&amp;"&lt;=E973, Pricing_Rules!D:D&gt;=E973), 1)
 )
 * (1 + IFERROR( INDEX(Config!D:D, MATCH(A973, Config!A:A, 0)), 0 )),
"""")
"),15.34)</f>
        <v>15.34</v>
      </c>
      <c r="K973" s="19">
        <f t="shared" si="3"/>
        <v>-179.34</v>
      </c>
      <c r="L973" s="20" t="str">
        <f t="shared" si="4"/>
        <v/>
      </c>
    </row>
    <row r="974" ht="15.75" customHeight="1">
      <c r="A974" s="9" t="s">
        <v>1162</v>
      </c>
      <c r="B974" s="12" t="str">
        <f t="array" ref="B974">XLOOKUP(C974, Channel_Listings!C:C, Channel_Listings!B:B)
</f>
        <v>Apparel_Caps_Beanies</v>
      </c>
      <c r="C974" s="23" t="s">
        <v>1496</v>
      </c>
      <c r="D974" s="14" t="str">
        <f t="array" ref="D974">XLOOKUP(C974, Channel_Listings!C:C, Channel_Listings!D:D)
</f>
        <v>CAP-BASEBALL-PLAIN-BLACK</v>
      </c>
      <c r="E974" s="15"/>
      <c r="F974" s="16">
        <f t="array" ref="F974">IFERROR(
  VALUE( INDEX(Product_Master!$I:$I,
               MATCH( INDEX(Pack_Master!$B:$B, MATCH($D974, Pack_Master!$A:$A, 0)),
                      Product_Master!$B:$B, 0)
  )) 
  * VALUE( INDEX(Pack_Master!$C:$C, MATCH($D974, Pack_Master!$A:$A, 0)) )
  + VALUE( INDEX(Pack_Master!$D:$D, MATCH($D974, Pack_Master!$A:$A, 0)) ),
"")
</f>
        <v>89</v>
      </c>
      <c r="G974" s="17">
        <f t="array" ref="G974">IFERROR(
 ( INDEX(Pack_Master!E:E, MATCH($D974, Pack_Master!A:A, 0))
   * INDEX(Pack_Master!F:F, MATCH($D974, Pack_Master!A:A, 0))
   * INDEX(Pack_Master!G:G, MATCH($D974, Pack_Master!A:A, 0))
 ) / INDEX(Config!C:C, MATCH($A974, Config!A:A, 0)),
"")
</f>
        <v>0.375</v>
      </c>
      <c r="H974" s="17">
        <f t="array" ref="H974">MAX( INDEX(Pack_Master!H:H, MATCH($D974, Pack_Master!A:A, 0)),
      IFERROR(G974, 0) )
</f>
        <v>0.5</v>
      </c>
      <c r="I974" s="18">
        <f>IFERROR(__xludf.DUMMYFUNCTION("IFERROR(
 INDEX(
   FILTER(Shipping_Rate_Card!B:F, Shipping_Rate_Card!A:A=$A974),
   MATCH($H974, FILTER(Shipping_Rate_Card!B:B, Shipping_Rate_Card!A:A=$A974), 1),
   IF( INDEX(Config!B:B, MATCH($A974, Config!A:A, 0))=""Local"", 2,
     IF( INDEX(Config!B"&amp;":B, MATCH($A974, Config!A:A, 0))=""Regional"", 3, 4 )
   )
 ),
"""")
"),75.0)</f>
        <v>75</v>
      </c>
      <c r="J974" s="16">
        <f>IFERROR(__xludf.DUMMYFUNCTION("IFERROR(
 ( E974 * INDEX(FILTER(Pricing_Rules!E:E, Pricing_Rules!A:A=A974, Pricing_Rules!B:B=B974, Pricing_Rules!C:C&lt;=E974, Pricing_Rules!D:D&gt;=E974), 1)
   + INDEX(FILTER(Pricing_Rules!F:F, Pricing_Rules!A:A=A974, Pricing_Rules!B:B=B974, Pricing_Rules!C:C"&amp;"&lt;=E974, Pricing_Rules!D:D&gt;=E974), 1)
 )
 * (1 + IFERROR( INDEX(Config!D:D, MATCH(A974, Config!A:A, 0)), 0 )),
"""")
"),15.34)</f>
        <v>15.34</v>
      </c>
      <c r="K974" s="19">
        <f t="shared" si="3"/>
        <v>-179.34</v>
      </c>
      <c r="L974" s="20" t="str">
        <f t="shared" si="4"/>
        <v/>
      </c>
    </row>
    <row r="975" ht="15.75" customHeight="1">
      <c r="A975" s="9" t="s">
        <v>1162</v>
      </c>
      <c r="B975" s="12" t="str">
        <f t="array" ref="B975">XLOOKUP(C975, Channel_Listings!C:C, Channel_Listings!B:B)
</f>
        <v>Apparel_Caps_Beanies</v>
      </c>
      <c r="C975" s="23" t="s">
        <v>1498</v>
      </c>
      <c r="D975" s="14" t="str">
        <f t="array" ref="D975">XLOOKUP(C975, Channel_Listings!C:C, Channel_Listings!D:D)
</f>
        <v>CAP-BASEBALL-NET-HALF-BLACK</v>
      </c>
      <c r="E975" s="15"/>
      <c r="F975" s="16">
        <f t="array" ref="F975">IFERROR(
  VALUE( INDEX(Product_Master!$I:$I,
               MATCH( INDEX(Pack_Master!$B:$B, MATCH($D975, Pack_Master!$A:$A, 0)),
                      Product_Master!$B:$B, 0)
  )) 
  * VALUE( INDEX(Pack_Master!$C:$C, MATCH($D975, Pack_Master!$A:$A, 0)) )
  + VALUE( INDEX(Pack_Master!$D:$D, MATCH($D975, Pack_Master!$A:$A, 0)) ),
"")
</f>
        <v>70</v>
      </c>
      <c r="G975" s="17">
        <f t="array" ref="G975">IFERROR(
 ( INDEX(Pack_Master!E:E, MATCH($D975, Pack_Master!A:A, 0))
   * INDEX(Pack_Master!F:F, MATCH($D975, Pack_Master!A:A, 0))
   * INDEX(Pack_Master!G:G, MATCH($D975, Pack_Master!A:A, 0))
 ) / INDEX(Config!C:C, MATCH($A975, Config!A:A, 0)),
"")
</f>
        <v>0.375</v>
      </c>
      <c r="H975" s="17">
        <f t="array" ref="H975">MAX( INDEX(Pack_Master!H:H, MATCH($D975, Pack_Master!A:A, 0)),
      IFERROR(G975, 0) )
</f>
        <v>0.5</v>
      </c>
      <c r="I975" s="18">
        <f>IFERROR(__xludf.DUMMYFUNCTION("IFERROR(
 INDEX(
   FILTER(Shipping_Rate_Card!B:F, Shipping_Rate_Card!A:A=$A975),
   MATCH($H975, FILTER(Shipping_Rate_Card!B:B, Shipping_Rate_Card!A:A=$A975), 1),
   IF( INDEX(Config!B:B, MATCH($A975, Config!A:A, 0))=""Local"", 2,
     IF( INDEX(Config!B"&amp;":B, MATCH($A975, Config!A:A, 0))=""Regional"", 3, 4 )
   )
 ),
"""")
"),75.0)</f>
        <v>75</v>
      </c>
      <c r="J975" s="16">
        <f>IFERROR(__xludf.DUMMYFUNCTION("IFERROR(
 ( E975 * INDEX(FILTER(Pricing_Rules!E:E, Pricing_Rules!A:A=A975, Pricing_Rules!B:B=B975, Pricing_Rules!C:C&lt;=E975, Pricing_Rules!D:D&gt;=E975), 1)
   + INDEX(FILTER(Pricing_Rules!F:F, Pricing_Rules!A:A=A975, Pricing_Rules!B:B=B975, Pricing_Rules!C:C"&amp;"&lt;=E975, Pricing_Rules!D:D&gt;=E975), 1)
 )
 * (1 + IFERROR( INDEX(Config!D:D, MATCH(A975, Config!A:A, 0)), 0 )),
"""")
"),15.34)</f>
        <v>15.34</v>
      </c>
      <c r="K975" s="19">
        <f t="shared" si="3"/>
        <v>-160.34</v>
      </c>
      <c r="L975" s="20" t="str">
        <f t="shared" si="4"/>
        <v/>
      </c>
    </row>
    <row r="976" ht="15.75" customHeight="1">
      <c r="A976" s="9" t="s">
        <v>1162</v>
      </c>
      <c r="B976" s="12" t="str">
        <f t="array" ref="B976">XLOOKUP(C976, Channel_Listings!C:C, Channel_Listings!B:B)
</f>
        <v>Apparel_Caps_Beanies</v>
      </c>
      <c r="C976" s="23" t="s">
        <v>1500</v>
      </c>
      <c r="D976" s="14" t="str">
        <f t="array" ref="D976">XLOOKUP(C976, Channel_Listings!C:C, Channel_Listings!D:D)
</f>
        <v>CAP-BASEBALL-NET-HALF-CHARCOAL</v>
      </c>
      <c r="E976" s="15"/>
      <c r="F976" s="16">
        <f t="array" ref="F976">IFERROR(
  VALUE( INDEX(Product_Master!$I:$I,
               MATCH( INDEX(Pack_Master!$B:$B, MATCH($D976, Pack_Master!$A:$A, 0)),
                      Product_Master!$B:$B, 0)
  )) 
  * VALUE( INDEX(Pack_Master!$C:$C, MATCH($D976, Pack_Master!$A:$A, 0)) )
  + VALUE( INDEX(Pack_Master!$D:$D, MATCH($D976, Pack_Master!$A:$A, 0)) ),
"")
</f>
        <v>2</v>
      </c>
      <c r="G976" s="17">
        <f t="array" ref="G976">IFERROR(
 ( INDEX(Pack_Master!E:E, MATCH($D976, Pack_Master!A:A, 0))
   * INDEX(Pack_Master!F:F, MATCH($D976, Pack_Master!A:A, 0))
   * INDEX(Pack_Master!G:G, MATCH($D976, Pack_Master!A:A, 0))
 ) / INDEX(Config!C:C, MATCH($A976, Config!A:A, 0)),
"")
</f>
        <v>0.375</v>
      </c>
      <c r="H976" s="17">
        <f t="array" ref="H976">MAX( INDEX(Pack_Master!H:H, MATCH($D976, Pack_Master!A:A, 0)),
      IFERROR(G976, 0) )
</f>
        <v>0.5</v>
      </c>
      <c r="I976" s="18">
        <f>IFERROR(__xludf.DUMMYFUNCTION("IFERROR(
 INDEX(
   FILTER(Shipping_Rate_Card!B:F, Shipping_Rate_Card!A:A=$A976),
   MATCH($H976, FILTER(Shipping_Rate_Card!B:B, Shipping_Rate_Card!A:A=$A976), 1),
   IF( INDEX(Config!B:B, MATCH($A976, Config!A:A, 0))=""Local"", 2,
     IF( INDEX(Config!B"&amp;":B, MATCH($A976, Config!A:A, 0))=""Regional"", 3, 4 )
   )
 ),
"""")
"),75.0)</f>
        <v>75</v>
      </c>
      <c r="J976" s="16">
        <f>IFERROR(__xludf.DUMMYFUNCTION("IFERROR(
 ( E976 * INDEX(FILTER(Pricing_Rules!E:E, Pricing_Rules!A:A=A976, Pricing_Rules!B:B=B976, Pricing_Rules!C:C&lt;=E976, Pricing_Rules!D:D&gt;=E976), 1)
   + INDEX(FILTER(Pricing_Rules!F:F, Pricing_Rules!A:A=A976, Pricing_Rules!B:B=B976, Pricing_Rules!C:C"&amp;"&lt;=E976, Pricing_Rules!D:D&gt;=E976), 1)
 )
 * (1 + IFERROR( INDEX(Config!D:D, MATCH(A976, Config!A:A, 0)), 0 )),
"""")
"),15.34)</f>
        <v>15.34</v>
      </c>
      <c r="K976" s="19">
        <f t="shared" si="3"/>
        <v>-92.34</v>
      </c>
      <c r="L976" s="20" t="str">
        <f t="shared" si="4"/>
        <v/>
      </c>
    </row>
    <row r="977" ht="15.75" customHeight="1">
      <c r="A977" s="9" t="s">
        <v>1162</v>
      </c>
      <c r="B977" s="12" t="str">
        <f t="array" ref="B977">XLOOKUP(C977, Channel_Listings!C:C, Channel_Listings!B:B)
</f>
        <v>Apparel_Caps_Beanies</v>
      </c>
      <c r="C977" s="23" t="s">
        <v>1502</v>
      </c>
      <c r="D977" s="14" t="str">
        <f t="array" ref="D977">XLOOKUP(C977, Channel_Listings!C:C, Channel_Listings!D:D)
</f>
        <v>CAP-BASEBALL-NET-HALF-GREY</v>
      </c>
      <c r="E977" s="15"/>
      <c r="F977" s="16">
        <f t="array" ref="F977">IFERROR(
  VALUE( INDEX(Product_Master!$I:$I,
               MATCH( INDEX(Pack_Master!$B:$B, MATCH($D977, Pack_Master!$A:$A, 0)),
                      Product_Master!$B:$B, 0)
  )) 
  * VALUE( INDEX(Pack_Master!$C:$C, MATCH($D977, Pack_Master!$A:$A, 0)) )
  + VALUE( INDEX(Pack_Master!$D:$D, MATCH($D977, Pack_Master!$A:$A, 0)) ),
"")
</f>
        <v>2</v>
      </c>
      <c r="G977" s="17">
        <f t="array" ref="G977">IFERROR(
 ( INDEX(Pack_Master!E:E, MATCH($D977, Pack_Master!A:A, 0))
   * INDEX(Pack_Master!F:F, MATCH($D977, Pack_Master!A:A, 0))
   * INDEX(Pack_Master!G:G, MATCH($D977, Pack_Master!A:A, 0))
 ) / INDEX(Config!C:C, MATCH($A977, Config!A:A, 0)),
"")
</f>
        <v>0.375</v>
      </c>
      <c r="H977" s="17">
        <f t="array" ref="H977">MAX( INDEX(Pack_Master!H:H, MATCH($D977, Pack_Master!A:A, 0)),
      IFERROR(G977, 0) )
</f>
        <v>0.5</v>
      </c>
      <c r="I977" s="18">
        <f>IFERROR(__xludf.DUMMYFUNCTION("IFERROR(
 INDEX(
   FILTER(Shipping_Rate_Card!B:F, Shipping_Rate_Card!A:A=$A977),
   MATCH($H977, FILTER(Shipping_Rate_Card!B:B, Shipping_Rate_Card!A:A=$A977), 1),
   IF( INDEX(Config!B:B, MATCH($A977, Config!A:A, 0))=""Local"", 2,
     IF( INDEX(Config!B"&amp;":B, MATCH($A977, Config!A:A, 0))=""Regional"", 3, 4 )
   )
 ),
"""")
"),75.0)</f>
        <v>75</v>
      </c>
      <c r="J977" s="16">
        <f>IFERROR(__xludf.DUMMYFUNCTION("IFERROR(
 ( E977 * INDEX(FILTER(Pricing_Rules!E:E, Pricing_Rules!A:A=A977, Pricing_Rules!B:B=B977, Pricing_Rules!C:C&lt;=E977, Pricing_Rules!D:D&gt;=E977), 1)
   + INDEX(FILTER(Pricing_Rules!F:F, Pricing_Rules!A:A=A977, Pricing_Rules!B:B=B977, Pricing_Rules!C:C"&amp;"&lt;=E977, Pricing_Rules!D:D&gt;=E977), 1)
 )
 * (1 + IFERROR( INDEX(Config!D:D, MATCH(A977, Config!A:A, 0)), 0 )),
"""")
"),15.34)</f>
        <v>15.34</v>
      </c>
      <c r="K977" s="19">
        <f t="shared" si="3"/>
        <v>-92.34</v>
      </c>
      <c r="L977" s="20" t="str">
        <f t="shared" si="4"/>
        <v/>
      </c>
    </row>
    <row r="978" ht="15.75" customHeight="1">
      <c r="A978" s="9" t="s">
        <v>1162</v>
      </c>
      <c r="B978" s="12" t="str">
        <f t="array" ref="B978">XLOOKUP(C978, Channel_Listings!C:C, Channel_Listings!B:B)
</f>
        <v>Apparel_Caps_Beanies</v>
      </c>
      <c r="C978" s="23" t="s">
        <v>1504</v>
      </c>
      <c r="D978" s="14" t="str">
        <f t="array" ref="D978">XLOOKUP(C978, Channel_Listings!C:C, Channel_Listings!D:D)
</f>
        <v>CAP-BASEBALL-NET-HALF-NAVYBLUE</v>
      </c>
      <c r="E978" s="15"/>
      <c r="F978" s="16">
        <f t="array" ref="F978">IFERROR(
  VALUE( INDEX(Product_Master!$I:$I,
               MATCH( INDEX(Pack_Master!$B:$B, MATCH($D978, Pack_Master!$A:$A, 0)),
                      Product_Master!$B:$B, 0)
  )) 
  * VALUE( INDEX(Pack_Master!$C:$C, MATCH($D978, Pack_Master!$A:$A, 0)) )
  + VALUE( INDEX(Pack_Master!$D:$D, MATCH($D978, Pack_Master!$A:$A, 0)) ),
"")
</f>
        <v>2</v>
      </c>
      <c r="G978" s="17">
        <f t="array" ref="G978">IFERROR(
 ( INDEX(Pack_Master!E:E, MATCH($D978, Pack_Master!A:A, 0))
   * INDEX(Pack_Master!F:F, MATCH($D978, Pack_Master!A:A, 0))
   * INDEX(Pack_Master!G:G, MATCH($D978, Pack_Master!A:A, 0))
 ) / INDEX(Config!C:C, MATCH($A978, Config!A:A, 0)),
"")
</f>
        <v>0.375</v>
      </c>
      <c r="H978" s="17">
        <f t="array" ref="H978">MAX( INDEX(Pack_Master!H:H, MATCH($D978, Pack_Master!A:A, 0)),
      IFERROR(G978, 0) )
</f>
        <v>0.5</v>
      </c>
      <c r="I978" s="18">
        <f>IFERROR(__xludf.DUMMYFUNCTION("IFERROR(
 INDEX(
   FILTER(Shipping_Rate_Card!B:F, Shipping_Rate_Card!A:A=$A978),
   MATCH($H978, FILTER(Shipping_Rate_Card!B:B, Shipping_Rate_Card!A:A=$A978), 1),
   IF( INDEX(Config!B:B, MATCH($A978, Config!A:A, 0))=""Local"", 2,
     IF( INDEX(Config!B"&amp;":B, MATCH($A978, Config!A:A, 0))=""Regional"", 3, 4 )
   )
 ),
"""")
"),75.0)</f>
        <v>75</v>
      </c>
      <c r="J978" s="16">
        <f>IFERROR(__xludf.DUMMYFUNCTION("IFERROR(
 ( E978 * INDEX(FILTER(Pricing_Rules!E:E, Pricing_Rules!A:A=A978, Pricing_Rules!B:B=B978, Pricing_Rules!C:C&lt;=E978, Pricing_Rules!D:D&gt;=E978), 1)
   + INDEX(FILTER(Pricing_Rules!F:F, Pricing_Rules!A:A=A978, Pricing_Rules!B:B=B978, Pricing_Rules!C:C"&amp;"&lt;=E978, Pricing_Rules!D:D&gt;=E978), 1)
 )
 * (1 + IFERROR( INDEX(Config!D:D, MATCH(A978, Config!A:A, 0)), 0 )),
"""")
"),15.34)</f>
        <v>15.34</v>
      </c>
      <c r="K978" s="19">
        <f t="shared" si="3"/>
        <v>-92.34</v>
      </c>
      <c r="L978" s="20" t="str">
        <f t="shared" si="4"/>
        <v/>
      </c>
    </row>
    <row r="979" ht="15.75" customHeight="1">
      <c r="A979" s="9" t="s">
        <v>1162</v>
      </c>
      <c r="B979" s="12" t="str">
        <f t="array" ref="B979">XLOOKUP(C979, Channel_Listings!C:C, Channel_Listings!B:B)
</f>
        <v>Apparel_Caps_Beanies</v>
      </c>
      <c r="C979" s="23" t="s">
        <v>1506</v>
      </c>
      <c r="D979" s="14" t="str">
        <f t="array" ref="D979">XLOOKUP(C979, Channel_Listings!C:C, Channel_Listings!D:D)
</f>
        <v>CAP-BASEBALL-NET-HALF-PINK</v>
      </c>
      <c r="E979" s="15"/>
      <c r="F979" s="16">
        <f t="array" ref="F979">IFERROR(
  VALUE( INDEX(Product_Master!$I:$I,
               MATCH( INDEX(Pack_Master!$B:$B, MATCH($D979, Pack_Master!$A:$A, 0)),
                      Product_Master!$B:$B, 0)
  )) 
  * VALUE( INDEX(Pack_Master!$C:$C, MATCH($D979, Pack_Master!$A:$A, 0)) )
  + VALUE( INDEX(Pack_Master!$D:$D, MATCH($D979, Pack_Master!$A:$A, 0)) ),
"")
</f>
        <v>70</v>
      </c>
      <c r="G979" s="17">
        <f t="array" ref="G979">IFERROR(
 ( INDEX(Pack_Master!E:E, MATCH($D979, Pack_Master!A:A, 0))
   * INDEX(Pack_Master!F:F, MATCH($D979, Pack_Master!A:A, 0))
   * INDEX(Pack_Master!G:G, MATCH($D979, Pack_Master!A:A, 0))
 ) / INDEX(Config!C:C, MATCH($A979, Config!A:A, 0)),
"")
</f>
        <v>0.375</v>
      </c>
      <c r="H979" s="17">
        <f t="array" ref="H979">MAX( INDEX(Pack_Master!H:H, MATCH($D979, Pack_Master!A:A, 0)),
      IFERROR(G979, 0) )
</f>
        <v>0.5</v>
      </c>
      <c r="I979" s="18">
        <f>IFERROR(__xludf.DUMMYFUNCTION("IFERROR(
 INDEX(
   FILTER(Shipping_Rate_Card!B:F, Shipping_Rate_Card!A:A=$A979),
   MATCH($H979, FILTER(Shipping_Rate_Card!B:B, Shipping_Rate_Card!A:A=$A979), 1),
   IF( INDEX(Config!B:B, MATCH($A979, Config!A:A, 0))=""Local"", 2,
     IF( INDEX(Config!B"&amp;":B, MATCH($A979, Config!A:A, 0))=""Regional"", 3, 4 )
   )
 ),
"""")
"),75.0)</f>
        <v>75</v>
      </c>
      <c r="J979" s="16">
        <f>IFERROR(__xludf.DUMMYFUNCTION("IFERROR(
 ( E979 * INDEX(FILTER(Pricing_Rules!E:E, Pricing_Rules!A:A=A979, Pricing_Rules!B:B=B979, Pricing_Rules!C:C&lt;=E979, Pricing_Rules!D:D&gt;=E979), 1)
   + INDEX(FILTER(Pricing_Rules!F:F, Pricing_Rules!A:A=A979, Pricing_Rules!B:B=B979, Pricing_Rules!C:C"&amp;"&lt;=E979, Pricing_Rules!D:D&gt;=E979), 1)
 )
 * (1 + IFERROR( INDEX(Config!D:D, MATCH(A979, Config!A:A, 0)), 0 )),
"""")
"),15.34)</f>
        <v>15.34</v>
      </c>
      <c r="K979" s="19">
        <f t="shared" si="3"/>
        <v>-160.34</v>
      </c>
      <c r="L979" s="20" t="str">
        <f t="shared" si="4"/>
        <v/>
      </c>
    </row>
    <row r="980" ht="15.75" customHeight="1">
      <c r="A980" s="9" t="s">
        <v>1162</v>
      </c>
      <c r="B980" s="12" t="str">
        <f t="array" ref="B980">XLOOKUP(C980, Channel_Listings!C:C, Channel_Listings!B:B)
</f>
        <v>Apparel_Caps_Beanies</v>
      </c>
      <c r="C980" s="23" t="s">
        <v>1508</v>
      </c>
      <c r="D980" s="14" t="str">
        <f t="array" ref="D980">XLOOKUP(C980, Channel_Listings!C:C, Channel_Listings!D:D)
</f>
        <v>CAP-BASEBALL-PLAIN-WHITE</v>
      </c>
      <c r="E980" s="15"/>
      <c r="F980" s="16">
        <f t="array" ref="F980">IFERROR(
  VALUE( INDEX(Product_Master!$I:$I,
               MATCH( INDEX(Pack_Master!$B:$B, MATCH($D980, Pack_Master!$A:$A, 0)),
                      Product_Master!$B:$B, 0)
  )) 
  * VALUE( INDEX(Pack_Master!$C:$C, MATCH($D980, Pack_Master!$A:$A, 0)) )
  + VALUE( INDEX(Pack_Master!$D:$D, MATCH($D980, Pack_Master!$A:$A, 0)) ),
"")
</f>
        <v>89</v>
      </c>
      <c r="G980" s="17">
        <f t="array" ref="G980">IFERROR(
 ( INDEX(Pack_Master!E:E, MATCH($D980, Pack_Master!A:A, 0))
   * INDEX(Pack_Master!F:F, MATCH($D980, Pack_Master!A:A, 0))
   * INDEX(Pack_Master!G:G, MATCH($D980, Pack_Master!A:A, 0))
 ) / INDEX(Config!C:C, MATCH($A980, Config!A:A, 0)),
"")
</f>
        <v>0.375</v>
      </c>
      <c r="H980" s="17">
        <f t="array" ref="H980">MAX( INDEX(Pack_Master!H:H, MATCH($D980, Pack_Master!A:A, 0)),
      IFERROR(G980, 0) )
</f>
        <v>0.5</v>
      </c>
      <c r="I980" s="18">
        <f>IFERROR(__xludf.DUMMYFUNCTION("IFERROR(
 INDEX(
   FILTER(Shipping_Rate_Card!B:F, Shipping_Rate_Card!A:A=$A980),
   MATCH($H980, FILTER(Shipping_Rate_Card!B:B, Shipping_Rate_Card!A:A=$A980), 1),
   IF( INDEX(Config!B:B, MATCH($A980, Config!A:A, 0))=""Local"", 2,
     IF( INDEX(Config!B"&amp;":B, MATCH($A980, Config!A:A, 0))=""Regional"", 3, 4 )
   )
 ),
"""")
"),75.0)</f>
        <v>75</v>
      </c>
      <c r="J980" s="16">
        <f>IFERROR(__xludf.DUMMYFUNCTION("IFERROR(
 ( E980 * INDEX(FILTER(Pricing_Rules!E:E, Pricing_Rules!A:A=A980, Pricing_Rules!B:B=B980, Pricing_Rules!C:C&lt;=E980, Pricing_Rules!D:D&gt;=E980), 1)
   + INDEX(FILTER(Pricing_Rules!F:F, Pricing_Rules!A:A=A980, Pricing_Rules!B:B=B980, Pricing_Rules!C:C"&amp;"&lt;=E980, Pricing_Rules!D:D&gt;=E980), 1)
 )
 * (1 + IFERROR( INDEX(Config!D:D, MATCH(A980, Config!A:A, 0)), 0 )),
"""")
"),15.34)</f>
        <v>15.34</v>
      </c>
      <c r="K980" s="19">
        <f t="shared" si="3"/>
        <v>-179.34</v>
      </c>
      <c r="L980" s="20" t="str">
        <f t="shared" si="4"/>
        <v/>
      </c>
    </row>
    <row r="981" ht="15.75" customHeight="1">
      <c r="A981" s="9" t="s">
        <v>1162</v>
      </c>
      <c r="B981" s="12" t="str">
        <f t="array" ref="B981">XLOOKUP(C981, Channel_Listings!C:C, Channel_Listings!B:B)
</f>
        <v>Apparel_Accessories_Winter</v>
      </c>
      <c r="C981" s="23" t="s">
        <v>1510</v>
      </c>
      <c r="D981" s="14" t="str">
        <f t="array" ref="D981">XLOOKUP(C981, Channel_Listings!C:C, Channel_Listings!D:D)
</f>
        <v>GLOVE-WINTER-TOUCH-BLACK</v>
      </c>
      <c r="E981" s="15"/>
      <c r="F981" s="16">
        <f t="array" ref="F981">IFERROR(
  VALUE( INDEX(Product_Master!$I:$I,
               MATCH( INDEX(Pack_Master!$B:$B, MATCH($D981, Pack_Master!$A:$A, 0)),
                      Product_Master!$B:$B, 0)
  )) 
  * VALUE( INDEX(Pack_Master!$C:$C, MATCH($D981, Pack_Master!$A:$A, 0)) )
  + VALUE( INDEX(Pack_Master!$D:$D, MATCH($D981, Pack_Master!$A:$A, 0)) ),
"")
</f>
        <v>0</v>
      </c>
      <c r="G981" s="17">
        <f t="array" ref="G981">IFERROR(
 ( INDEX(Pack_Master!E:E, MATCH($D981, Pack_Master!A:A, 0))
   * INDEX(Pack_Master!F:F, MATCH($D981, Pack_Master!A:A, 0))
   * INDEX(Pack_Master!G:G, MATCH($D981, Pack_Master!A:A, 0))
 ) / INDEX(Config!C:C, MATCH($A981, Config!A:A, 0)),
"")
</f>
        <v>0</v>
      </c>
      <c r="H981" s="17">
        <f t="array" ref="H981">MAX( INDEX(Pack_Master!H:H, MATCH($D981, Pack_Master!A:A, 0)),
      IFERROR(G981, 0) )
</f>
        <v>0</v>
      </c>
      <c r="I981" s="18" t="str">
        <f>IFERROR(__xludf.DUMMYFUNCTION("IFERROR(
 INDEX(
   FILTER(Shipping_Rate_Card!B:F, Shipping_Rate_Card!A:A=$A981),
   MATCH($H981, FILTER(Shipping_Rate_Card!B:B, Shipping_Rate_Card!A:A=$A981), 1),
   IF( INDEX(Config!B:B, MATCH($A981, Config!A:A, 0))=""Local"", 2,
     IF( INDEX(Config!B"&amp;":B, MATCH($A981, Config!A:A, 0))=""Regional"", 3, 4 )
   )
 ),
"""")
"),"")</f>
        <v/>
      </c>
      <c r="J981" s="16">
        <f>IFERROR(__xludf.DUMMYFUNCTION("IFERROR(
 ( E981 * INDEX(FILTER(Pricing_Rules!E:E, Pricing_Rules!A:A=A981, Pricing_Rules!B:B=B981, Pricing_Rules!C:C&lt;=E981, Pricing_Rules!D:D&gt;=E981), 1)
   + INDEX(FILTER(Pricing_Rules!F:F, Pricing_Rules!A:A=A981, Pricing_Rules!B:B=B981, Pricing_Rules!C:C"&amp;"&lt;=E981, Pricing_Rules!D:D&gt;=E981), 1)
 )
 * (1 + IFERROR( INDEX(Config!D:D, MATCH(A981, Config!A:A, 0)), 0 )),
"""")
"),0.0)</f>
        <v>0</v>
      </c>
      <c r="K981" s="19">
        <f t="shared" si="3"/>
        <v>0</v>
      </c>
      <c r="L981" s="20" t="str">
        <f t="shared" si="4"/>
        <v/>
      </c>
    </row>
    <row r="982" ht="15.75" customHeight="1">
      <c r="A982" s="9" t="s">
        <v>1162</v>
      </c>
      <c r="B982" s="12" t="str">
        <f t="array" ref="B982">XLOOKUP(C982, Channel_Listings!C:C, Channel_Listings!B:B)
</f>
        <v>Garden_Planters</v>
      </c>
      <c r="C982" s="23" t="s">
        <v>1512</v>
      </c>
      <c r="D982" s="14" t="str">
        <f t="array" ref="D982">XLOOKUP(C982, Channel_Listings!C:C, Channel_Listings!D:D)
</f>
        <v>PLANTER-BROWN-ROUND-ROSE10-PK2</v>
      </c>
      <c r="E982" s="15"/>
      <c r="F982" s="16">
        <f t="array" ref="F982">IFERROR(
  VALUE( INDEX(Product_Master!$I:$I,
               MATCH( INDEX(Pack_Master!$B:$B, MATCH($D982, Pack_Master!$A:$A, 0)),
                      Product_Master!$B:$B, 0)
  )) 
  * VALUE( INDEX(Pack_Master!$C:$C, MATCH($D982, Pack_Master!$A:$A, 0)) )
  + VALUE( INDEX(Pack_Master!$D:$D, MATCH($D982, Pack_Master!$A:$A, 0)) ),
"")
</f>
        <v>90</v>
      </c>
      <c r="G982" s="17">
        <f t="array" ref="G982">IFERROR(
 ( INDEX(Pack_Master!E:E, MATCH($D982, Pack_Master!A:A, 0))
   * INDEX(Pack_Master!F:F, MATCH($D982, Pack_Master!A:A, 0))
   * INDEX(Pack_Master!G:G, MATCH($D982, Pack_Master!A:A, 0))
 ) / INDEX(Config!C:C, MATCH($A982, Config!A:A, 0)),
"")
</f>
        <v>0</v>
      </c>
      <c r="H982" s="17">
        <f t="array" ref="H982">MAX( INDEX(Pack_Master!H:H, MATCH($D982, Pack_Master!A:A, 0)),
      IFERROR(G982, 0) )
</f>
        <v>0</v>
      </c>
      <c r="I982" s="18" t="str">
        <f>IFERROR(__xludf.DUMMYFUNCTION("IFERROR(
 INDEX(
   FILTER(Shipping_Rate_Card!B:F, Shipping_Rate_Card!A:A=$A982),
   MATCH($H982, FILTER(Shipping_Rate_Card!B:B, Shipping_Rate_Card!A:A=$A982), 1),
   IF( INDEX(Config!B:B, MATCH($A982, Config!A:A, 0))=""Local"", 2,
     IF( INDEX(Config!B"&amp;":B, MATCH($A982, Config!A:A, 0))=""Regional"", 3, 4 )
   )
 ),
"""")
"),"")</f>
        <v/>
      </c>
      <c r="J982" s="16">
        <f>IFERROR(__xludf.DUMMYFUNCTION("IFERROR(
 ( E982 * INDEX(FILTER(Pricing_Rules!E:E, Pricing_Rules!A:A=A982, Pricing_Rules!B:B=B982, Pricing_Rules!C:C&lt;=E982, Pricing_Rules!D:D&gt;=E982), 1)
   + INDEX(FILTER(Pricing_Rules!F:F, Pricing_Rules!A:A=A982, Pricing_Rules!B:B=B982, Pricing_Rules!C:C"&amp;"&lt;=E982, Pricing_Rules!D:D&gt;=E982), 1)
 )
 * (1 + IFERROR( INDEX(Config!D:D, MATCH(A982, Config!A:A, 0)), 0 )),
"""")
"),15.34)</f>
        <v>15.34</v>
      </c>
      <c r="K982" s="19">
        <f t="shared" si="3"/>
        <v>-105.34</v>
      </c>
      <c r="L982" s="20" t="str">
        <f t="shared" si="4"/>
        <v/>
      </c>
    </row>
    <row r="983" ht="15.75" customHeight="1">
      <c r="A983" s="9" t="s">
        <v>1162</v>
      </c>
      <c r="B983" s="12" t="str">
        <f t="array" ref="B983">XLOOKUP(C983, Channel_Listings!C:C, Channel_Listings!B:B)
</f>
        <v>Garden_Planters</v>
      </c>
      <c r="C983" s="23" t="s">
        <v>1514</v>
      </c>
      <c r="D983" s="14" t="str">
        <f t="array" ref="D983">XLOOKUP(C983, Channel_Listings!C:C, Channel_Listings!D:D)
</f>
        <v>PLANTER-BROWN-ROUND-ROSE10-PK4</v>
      </c>
      <c r="E983" s="15"/>
      <c r="F983" s="16">
        <f t="array" ref="F983">IFERROR(
  VALUE( INDEX(Product_Master!$I:$I,
               MATCH( INDEX(Pack_Master!$B:$B, MATCH($D983, Pack_Master!$A:$A, 0)),
                      Product_Master!$B:$B, 0)
  )) 
  * VALUE( INDEX(Pack_Master!$C:$C, MATCH($D983, Pack_Master!$A:$A, 0)) )
  + VALUE( INDEX(Pack_Master!$D:$D, MATCH($D983, Pack_Master!$A:$A, 0)) ),
"")
</f>
        <v>180</v>
      </c>
      <c r="G983" s="17">
        <f t="array" ref="G983">IFERROR(
 ( INDEX(Pack_Master!E:E, MATCH($D983, Pack_Master!A:A, 0))
   * INDEX(Pack_Master!F:F, MATCH($D983, Pack_Master!A:A, 0))
   * INDEX(Pack_Master!G:G, MATCH($D983, Pack_Master!A:A, 0))
 ) / INDEX(Config!C:C, MATCH($A983, Config!A:A, 0)),
"")
</f>
        <v>0</v>
      </c>
      <c r="H983" s="17">
        <f t="array" ref="H983">MAX( INDEX(Pack_Master!H:H, MATCH($D983, Pack_Master!A:A, 0)),
      IFERROR(G983, 0) )
</f>
        <v>0</v>
      </c>
      <c r="I983" s="18" t="str">
        <f>IFERROR(__xludf.DUMMYFUNCTION("IFERROR(
 INDEX(
   FILTER(Shipping_Rate_Card!B:F, Shipping_Rate_Card!A:A=$A983),
   MATCH($H983, FILTER(Shipping_Rate_Card!B:B, Shipping_Rate_Card!A:A=$A983), 1),
   IF( INDEX(Config!B:B, MATCH($A983, Config!A:A, 0))=""Local"", 2,
     IF( INDEX(Config!B"&amp;":B, MATCH($A983, Config!A:A, 0))=""Regional"", 3, 4 )
   )
 ),
"""")
"),"")</f>
        <v/>
      </c>
      <c r="J983" s="16">
        <f>IFERROR(__xludf.DUMMYFUNCTION("IFERROR(
 ( E983 * INDEX(FILTER(Pricing_Rules!E:E, Pricing_Rules!A:A=A983, Pricing_Rules!B:B=B983, Pricing_Rules!C:C&lt;=E983, Pricing_Rules!D:D&gt;=E983), 1)
   + INDEX(FILTER(Pricing_Rules!F:F, Pricing_Rules!A:A=A983, Pricing_Rules!B:B=B983, Pricing_Rules!C:C"&amp;"&lt;=E983, Pricing_Rules!D:D&gt;=E983), 1)
 )
 * (1 + IFERROR( INDEX(Config!D:D, MATCH(A983, Config!A:A, 0)), 0 )),
"""")
"),15.34)</f>
        <v>15.34</v>
      </c>
      <c r="K983" s="19">
        <f t="shared" si="3"/>
        <v>-195.34</v>
      </c>
      <c r="L983" s="20" t="str">
        <f t="shared" si="4"/>
        <v/>
      </c>
    </row>
    <row r="984" ht="15.75" customHeight="1">
      <c r="A984" s="9" t="s">
        <v>1162</v>
      </c>
      <c r="B984" s="12" t="str">
        <f t="array" ref="B984">XLOOKUP(C984, Channel_Listings!C:C, Channel_Listings!B:B)
</f>
        <v>Garden_Planters</v>
      </c>
      <c r="C984" s="23" t="s">
        <v>1516</v>
      </c>
      <c r="D984" s="14" t="str">
        <f t="array" ref="D984">XLOOKUP(C984, Channel_Listings!C:C, Channel_Listings!D:D)
</f>
        <v>PLANTER-BROWN-ROUND-ROSE10-PK8</v>
      </c>
      <c r="E984" s="15"/>
      <c r="F984" s="16">
        <f t="array" ref="F984">IFERROR(
  VALUE( INDEX(Product_Master!$I:$I,
               MATCH( INDEX(Pack_Master!$B:$B, MATCH($D984, Pack_Master!$A:$A, 0)),
                      Product_Master!$B:$B, 0)
  )) 
  * VALUE( INDEX(Pack_Master!$C:$C, MATCH($D984, Pack_Master!$A:$A, 0)) )
  + VALUE( INDEX(Pack_Master!$D:$D, MATCH($D984, Pack_Master!$A:$A, 0)) ),
"")
</f>
        <v>360</v>
      </c>
      <c r="G984" s="17">
        <f t="array" ref="G984">IFERROR(
 ( INDEX(Pack_Master!E:E, MATCH($D984, Pack_Master!A:A, 0))
   * INDEX(Pack_Master!F:F, MATCH($D984, Pack_Master!A:A, 0))
   * INDEX(Pack_Master!G:G, MATCH($D984, Pack_Master!A:A, 0))
 ) / INDEX(Config!C:C, MATCH($A984, Config!A:A, 0)),
"")
</f>
        <v>0</v>
      </c>
      <c r="H984" s="17">
        <f t="array" ref="H984">MAX( INDEX(Pack_Master!H:H, MATCH($D984, Pack_Master!A:A, 0)),
      IFERROR(G984, 0) )
</f>
        <v>0</v>
      </c>
      <c r="I984" s="18" t="str">
        <f>IFERROR(__xludf.DUMMYFUNCTION("IFERROR(
 INDEX(
   FILTER(Shipping_Rate_Card!B:F, Shipping_Rate_Card!A:A=$A984),
   MATCH($H984, FILTER(Shipping_Rate_Card!B:B, Shipping_Rate_Card!A:A=$A984), 1),
   IF( INDEX(Config!B:B, MATCH($A984, Config!A:A, 0))=""Local"", 2,
     IF( INDEX(Config!B"&amp;":B, MATCH($A984, Config!A:A, 0))=""Regional"", 3, 4 )
   )
 ),
"""")
"),"")</f>
        <v/>
      </c>
      <c r="J984" s="16">
        <f>IFERROR(__xludf.DUMMYFUNCTION("IFERROR(
 ( E984 * INDEX(FILTER(Pricing_Rules!E:E, Pricing_Rules!A:A=A984, Pricing_Rules!B:B=B984, Pricing_Rules!C:C&lt;=E984, Pricing_Rules!D:D&gt;=E984), 1)
   + INDEX(FILTER(Pricing_Rules!F:F, Pricing_Rules!A:A=A984, Pricing_Rules!B:B=B984, Pricing_Rules!C:C"&amp;"&lt;=E984, Pricing_Rules!D:D&gt;=E984), 1)
 )
 * (1 + IFERROR( INDEX(Config!D:D, MATCH(A984, Config!A:A, 0)), 0 )),
"""")
"),15.34)</f>
        <v>15.34</v>
      </c>
      <c r="K984" s="19">
        <f t="shared" si="3"/>
        <v>-375.34</v>
      </c>
      <c r="L984" s="20" t="str">
        <f t="shared" si="4"/>
        <v/>
      </c>
    </row>
    <row r="985" ht="15.75" customHeight="1">
      <c r="A985" s="9" t="s">
        <v>1162</v>
      </c>
      <c r="B985" s="12" t="str">
        <f t="array" ref="B985">XLOOKUP(C985, Channel_Listings!C:C, Channel_Listings!B:B)
</f>
        <v>Garden_Planters</v>
      </c>
      <c r="C985" s="23" t="s">
        <v>1518</v>
      </c>
      <c r="D985" s="14" t="str">
        <f t="array" ref="D985">XLOOKUP(C985, Channel_Listings!C:C, Channel_Listings!D:D)
</f>
        <v>PLANTER-BROWN-ROUND-ROSE12-PK2</v>
      </c>
      <c r="E985" s="15"/>
      <c r="F985" s="16">
        <f t="array" ref="F985">IFERROR(
  VALUE( INDEX(Product_Master!$I:$I,
               MATCH( INDEX(Pack_Master!$B:$B, MATCH($D985, Pack_Master!$A:$A, 0)),
                      Product_Master!$B:$B, 0)
  )) 
  * VALUE( INDEX(Pack_Master!$C:$C, MATCH($D985, Pack_Master!$A:$A, 0)) )
  + VALUE( INDEX(Pack_Master!$D:$D, MATCH($D985, Pack_Master!$A:$A, 0)) ),
"")
</f>
        <v>135.98</v>
      </c>
      <c r="G985" s="17">
        <f t="array" ref="G985">IFERROR(
 ( INDEX(Pack_Master!E:E, MATCH($D985, Pack_Master!A:A, 0))
   * INDEX(Pack_Master!F:F, MATCH($D985, Pack_Master!A:A, 0))
   * INDEX(Pack_Master!G:G, MATCH($D985, Pack_Master!A:A, 0))
 ) / INDEX(Config!C:C, MATCH($A985, Config!A:A, 0)),
"")
</f>
        <v>0</v>
      </c>
      <c r="H985" s="17">
        <f t="array" ref="H985">MAX( INDEX(Pack_Master!H:H, MATCH($D985, Pack_Master!A:A, 0)),
      IFERROR(G985, 0) )
</f>
        <v>0</v>
      </c>
      <c r="I985" s="18" t="str">
        <f>IFERROR(__xludf.DUMMYFUNCTION("IFERROR(
 INDEX(
   FILTER(Shipping_Rate_Card!B:F, Shipping_Rate_Card!A:A=$A985),
   MATCH($H985, FILTER(Shipping_Rate_Card!B:B, Shipping_Rate_Card!A:A=$A985), 1),
   IF( INDEX(Config!B:B, MATCH($A985, Config!A:A, 0))=""Local"", 2,
     IF( INDEX(Config!B"&amp;":B, MATCH($A985, Config!A:A, 0))=""Regional"", 3, 4 )
   )
 ),
"""")
"),"")</f>
        <v/>
      </c>
      <c r="J985" s="16">
        <f>IFERROR(__xludf.DUMMYFUNCTION("IFERROR(
 ( E985 * INDEX(FILTER(Pricing_Rules!E:E, Pricing_Rules!A:A=A985, Pricing_Rules!B:B=B985, Pricing_Rules!C:C&lt;=E985, Pricing_Rules!D:D&gt;=E985), 1)
   + INDEX(FILTER(Pricing_Rules!F:F, Pricing_Rules!A:A=A985, Pricing_Rules!B:B=B985, Pricing_Rules!C:C"&amp;"&lt;=E985, Pricing_Rules!D:D&gt;=E985), 1)
 )
 * (1 + IFERROR( INDEX(Config!D:D, MATCH(A985, Config!A:A, 0)), 0 )),
"""")
"),15.34)</f>
        <v>15.34</v>
      </c>
      <c r="K985" s="19">
        <f t="shared" si="3"/>
        <v>-151.32</v>
      </c>
      <c r="L985" s="20" t="str">
        <f t="shared" si="4"/>
        <v/>
      </c>
    </row>
    <row r="986" ht="15.75" customHeight="1">
      <c r="A986" s="9" t="s">
        <v>1162</v>
      </c>
      <c r="B986" s="12" t="str">
        <f t="array" ref="B986">XLOOKUP(C986, Channel_Listings!C:C, Channel_Listings!B:B)
</f>
        <v>Garden_Planters</v>
      </c>
      <c r="C986" s="23" t="s">
        <v>1520</v>
      </c>
      <c r="D986" s="14" t="str">
        <f t="array" ref="D986">XLOOKUP(C986, Channel_Listings!C:C, Channel_Listings!D:D)
</f>
        <v>PLANTER-BROWN-ROUND-ROSE12-PK4</v>
      </c>
      <c r="E986" s="15"/>
      <c r="F986" s="16">
        <f t="array" ref="F986">IFERROR(
  VALUE( INDEX(Product_Master!$I:$I,
               MATCH( INDEX(Pack_Master!$B:$B, MATCH($D986, Pack_Master!$A:$A, 0)),
                      Product_Master!$B:$B, 0)
  )) 
  * VALUE( INDEX(Pack_Master!$C:$C, MATCH($D986, Pack_Master!$A:$A, 0)) )
  + VALUE( INDEX(Pack_Master!$D:$D, MATCH($D986, Pack_Master!$A:$A, 0)) ),
"")
</f>
        <v>271.96</v>
      </c>
      <c r="G986" s="17">
        <f t="array" ref="G986">IFERROR(
 ( INDEX(Pack_Master!E:E, MATCH($D986, Pack_Master!A:A, 0))
   * INDEX(Pack_Master!F:F, MATCH($D986, Pack_Master!A:A, 0))
   * INDEX(Pack_Master!G:G, MATCH($D986, Pack_Master!A:A, 0))
 ) / INDEX(Config!C:C, MATCH($A986, Config!A:A, 0)),
"")
</f>
        <v>0</v>
      </c>
      <c r="H986" s="17">
        <f t="array" ref="H986">MAX( INDEX(Pack_Master!H:H, MATCH($D986, Pack_Master!A:A, 0)),
      IFERROR(G986, 0) )
</f>
        <v>0</v>
      </c>
      <c r="I986" s="18" t="str">
        <f>IFERROR(__xludf.DUMMYFUNCTION("IFERROR(
 INDEX(
   FILTER(Shipping_Rate_Card!B:F, Shipping_Rate_Card!A:A=$A986),
   MATCH($H986, FILTER(Shipping_Rate_Card!B:B, Shipping_Rate_Card!A:A=$A986), 1),
   IF( INDEX(Config!B:B, MATCH($A986, Config!A:A, 0))=""Local"", 2,
     IF( INDEX(Config!B"&amp;":B, MATCH($A986, Config!A:A, 0))=""Regional"", 3, 4 )
   )
 ),
"""")
"),"")</f>
        <v/>
      </c>
      <c r="J986" s="16">
        <f>IFERROR(__xludf.DUMMYFUNCTION("IFERROR(
 ( E986 * INDEX(FILTER(Pricing_Rules!E:E, Pricing_Rules!A:A=A986, Pricing_Rules!B:B=B986, Pricing_Rules!C:C&lt;=E986, Pricing_Rules!D:D&gt;=E986), 1)
   + INDEX(FILTER(Pricing_Rules!F:F, Pricing_Rules!A:A=A986, Pricing_Rules!B:B=B986, Pricing_Rules!C:C"&amp;"&lt;=E986, Pricing_Rules!D:D&gt;=E986), 1)
 )
 * (1 + IFERROR( INDEX(Config!D:D, MATCH(A986, Config!A:A, 0)), 0 )),
"""")
"),15.34)</f>
        <v>15.34</v>
      </c>
      <c r="K986" s="19">
        <f t="shared" si="3"/>
        <v>-287.3</v>
      </c>
      <c r="L986" s="20" t="str">
        <f t="shared" si="4"/>
        <v/>
      </c>
    </row>
    <row r="987" ht="15.75" customHeight="1">
      <c r="A987" s="9" t="s">
        <v>1162</v>
      </c>
      <c r="B987" s="12" t="str">
        <f t="array" ref="B987">XLOOKUP(C987, Channel_Listings!C:C, Channel_Listings!B:B)
</f>
        <v>Garden_Planters</v>
      </c>
      <c r="C987" s="23" t="s">
        <v>1522</v>
      </c>
      <c r="D987" s="14" t="str">
        <f t="array" ref="D987">XLOOKUP(C987, Channel_Listings!C:C, Channel_Listings!D:D)
</f>
        <v>PLANTER-BROWN-ROUND-ROSE12-PK8</v>
      </c>
      <c r="E987" s="15"/>
      <c r="F987" s="16">
        <f t="array" ref="F987">IFERROR(
  VALUE( INDEX(Product_Master!$I:$I,
               MATCH( INDEX(Pack_Master!$B:$B, MATCH($D987, Pack_Master!$A:$A, 0)),
                      Product_Master!$B:$B, 0)
  )) 
  * VALUE( INDEX(Pack_Master!$C:$C, MATCH($D987, Pack_Master!$A:$A, 0)) )
  + VALUE( INDEX(Pack_Master!$D:$D, MATCH($D987, Pack_Master!$A:$A, 0)) ),
"")
</f>
        <v>543.92</v>
      </c>
      <c r="G987" s="17">
        <f t="array" ref="G987">IFERROR(
 ( INDEX(Pack_Master!E:E, MATCH($D987, Pack_Master!A:A, 0))
   * INDEX(Pack_Master!F:F, MATCH($D987, Pack_Master!A:A, 0))
   * INDEX(Pack_Master!G:G, MATCH($D987, Pack_Master!A:A, 0))
 ) / INDEX(Config!C:C, MATCH($A987, Config!A:A, 0)),
"")
</f>
        <v>0</v>
      </c>
      <c r="H987" s="17">
        <f t="array" ref="H987">MAX( INDEX(Pack_Master!H:H, MATCH($D987, Pack_Master!A:A, 0)),
      IFERROR(G987, 0) )
</f>
        <v>0</v>
      </c>
      <c r="I987" s="18" t="str">
        <f>IFERROR(__xludf.DUMMYFUNCTION("IFERROR(
 INDEX(
   FILTER(Shipping_Rate_Card!B:F, Shipping_Rate_Card!A:A=$A987),
   MATCH($H987, FILTER(Shipping_Rate_Card!B:B, Shipping_Rate_Card!A:A=$A987), 1),
   IF( INDEX(Config!B:B, MATCH($A987, Config!A:A, 0))=""Local"", 2,
     IF( INDEX(Config!B"&amp;":B, MATCH($A987, Config!A:A, 0))=""Regional"", 3, 4 )
   )
 ),
"""")
"),"")</f>
        <v/>
      </c>
      <c r="J987" s="16">
        <f>IFERROR(__xludf.DUMMYFUNCTION("IFERROR(
 ( E987 * INDEX(FILTER(Pricing_Rules!E:E, Pricing_Rules!A:A=A987, Pricing_Rules!B:B=B987, Pricing_Rules!C:C&lt;=E987, Pricing_Rules!D:D&gt;=E987), 1)
   + INDEX(FILTER(Pricing_Rules!F:F, Pricing_Rules!A:A=A987, Pricing_Rules!B:B=B987, Pricing_Rules!C:C"&amp;"&lt;=E987, Pricing_Rules!D:D&gt;=E987), 1)
 )
 * (1 + IFERROR( INDEX(Config!D:D, MATCH(A987, Config!A:A, 0)), 0 )),
"""")
"),15.34)</f>
        <v>15.34</v>
      </c>
      <c r="K987" s="19">
        <f t="shared" si="3"/>
        <v>-559.26</v>
      </c>
      <c r="L987" s="20" t="str">
        <f t="shared" si="4"/>
        <v/>
      </c>
    </row>
    <row r="988" ht="15.75" customHeight="1">
      <c r="A988" s="9" t="s">
        <v>1162</v>
      </c>
      <c r="B988" s="12" t="str">
        <f t="array" ref="B988">XLOOKUP(C988, Channel_Listings!C:C, Channel_Listings!B:B)
</f>
        <v>Garden_Planters</v>
      </c>
      <c r="C988" s="23" t="s">
        <v>1524</v>
      </c>
      <c r="D988" s="14" t="str">
        <f t="array" ref="D988">XLOOKUP(C988, Channel_Listings!C:C, Channel_Listings!D:D)
</f>
        <v>PLANTER-BROWN-ROUND-ROSE8-PK2</v>
      </c>
      <c r="E988" s="15"/>
      <c r="F988" s="16">
        <f t="array" ref="F988">IFERROR(
  VALUE( INDEX(Product_Master!$I:$I,
               MATCH( INDEX(Pack_Master!$B:$B, MATCH($D988, Pack_Master!$A:$A, 0)),
                      Product_Master!$B:$B, 0)
  )) 
  * VALUE( INDEX(Pack_Master!$C:$C, MATCH($D988, Pack_Master!$A:$A, 0)) )
  + VALUE( INDEX(Pack_Master!$D:$D, MATCH($D988, Pack_Master!$A:$A, 0)) ),
"")
</f>
        <v>52</v>
      </c>
      <c r="G988" s="17">
        <f t="array" ref="G988">IFERROR(
 ( INDEX(Pack_Master!E:E, MATCH($D988, Pack_Master!A:A, 0))
   * INDEX(Pack_Master!F:F, MATCH($D988, Pack_Master!A:A, 0))
   * INDEX(Pack_Master!G:G, MATCH($D988, Pack_Master!A:A, 0))
 ) / INDEX(Config!C:C, MATCH($A988, Config!A:A, 0)),
"")
</f>
        <v>0</v>
      </c>
      <c r="H988" s="17">
        <f t="array" ref="H988">MAX( INDEX(Pack_Master!H:H, MATCH($D988, Pack_Master!A:A, 0)),
      IFERROR(G988, 0) )
</f>
        <v>0</v>
      </c>
      <c r="I988" s="18" t="str">
        <f>IFERROR(__xludf.DUMMYFUNCTION("IFERROR(
 INDEX(
   FILTER(Shipping_Rate_Card!B:F, Shipping_Rate_Card!A:A=$A988),
   MATCH($H988, FILTER(Shipping_Rate_Card!B:B, Shipping_Rate_Card!A:A=$A988), 1),
   IF( INDEX(Config!B:B, MATCH($A988, Config!A:A, 0))=""Local"", 2,
     IF( INDEX(Config!B"&amp;":B, MATCH($A988, Config!A:A, 0))=""Regional"", 3, 4 )
   )
 ),
"""")
"),"")</f>
        <v/>
      </c>
      <c r="J988" s="16">
        <f>IFERROR(__xludf.DUMMYFUNCTION("IFERROR(
 ( E988 * INDEX(FILTER(Pricing_Rules!E:E, Pricing_Rules!A:A=A988, Pricing_Rules!B:B=B988, Pricing_Rules!C:C&lt;=E988, Pricing_Rules!D:D&gt;=E988), 1)
   + INDEX(FILTER(Pricing_Rules!F:F, Pricing_Rules!A:A=A988, Pricing_Rules!B:B=B988, Pricing_Rules!C:C"&amp;"&lt;=E988, Pricing_Rules!D:D&gt;=E988), 1)
 )
 * (1 + IFERROR( INDEX(Config!D:D, MATCH(A988, Config!A:A, 0)), 0 )),
"""")
"),15.34)</f>
        <v>15.34</v>
      </c>
      <c r="K988" s="19">
        <f t="shared" si="3"/>
        <v>-67.34</v>
      </c>
      <c r="L988" s="20" t="str">
        <f t="shared" si="4"/>
        <v/>
      </c>
    </row>
    <row r="989" ht="15.75" customHeight="1">
      <c r="A989" s="9" t="s">
        <v>1162</v>
      </c>
      <c r="B989" s="12" t="str">
        <f t="array" ref="B989">XLOOKUP(C989, Channel_Listings!C:C, Channel_Listings!B:B)
</f>
        <v>Garden_Planters</v>
      </c>
      <c r="C989" s="23" t="s">
        <v>1526</v>
      </c>
      <c r="D989" s="14" t="str">
        <f t="array" ref="D989">XLOOKUP(C989, Channel_Listings!C:C, Channel_Listings!D:D)
</f>
        <v>PLANTER-BROWN-ROUND-ROSE8-PK4</v>
      </c>
      <c r="E989" s="15"/>
      <c r="F989" s="16">
        <f t="array" ref="F989">IFERROR(
  VALUE( INDEX(Product_Master!$I:$I,
               MATCH( INDEX(Pack_Master!$B:$B, MATCH($D989, Pack_Master!$A:$A, 0)),
                      Product_Master!$B:$B, 0)
  )) 
  * VALUE( INDEX(Pack_Master!$C:$C, MATCH($D989, Pack_Master!$A:$A, 0)) )
  + VALUE( INDEX(Pack_Master!$D:$D, MATCH($D989, Pack_Master!$A:$A, 0)) ),
"")
</f>
        <v>104</v>
      </c>
      <c r="G989" s="17">
        <f t="array" ref="G989">IFERROR(
 ( INDEX(Pack_Master!E:E, MATCH($D989, Pack_Master!A:A, 0))
   * INDEX(Pack_Master!F:F, MATCH($D989, Pack_Master!A:A, 0))
   * INDEX(Pack_Master!G:G, MATCH($D989, Pack_Master!A:A, 0))
 ) / INDEX(Config!C:C, MATCH($A989, Config!A:A, 0)),
"")
</f>
        <v>0</v>
      </c>
      <c r="H989" s="17">
        <f t="array" ref="H989">MAX( INDEX(Pack_Master!H:H, MATCH($D989, Pack_Master!A:A, 0)),
      IFERROR(G989, 0) )
</f>
        <v>0</v>
      </c>
      <c r="I989" s="18" t="str">
        <f>IFERROR(__xludf.DUMMYFUNCTION("IFERROR(
 INDEX(
   FILTER(Shipping_Rate_Card!B:F, Shipping_Rate_Card!A:A=$A989),
   MATCH($H989, FILTER(Shipping_Rate_Card!B:B, Shipping_Rate_Card!A:A=$A989), 1),
   IF( INDEX(Config!B:B, MATCH($A989, Config!A:A, 0))=""Local"", 2,
     IF( INDEX(Config!B"&amp;":B, MATCH($A989, Config!A:A, 0))=""Regional"", 3, 4 )
   )
 ),
"""")
"),"")</f>
        <v/>
      </c>
      <c r="J989" s="16">
        <f>IFERROR(__xludf.DUMMYFUNCTION("IFERROR(
 ( E989 * INDEX(FILTER(Pricing_Rules!E:E, Pricing_Rules!A:A=A989, Pricing_Rules!B:B=B989, Pricing_Rules!C:C&lt;=E989, Pricing_Rules!D:D&gt;=E989), 1)
   + INDEX(FILTER(Pricing_Rules!F:F, Pricing_Rules!A:A=A989, Pricing_Rules!B:B=B989, Pricing_Rules!C:C"&amp;"&lt;=E989, Pricing_Rules!D:D&gt;=E989), 1)
 )
 * (1 + IFERROR( INDEX(Config!D:D, MATCH(A989, Config!A:A, 0)), 0 )),
"""")
"),15.34)</f>
        <v>15.34</v>
      </c>
      <c r="K989" s="19">
        <f t="shared" si="3"/>
        <v>-119.34</v>
      </c>
      <c r="L989" s="20" t="str">
        <f t="shared" si="4"/>
        <v/>
      </c>
    </row>
    <row r="990" ht="15.75" customHeight="1">
      <c r="A990" s="9" t="s">
        <v>1162</v>
      </c>
      <c r="B990" s="12" t="str">
        <f t="array" ref="B990">XLOOKUP(C990, Channel_Listings!C:C, Channel_Listings!B:B)
</f>
        <v>Garden_Planters</v>
      </c>
      <c r="C990" s="23" t="s">
        <v>1528</v>
      </c>
      <c r="D990" s="14" t="str">
        <f t="array" ref="D990">XLOOKUP(C990, Channel_Listings!C:C, Channel_Listings!D:D)
</f>
        <v>PLANTER-BROWN-ROUND-ROSE8-PK8</v>
      </c>
      <c r="E990" s="15"/>
      <c r="F990" s="16">
        <f t="array" ref="F990">IFERROR(
  VALUE( INDEX(Product_Master!$I:$I,
               MATCH( INDEX(Pack_Master!$B:$B, MATCH($D990, Pack_Master!$A:$A, 0)),
                      Product_Master!$B:$B, 0)
  )) 
  * VALUE( INDEX(Pack_Master!$C:$C, MATCH($D990, Pack_Master!$A:$A, 0)) )
  + VALUE( INDEX(Pack_Master!$D:$D, MATCH($D990, Pack_Master!$A:$A, 0)) ),
"")
</f>
        <v>208</v>
      </c>
      <c r="G990" s="17">
        <f t="array" ref="G990">IFERROR(
 ( INDEX(Pack_Master!E:E, MATCH($D990, Pack_Master!A:A, 0))
   * INDEX(Pack_Master!F:F, MATCH($D990, Pack_Master!A:A, 0))
   * INDEX(Pack_Master!G:G, MATCH($D990, Pack_Master!A:A, 0))
 ) / INDEX(Config!C:C, MATCH($A990, Config!A:A, 0)),
"")
</f>
        <v>0</v>
      </c>
      <c r="H990" s="17">
        <f t="array" ref="H990">MAX( INDEX(Pack_Master!H:H, MATCH($D990, Pack_Master!A:A, 0)),
      IFERROR(G990, 0) )
</f>
        <v>0</v>
      </c>
      <c r="I990" s="18" t="str">
        <f>IFERROR(__xludf.DUMMYFUNCTION("IFERROR(
 INDEX(
   FILTER(Shipping_Rate_Card!B:F, Shipping_Rate_Card!A:A=$A990),
   MATCH($H990, FILTER(Shipping_Rate_Card!B:B, Shipping_Rate_Card!A:A=$A990), 1),
   IF( INDEX(Config!B:B, MATCH($A990, Config!A:A, 0))=""Local"", 2,
     IF( INDEX(Config!B"&amp;":B, MATCH($A990, Config!A:A, 0))=""Regional"", 3, 4 )
   )
 ),
"""")
"),"")</f>
        <v/>
      </c>
      <c r="J990" s="16">
        <f>IFERROR(__xludf.DUMMYFUNCTION("IFERROR(
 ( E990 * INDEX(FILTER(Pricing_Rules!E:E, Pricing_Rules!A:A=A990, Pricing_Rules!B:B=B990, Pricing_Rules!C:C&lt;=E990, Pricing_Rules!D:D&gt;=E990), 1)
   + INDEX(FILTER(Pricing_Rules!F:F, Pricing_Rules!A:A=A990, Pricing_Rules!B:B=B990, Pricing_Rules!C:C"&amp;"&lt;=E990, Pricing_Rules!D:D&gt;=E990), 1)
 )
 * (1 + IFERROR( INDEX(Config!D:D, MATCH(A990, Config!A:A, 0)), 0 )),
"""")
"),15.34)</f>
        <v>15.34</v>
      </c>
      <c r="K990" s="19">
        <f t="shared" si="3"/>
        <v>-223.34</v>
      </c>
      <c r="L990" s="20" t="str">
        <f t="shared" si="4"/>
        <v/>
      </c>
    </row>
    <row r="991" ht="15.75" customHeight="1">
      <c r="A991" s="9" t="s">
        <v>1162</v>
      </c>
      <c r="B991" s="12" t="str">
        <f t="array" ref="B991">XLOOKUP(C991, Channel_Listings!C:C, Channel_Listings!B:B)
</f>
        <v>Garden_Planters</v>
      </c>
      <c r="C991" s="23" t="s">
        <v>1530</v>
      </c>
      <c r="D991" s="14" t="str">
        <f t="array" ref="D991">XLOOKUP(C991, Channel_Listings!C:C, Channel_Listings!D:D)
</f>
        <v>PLANTERS-COLOR-SQUARE-STERLING4-PK5</v>
      </c>
      <c r="E991" s="15"/>
      <c r="F991" s="16">
        <f t="array" ref="F991">IFERROR(
  VALUE( INDEX(Product_Master!$I:$I,
               MATCH( INDEX(Pack_Master!$B:$B, MATCH($D991, Pack_Master!$A:$A, 0)),
                      Product_Master!$B:$B, 0)
  )) 
  * VALUE( INDEX(Pack_Master!$C:$C, MATCH($D991, Pack_Master!$A:$A, 0)) )
  + VALUE( INDEX(Pack_Master!$D:$D, MATCH($D991, Pack_Master!$A:$A, 0)) ),
"")
</f>
        <v>15</v>
      </c>
      <c r="G991" s="17">
        <f t="array" ref="G991">IFERROR(
 ( INDEX(Pack_Master!E:E, MATCH($D991, Pack_Master!A:A, 0))
   * INDEX(Pack_Master!F:F, MATCH($D991, Pack_Master!A:A, 0))
   * INDEX(Pack_Master!G:G, MATCH($D991, Pack_Master!A:A, 0))
 ) / INDEX(Config!C:C, MATCH($A991, Config!A:A, 0)),
"")
</f>
        <v>0</v>
      </c>
      <c r="H991" s="17">
        <f t="array" ref="H991">MAX( INDEX(Pack_Master!H:H, MATCH($D991, Pack_Master!A:A, 0)),
      IFERROR(G991, 0) )
</f>
        <v>0</v>
      </c>
      <c r="I991" s="18" t="str">
        <f>IFERROR(__xludf.DUMMYFUNCTION("IFERROR(
 INDEX(
   FILTER(Shipping_Rate_Card!B:F, Shipping_Rate_Card!A:A=$A991),
   MATCH($H991, FILTER(Shipping_Rate_Card!B:B, Shipping_Rate_Card!A:A=$A991), 1),
   IF( INDEX(Config!B:B, MATCH($A991, Config!A:A, 0))=""Local"", 2,
     IF( INDEX(Config!B"&amp;":B, MATCH($A991, Config!A:A, 0))=""Regional"", 3, 4 )
   )
 ),
"""")
"),"")</f>
        <v/>
      </c>
      <c r="J991" s="16">
        <f>IFERROR(__xludf.DUMMYFUNCTION("IFERROR(
 ( E991 * INDEX(FILTER(Pricing_Rules!E:E, Pricing_Rules!A:A=A991, Pricing_Rules!B:B=B991, Pricing_Rules!C:C&lt;=E991, Pricing_Rules!D:D&gt;=E991), 1)
   + INDEX(FILTER(Pricing_Rules!F:F, Pricing_Rules!A:A=A991, Pricing_Rules!B:B=B991, Pricing_Rules!C:C"&amp;"&lt;=E991, Pricing_Rules!D:D&gt;=E991), 1)
 )
 * (1 + IFERROR( INDEX(Config!D:D, MATCH(A991, Config!A:A, 0)), 0 )),
"""")
"),15.34)</f>
        <v>15.34</v>
      </c>
      <c r="K991" s="19">
        <f t="shared" si="3"/>
        <v>-30.34</v>
      </c>
      <c r="L991" s="20" t="str">
        <f t="shared" si="4"/>
        <v/>
      </c>
    </row>
    <row r="992" ht="15.75" customHeight="1">
      <c r="A992" s="9" t="s">
        <v>1162</v>
      </c>
      <c r="B992" s="12" t="str">
        <f t="array" ref="B992">XLOOKUP(C992, Channel_Listings!C:C, Channel_Listings!B:B)
</f>
        <v>Garden_Planters</v>
      </c>
      <c r="C992" s="23" t="s">
        <v>810</v>
      </c>
      <c r="D992" s="14" t="str">
        <f t="array" ref="D992">XLOOKUP(C992, Channel_Listings!C:C, Channel_Listings!D:D)
</f>
        <v>PLANTER-BLACK-BLOSSOM10-PK6</v>
      </c>
      <c r="E992" s="15"/>
      <c r="F992" s="16">
        <f t="array" ref="F992">IFERROR(
  VALUE( INDEX(Product_Master!$I:$I,
               MATCH( INDEX(Pack_Master!$B:$B, MATCH($D992, Pack_Master!$A:$A, 0)),
                      Product_Master!$B:$B, 0)
  )) 
  * VALUE( INDEX(Pack_Master!$C:$C, MATCH($D992, Pack_Master!$A:$A, 0)) )
  + VALUE( INDEX(Pack_Master!$D:$D, MATCH($D992, Pack_Master!$A:$A, 0)) ),
"")
</f>
        <v>0</v>
      </c>
      <c r="G992" s="17">
        <f t="array" ref="G992">IFERROR(
 ( INDEX(Pack_Master!E:E, MATCH($D992, Pack_Master!A:A, 0))
   * INDEX(Pack_Master!F:F, MATCH($D992, Pack_Master!A:A, 0))
   * INDEX(Pack_Master!G:G, MATCH($D992, Pack_Master!A:A, 0))
 ) / INDEX(Config!C:C, MATCH($A992, Config!A:A, 0)),
"")
</f>
        <v>0</v>
      </c>
      <c r="H992" s="17">
        <f t="array" ref="H992">MAX( INDEX(Pack_Master!H:H, MATCH($D992, Pack_Master!A:A, 0)),
      IFERROR(G992, 0) )
</f>
        <v>0</v>
      </c>
      <c r="I992" s="18" t="str">
        <f>IFERROR(__xludf.DUMMYFUNCTION("IFERROR(
 INDEX(
   FILTER(Shipping_Rate_Card!B:F, Shipping_Rate_Card!A:A=$A992),
   MATCH($H992, FILTER(Shipping_Rate_Card!B:B, Shipping_Rate_Card!A:A=$A992), 1),
   IF( INDEX(Config!B:B, MATCH($A992, Config!A:A, 0))=""Local"", 2,
     IF( INDEX(Config!B"&amp;":B, MATCH($A992, Config!A:A, 0))=""Regional"", 3, 4 )
   )
 ),
"""")
"),"")</f>
        <v/>
      </c>
      <c r="J992" s="16">
        <f>IFERROR(__xludf.DUMMYFUNCTION("IFERROR(
 ( E992 * INDEX(FILTER(Pricing_Rules!E:E, Pricing_Rules!A:A=A992, Pricing_Rules!B:B=B992, Pricing_Rules!C:C&lt;=E992, Pricing_Rules!D:D&gt;=E992), 1)
   + INDEX(FILTER(Pricing_Rules!F:F, Pricing_Rules!A:A=A992, Pricing_Rules!B:B=B992, Pricing_Rules!C:C"&amp;"&lt;=E992, Pricing_Rules!D:D&gt;=E992), 1)
 )
 * (1 + IFERROR( INDEX(Config!D:D, MATCH(A992, Config!A:A, 0)), 0 )),
"""")
"),15.34)</f>
        <v>15.34</v>
      </c>
      <c r="K992" s="19">
        <f t="shared" si="3"/>
        <v>-15.34</v>
      </c>
      <c r="L992" s="20" t="str">
        <f t="shared" si="4"/>
        <v/>
      </c>
    </row>
    <row r="993" ht="15.75" customHeight="1">
      <c r="A993" s="9" t="s">
        <v>1162</v>
      </c>
      <c r="B993" s="12" t="str">
        <f t="array" ref="B993">XLOOKUP(C993, Channel_Listings!C:C, Channel_Listings!B:B)
</f>
        <v>Garden_Planters</v>
      </c>
      <c r="C993" s="23" t="s">
        <v>1533</v>
      </c>
      <c r="D993" s="14" t="str">
        <f t="array" ref="D993">XLOOKUP(C993, Channel_Listings!C:C, Channel_Listings!D:D)
</f>
        <v>PLANTER-BROWN-PLATE-NP10-PK4</v>
      </c>
      <c r="E993" s="15"/>
      <c r="F993" s="16">
        <f t="array" ref="F993">IFERROR(
  VALUE( INDEX(Product_Master!$I:$I,
               MATCH( INDEX(Pack_Master!$B:$B, MATCH($D993, Pack_Master!$A:$A, 0)),
                      Product_Master!$B:$B, 0)
  )) 
  * VALUE( INDEX(Pack_Master!$C:$C, MATCH($D993, Pack_Master!$A:$A, 0)) )
  + VALUE( INDEX(Pack_Master!$D:$D, MATCH($D993, Pack_Master!$A:$A, 0)) ),
"")
</f>
        <v>73.36</v>
      </c>
      <c r="G993" s="17">
        <f t="array" ref="G993">IFERROR(
 ( INDEX(Pack_Master!E:E, MATCH($D993, Pack_Master!A:A, 0))
   * INDEX(Pack_Master!F:F, MATCH($D993, Pack_Master!A:A, 0))
   * INDEX(Pack_Master!G:G, MATCH($D993, Pack_Master!A:A, 0))
 ) / INDEX(Config!C:C, MATCH($A993, Config!A:A, 0)),
"")
</f>
        <v>0</v>
      </c>
      <c r="H993" s="17">
        <f t="array" ref="H993">MAX( INDEX(Pack_Master!H:H, MATCH($D993, Pack_Master!A:A, 0)),
      IFERROR(G993, 0) )
</f>
        <v>0</v>
      </c>
      <c r="I993" s="18" t="str">
        <f>IFERROR(__xludf.DUMMYFUNCTION("IFERROR(
 INDEX(
   FILTER(Shipping_Rate_Card!B:F, Shipping_Rate_Card!A:A=$A993),
   MATCH($H993, FILTER(Shipping_Rate_Card!B:B, Shipping_Rate_Card!A:A=$A993), 1),
   IF( INDEX(Config!B:B, MATCH($A993, Config!A:A, 0))=""Local"", 2,
     IF( INDEX(Config!B"&amp;":B, MATCH($A993, Config!A:A, 0))=""Regional"", 3, 4 )
   )
 ),
"""")
"),"")</f>
        <v/>
      </c>
      <c r="J993" s="16">
        <f>IFERROR(__xludf.DUMMYFUNCTION("IFERROR(
 ( E993 * INDEX(FILTER(Pricing_Rules!E:E, Pricing_Rules!A:A=A993, Pricing_Rules!B:B=B993, Pricing_Rules!C:C&lt;=E993, Pricing_Rules!D:D&gt;=E993), 1)
   + INDEX(FILTER(Pricing_Rules!F:F, Pricing_Rules!A:A=A993, Pricing_Rules!B:B=B993, Pricing_Rules!C:C"&amp;"&lt;=E993, Pricing_Rules!D:D&gt;=E993), 1)
 )
 * (1 + IFERROR( INDEX(Config!D:D, MATCH(A993, Config!A:A, 0)), 0 )),
"""")
"),15.34)</f>
        <v>15.34</v>
      </c>
      <c r="K993" s="19">
        <f t="shared" si="3"/>
        <v>-88.7</v>
      </c>
      <c r="L993" s="20" t="str">
        <f t="shared" si="4"/>
        <v/>
      </c>
    </row>
    <row r="994" ht="15.75" customHeight="1">
      <c r="A994" s="9" t="s">
        <v>1162</v>
      </c>
      <c r="B994" s="12" t="str">
        <f t="array" ref="B994">XLOOKUP(C994, Channel_Listings!C:C, Channel_Listings!B:B)
</f>
        <v>Garden_Planters</v>
      </c>
      <c r="C994" s="23" t="s">
        <v>1535</v>
      </c>
      <c r="D994" s="14" t="str">
        <f t="array" ref="D994">XLOOKUP(C994, Channel_Listings!C:C, Channel_Listings!D:D)
</f>
        <v>PLANTER-BROWN-PLATE-NP8-PK16</v>
      </c>
      <c r="E994" s="15"/>
      <c r="F994" s="16">
        <f t="array" ref="F994">IFERROR(
  VALUE( INDEX(Product_Master!$I:$I,
               MATCH( INDEX(Pack_Master!$B:$B, MATCH($D994, Pack_Master!$A:$A, 0)),
                      Product_Master!$B:$B, 0)
  )) 
  * VALUE( INDEX(Pack_Master!$C:$C, MATCH($D994, Pack_Master!$A:$A, 0)) )
  + VALUE( INDEX(Pack_Master!$D:$D, MATCH($D994, Pack_Master!$A:$A, 0)) ),
"")
</f>
        <v>199.04</v>
      </c>
      <c r="G994" s="17">
        <f t="array" ref="G994">IFERROR(
 ( INDEX(Pack_Master!E:E, MATCH($D994, Pack_Master!A:A, 0))
   * INDEX(Pack_Master!F:F, MATCH($D994, Pack_Master!A:A, 0))
   * INDEX(Pack_Master!G:G, MATCH($D994, Pack_Master!A:A, 0))
 ) / INDEX(Config!C:C, MATCH($A994, Config!A:A, 0)),
"")
</f>
        <v>0</v>
      </c>
      <c r="H994" s="17">
        <f t="array" ref="H994">MAX( INDEX(Pack_Master!H:H, MATCH($D994, Pack_Master!A:A, 0)),
      IFERROR(G994, 0) )
</f>
        <v>0</v>
      </c>
      <c r="I994" s="18" t="str">
        <f>IFERROR(__xludf.DUMMYFUNCTION("IFERROR(
 INDEX(
   FILTER(Shipping_Rate_Card!B:F, Shipping_Rate_Card!A:A=$A994),
   MATCH($H994, FILTER(Shipping_Rate_Card!B:B, Shipping_Rate_Card!A:A=$A994), 1),
   IF( INDEX(Config!B:B, MATCH($A994, Config!A:A, 0))=""Local"", 2,
     IF( INDEX(Config!B"&amp;":B, MATCH($A994, Config!A:A, 0))=""Regional"", 3, 4 )
   )
 ),
"""")
"),"")</f>
        <v/>
      </c>
      <c r="J994" s="16">
        <f>IFERROR(__xludf.DUMMYFUNCTION("IFERROR(
 ( E994 * INDEX(FILTER(Pricing_Rules!E:E, Pricing_Rules!A:A=A994, Pricing_Rules!B:B=B994, Pricing_Rules!C:C&lt;=E994, Pricing_Rules!D:D&gt;=E994), 1)
   + INDEX(FILTER(Pricing_Rules!F:F, Pricing_Rules!A:A=A994, Pricing_Rules!B:B=B994, Pricing_Rules!C:C"&amp;"&lt;=E994, Pricing_Rules!D:D&gt;=E994), 1)
 )
 * (1 + IFERROR( INDEX(Config!D:D, MATCH(A994, Config!A:A, 0)), 0 )),
"""")
"),15.34)</f>
        <v>15.34</v>
      </c>
      <c r="K994" s="19">
        <f t="shared" si="3"/>
        <v>-214.38</v>
      </c>
      <c r="L994" s="20" t="str">
        <f t="shared" si="4"/>
        <v/>
      </c>
    </row>
    <row r="995" ht="15.75" customHeight="1">
      <c r="A995" s="9" t="s">
        <v>1162</v>
      </c>
      <c r="B995" s="12" t="str">
        <f t="array" ref="B995">XLOOKUP(C995, Channel_Listings!C:C, Channel_Listings!B:B)
</f>
        <v>Garden_Planters</v>
      </c>
      <c r="C995" s="23" t="s">
        <v>1537</v>
      </c>
      <c r="D995" s="14" t="str">
        <f t="array" ref="D995">XLOOKUP(C995, Channel_Listings!C:C, Channel_Listings!D:D)
</f>
        <v>PLANTER-BROWN-PLATE-NP8-PK8</v>
      </c>
      <c r="E995" s="15"/>
      <c r="F995" s="16">
        <f t="array" ref="F995">IFERROR(
  VALUE( INDEX(Product_Master!$I:$I,
               MATCH( INDEX(Pack_Master!$B:$B, MATCH($D995, Pack_Master!$A:$A, 0)),
                      Product_Master!$B:$B, 0)
  )) 
  * VALUE( INDEX(Pack_Master!$C:$C, MATCH($D995, Pack_Master!$A:$A, 0)) )
  + VALUE( INDEX(Pack_Master!$D:$D, MATCH($D995, Pack_Master!$A:$A, 0)) ),
"")
</f>
        <v>99.52</v>
      </c>
      <c r="G995" s="17">
        <f t="array" ref="G995">IFERROR(
 ( INDEX(Pack_Master!E:E, MATCH($D995, Pack_Master!A:A, 0))
   * INDEX(Pack_Master!F:F, MATCH($D995, Pack_Master!A:A, 0))
   * INDEX(Pack_Master!G:G, MATCH($D995, Pack_Master!A:A, 0))
 ) / INDEX(Config!C:C, MATCH($A995, Config!A:A, 0)),
"")
</f>
        <v>0</v>
      </c>
      <c r="H995" s="17">
        <f t="array" ref="H995">MAX( INDEX(Pack_Master!H:H, MATCH($D995, Pack_Master!A:A, 0)),
      IFERROR(G995, 0) )
</f>
        <v>0</v>
      </c>
      <c r="I995" s="18" t="str">
        <f>IFERROR(__xludf.DUMMYFUNCTION("IFERROR(
 INDEX(
   FILTER(Shipping_Rate_Card!B:F, Shipping_Rate_Card!A:A=$A995),
   MATCH($H995, FILTER(Shipping_Rate_Card!B:B, Shipping_Rate_Card!A:A=$A995), 1),
   IF( INDEX(Config!B:B, MATCH($A995, Config!A:A, 0))=""Local"", 2,
     IF( INDEX(Config!B"&amp;":B, MATCH($A995, Config!A:A, 0))=""Regional"", 3, 4 )
   )
 ),
"""")
"),"")</f>
        <v/>
      </c>
      <c r="J995" s="16">
        <f>IFERROR(__xludf.DUMMYFUNCTION("IFERROR(
 ( E995 * INDEX(FILTER(Pricing_Rules!E:E, Pricing_Rules!A:A=A995, Pricing_Rules!B:B=B995, Pricing_Rules!C:C&lt;=E995, Pricing_Rules!D:D&gt;=E995), 1)
   + INDEX(FILTER(Pricing_Rules!F:F, Pricing_Rules!A:A=A995, Pricing_Rules!B:B=B995, Pricing_Rules!C:C"&amp;"&lt;=E995, Pricing_Rules!D:D&gt;=E995), 1)
 )
 * (1 + IFERROR( INDEX(Config!D:D, MATCH(A995, Config!A:A, 0)), 0 )),
"""")
"),15.34)</f>
        <v>15.34</v>
      </c>
      <c r="K995" s="19">
        <f t="shared" si="3"/>
        <v>-114.86</v>
      </c>
      <c r="L995" s="20" t="str">
        <f t="shared" si="4"/>
        <v/>
      </c>
    </row>
    <row r="996" ht="15.75" customHeight="1">
      <c r="A996" s="9" t="s">
        <v>1162</v>
      </c>
      <c r="B996" s="12" t="str">
        <f t="array" ref="B996">XLOOKUP(C996, Channel_Listings!C:C, Channel_Listings!B:B)
</f>
        <v>Garden_Planters</v>
      </c>
      <c r="C996" s="23" t="s">
        <v>846</v>
      </c>
      <c r="D996" s="14" t="str">
        <f t="array" ref="D996">XLOOKUP(C996, Channel_Listings!C:C, Channel_Listings!D:D)
</f>
        <v>PLANTER-BROWN-RECTANGLE-ORCHID12-PK2</v>
      </c>
      <c r="E996" s="15"/>
      <c r="F996" s="16">
        <f t="array" ref="F996">IFERROR(
  VALUE( INDEX(Product_Master!$I:$I,
               MATCH( INDEX(Pack_Master!$B:$B, MATCH($D996, Pack_Master!$A:$A, 0)),
                      Product_Master!$B:$B, 0)
  )) 
  * VALUE( INDEX(Pack_Master!$C:$C, MATCH($D996, Pack_Master!$A:$A, 0)) )
  + VALUE( INDEX(Pack_Master!$D:$D, MATCH($D996, Pack_Master!$A:$A, 0)) ),
"")
</f>
        <v>76.98</v>
      </c>
      <c r="G996" s="17">
        <f t="array" ref="G996">IFERROR(
 ( INDEX(Pack_Master!E:E, MATCH($D996, Pack_Master!A:A, 0))
   * INDEX(Pack_Master!F:F, MATCH($D996, Pack_Master!A:A, 0))
   * INDEX(Pack_Master!G:G, MATCH($D996, Pack_Master!A:A, 0))
 ) / INDEX(Config!C:C, MATCH($A996, Config!A:A, 0)),
"")
</f>
        <v>0</v>
      </c>
      <c r="H996" s="17">
        <f t="array" ref="H996">MAX( INDEX(Pack_Master!H:H, MATCH($D996, Pack_Master!A:A, 0)),
      IFERROR(G996, 0) )
</f>
        <v>0</v>
      </c>
      <c r="I996" s="18" t="str">
        <f>IFERROR(__xludf.DUMMYFUNCTION("IFERROR(
 INDEX(
   FILTER(Shipping_Rate_Card!B:F, Shipping_Rate_Card!A:A=$A996),
   MATCH($H996, FILTER(Shipping_Rate_Card!B:B, Shipping_Rate_Card!A:A=$A996), 1),
   IF( INDEX(Config!B:B, MATCH($A996, Config!A:A, 0))=""Local"", 2,
     IF( INDEX(Config!B"&amp;":B, MATCH($A996, Config!A:A, 0))=""Regional"", 3, 4 )
   )
 ),
"""")
"),"")</f>
        <v/>
      </c>
      <c r="J996" s="16">
        <f>IFERROR(__xludf.DUMMYFUNCTION("IFERROR(
 ( E996 * INDEX(FILTER(Pricing_Rules!E:E, Pricing_Rules!A:A=A996, Pricing_Rules!B:B=B996, Pricing_Rules!C:C&lt;=E996, Pricing_Rules!D:D&gt;=E996), 1)
   + INDEX(FILTER(Pricing_Rules!F:F, Pricing_Rules!A:A=A996, Pricing_Rules!B:B=B996, Pricing_Rules!C:C"&amp;"&lt;=E996, Pricing_Rules!D:D&gt;=E996), 1)
 )
 * (1 + IFERROR( INDEX(Config!D:D, MATCH(A996, Config!A:A, 0)), 0 )),
"""")
"),15.34)</f>
        <v>15.34</v>
      </c>
      <c r="K996" s="19">
        <f t="shared" si="3"/>
        <v>-92.32</v>
      </c>
      <c r="L996" s="20" t="str">
        <f t="shared" si="4"/>
        <v/>
      </c>
    </row>
    <row r="997" ht="15.75" customHeight="1">
      <c r="A997" s="9" t="s">
        <v>1162</v>
      </c>
      <c r="B997" s="12" t="str">
        <f t="array" ref="B997">XLOOKUP(C997, Channel_Listings!C:C, Channel_Listings!B:B)
</f>
        <v>Garden_Planters</v>
      </c>
      <c r="C997" s="23" t="s">
        <v>849</v>
      </c>
      <c r="D997" s="14" t="str">
        <f t="array" ref="D997">XLOOKUP(C997, Channel_Listings!C:C, Channel_Listings!D:D)
</f>
        <v>PLANTER-BROWN-RECTANGLE-ORCHID12-PK4</v>
      </c>
      <c r="E997" s="15"/>
      <c r="F997" s="16">
        <f t="array" ref="F997">IFERROR(
  VALUE( INDEX(Product_Master!$I:$I,
               MATCH( INDEX(Pack_Master!$B:$B, MATCH($D997, Pack_Master!$A:$A, 0)),
                      Product_Master!$B:$B, 0)
  )) 
  * VALUE( INDEX(Pack_Master!$C:$C, MATCH($D997, Pack_Master!$A:$A, 0)) )
  + VALUE( INDEX(Pack_Master!$D:$D, MATCH($D997, Pack_Master!$A:$A, 0)) ),
"")
</f>
        <v>153.96</v>
      </c>
      <c r="G997" s="17">
        <f t="array" ref="G997">IFERROR(
 ( INDEX(Pack_Master!E:E, MATCH($D997, Pack_Master!A:A, 0))
   * INDEX(Pack_Master!F:F, MATCH($D997, Pack_Master!A:A, 0))
   * INDEX(Pack_Master!G:G, MATCH($D997, Pack_Master!A:A, 0))
 ) / INDEX(Config!C:C, MATCH($A997, Config!A:A, 0)),
"")
</f>
        <v>0</v>
      </c>
      <c r="H997" s="17">
        <f t="array" ref="H997">MAX( INDEX(Pack_Master!H:H, MATCH($D997, Pack_Master!A:A, 0)),
      IFERROR(G997, 0) )
</f>
        <v>0</v>
      </c>
      <c r="I997" s="18" t="str">
        <f>IFERROR(__xludf.DUMMYFUNCTION("IFERROR(
 INDEX(
   FILTER(Shipping_Rate_Card!B:F, Shipping_Rate_Card!A:A=$A997),
   MATCH($H997, FILTER(Shipping_Rate_Card!B:B, Shipping_Rate_Card!A:A=$A997), 1),
   IF( INDEX(Config!B:B, MATCH($A997, Config!A:A, 0))=""Local"", 2,
     IF( INDEX(Config!B"&amp;":B, MATCH($A997, Config!A:A, 0))=""Regional"", 3, 4 )
   )
 ),
"""")
"),"")</f>
        <v/>
      </c>
      <c r="J997" s="16">
        <f>IFERROR(__xludf.DUMMYFUNCTION("IFERROR(
 ( E997 * INDEX(FILTER(Pricing_Rules!E:E, Pricing_Rules!A:A=A997, Pricing_Rules!B:B=B997, Pricing_Rules!C:C&lt;=E997, Pricing_Rules!D:D&gt;=E997), 1)
   + INDEX(FILTER(Pricing_Rules!F:F, Pricing_Rules!A:A=A997, Pricing_Rules!B:B=B997, Pricing_Rules!C:C"&amp;"&lt;=E997, Pricing_Rules!D:D&gt;=E997), 1)
 )
 * (1 + IFERROR( INDEX(Config!D:D, MATCH(A997, Config!A:A, 0)), 0 )),
"""")
"),15.34)</f>
        <v>15.34</v>
      </c>
      <c r="K997" s="19">
        <f t="shared" si="3"/>
        <v>-169.3</v>
      </c>
      <c r="L997" s="20" t="str">
        <f t="shared" si="4"/>
        <v/>
      </c>
    </row>
    <row r="998" ht="15.75" customHeight="1">
      <c r="A998" s="9" t="s">
        <v>1162</v>
      </c>
      <c r="B998" s="12" t="str">
        <f t="array" ref="B998">XLOOKUP(C998, Channel_Listings!C:C, Channel_Listings!B:B)
</f>
        <v>Garden_Planters</v>
      </c>
      <c r="C998" s="23" t="s">
        <v>851</v>
      </c>
      <c r="D998" s="14" t="str">
        <f t="array" ref="D998">XLOOKUP(C998, Channel_Listings!C:C, Channel_Listings!D:D)
</f>
        <v>PLANTER-BROWN-RECTANGLE-ORCHID12-PK8</v>
      </c>
      <c r="E998" s="15"/>
      <c r="F998" s="16">
        <f t="array" ref="F998">IFERROR(
  VALUE( INDEX(Product_Master!$I:$I,
               MATCH( INDEX(Pack_Master!$B:$B, MATCH($D998, Pack_Master!$A:$A, 0)),
                      Product_Master!$B:$B, 0)
  )) 
  * VALUE( INDEX(Pack_Master!$C:$C, MATCH($D998, Pack_Master!$A:$A, 0)) )
  + VALUE( INDEX(Pack_Master!$D:$D, MATCH($D998, Pack_Master!$A:$A, 0)) ),
"")
</f>
        <v>307.92</v>
      </c>
      <c r="G998" s="17">
        <f t="array" ref="G998">IFERROR(
 ( INDEX(Pack_Master!E:E, MATCH($D998, Pack_Master!A:A, 0))
   * INDEX(Pack_Master!F:F, MATCH($D998, Pack_Master!A:A, 0))
   * INDEX(Pack_Master!G:G, MATCH($D998, Pack_Master!A:A, 0))
 ) / INDEX(Config!C:C, MATCH($A998, Config!A:A, 0)),
"")
</f>
        <v>0</v>
      </c>
      <c r="H998" s="17">
        <f t="array" ref="H998">MAX( INDEX(Pack_Master!H:H, MATCH($D998, Pack_Master!A:A, 0)),
      IFERROR(G998, 0) )
</f>
        <v>0</v>
      </c>
      <c r="I998" s="18" t="str">
        <f>IFERROR(__xludf.DUMMYFUNCTION("IFERROR(
 INDEX(
   FILTER(Shipping_Rate_Card!B:F, Shipping_Rate_Card!A:A=$A998),
   MATCH($H998, FILTER(Shipping_Rate_Card!B:B, Shipping_Rate_Card!A:A=$A998), 1),
   IF( INDEX(Config!B:B, MATCH($A998, Config!A:A, 0))=""Local"", 2,
     IF( INDEX(Config!B"&amp;":B, MATCH($A998, Config!A:A, 0))=""Regional"", 3, 4 )
   )
 ),
"""")
"),"")</f>
        <v/>
      </c>
      <c r="J998" s="16">
        <f>IFERROR(__xludf.DUMMYFUNCTION("IFERROR(
 ( E998 * INDEX(FILTER(Pricing_Rules!E:E, Pricing_Rules!A:A=A998, Pricing_Rules!B:B=B998, Pricing_Rules!C:C&lt;=E998, Pricing_Rules!D:D&gt;=E998), 1)
   + INDEX(FILTER(Pricing_Rules!F:F, Pricing_Rules!A:A=A998, Pricing_Rules!B:B=B998, Pricing_Rules!C:C"&amp;"&lt;=E998, Pricing_Rules!D:D&gt;=E998), 1)
 )
 * (1 + IFERROR( INDEX(Config!D:D, MATCH(A998, Config!A:A, 0)), 0 )),
"""")
"),15.34)</f>
        <v>15.34</v>
      </c>
      <c r="K998" s="19">
        <f t="shared" si="3"/>
        <v>-323.26</v>
      </c>
      <c r="L998" s="20" t="str">
        <f t="shared" si="4"/>
        <v/>
      </c>
    </row>
    <row r="999" ht="15.75" customHeight="1">
      <c r="A999" s="9" t="s">
        <v>1162</v>
      </c>
      <c r="B999" s="12" t="str">
        <f t="array" ref="B999">XLOOKUP(C999, Channel_Listings!C:C, Channel_Listings!B:B)
</f>
        <v>Garden_Planters</v>
      </c>
      <c r="C999" s="23" t="s">
        <v>857</v>
      </c>
      <c r="D999" s="14" t="str">
        <f t="array" ref="D999">XLOOKUP(C999, Channel_Listings!C:C, Channel_Listings!D:D)
</f>
        <v>PLANTER-BROWN-RECTANGLE-ORCHID18-PK4</v>
      </c>
      <c r="E999" s="15"/>
      <c r="F999" s="16">
        <f t="array" ref="F999">IFERROR(
  VALUE( INDEX(Product_Master!$I:$I,
               MATCH( INDEX(Pack_Master!$B:$B, MATCH($D999, Pack_Master!$A:$A, 0)),
                      Product_Master!$B:$B, 0)
  )) 
  * VALUE( INDEX(Pack_Master!$C:$C, MATCH($D999, Pack_Master!$A:$A, 0)) )
  + VALUE( INDEX(Pack_Master!$D:$D, MATCH($D999, Pack_Master!$A:$A, 0)) ),
"")
</f>
        <v>352</v>
      </c>
      <c r="G999" s="17">
        <f t="array" ref="G999">IFERROR(
 ( INDEX(Pack_Master!E:E, MATCH($D999, Pack_Master!A:A, 0))
   * INDEX(Pack_Master!F:F, MATCH($D999, Pack_Master!A:A, 0))
   * INDEX(Pack_Master!G:G, MATCH($D999, Pack_Master!A:A, 0))
 ) / INDEX(Config!C:C, MATCH($A999, Config!A:A, 0)),
"")
</f>
        <v>0</v>
      </c>
      <c r="H999" s="17">
        <f t="array" ref="H999">MAX( INDEX(Pack_Master!H:H, MATCH($D999, Pack_Master!A:A, 0)),
      IFERROR(G999, 0) )
</f>
        <v>0</v>
      </c>
      <c r="I999" s="18" t="str">
        <f>IFERROR(__xludf.DUMMYFUNCTION("IFERROR(
 INDEX(
   FILTER(Shipping_Rate_Card!B:F, Shipping_Rate_Card!A:A=$A999),
   MATCH($H999, FILTER(Shipping_Rate_Card!B:B, Shipping_Rate_Card!A:A=$A999), 1),
   IF( INDEX(Config!B:B, MATCH($A999, Config!A:A, 0))=""Local"", 2,
     IF( INDEX(Config!B"&amp;":B, MATCH($A999, Config!A:A, 0))=""Regional"", 3, 4 )
   )
 ),
"""")
"),"")</f>
        <v/>
      </c>
      <c r="J999" s="16">
        <f>IFERROR(__xludf.DUMMYFUNCTION("IFERROR(
 ( E999 * INDEX(FILTER(Pricing_Rules!E:E, Pricing_Rules!A:A=A999, Pricing_Rules!B:B=B999, Pricing_Rules!C:C&lt;=E999, Pricing_Rules!D:D&gt;=E999), 1)
   + INDEX(FILTER(Pricing_Rules!F:F, Pricing_Rules!A:A=A999, Pricing_Rules!B:B=B999, Pricing_Rules!C:C"&amp;"&lt;=E999, Pricing_Rules!D:D&gt;=E999), 1)
 )
 * (1 + IFERROR( INDEX(Config!D:D, MATCH(A999, Config!A:A, 0)), 0 )),
"""")
"),15.34)</f>
        <v>15.34</v>
      </c>
      <c r="K999" s="19">
        <f t="shared" si="3"/>
        <v>-367.34</v>
      </c>
      <c r="L999" s="20" t="str">
        <f t="shared" si="4"/>
        <v/>
      </c>
    </row>
    <row r="1000" ht="15.75" customHeight="1">
      <c r="A1000" s="9" t="s">
        <v>1162</v>
      </c>
      <c r="B1000" s="12" t="str">
        <f t="array" ref="B1000">XLOOKUP(C1000, Channel_Listings!C:C, Channel_Listings!B:B)
</f>
        <v>Garden_Planters</v>
      </c>
      <c r="C1000" s="23" t="s">
        <v>902</v>
      </c>
      <c r="D1000" s="14" t="str">
        <f t="array" ref="D1000">XLOOKUP(C1000, Channel_Listings!C:C, Channel_Listings!D:D)
</f>
        <v>PLANTER-BROWN-SQUARE-ORCHID10-PK2</v>
      </c>
      <c r="E1000" s="15"/>
      <c r="F1000" s="16">
        <f t="array" ref="F1000">IFERROR(
  VALUE( INDEX(Product_Master!$I:$I,
               MATCH( INDEX(Pack_Master!$B:$B, MATCH($D1000, Pack_Master!$A:$A, 0)),
                      Product_Master!$B:$B, 0)
  )) 
  * VALUE( INDEX(Pack_Master!$C:$C, MATCH($D1000, Pack_Master!$A:$A, 0)) )
  + VALUE( INDEX(Pack_Master!$D:$D, MATCH($D1000, Pack_Master!$A:$A, 0)) ),
"")
</f>
        <v>165</v>
      </c>
      <c r="G1000" s="17">
        <f t="array" ref="G1000">IFERROR(
 ( INDEX(Pack_Master!E:E, MATCH($D1000, Pack_Master!A:A, 0))
   * INDEX(Pack_Master!F:F, MATCH($D1000, Pack_Master!A:A, 0))
   * INDEX(Pack_Master!G:G, MATCH($D1000, Pack_Master!A:A, 0))
 ) / INDEX(Config!C:C, MATCH($A1000, Config!A:A, 0)),
"")
</f>
        <v>3.125</v>
      </c>
      <c r="H1000" s="17">
        <f t="array" ref="H1000">MAX( INDEX(Pack_Master!H:H, MATCH($D1000, Pack_Master!A:A, 0)),
      IFERROR(G1000, 0) )
</f>
        <v>3.125</v>
      </c>
      <c r="I1000" s="18">
        <f>IFERROR(__xludf.DUMMYFUNCTION("IFERROR(
 INDEX(
   FILTER(Shipping_Rate_Card!B:F, Shipping_Rate_Card!A:A=$A1000),
   MATCH($H1000, FILTER(Shipping_Rate_Card!B:B, Shipping_Rate_Card!A:A=$A1000), 1),
   IF( INDEX(Config!B:B, MATCH($A1000, Config!A:A, 0))=""Local"", 2,
     IF( INDEX(Conf"&amp;"ig!B:B, MATCH($A1000, Config!A:A, 0))=""Regional"", 3, 4 )
   )
 ),
"""")
"),243.0)</f>
        <v>243</v>
      </c>
      <c r="J1000" s="16">
        <f>IFERROR(__xludf.DUMMYFUNCTION("IFERROR(
 ( E1000 * INDEX(FILTER(Pricing_Rules!E:E, Pricing_Rules!A:A=A1000, Pricing_Rules!B:B=B1000, Pricing_Rules!C:C&lt;=E1000, Pricing_Rules!D:D&gt;=E1000), 1)
   + INDEX(FILTER(Pricing_Rules!F:F, Pricing_Rules!A:A=A1000, Pricing_Rules!B:B=B1000, Pricing_Ru"&amp;"les!C:C&lt;=E1000, Pricing_Rules!D:D&gt;=E1000), 1)
 )
 * (1 + IFERROR( INDEX(Config!D:D, MATCH(A1000, Config!A:A, 0)), 0 )),
"""")
"),15.34)</f>
        <v>15.34</v>
      </c>
      <c r="K1000" s="19">
        <f t="shared" si="3"/>
        <v>-423.34</v>
      </c>
      <c r="L1000" s="20" t="str">
        <f t="shared" si="4"/>
        <v/>
      </c>
    </row>
    <row r="1001" ht="15.75" customHeight="1">
      <c r="A1001" s="9" t="s">
        <v>1162</v>
      </c>
      <c r="B1001" s="12" t="str">
        <f t="array" ref="B1001">XLOOKUP(C1001, Channel_Listings!C:C, Channel_Listings!B:B)
</f>
        <v>Garden_Planters</v>
      </c>
      <c r="C1001" s="23" t="s">
        <v>905</v>
      </c>
      <c r="D1001" s="14" t="str">
        <f t="array" ref="D1001">XLOOKUP(C1001, Channel_Listings!C:C, Channel_Listings!D:D)
</f>
        <v>PLANTER-BROWN-SQUARE-ORCHID10-PK4</v>
      </c>
      <c r="E1001" s="15"/>
      <c r="F1001" s="16">
        <f t="array" ref="F1001">IFERROR(
  VALUE( INDEX(Product_Master!$I:$I,
               MATCH( INDEX(Pack_Master!$B:$B, MATCH($D1001, Pack_Master!$A:$A, 0)),
                      Product_Master!$B:$B, 0)
  )) 
  * VALUE( INDEX(Pack_Master!$C:$C, MATCH($D1001, Pack_Master!$A:$A, 0)) )
  + VALUE( INDEX(Pack_Master!$D:$D, MATCH($D1001, Pack_Master!$A:$A, 0)) ),
"")
</f>
        <v>280</v>
      </c>
      <c r="G1001" s="17">
        <f t="array" ref="G1001">IFERROR(
 ( INDEX(Pack_Master!E:E, MATCH($D1001, Pack_Master!A:A, 0))
   * INDEX(Pack_Master!F:F, MATCH($D1001, Pack_Master!A:A, 0))
   * INDEX(Pack_Master!G:G, MATCH($D1001, Pack_Master!A:A, 0))
 ) / INDEX(Config!C:C, MATCH($A1001, Config!A:A, 0)),
"")
</f>
        <v>3.75</v>
      </c>
      <c r="H1001" s="17">
        <f t="array" ref="H1001">MAX( INDEX(Pack_Master!H:H, MATCH($D1001, Pack_Master!A:A, 0)),
      IFERROR(G1001, 0) )
</f>
        <v>3.75</v>
      </c>
      <c r="I1001" s="18">
        <f>IFERROR(__xludf.DUMMYFUNCTION("IFERROR(
 INDEX(
   FILTER(Shipping_Rate_Card!B:F, Shipping_Rate_Card!A:A=$A1001),
   MATCH($H1001, FILTER(Shipping_Rate_Card!B:B, Shipping_Rate_Card!A:A=$A1001), 1),
   IF( INDEX(Config!B:B, MATCH($A1001, Config!A:A, 0))=""Local"", 2,
     IF( INDEX(Conf"&amp;"ig!B:B, MATCH($A1001, Config!A:A, 0))=""Regional"", 3, 4 )
   )
 ),
"""")
"),243.0)</f>
        <v>243</v>
      </c>
      <c r="J1001" s="16">
        <f>IFERROR(__xludf.DUMMYFUNCTION("IFERROR(
 ( E1001 * INDEX(FILTER(Pricing_Rules!E:E, Pricing_Rules!A:A=A1001, Pricing_Rules!B:B=B1001, Pricing_Rules!C:C&lt;=E1001, Pricing_Rules!D:D&gt;=E1001), 1)
   + INDEX(FILTER(Pricing_Rules!F:F, Pricing_Rules!A:A=A1001, Pricing_Rules!B:B=B1001, Pricing_Ru"&amp;"les!C:C&lt;=E1001, Pricing_Rules!D:D&gt;=E1001), 1)
 )
 * (1 + IFERROR( INDEX(Config!D:D, MATCH(A1001, Config!A:A, 0)), 0 )),
"""")
"),15.34)</f>
        <v>15.34</v>
      </c>
      <c r="K1001" s="19">
        <f t="shared" si="3"/>
        <v>-538.34</v>
      </c>
      <c r="L1001" s="20" t="str">
        <f t="shared" si="4"/>
        <v/>
      </c>
    </row>
    <row r="1002" ht="15.75" customHeight="1">
      <c r="A1002" s="9" t="s">
        <v>1162</v>
      </c>
      <c r="B1002" s="12" t="str">
        <f t="array" ref="B1002">XLOOKUP(C1002, Channel_Listings!C:C, Channel_Listings!B:B)
</f>
        <v>Garden_Planters</v>
      </c>
      <c r="C1002" s="23" t="s">
        <v>908</v>
      </c>
      <c r="D1002" s="14" t="str">
        <f t="array" ref="D1002">XLOOKUP(C1002, Channel_Listings!C:C, Channel_Listings!D:D)
</f>
        <v>PLANTER-BROWN-SQUARE-ORCHID10-PK8</v>
      </c>
      <c r="E1002" s="15"/>
      <c r="F1002" s="16">
        <f t="array" ref="F1002">IFERROR(
  VALUE( INDEX(Product_Master!$I:$I,
               MATCH( INDEX(Pack_Master!$B:$B, MATCH($D1002, Pack_Master!$A:$A, 0)),
                      Product_Master!$B:$B, 0)
  )) 
  * VALUE( INDEX(Pack_Master!$C:$C, MATCH($D1002, Pack_Master!$A:$A, 0)) )
  + VALUE( INDEX(Pack_Master!$D:$D, MATCH($D1002, Pack_Master!$A:$A, 0)) ),
"")
</f>
        <v>510</v>
      </c>
      <c r="G1002" s="17">
        <f t="array" ref="G1002">IFERROR(
 ( INDEX(Pack_Master!E:E, MATCH($D1002, Pack_Master!A:A, 0))
   * INDEX(Pack_Master!F:F, MATCH($D1002, Pack_Master!A:A, 0))
   * INDEX(Pack_Master!G:G, MATCH($D1002, Pack_Master!A:A, 0))
 ) / INDEX(Config!C:C, MATCH($A1002, Config!A:A, 0)),
"")
</f>
        <v>5.625</v>
      </c>
      <c r="H1002" s="17">
        <f t="array" ref="H1002">MAX( INDEX(Pack_Master!H:H, MATCH($D1002, Pack_Master!A:A, 0)),
      IFERROR(G1002, 0) )
</f>
        <v>5.625</v>
      </c>
      <c r="I1002" s="18">
        <f>IFERROR(__xludf.DUMMYFUNCTION("IFERROR(
 INDEX(
   FILTER(Shipping_Rate_Card!B:F, Shipping_Rate_Card!A:A=$A1002),
   MATCH($H1002, FILTER(Shipping_Rate_Card!B:B, Shipping_Rate_Card!A:A=$A1002), 1),
   IF( INDEX(Config!B:B, MATCH($A1002, Config!A:A, 0))=""Local"", 2,
     IF( INDEX(Conf"&amp;"ig!B:B, MATCH($A1002, Config!A:A, 0))=""Regional"", 3, 4 )
   )
 ),
"""")
"),383.0)</f>
        <v>383</v>
      </c>
      <c r="J1002" s="16">
        <f>IFERROR(__xludf.DUMMYFUNCTION("IFERROR(
 ( E1002 * INDEX(FILTER(Pricing_Rules!E:E, Pricing_Rules!A:A=A1002, Pricing_Rules!B:B=B1002, Pricing_Rules!C:C&lt;=E1002, Pricing_Rules!D:D&gt;=E1002), 1)
   + INDEX(FILTER(Pricing_Rules!F:F, Pricing_Rules!A:A=A1002, Pricing_Rules!B:B=B1002, Pricing_Ru"&amp;"les!C:C&lt;=E1002, Pricing_Rules!D:D&gt;=E1002), 1)
 )
 * (1 + IFERROR( INDEX(Config!D:D, MATCH(A1002, Config!A:A, 0)), 0 )),
"""")
"),15.34)</f>
        <v>15.34</v>
      </c>
      <c r="K1002" s="19">
        <f t="shared" si="3"/>
        <v>-908.34</v>
      </c>
      <c r="L1002" s="20" t="str">
        <f t="shared" si="4"/>
        <v/>
      </c>
    </row>
    <row r="1003" ht="15.75" customHeight="1">
      <c r="A1003" s="9" t="s">
        <v>1162</v>
      </c>
      <c r="B1003" s="12" t="str">
        <f t="array" ref="B1003">XLOOKUP(C1003, Channel_Listings!C:C, Channel_Listings!B:B)
</f>
        <v>Garden_Planters</v>
      </c>
      <c r="C1003" s="23" t="s">
        <v>913</v>
      </c>
      <c r="D1003" s="14" t="str">
        <f t="array" ref="D1003">XLOOKUP(C1003, Channel_Listings!C:C, Channel_Listings!D:D)
</f>
        <v>PLANTER-BROWN-SQUARE-ORCHID12-PK2</v>
      </c>
      <c r="E1003" s="15"/>
      <c r="F1003" s="16">
        <f t="array" ref="F1003">IFERROR(
  VALUE( INDEX(Product_Master!$I:$I,
               MATCH( INDEX(Pack_Master!$B:$B, MATCH($D1003, Pack_Master!$A:$A, 0)),
                      Product_Master!$B:$B, 0)
  )) 
  * VALUE( INDEX(Pack_Master!$C:$C, MATCH($D1003, Pack_Master!$A:$A, 0)) )
  + VALUE( INDEX(Pack_Master!$D:$D, MATCH($D1003, Pack_Master!$A:$A, 0)) ),
"")
</f>
        <v>226</v>
      </c>
      <c r="G1003" s="17">
        <f t="array" ref="G1003">IFERROR(
 ( INDEX(Pack_Master!E:E, MATCH($D1003, Pack_Master!A:A, 0))
   * INDEX(Pack_Master!F:F, MATCH($D1003, Pack_Master!A:A, 0))
   * INDEX(Pack_Master!G:G, MATCH($D1003, Pack_Master!A:A, 0))
 ) / INDEX(Config!C:C, MATCH($A1003, Config!A:A, 0)),
"")
</f>
        <v>5.9582</v>
      </c>
      <c r="H1003" s="17">
        <f t="array" ref="H1003">MAX( INDEX(Pack_Master!H:H, MATCH($D1003, Pack_Master!A:A, 0)),
      IFERROR(G1003, 0) )
</f>
        <v>5.9582</v>
      </c>
      <c r="I1003" s="18">
        <f>IFERROR(__xludf.DUMMYFUNCTION("IFERROR(
 INDEX(
   FILTER(Shipping_Rate_Card!B:F, Shipping_Rate_Card!A:A=$A1003),
   MATCH($H1003, FILTER(Shipping_Rate_Card!B:B, Shipping_Rate_Card!A:A=$A1003), 1),
   IF( INDEX(Config!B:B, MATCH($A1003, Config!A:A, 0))=""Local"", 2,
     IF( INDEX(Conf"&amp;"ig!B:B, MATCH($A1003, Config!A:A, 0))=""Regional"", 3, 4 )
   )
 ),
"""")
"),383.0)</f>
        <v>383</v>
      </c>
      <c r="J1003" s="16">
        <f>IFERROR(__xludf.DUMMYFUNCTION("IFERROR(
 ( E1003 * INDEX(FILTER(Pricing_Rules!E:E, Pricing_Rules!A:A=A1003, Pricing_Rules!B:B=B1003, Pricing_Rules!C:C&lt;=E1003, Pricing_Rules!D:D&gt;=E1003), 1)
   + INDEX(FILTER(Pricing_Rules!F:F, Pricing_Rules!A:A=A1003, Pricing_Rules!B:B=B1003, Pricing_Ru"&amp;"les!C:C&lt;=E1003, Pricing_Rules!D:D&gt;=E1003), 1)
 )
 * (1 + IFERROR( INDEX(Config!D:D, MATCH(A1003, Config!A:A, 0)), 0 )),
"""")
"),15.34)</f>
        <v>15.34</v>
      </c>
      <c r="K1003" s="19">
        <f t="shared" si="3"/>
        <v>-624.34</v>
      </c>
      <c r="L1003" s="20" t="str">
        <f t="shared" si="4"/>
        <v/>
      </c>
    </row>
    <row r="1004" ht="15.75" customHeight="1">
      <c r="A1004" s="9" t="s">
        <v>1162</v>
      </c>
      <c r="B1004" s="12" t="str">
        <f t="array" ref="B1004">XLOOKUP(C1004, Channel_Listings!C:C, Channel_Listings!B:B)
</f>
        <v>Garden_Planters</v>
      </c>
      <c r="C1004" s="23" t="s">
        <v>916</v>
      </c>
      <c r="D1004" s="14" t="str">
        <f t="array" ref="D1004">XLOOKUP(C1004, Channel_Listings!C:C, Channel_Listings!D:D)
</f>
        <v>PLANTER-BROWN-SQUARE-ORCHID12-PK4</v>
      </c>
      <c r="E1004" s="15"/>
      <c r="F1004" s="16">
        <f t="array" ref="F1004">IFERROR(
  VALUE( INDEX(Product_Master!$I:$I,
               MATCH( INDEX(Pack_Master!$B:$B, MATCH($D1004, Pack_Master!$A:$A, 0)),
                      Product_Master!$B:$B, 0)
  )) 
  * VALUE( INDEX(Pack_Master!$C:$C, MATCH($D1004, Pack_Master!$A:$A, 0)) )
  + VALUE( INDEX(Pack_Master!$D:$D, MATCH($D1004, Pack_Master!$A:$A, 0)) ),
"")
</f>
        <v>402</v>
      </c>
      <c r="G1004" s="17">
        <f t="array" ref="G1004">IFERROR(
 ( INDEX(Pack_Master!E:E, MATCH($D1004, Pack_Master!A:A, 0))
   * INDEX(Pack_Master!F:F, MATCH($D1004, Pack_Master!A:A, 0))
   * INDEX(Pack_Master!G:G, MATCH($D1004, Pack_Master!A:A, 0))
 ) / INDEX(Config!C:C, MATCH($A1004, Config!A:A, 0)),
"")
</f>
        <v>7.1114</v>
      </c>
      <c r="H1004" s="17">
        <f t="array" ref="H1004">MAX( INDEX(Pack_Master!H:H, MATCH($D1004, Pack_Master!A:A, 0)),
      IFERROR(G1004, 0) )
</f>
        <v>7.1114</v>
      </c>
      <c r="I1004" s="18">
        <f>IFERROR(__xludf.DUMMYFUNCTION("IFERROR(
 INDEX(
   FILTER(Shipping_Rate_Card!B:F, Shipping_Rate_Card!A:A=$A1004),
   MATCH($H1004, FILTER(Shipping_Rate_Card!B:B, Shipping_Rate_Card!A:A=$A1004), 1),
   IF( INDEX(Config!B:B, MATCH($A1004, Config!A:A, 0))=""Local"", 2,
     IF( INDEX(Conf"&amp;"ig!B:B, MATCH($A1004, Config!A:A, 0))=""Regional"", 3, 4 )
   )
 ),
"""")
"),383.0)</f>
        <v>383</v>
      </c>
      <c r="J1004" s="16">
        <f>IFERROR(__xludf.DUMMYFUNCTION("IFERROR(
 ( E1004 * INDEX(FILTER(Pricing_Rules!E:E, Pricing_Rules!A:A=A1004, Pricing_Rules!B:B=B1004, Pricing_Rules!C:C&lt;=E1004, Pricing_Rules!D:D&gt;=E1004), 1)
   + INDEX(FILTER(Pricing_Rules!F:F, Pricing_Rules!A:A=A1004, Pricing_Rules!B:B=B1004, Pricing_Ru"&amp;"les!C:C&lt;=E1004, Pricing_Rules!D:D&gt;=E1004), 1)
 )
 * (1 + IFERROR( INDEX(Config!D:D, MATCH(A1004, Config!A:A, 0)), 0 )),
"""")
"),15.34)</f>
        <v>15.34</v>
      </c>
      <c r="K1004" s="19">
        <f t="shared" si="3"/>
        <v>-800.34</v>
      </c>
      <c r="L1004" s="20" t="str">
        <f t="shared" si="4"/>
        <v/>
      </c>
    </row>
    <row r="1005" ht="15.75" customHeight="1">
      <c r="A1005" s="9" t="s">
        <v>1162</v>
      </c>
      <c r="B1005" s="12" t="str">
        <f t="array" ref="B1005">XLOOKUP(C1005, Channel_Listings!C:C, Channel_Listings!B:B)
</f>
        <v>Garden_Planters</v>
      </c>
      <c r="C1005" s="23" t="s">
        <v>919</v>
      </c>
      <c r="D1005" s="14" t="str">
        <f t="array" ref="D1005">XLOOKUP(C1005, Channel_Listings!C:C, Channel_Listings!D:D)
</f>
        <v>PLANTER-BROWN-SQUARE-ORCHID12-PK8</v>
      </c>
      <c r="E1005" s="15"/>
      <c r="F1005" s="16">
        <f t="array" ref="F1005">IFERROR(
  VALUE( INDEX(Product_Master!$I:$I,
               MATCH( INDEX(Pack_Master!$B:$B, MATCH($D1005, Pack_Master!$A:$A, 0)),
                      Product_Master!$B:$B, 0)
  )) 
  * VALUE( INDEX(Pack_Master!$C:$C, MATCH($D1005, Pack_Master!$A:$A, 0)) )
  + VALUE( INDEX(Pack_Master!$D:$D, MATCH($D1005, Pack_Master!$A:$A, 0)) ),
"")
</f>
        <v>754</v>
      </c>
      <c r="G1005" s="17">
        <f t="array" ref="G1005">IFERROR(
 ( INDEX(Pack_Master!E:E, MATCH($D1005, Pack_Master!A:A, 0))
   * INDEX(Pack_Master!F:F, MATCH($D1005, Pack_Master!A:A, 0))
   * INDEX(Pack_Master!G:G, MATCH($D1005, Pack_Master!A:A, 0))
 ) / INDEX(Config!C:C, MATCH($A1005, Config!A:A, 0)),
"")
</f>
        <v>9.4178</v>
      </c>
      <c r="H1005" s="17">
        <f t="array" ref="H1005">MAX( INDEX(Pack_Master!H:H, MATCH($D1005, Pack_Master!A:A, 0)),
      IFERROR(G1005, 0) )
</f>
        <v>9.4178</v>
      </c>
      <c r="I1005" s="18">
        <f>IFERROR(__xludf.DUMMYFUNCTION("IFERROR(
 INDEX(
   FILTER(Shipping_Rate_Card!B:F, Shipping_Rate_Card!A:A=$A1005),
   MATCH($H1005, FILTER(Shipping_Rate_Card!B:B, Shipping_Rate_Card!A:A=$A1005), 1),
   IF( INDEX(Config!B:B, MATCH($A1005, Config!A:A, 0))=""Local"", 2,
     IF( INDEX(Conf"&amp;"ig!B:B, MATCH($A1005, Config!A:A, 0))=""Regional"", 3, 4 )
   )
 ),
"""")
"),383.0)</f>
        <v>383</v>
      </c>
      <c r="J1005" s="16">
        <f>IFERROR(__xludf.DUMMYFUNCTION("IFERROR(
 ( E1005 * INDEX(FILTER(Pricing_Rules!E:E, Pricing_Rules!A:A=A1005, Pricing_Rules!B:B=B1005, Pricing_Rules!C:C&lt;=E1005, Pricing_Rules!D:D&gt;=E1005), 1)
   + INDEX(FILTER(Pricing_Rules!F:F, Pricing_Rules!A:A=A1005, Pricing_Rules!B:B=B1005, Pricing_Ru"&amp;"les!C:C&lt;=E1005, Pricing_Rules!D:D&gt;=E1005), 1)
 )
 * (1 + IFERROR( INDEX(Config!D:D, MATCH(A1005, Config!A:A, 0)), 0 )),
"""")
"),15.34)</f>
        <v>15.34</v>
      </c>
      <c r="K1005" s="19">
        <f t="shared" si="3"/>
        <v>-1152.34</v>
      </c>
      <c r="L1005" s="20" t="str">
        <f t="shared" si="4"/>
        <v/>
      </c>
    </row>
    <row r="1006" ht="15.75" customHeight="1">
      <c r="A1006" s="9" t="s">
        <v>1162</v>
      </c>
      <c r="B1006" s="12" t="str">
        <f t="array" ref="B1006">XLOOKUP(C1006, Channel_Listings!C:C, Channel_Listings!B:B)
</f>
        <v>Garden_Planters</v>
      </c>
      <c r="C1006" s="23" t="s">
        <v>924</v>
      </c>
      <c r="D1006" s="14" t="str">
        <f t="array" ref="D1006">XLOOKUP(C1006, Channel_Listings!C:C, Channel_Listings!D:D)
</f>
        <v>PLANTER-BROWN-SQUARE-ORCHID8-PK2</v>
      </c>
      <c r="E1006" s="15"/>
      <c r="F1006" s="16">
        <f t="array" ref="F1006">IFERROR(
  VALUE( INDEX(Product_Master!$I:$I,
               MATCH( INDEX(Pack_Master!$B:$B, MATCH($D1006, Pack_Master!$A:$A, 0)),
                      Product_Master!$B:$B, 0)
  )) 
  * VALUE( INDEX(Pack_Master!$C:$C, MATCH($D1006, Pack_Master!$A:$A, 0)) )
  + VALUE( INDEX(Pack_Master!$D:$D, MATCH($D1006, Pack_Master!$A:$A, 0)) ),
"")
</f>
        <v>107</v>
      </c>
      <c r="G1006" s="17">
        <f t="array" ref="G1006">IFERROR(
 ( INDEX(Pack_Master!E:E, MATCH($D1006, Pack_Master!A:A, 0))
   * INDEX(Pack_Master!F:F, MATCH($D1006, Pack_Master!A:A, 0))
   * INDEX(Pack_Master!G:G, MATCH($D1006, Pack_Master!A:A, 0))
 ) / INDEX(Config!C:C, MATCH($A1006, Config!A:A, 0)),
"")
</f>
        <v>1.6</v>
      </c>
      <c r="H1006" s="17">
        <f t="array" ref="H1006">MAX( INDEX(Pack_Master!H:H, MATCH($D1006, Pack_Master!A:A, 0)),
      IFERROR(G1006, 0) )
</f>
        <v>1.6</v>
      </c>
      <c r="I1006" s="18">
        <f>IFERROR(__xludf.DUMMYFUNCTION("IFERROR(
 INDEX(
   FILTER(Shipping_Rate_Card!B:F, Shipping_Rate_Card!A:A=$A1006),
   MATCH($H1006, FILTER(Shipping_Rate_Card!B:B, Shipping_Rate_Card!A:A=$A1006), 1),
   IF( INDEX(Config!B:B, MATCH($A1006, Config!A:A, 0))=""Local"", 2,
     IF( INDEX(Conf"&amp;"ig!B:B, MATCH($A1006, Config!A:A, 0))=""Regional"", 3, 4 )
   )
 ),
"""")
"),138.0)</f>
        <v>138</v>
      </c>
      <c r="J1006" s="16">
        <f>IFERROR(__xludf.DUMMYFUNCTION("IFERROR(
 ( E1006 * INDEX(FILTER(Pricing_Rules!E:E, Pricing_Rules!A:A=A1006, Pricing_Rules!B:B=B1006, Pricing_Rules!C:C&lt;=E1006, Pricing_Rules!D:D&gt;=E1006), 1)
   + INDEX(FILTER(Pricing_Rules!F:F, Pricing_Rules!A:A=A1006, Pricing_Rules!B:B=B1006, Pricing_Ru"&amp;"les!C:C&lt;=E1006, Pricing_Rules!D:D&gt;=E1006), 1)
 )
 * (1 + IFERROR( INDEX(Config!D:D, MATCH(A1006, Config!A:A, 0)), 0 )),
"""")
"),15.34)</f>
        <v>15.34</v>
      </c>
      <c r="K1006" s="19">
        <f t="shared" si="3"/>
        <v>-260.34</v>
      </c>
      <c r="L1006" s="20" t="str">
        <f t="shared" si="4"/>
        <v/>
      </c>
    </row>
    <row r="1007" ht="15.75" customHeight="1">
      <c r="A1007" s="9" t="s">
        <v>1162</v>
      </c>
      <c r="B1007" s="12" t="str">
        <f t="array" ref="B1007">XLOOKUP(C1007, Channel_Listings!C:C, Channel_Listings!B:B)
</f>
        <v>Garden_Planters</v>
      </c>
      <c r="C1007" s="23" t="s">
        <v>927</v>
      </c>
      <c r="D1007" s="14" t="str">
        <f t="array" ref="D1007">XLOOKUP(C1007, Channel_Listings!C:C, Channel_Listings!D:D)
</f>
        <v>PLANTER-BROWN-SQUARE-ORCHID8-PK4</v>
      </c>
      <c r="E1007" s="15"/>
      <c r="F1007" s="16">
        <f t="array" ref="F1007">IFERROR(
  VALUE( INDEX(Product_Master!$I:$I,
               MATCH( INDEX(Pack_Master!$B:$B, MATCH($D1007, Pack_Master!$A:$A, 0)),
                      Product_Master!$B:$B, 0)
  )) 
  * VALUE( INDEX(Pack_Master!$C:$C, MATCH($D1007, Pack_Master!$A:$A, 0)) )
  + VALUE( INDEX(Pack_Master!$D:$D, MATCH($D1007, Pack_Master!$A:$A, 0)) ),
"")
</f>
        <v>164</v>
      </c>
      <c r="G1007" s="17">
        <f t="array" ref="G1007">IFERROR(
 ( INDEX(Pack_Master!E:E, MATCH($D1007, Pack_Master!A:A, 0))
   * INDEX(Pack_Master!F:F, MATCH($D1007, Pack_Master!A:A, 0))
   * INDEX(Pack_Master!G:G, MATCH($D1007, Pack_Master!A:A, 0))
 ) / INDEX(Config!C:C, MATCH($A1007, Config!A:A, 0)),
"")
</f>
        <v>1.92</v>
      </c>
      <c r="H1007" s="17">
        <f t="array" ref="H1007">MAX( INDEX(Pack_Master!H:H, MATCH($D1007, Pack_Master!A:A, 0)),
      IFERROR(G1007, 0) )
</f>
        <v>1.92</v>
      </c>
      <c r="I1007" s="18">
        <f>IFERROR(__xludf.DUMMYFUNCTION("IFERROR(
 INDEX(
   FILTER(Shipping_Rate_Card!B:F, Shipping_Rate_Card!A:A=$A1007),
   MATCH($H1007, FILTER(Shipping_Rate_Card!B:B, Shipping_Rate_Card!A:A=$A1007), 1),
   IF( INDEX(Config!B:B, MATCH($A1007, Config!A:A, 0))=""Local"", 2,
     IF( INDEX(Conf"&amp;"ig!B:B, MATCH($A1007, Config!A:A, 0))=""Regional"", 3, 4 )
   )
 ),
"""")
"),138.0)</f>
        <v>138</v>
      </c>
      <c r="J1007" s="16">
        <f>IFERROR(__xludf.DUMMYFUNCTION("IFERROR(
 ( E1007 * INDEX(FILTER(Pricing_Rules!E:E, Pricing_Rules!A:A=A1007, Pricing_Rules!B:B=B1007, Pricing_Rules!C:C&lt;=E1007, Pricing_Rules!D:D&gt;=E1007), 1)
   + INDEX(FILTER(Pricing_Rules!F:F, Pricing_Rules!A:A=A1007, Pricing_Rules!B:B=B1007, Pricing_Ru"&amp;"les!C:C&lt;=E1007, Pricing_Rules!D:D&gt;=E1007), 1)
 )
 * (1 + IFERROR( INDEX(Config!D:D, MATCH(A1007, Config!A:A, 0)), 0 )),
"""")
"),15.34)</f>
        <v>15.34</v>
      </c>
      <c r="K1007" s="19">
        <f t="shared" si="3"/>
        <v>-317.34</v>
      </c>
      <c r="L1007" s="20" t="str">
        <f t="shared" si="4"/>
        <v/>
      </c>
    </row>
    <row r="1008" ht="15.75" customHeight="1">
      <c r="A1008" s="9" t="s">
        <v>1162</v>
      </c>
      <c r="B1008" s="12" t="str">
        <f t="array" ref="B1008">XLOOKUP(C1008, Channel_Listings!C:C, Channel_Listings!B:B)
</f>
        <v>Garden_Planters</v>
      </c>
      <c r="C1008" s="23" t="s">
        <v>930</v>
      </c>
      <c r="D1008" s="14" t="str">
        <f t="array" ref="D1008">XLOOKUP(C1008, Channel_Listings!C:C, Channel_Listings!D:D)
</f>
        <v>PLANTER-BROWN-SQUARE-ORCHID8-PK8</v>
      </c>
      <c r="E1008" s="15"/>
      <c r="F1008" s="16">
        <f t="array" ref="F1008">IFERROR(
  VALUE( INDEX(Product_Master!$I:$I,
               MATCH( INDEX(Pack_Master!$B:$B, MATCH($D1008, Pack_Master!$A:$A, 0)),
                      Product_Master!$B:$B, 0)
  )) 
  * VALUE( INDEX(Pack_Master!$C:$C, MATCH($D1008, Pack_Master!$A:$A, 0)) )
  + VALUE( INDEX(Pack_Master!$D:$D, MATCH($D1008, Pack_Master!$A:$A, 0)) ),
"")
</f>
        <v>278</v>
      </c>
      <c r="G1008" s="17">
        <f t="array" ref="G1008">IFERROR(
 ( INDEX(Pack_Master!E:E, MATCH($D1008, Pack_Master!A:A, 0))
   * INDEX(Pack_Master!F:F, MATCH($D1008, Pack_Master!A:A, 0))
   * INDEX(Pack_Master!G:G, MATCH($D1008, Pack_Master!A:A, 0))
 ) / INDEX(Config!C:C, MATCH($A1008, Config!A:A, 0)),
"")
</f>
        <v>2.56</v>
      </c>
      <c r="H1008" s="17">
        <f t="array" ref="H1008">MAX( INDEX(Pack_Master!H:H, MATCH($D1008, Pack_Master!A:A, 0)),
      IFERROR(G1008, 0) )
</f>
        <v>2.56</v>
      </c>
      <c r="I1008" s="18">
        <f>IFERROR(__xludf.DUMMYFUNCTION("IFERROR(
 INDEX(
   FILTER(Shipping_Rate_Card!B:F, Shipping_Rate_Card!A:A=$A1008),
   MATCH($H1008, FILTER(Shipping_Rate_Card!B:B, Shipping_Rate_Card!A:A=$A1008), 1),
   IF( INDEX(Config!B:B, MATCH($A1008, Config!A:A, 0))=""Local"", 2,
     IF( INDEX(Conf"&amp;"ig!B:B, MATCH($A1008, Config!A:A, 0))=""Regional"", 3, 4 )
   )
 ),
"""")
"),173.0)</f>
        <v>173</v>
      </c>
      <c r="J1008" s="16">
        <f>IFERROR(__xludf.DUMMYFUNCTION("IFERROR(
 ( E1008 * INDEX(FILTER(Pricing_Rules!E:E, Pricing_Rules!A:A=A1008, Pricing_Rules!B:B=B1008, Pricing_Rules!C:C&lt;=E1008, Pricing_Rules!D:D&gt;=E1008), 1)
   + INDEX(FILTER(Pricing_Rules!F:F, Pricing_Rules!A:A=A1008, Pricing_Rules!B:B=B1008, Pricing_Ru"&amp;"les!C:C&lt;=E1008, Pricing_Rules!D:D&gt;=E1008), 1)
 )
 * (1 + IFERROR( INDEX(Config!D:D, MATCH(A1008, Config!A:A, 0)), 0 )),
"""")
"),15.34)</f>
        <v>15.34</v>
      </c>
      <c r="K1008" s="19">
        <f t="shared" si="3"/>
        <v>-466.34</v>
      </c>
      <c r="L1008" s="20" t="str">
        <f t="shared" si="4"/>
        <v/>
      </c>
    </row>
    <row r="1009" ht="15.75" customHeight="1">
      <c r="A1009" s="9" t="s">
        <v>1162</v>
      </c>
      <c r="B1009" s="12" t="str">
        <f t="array" ref="B1009">XLOOKUP(C1009, Channel_Listings!C:C, Channel_Listings!B:B)
</f>
        <v>Garden_Planters</v>
      </c>
      <c r="C1009" s="23" t="s">
        <v>1552</v>
      </c>
      <c r="D1009" s="14" t="str">
        <f t="array" ref="D1009">XLOOKUP(C1009, Channel_Listings!C:C, Channel_Listings!D:D)
</f>
        <v>PLANTERS-COLOR-SQUARE-STERLING5-PK6</v>
      </c>
      <c r="E1009" s="15"/>
      <c r="F1009" s="16">
        <f t="array" ref="F1009">IFERROR(
  VALUE( INDEX(Product_Master!$I:$I,
               MATCH( INDEX(Pack_Master!$B:$B, MATCH($D1009, Pack_Master!$A:$A, 0)),
                      Product_Master!$B:$B, 0)
  )) 
  * VALUE( INDEX(Pack_Master!$C:$C, MATCH($D1009, Pack_Master!$A:$A, 0)) )
  + VALUE( INDEX(Pack_Master!$D:$D, MATCH($D1009, Pack_Master!$A:$A, 0)) ),
"")
</f>
        <v>18</v>
      </c>
      <c r="G1009" s="17">
        <f t="array" ref="G1009">IFERROR(
 ( INDEX(Pack_Master!E:E, MATCH($D1009, Pack_Master!A:A, 0))
   * INDEX(Pack_Master!F:F, MATCH($D1009, Pack_Master!A:A, 0))
   * INDEX(Pack_Master!G:G, MATCH($D1009, Pack_Master!A:A, 0))
 ) / INDEX(Config!C:C, MATCH($A1009, Config!A:A, 0)),
"")
</f>
        <v>0</v>
      </c>
      <c r="H1009" s="17">
        <f t="array" ref="H1009">MAX( INDEX(Pack_Master!H:H, MATCH($D1009, Pack_Master!A:A, 0)),
      IFERROR(G1009, 0) )
</f>
        <v>0</v>
      </c>
      <c r="I1009" s="18" t="str">
        <f>IFERROR(__xludf.DUMMYFUNCTION("IFERROR(
 INDEX(
   FILTER(Shipping_Rate_Card!B:F, Shipping_Rate_Card!A:A=$A1009),
   MATCH($H1009, FILTER(Shipping_Rate_Card!B:B, Shipping_Rate_Card!A:A=$A1009), 1),
   IF( INDEX(Config!B:B, MATCH($A1009, Config!A:A, 0))=""Local"", 2,
     IF( INDEX(Conf"&amp;"ig!B:B, MATCH($A1009, Config!A:A, 0))=""Regional"", 3, 4 )
   )
 ),
"""")
"),"")</f>
        <v/>
      </c>
      <c r="J1009" s="16">
        <f>IFERROR(__xludf.DUMMYFUNCTION("IFERROR(
 ( E1009 * INDEX(FILTER(Pricing_Rules!E:E, Pricing_Rules!A:A=A1009, Pricing_Rules!B:B=B1009, Pricing_Rules!C:C&lt;=E1009, Pricing_Rules!D:D&gt;=E1009), 1)
   + INDEX(FILTER(Pricing_Rules!F:F, Pricing_Rules!A:A=A1009, Pricing_Rules!B:B=B1009, Pricing_Ru"&amp;"les!C:C&lt;=E1009, Pricing_Rules!D:D&gt;=E1009), 1)
 )
 * (1 + IFERROR( INDEX(Config!D:D, MATCH(A1009, Config!A:A, 0)), 0 )),
"""")
"),15.34)</f>
        <v>15.34</v>
      </c>
      <c r="K1009" s="19">
        <f t="shared" si="3"/>
        <v>-33.34</v>
      </c>
      <c r="L1009" s="20" t="str">
        <f t="shared" si="4"/>
        <v/>
      </c>
    </row>
    <row r="1010" ht="15.75" customHeight="1">
      <c r="A1010" s="9" t="s">
        <v>1162</v>
      </c>
      <c r="B1010" s="12" t="str">
        <f t="array" ref="B1010">XLOOKUP(C1010, Channel_Listings!C:C, Channel_Listings!B:B)
</f>
        <v>Garden_Planters</v>
      </c>
      <c r="C1010" s="23" t="s">
        <v>1555</v>
      </c>
      <c r="D1010" s="14" t="str">
        <f t="array" ref="D1010">XLOOKUP(C1010, Channel_Listings!C:C, Channel_Listings!D:D)
</f>
        <v>PLANTERS-COLOR-SQUARE-STERLING6-PK6</v>
      </c>
      <c r="E1010" s="15"/>
      <c r="F1010" s="16">
        <f t="array" ref="F1010">IFERROR(
  VALUE( INDEX(Product_Master!$I:$I,
               MATCH( INDEX(Pack_Master!$B:$B, MATCH($D1010, Pack_Master!$A:$A, 0)),
                      Product_Master!$B:$B, 0)
  )) 
  * VALUE( INDEX(Pack_Master!$C:$C, MATCH($D1010, Pack_Master!$A:$A, 0)) )
  + VALUE( INDEX(Pack_Master!$D:$D, MATCH($D1010, Pack_Master!$A:$A, 0)) ),
"")
</f>
        <v>18</v>
      </c>
      <c r="G1010" s="17">
        <f t="array" ref="G1010">IFERROR(
 ( INDEX(Pack_Master!E:E, MATCH($D1010, Pack_Master!A:A, 0))
   * INDEX(Pack_Master!F:F, MATCH($D1010, Pack_Master!A:A, 0))
   * INDEX(Pack_Master!G:G, MATCH($D1010, Pack_Master!A:A, 0))
 ) / INDEX(Config!C:C, MATCH($A1010, Config!A:A, 0)),
"")
</f>
        <v>0</v>
      </c>
      <c r="H1010" s="17">
        <f t="array" ref="H1010">MAX( INDEX(Pack_Master!H:H, MATCH($D1010, Pack_Master!A:A, 0)),
      IFERROR(G1010, 0) )
</f>
        <v>0</v>
      </c>
      <c r="I1010" s="18" t="str">
        <f>IFERROR(__xludf.DUMMYFUNCTION("IFERROR(
 INDEX(
   FILTER(Shipping_Rate_Card!B:F, Shipping_Rate_Card!A:A=$A1010),
   MATCH($H1010, FILTER(Shipping_Rate_Card!B:B, Shipping_Rate_Card!A:A=$A1010), 1),
   IF( INDEX(Config!B:B, MATCH($A1010, Config!A:A, 0))=""Local"", 2,
     IF( INDEX(Conf"&amp;"ig!B:B, MATCH($A1010, Config!A:A, 0))=""Regional"", 3, 4 )
   )
 ),
"""")
"),"")</f>
        <v/>
      </c>
      <c r="J1010" s="16">
        <f>IFERROR(__xludf.DUMMYFUNCTION("IFERROR(
 ( E1010 * INDEX(FILTER(Pricing_Rules!E:E, Pricing_Rules!A:A=A1010, Pricing_Rules!B:B=B1010, Pricing_Rules!C:C&lt;=E1010, Pricing_Rules!D:D&gt;=E1010), 1)
   + INDEX(FILTER(Pricing_Rules!F:F, Pricing_Rules!A:A=A1010, Pricing_Rules!B:B=B1010, Pricing_Ru"&amp;"les!C:C&lt;=E1010, Pricing_Rules!D:D&gt;=E1010), 1)
 )
 * (1 + IFERROR( INDEX(Config!D:D, MATCH(A1010, Config!A:A, 0)), 0 )),
"""")
"),15.34)</f>
        <v>15.34</v>
      </c>
      <c r="K1010" s="19">
        <f t="shared" si="3"/>
        <v>-33.34</v>
      </c>
      <c r="L1010" s="20" t="str">
        <f t="shared" si="4"/>
        <v/>
      </c>
    </row>
    <row r="1011" ht="15.75" customHeight="1">
      <c r="A1011" s="9" t="s">
        <v>1162</v>
      </c>
      <c r="B1011" s="12" t="str">
        <f t="array" ref="B1011">XLOOKUP(C1011, Channel_Listings!C:C, Channel_Listings!B:B)
</f>
        <v>Garden_Planters</v>
      </c>
      <c r="C1011" s="23" t="s">
        <v>1558</v>
      </c>
      <c r="D1011" s="14" t="str">
        <f t="array" ref="D1011">XLOOKUP(C1011, Channel_Listings!C:C, Channel_Listings!D:D)
</f>
        <v>PLANTERS-COLOR-SQUARE-STERLING7-PK6</v>
      </c>
      <c r="E1011" s="15"/>
      <c r="F1011" s="16">
        <f t="array" ref="F1011">IFERROR(
  VALUE( INDEX(Product_Master!$I:$I,
               MATCH( INDEX(Pack_Master!$B:$B, MATCH($D1011, Pack_Master!$A:$A, 0)),
                      Product_Master!$B:$B, 0)
  )) 
  * VALUE( INDEX(Pack_Master!$C:$C, MATCH($D1011, Pack_Master!$A:$A, 0)) )
  + VALUE( INDEX(Pack_Master!$D:$D, MATCH($D1011, Pack_Master!$A:$A, 0)) ),
"")
</f>
        <v>18</v>
      </c>
      <c r="G1011" s="17">
        <f t="array" ref="G1011">IFERROR(
 ( INDEX(Pack_Master!E:E, MATCH($D1011, Pack_Master!A:A, 0))
   * INDEX(Pack_Master!F:F, MATCH($D1011, Pack_Master!A:A, 0))
   * INDEX(Pack_Master!G:G, MATCH($D1011, Pack_Master!A:A, 0))
 ) / INDEX(Config!C:C, MATCH($A1011, Config!A:A, 0)),
"")
</f>
        <v>0</v>
      </c>
      <c r="H1011" s="17">
        <f t="array" ref="H1011">MAX( INDEX(Pack_Master!H:H, MATCH($D1011, Pack_Master!A:A, 0)),
      IFERROR(G1011, 0) )
</f>
        <v>0</v>
      </c>
      <c r="I1011" s="18" t="str">
        <f>IFERROR(__xludf.DUMMYFUNCTION("IFERROR(
 INDEX(
   FILTER(Shipping_Rate_Card!B:F, Shipping_Rate_Card!A:A=$A1011),
   MATCH($H1011, FILTER(Shipping_Rate_Card!B:B, Shipping_Rate_Card!A:A=$A1011), 1),
   IF( INDEX(Config!B:B, MATCH($A1011, Config!A:A, 0))=""Local"", 2,
     IF( INDEX(Conf"&amp;"ig!B:B, MATCH($A1011, Config!A:A, 0))=""Regional"", 3, 4 )
   )
 ),
"""")
"),"")</f>
        <v/>
      </c>
      <c r="J1011" s="16">
        <f>IFERROR(__xludf.DUMMYFUNCTION("IFERROR(
 ( E1011 * INDEX(FILTER(Pricing_Rules!E:E, Pricing_Rules!A:A=A1011, Pricing_Rules!B:B=B1011, Pricing_Rules!C:C&lt;=E1011, Pricing_Rules!D:D&gt;=E1011), 1)
   + INDEX(FILTER(Pricing_Rules!F:F, Pricing_Rules!A:A=A1011, Pricing_Rules!B:B=B1011, Pricing_Ru"&amp;"les!C:C&lt;=E1011, Pricing_Rules!D:D&gt;=E1011), 1)
 )
 * (1 + IFERROR( INDEX(Config!D:D, MATCH(A1011, Config!A:A, 0)), 0 )),
"""")
"),15.34)</f>
        <v>15.34</v>
      </c>
      <c r="K1011" s="19">
        <f t="shared" si="3"/>
        <v>-33.34</v>
      </c>
      <c r="L1011" s="20" t="str">
        <f t="shared" si="4"/>
        <v/>
      </c>
    </row>
    <row r="1012" ht="15.75" customHeight="1">
      <c r="A1012" s="9" t="s">
        <v>1162</v>
      </c>
      <c r="B1012" s="12" t="str">
        <f t="array" ref="B1012">XLOOKUP(C1012, Channel_Listings!C:C, Channel_Listings!B:B)
</f>
        <v>Garden_Planters</v>
      </c>
      <c r="C1012" s="23" t="s">
        <v>962</v>
      </c>
      <c r="D1012" s="14" t="str">
        <f t="array" ref="D1012">XLOOKUP(C1012, Channel_Listings!C:C, Channel_Listings!D:D)
</f>
        <v>PLANTER-COLOUR-HOOK-RAJ6-PK2</v>
      </c>
      <c r="E1012" s="15"/>
      <c r="F1012" s="16">
        <f t="array" ref="F1012">IFERROR(
  VALUE( INDEX(Product_Master!$I:$I,
               MATCH( INDEX(Pack_Master!$B:$B, MATCH($D1012, Pack_Master!$A:$A, 0)),
                      Product_Master!$B:$B, 0)
  )) 
  * VALUE( INDEX(Pack_Master!$C:$C, MATCH($D1012, Pack_Master!$A:$A, 0)) )
  + VALUE( INDEX(Pack_Master!$D:$D, MATCH($D1012, Pack_Master!$A:$A, 0)) ),
"")
</f>
        <v>51.96</v>
      </c>
      <c r="G1012" s="17">
        <f t="array" ref="G1012">IFERROR(
 ( INDEX(Pack_Master!E:E, MATCH($D1012, Pack_Master!A:A, 0))
   * INDEX(Pack_Master!F:F, MATCH($D1012, Pack_Master!A:A, 0))
   * INDEX(Pack_Master!G:G, MATCH($D1012, Pack_Master!A:A, 0))
 ) / INDEX(Config!C:C, MATCH($A1012, Config!A:A, 0)),
"")
</f>
        <v>0</v>
      </c>
      <c r="H1012" s="17">
        <f t="array" ref="H1012">MAX( INDEX(Pack_Master!H:H, MATCH($D1012, Pack_Master!A:A, 0)),
      IFERROR(G1012, 0) )
</f>
        <v>0</v>
      </c>
      <c r="I1012" s="18" t="str">
        <f>IFERROR(__xludf.DUMMYFUNCTION("IFERROR(
 INDEX(
   FILTER(Shipping_Rate_Card!B:F, Shipping_Rate_Card!A:A=$A1012),
   MATCH($H1012, FILTER(Shipping_Rate_Card!B:B, Shipping_Rate_Card!A:A=$A1012), 1),
   IF( INDEX(Config!B:B, MATCH($A1012, Config!A:A, 0))=""Local"", 2,
     IF( INDEX(Conf"&amp;"ig!B:B, MATCH($A1012, Config!A:A, 0))=""Regional"", 3, 4 )
   )
 ),
"""")
"),"")</f>
        <v/>
      </c>
      <c r="J1012" s="16">
        <f>IFERROR(__xludf.DUMMYFUNCTION("IFERROR(
 ( E1012 * INDEX(FILTER(Pricing_Rules!E:E, Pricing_Rules!A:A=A1012, Pricing_Rules!B:B=B1012, Pricing_Rules!C:C&lt;=E1012, Pricing_Rules!D:D&gt;=E1012), 1)
   + INDEX(FILTER(Pricing_Rules!F:F, Pricing_Rules!A:A=A1012, Pricing_Rules!B:B=B1012, Pricing_Ru"&amp;"les!C:C&lt;=E1012, Pricing_Rules!D:D&gt;=E1012), 1)
 )
 * (1 + IFERROR( INDEX(Config!D:D, MATCH(A1012, Config!A:A, 0)), 0 )),
"""")
"),15.34)</f>
        <v>15.34</v>
      </c>
      <c r="K1012" s="19">
        <f t="shared" si="3"/>
        <v>-67.3</v>
      </c>
      <c r="L1012" s="20" t="str">
        <f t="shared" si="4"/>
        <v/>
      </c>
    </row>
    <row r="1013" ht="15.75" customHeight="1">
      <c r="A1013" s="9" t="s">
        <v>1162</v>
      </c>
      <c r="B1013" s="12" t="str">
        <f t="array" ref="B1013">XLOOKUP(C1013, Channel_Listings!C:C, Channel_Listings!B:B)
</f>
        <v>Garden_Planters</v>
      </c>
      <c r="C1013" s="23" t="s">
        <v>967</v>
      </c>
      <c r="D1013" s="14" t="str">
        <f t="array" ref="D1013">XLOOKUP(C1013, Channel_Listings!C:C, Channel_Listings!D:D)
</f>
        <v>PLANTER-COLOUR-HOOK-RAJ7-PK4</v>
      </c>
      <c r="E1013" s="15"/>
      <c r="F1013" s="16">
        <f t="array" ref="F1013">IFERROR(
  VALUE( INDEX(Product_Master!$I:$I,
               MATCH( INDEX(Pack_Master!$B:$B, MATCH($D1013, Pack_Master!$A:$A, 0)),
                      Product_Master!$B:$B, 0)
  )) 
  * VALUE( INDEX(Pack_Master!$C:$C, MATCH($D1013, Pack_Master!$A:$A, 0)) )
  + VALUE( INDEX(Pack_Master!$D:$D, MATCH($D1013, Pack_Master!$A:$A, 0)) ),
"")
</f>
        <v>116.96</v>
      </c>
      <c r="G1013" s="17">
        <f t="array" ref="G1013">IFERROR(
 ( INDEX(Pack_Master!E:E, MATCH($D1013, Pack_Master!A:A, 0))
   * INDEX(Pack_Master!F:F, MATCH($D1013, Pack_Master!A:A, 0))
   * INDEX(Pack_Master!G:G, MATCH($D1013, Pack_Master!A:A, 0))
 ) / INDEX(Config!C:C, MATCH($A1013, Config!A:A, 0)),
"")
</f>
        <v>0</v>
      </c>
      <c r="H1013" s="17">
        <f t="array" ref="H1013">MAX( INDEX(Pack_Master!H:H, MATCH($D1013, Pack_Master!A:A, 0)),
      IFERROR(G1013, 0) )
</f>
        <v>0</v>
      </c>
      <c r="I1013" s="18" t="str">
        <f>IFERROR(__xludf.DUMMYFUNCTION("IFERROR(
 INDEX(
   FILTER(Shipping_Rate_Card!B:F, Shipping_Rate_Card!A:A=$A1013),
   MATCH($H1013, FILTER(Shipping_Rate_Card!B:B, Shipping_Rate_Card!A:A=$A1013), 1),
   IF( INDEX(Config!B:B, MATCH($A1013, Config!A:A, 0))=""Local"", 2,
     IF( INDEX(Conf"&amp;"ig!B:B, MATCH($A1013, Config!A:A, 0))=""Regional"", 3, 4 )
   )
 ),
"""")
"),"")</f>
        <v/>
      </c>
      <c r="J1013" s="16">
        <f>IFERROR(__xludf.DUMMYFUNCTION("IFERROR(
 ( E1013 * INDEX(FILTER(Pricing_Rules!E:E, Pricing_Rules!A:A=A1013, Pricing_Rules!B:B=B1013, Pricing_Rules!C:C&lt;=E1013, Pricing_Rules!D:D&gt;=E1013), 1)
   + INDEX(FILTER(Pricing_Rules!F:F, Pricing_Rules!A:A=A1013, Pricing_Rules!B:B=B1013, Pricing_Ru"&amp;"les!C:C&lt;=E1013, Pricing_Rules!D:D&gt;=E1013), 1)
 )
 * (1 + IFERROR( INDEX(Config!D:D, MATCH(A1013, Config!A:A, 0)), 0 )),
"""")
"),15.34)</f>
        <v>15.34</v>
      </c>
      <c r="K1013" s="19">
        <f t="shared" si="3"/>
        <v>-132.3</v>
      </c>
      <c r="L1013" s="20" t="str">
        <f t="shared" si="4"/>
        <v/>
      </c>
    </row>
    <row r="1014" ht="15.75" customHeight="1">
      <c r="A1014" s="9" t="s">
        <v>1162</v>
      </c>
      <c r="B1014" s="12" t="str">
        <f t="array" ref="B1014">XLOOKUP(C1014, Channel_Listings!C:C, Channel_Listings!B:B)
</f>
        <v>Garden_Planters</v>
      </c>
      <c r="C1014" s="23" t="s">
        <v>1563</v>
      </c>
      <c r="D1014" s="14" t="str">
        <f t="array" ref="D1014">XLOOKUP(C1014, Channel_Listings!C:C, Channel_Listings!D:D)
</f>
        <v>PLANTER-COLOUR-HOOK-RAJ7-PK6</v>
      </c>
      <c r="E1014" s="15"/>
      <c r="F1014" s="16">
        <f t="array" ref="F1014">IFERROR(
  VALUE( INDEX(Product_Master!$I:$I,
               MATCH( INDEX(Pack_Master!$B:$B, MATCH($D1014, Pack_Master!$A:$A, 0)),
                      Product_Master!$B:$B, 0)
  )) 
  * VALUE( INDEX(Pack_Master!$C:$C, MATCH($D1014, Pack_Master!$A:$A, 0)) )
  + VALUE( INDEX(Pack_Master!$D:$D, MATCH($D1014, Pack_Master!$A:$A, 0)) ),
"")
</f>
        <v>165.44</v>
      </c>
      <c r="G1014" s="17">
        <f t="array" ref="G1014">IFERROR(
 ( INDEX(Pack_Master!E:E, MATCH($D1014, Pack_Master!A:A, 0))
   * INDEX(Pack_Master!F:F, MATCH($D1014, Pack_Master!A:A, 0))
   * INDEX(Pack_Master!G:G, MATCH($D1014, Pack_Master!A:A, 0))
 ) / INDEX(Config!C:C, MATCH($A1014, Config!A:A, 0)),
"")
</f>
        <v>0</v>
      </c>
      <c r="H1014" s="17">
        <f t="array" ref="H1014">MAX( INDEX(Pack_Master!H:H, MATCH($D1014, Pack_Master!A:A, 0)),
      IFERROR(G1014, 0) )
</f>
        <v>0</v>
      </c>
      <c r="I1014" s="18" t="str">
        <f>IFERROR(__xludf.DUMMYFUNCTION("IFERROR(
 INDEX(
   FILTER(Shipping_Rate_Card!B:F, Shipping_Rate_Card!A:A=$A1014),
   MATCH($H1014, FILTER(Shipping_Rate_Card!B:B, Shipping_Rate_Card!A:A=$A1014), 1),
   IF( INDEX(Config!B:B, MATCH($A1014, Config!A:A, 0))=""Local"", 2,
     IF( INDEX(Conf"&amp;"ig!B:B, MATCH($A1014, Config!A:A, 0))=""Regional"", 3, 4 )
   )
 ),
"""")
"),"")</f>
        <v/>
      </c>
      <c r="J1014" s="16">
        <f>IFERROR(__xludf.DUMMYFUNCTION("IFERROR(
 ( E1014 * INDEX(FILTER(Pricing_Rules!E:E, Pricing_Rules!A:A=A1014, Pricing_Rules!B:B=B1014, Pricing_Rules!C:C&lt;=E1014, Pricing_Rules!D:D&gt;=E1014), 1)
   + INDEX(FILTER(Pricing_Rules!F:F, Pricing_Rules!A:A=A1014, Pricing_Rules!B:B=B1014, Pricing_Ru"&amp;"les!C:C&lt;=E1014, Pricing_Rules!D:D&gt;=E1014), 1)
 )
 * (1 + IFERROR( INDEX(Config!D:D, MATCH(A1014, Config!A:A, 0)), 0 )),
"""")
"),15.34)</f>
        <v>15.34</v>
      </c>
      <c r="K1014" s="19">
        <f t="shared" si="3"/>
        <v>-180.78</v>
      </c>
      <c r="L1014" s="20" t="str">
        <f t="shared" si="4"/>
        <v/>
      </c>
    </row>
    <row r="1015" ht="15.75" customHeight="1">
      <c r="A1015" s="9" t="s">
        <v>1162</v>
      </c>
      <c r="B1015" s="12" t="str">
        <f t="array" ref="B1015">XLOOKUP(C1015, Channel_Listings!C:C, Channel_Listings!B:B)
</f>
        <v>Garden_Planters</v>
      </c>
      <c r="C1015" s="23" t="s">
        <v>971</v>
      </c>
      <c r="D1015" s="14" t="str">
        <f t="array" ref="D1015">XLOOKUP(C1015, Channel_Listings!C:C, Channel_Listings!D:D)
</f>
        <v>PLANTER-COLOUR-HOOK-RAJ9-PK4</v>
      </c>
      <c r="E1015" s="15"/>
      <c r="F1015" s="16">
        <f t="array" ref="F1015">IFERROR(
  VALUE( INDEX(Product_Master!$I:$I,
               MATCH( INDEX(Pack_Master!$B:$B, MATCH($D1015, Pack_Master!$A:$A, 0)),
                      Product_Master!$B:$B, 0)
  )) 
  * VALUE( INDEX(Pack_Master!$C:$C, MATCH($D1015, Pack_Master!$A:$A, 0)) )
  + VALUE( INDEX(Pack_Master!$D:$D, MATCH($D1015, Pack_Master!$A:$A, 0)) ),
"")
</f>
        <v>201.92</v>
      </c>
      <c r="G1015" s="17">
        <f t="array" ref="G1015">IFERROR(
 ( INDEX(Pack_Master!E:E, MATCH($D1015, Pack_Master!A:A, 0))
   * INDEX(Pack_Master!F:F, MATCH($D1015, Pack_Master!A:A, 0))
   * INDEX(Pack_Master!G:G, MATCH($D1015, Pack_Master!A:A, 0))
 ) / INDEX(Config!C:C, MATCH($A1015, Config!A:A, 0)),
"")
</f>
        <v>0</v>
      </c>
      <c r="H1015" s="17">
        <f t="array" ref="H1015">MAX( INDEX(Pack_Master!H:H, MATCH($D1015, Pack_Master!A:A, 0)),
      IFERROR(G1015, 0) )
</f>
        <v>0</v>
      </c>
      <c r="I1015" s="18" t="str">
        <f>IFERROR(__xludf.DUMMYFUNCTION("IFERROR(
 INDEX(
   FILTER(Shipping_Rate_Card!B:F, Shipping_Rate_Card!A:A=$A1015),
   MATCH($H1015, FILTER(Shipping_Rate_Card!B:B, Shipping_Rate_Card!A:A=$A1015), 1),
   IF( INDEX(Config!B:B, MATCH($A1015, Config!A:A, 0))=""Local"", 2,
     IF( INDEX(Conf"&amp;"ig!B:B, MATCH($A1015, Config!A:A, 0))=""Regional"", 3, 4 )
   )
 ),
"""")
"),"")</f>
        <v/>
      </c>
      <c r="J1015" s="16">
        <f>IFERROR(__xludf.DUMMYFUNCTION("IFERROR(
 ( E1015 * INDEX(FILTER(Pricing_Rules!E:E, Pricing_Rules!A:A=A1015, Pricing_Rules!B:B=B1015, Pricing_Rules!C:C&lt;=E1015, Pricing_Rules!D:D&gt;=E1015), 1)
   + INDEX(FILTER(Pricing_Rules!F:F, Pricing_Rules!A:A=A1015, Pricing_Rules!B:B=B1015, Pricing_Ru"&amp;"les!C:C&lt;=E1015, Pricing_Rules!D:D&gt;=E1015), 1)
 )
 * (1 + IFERROR( INDEX(Config!D:D, MATCH(A1015, Config!A:A, 0)), 0 )),
"""")
"),15.34)</f>
        <v>15.34</v>
      </c>
      <c r="K1015" s="19">
        <f t="shared" si="3"/>
        <v>-217.26</v>
      </c>
      <c r="L1015" s="20" t="str">
        <f t="shared" si="4"/>
        <v/>
      </c>
    </row>
    <row r="1016" ht="15.75" customHeight="1">
      <c r="A1016" s="9" t="s">
        <v>1162</v>
      </c>
      <c r="B1016" s="12" t="str">
        <f t="array" ref="B1016">XLOOKUP(C1016, Channel_Listings!C:C, Channel_Listings!B:B)
</f>
        <v>Garden_Planters</v>
      </c>
      <c r="C1016" s="23" t="s">
        <v>972</v>
      </c>
      <c r="D1016" s="14" t="str">
        <f t="array" ref="D1016">XLOOKUP(C1016, Channel_Listings!C:C, Channel_Listings!D:D)
</f>
        <v>PLANTER-COLOUR-HOOK-RAJ9-PK6</v>
      </c>
      <c r="E1016" s="15"/>
      <c r="F1016" s="16">
        <f t="array" ref="F1016">IFERROR(
  VALUE( INDEX(Product_Master!$I:$I,
               MATCH( INDEX(Pack_Master!$B:$B, MATCH($D1016, Pack_Master!$A:$A, 0)),
                      Product_Master!$B:$B, 0)
  )) 
  * VALUE( INDEX(Pack_Master!$C:$C, MATCH($D1016, Pack_Master!$A:$A, 0)) )
  + VALUE( INDEX(Pack_Master!$D:$D, MATCH($D1016, Pack_Master!$A:$A, 0)) ),
"")
</f>
        <v>292.88</v>
      </c>
      <c r="G1016" s="17">
        <f t="array" ref="G1016">IFERROR(
 ( INDEX(Pack_Master!E:E, MATCH($D1016, Pack_Master!A:A, 0))
   * INDEX(Pack_Master!F:F, MATCH($D1016, Pack_Master!A:A, 0))
   * INDEX(Pack_Master!G:G, MATCH($D1016, Pack_Master!A:A, 0))
 ) / INDEX(Config!C:C, MATCH($A1016, Config!A:A, 0)),
"")
</f>
        <v>0</v>
      </c>
      <c r="H1016" s="17">
        <f t="array" ref="H1016">MAX( INDEX(Pack_Master!H:H, MATCH($D1016, Pack_Master!A:A, 0)),
      IFERROR(G1016, 0) )
</f>
        <v>0</v>
      </c>
      <c r="I1016" s="18" t="str">
        <f>IFERROR(__xludf.DUMMYFUNCTION("IFERROR(
 INDEX(
   FILTER(Shipping_Rate_Card!B:F, Shipping_Rate_Card!A:A=$A1016),
   MATCH($H1016, FILTER(Shipping_Rate_Card!B:B, Shipping_Rate_Card!A:A=$A1016), 1),
   IF( INDEX(Config!B:B, MATCH($A1016, Config!A:A, 0))=""Local"", 2,
     IF( INDEX(Conf"&amp;"ig!B:B, MATCH($A1016, Config!A:A, 0))=""Regional"", 3, 4 )
   )
 ),
"""")
"),"")</f>
        <v/>
      </c>
      <c r="J1016" s="16">
        <f>IFERROR(__xludf.DUMMYFUNCTION("IFERROR(
 ( E1016 * INDEX(FILTER(Pricing_Rules!E:E, Pricing_Rules!A:A=A1016, Pricing_Rules!B:B=B1016, Pricing_Rules!C:C&lt;=E1016, Pricing_Rules!D:D&gt;=E1016), 1)
   + INDEX(FILTER(Pricing_Rules!F:F, Pricing_Rules!A:A=A1016, Pricing_Rules!B:B=B1016, Pricing_Ru"&amp;"les!C:C&lt;=E1016, Pricing_Rules!D:D&gt;=E1016), 1)
 )
 * (1 + IFERROR( INDEX(Config!D:D, MATCH(A1016, Config!A:A, 0)), 0 )),
"""")
"),15.34)</f>
        <v>15.34</v>
      </c>
      <c r="K1016" s="19">
        <f t="shared" si="3"/>
        <v>-308.22</v>
      </c>
      <c r="L1016" s="20" t="str">
        <f t="shared" si="4"/>
        <v/>
      </c>
    </row>
    <row r="1017" ht="15.75" customHeight="1">
      <c r="A1017" s="9" t="s">
        <v>1162</v>
      </c>
      <c r="B1017" s="12" t="str">
        <f t="array" ref="B1017">XLOOKUP(C1017, Channel_Listings!C:C, Channel_Listings!B:B)
</f>
        <v>Garden_Planters</v>
      </c>
      <c r="C1017" s="23" t="s">
        <v>976</v>
      </c>
      <c r="D1017" s="14" t="str">
        <f t="array" ref="D1017">XLOOKUP(C1017, Channel_Listings!C:C, Channel_Listings!D:D)
</f>
        <v>PLANTER-MULTICOLOUR-DOUBLEHOOK11-PK6</v>
      </c>
      <c r="E1017" s="15"/>
      <c r="F1017" s="16">
        <f t="array" ref="F1017">IFERROR(
  VALUE( INDEX(Product_Master!$I:$I,
               MATCH( INDEX(Pack_Master!$B:$B, MATCH($D1017, Pack_Master!$A:$A, 0)),
                      Product_Master!$B:$B, 0)
  )) 
  * VALUE( INDEX(Pack_Master!$C:$C, MATCH($D1017, Pack_Master!$A:$A, 0)) )
  + VALUE( INDEX(Pack_Master!$D:$D, MATCH($D1017, Pack_Master!$A:$A, 0)) ),
"")
</f>
        <v>315.36</v>
      </c>
      <c r="G1017" s="17">
        <f t="array" ref="G1017">IFERROR(
 ( INDEX(Pack_Master!E:E, MATCH($D1017, Pack_Master!A:A, 0))
   * INDEX(Pack_Master!F:F, MATCH($D1017, Pack_Master!A:A, 0))
   * INDEX(Pack_Master!G:G, MATCH($D1017, Pack_Master!A:A, 0))
 ) / INDEX(Config!C:C, MATCH($A1017, Config!A:A, 0)),
"")
</f>
        <v>0</v>
      </c>
      <c r="H1017" s="17">
        <f t="array" ref="H1017">MAX( INDEX(Pack_Master!H:H, MATCH($D1017, Pack_Master!A:A, 0)),
      IFERROR(G1017, 0) )
</f>
        <v>0</v>
      </c>
      <c r="I1017" s="18" t="str">
        <f>IFERROR(__xludf.DUMMYFUNCTION("IFERROR(
 INDEX(
   FILTER(Shipping_Rate_Card!B:F, Shipping_Rate_Card!A:A=$A1017),
   MATCH($H1017, FILTER(Shipping_Rate_Card!B:B, Shipping_Rate_Card!A:A=$A1017), 1),
   IF( INDEX(Config!B:B, MATCH($A1017, Config!A:A, 0))=""Local"", 2,
     IF( INDEX(Conf"&amp;"ig!B:B, MATCH($A1017, Config!A:A, 0))=""Regional"", 3, 4 )
   )
 ),
"""")
"),"")</f>
        <v/>
      </c>
      <c r="J1017" s="16">
        <f>IFERROR(__xludf.DUMMYFUNCTION("IFERROR(
 ( E1017 * INDEX(FILTER(Pricing_Rules!E:E, Pricing_Rules!A:A=A1017, Pricing_Rules!B:B=B1017, Pricing_Rules!C:C&lt;=E1017, Pricing_Rules!D:D&gt;=E1017), 1)
   + INDEX(FILTER(Pricing_Rules!F:F, Pricing_Rules!A:A=A1017, Pricing_Rules!B:B=B1017, Pricing_Ru"&amp;"les!C:C&lt;=E1017, Pricing_Rules!D:D&gt;=E1017), 1)
 )
 * (1 + IFERROR( INDEX(Config!D:D, MATCH(A1017, Config!A:A, 0)), 0 )),
"""")
"),15.34)</f>
        <v>15.34</v>
      </c>
      <c r="K1017" s="19">
        <f t="shared" si="3"/>
        <v>-330.7</v>
      </c>
      <c r="L1017" s="20" t="str">
        <f t="shared" si="4"/>
        <v/>
      </c>
    </row>
    <row r="1018" ht="15.75" customHeight="1">
      <c r="A1018" s="9" t="s">
        <v>1162</v>
      </c>
      <c r="B1018" s="12" t="str">
        <f t="array" ref="B1018">XLOOKUP(C1018, Channel_Listings!C:C, Channel_Listings!B:B)
</f>
        <v>Garden_Planters</v>
      </c>
      <c r="C1018" s="23" t="s">
        <v>984</v>
      </c>
      <c r="D1018" s="14" t="str">
        <f t="array" ref="D1018">XLOOKUP(C1018, Channel_Listings!C:C, Channel_Listings!D:D)
</f>
        <v>PLANTER-MULTICOLOUR-HANGINGPLANTER6-PK6</v>
      </c>
      <c r="E1018" s="15"/>
      <c r="F1018" s="16">
        <f t="array" ref="F1018">IFERROR(
  VALUE( INDEX(Product_Master!$I:$I,
               MATCH( INDEX(Pack_Master!$B:$B, MATCH($D1018, Pack_Master!$A:$A, 0)),
                      Product_Master!$B:$B, 0)
  )) 
  * VALUE( INDEX(Pack_Master!$C:$C, MATCH($D1018, Pack_Master!$A:$A, 0)) )
  + VALUE( INDEX(Pack_Master!$D:$D, MATCH($D1018, Pack_Master!$A:$A, 0)) ),
"")
</f>
        <v>18</v>
      </c>
      <c r="G1018" s="17">
        <f t="array" ref="G1018">IFERROR(
 ( INDEX(Pack_Master!E:E, MATCH($D1018, Pack_Master!A:A, 0))
   * INDEX(Pack_Master!F:F, MATCH($D1018, Pack_Master!A:A, 0))
   * INDEX(Pack_Master!G:G, MATCH($D1018, Pack_Master!A:A, 0))
 ) / INDEX(Config!C:C, MATCH($A1018, Config!A:A, 0)),
"")
</f>
        <v>0</v>
      </c>
      <c r="H1018" s="17">
        <f t="array" ref="H1018">MAX( INDEX(Pack_Master!H:H, MATCH($D1018, Pack_Master!A:A, 0)),
      IFERROR(G1018, 0) )
</f>
        <v>0</v>
      </c>
      <c r="I1018" s="18" t="str">
        <f>IFERROR(__xludf.DUMMYFUNCTION("IFERROR(
 INDEX(
   FILTER(Shipping_Rate_Card!B:F, Shipping_Rate_Card!A:A=$A1018),
   MATCH($H1018, FILTER(Shipping_Rate_Card!B:B, Shipping_Rate_Card!A:A=$A1018), 1),
   IF( INDEX(Config!B:B, MATCH($A1018, Config!A:A, 0))=""Local"", 2,
     IF( INDEX(Conf"&amp;"ig!B:B, MATCH($A1018, Config!A:A, 0))=""Regional"", 3, 4 )
   )
 ),
"""")
"),"")</f>
        <v/>
      </c>
      <c r="J1018" s="16">
        <f>IFERROR(__xludf.DUMMYFUNCTION("IFERROR(
 ( E1018 * INDEX(FILTER(Pricing_Rules!E:E, Pricing_Rules!A:A=A1018, Pricing_Rules!B:B=B1018, Pricing_Rules!C:C&lt;=E1018, Pricing_Rules!D:D&gt;=E1018), 1)
   + INDEX(FILTER(Pricing_Rules!F:F, Pricing_Rules!A:A=A1018, Pricing_Rules!B:B=B1018, Pricing_Ru"&amp;"les!C:C&lt;=E1018, Pricing_Rules!D:D&gt;=E1018), 1)
 )
 * (1 + IFERROR( INDEX(Config!D:D, MATCH(A1018, Config!A:A, 0)), 0 )),
"""")
"),15.34)</f>
        <v>15.34</v>
      </c>
      <c r="K1018" s="19">
        <f t="shared" si="3"/>
        <v>-33.34</v>
      </c>
      <c r="L1018" s="20" t="str">
        <f t="shared" si="4"/>
        <v/>
      </c>
    </row>
    <row r="1019" ht="15.75" customHeight="1">
      <c r="A1019" s="9" t="s">
        <v>1162</v>
      </c>
      <c r="B1019" s="12" t="str">
        <f t="array" ref="B1019">XLOOKUP(C1019, Channel_Listings!C:C, Channel_Listings!B:B)
</f>
        <v>Garden_Planters</v>
      </c>
      <c r="C1019" s="23" t="s">
        <v>994</v>
      </c>
      <c r="D1019" s="14" t="str">
        <f t="array" ref="D1019">XLOOKUP(C1019, Channel_Listings!C:C, Channel_Listings!D:D)
</f>
        <v>PLANTER-ROUND-MULTICOLOR8-PK5</v>
      </c>
      <c r="E1019" s="15"/>
      <c r="F1019" s="16">
        <f t="array" ref="F1019">IFERROR(
  VALUE( INDEX(Product_Master!$I:$I,
               MATCH( INDEX(Pack_Master!$B:$B, MATCH($D1019, Pack_Master!$A:$A, 0)),
                      Product_Master!$B:$B, 0)
  )) 
  * VALUE( INDEX(Pack_Master!$C:$C, MATCH($D1019, Pack_Master!$A:$A, 0)) )
  + VALUE( INDEX(Pack_Master!$D:$D, MATCH($D1019, Pack_Master!$A:$A, 0)) ),
"")
</f>
        <v>15</v>
      </c>
      <c r="G1019" s="17">
        <f t="array" ref="G1019">IFERROR(
 ( INDEX(Pack_Master!E:E, MATCH($D1019, Pack_Master!A:A, 0))
   * INDEX(Pack_Master!F:F, MATCH($D1019, Pack_Master!A:A, 0))
   * INDEX(Pack_Master!G:G, MATCH($D1019, Pack_Master!A:A, 0))
 ) / INDEX(Config!C:C, MATCH($A1019, Config!A:A, 0)),
"")
</f>
        <v>0</v>
      </c>
      <c r="H1019" s="17">
        <f t="array" ref="H1019">MAX( INDEX(Pack_Master!H:H, MATCH($D1019, Pack_Master!A:A, 0)),
      IFERROR(G1019, 0) )
</f>
        <v>0</v>
      </c>
      <c r="I1019" s="18" t="str">
        <f>IFERROR(__xludf.DUMMYFUNCTION("IFERROR(
 INDEX(
   FILTER(Shipping_Rate_Card!B:F, Shipping_Rate_Card!A:A=$A1019),
   MATCH($H1019, FILTER(Shipping_Rate_Card!B:B, Shipping_Rate_Card!A:A=$A1019), 1),
   IF( INDEX(Config!B:B, MATCH($A1019, Config!A:A, 0))=""Local"", 2,
     IF( INDEX(Conf"&amp;"ig!B:B, MATCH($A1019, Config!A:A, 0))=""Regional"", 3, 4 )
   )
 ),
"""")
"),"")</f>
        <v/>
      </c>
      <c r="J1019" s="16">
        <f>IFERROR(__xludf.DUMMYFUNCTION("IFERROR(
 ( E1019 * INDEX(FILTER(Pricing_Rules!E:E, Pricing_Rules!A:A=A1019, Pricing_Rules!B:B=B1019, Pricing_Rules!C:C&lt;=E1019, Pricing_Rules!D:D&gt;=E1019), 1)
   + INDEX(FILTER(Pricing_Rules!F:F, Pricing_Rules!A:A=A1019, Pricing_Rules!B:B=B1019, Pricing_Ru"&amp;"les!C:C&lt;=E1019, Pricing_Rules!D:D&gt;=E1019), 1)
 )
 * (1 + IFERROR( INDEX(Config!D:D, MATCH(A1019, Config!A:A, 0)), 0 )),
"""")
"),15.34)</f>
        <v>15.34</v>
      </c>
      <c r="K1019" s="19">
        <f t="shared" si="3"/>
        <v>-30.34</v>
      </c>
      <c r="L1019" s="20" t="str">
        <f t="shared" si="4"/>
        <v/>
      </c>
    </row>
    <row r="1020" ht="15.75" customHeight="1">
      <c r="A1020" s="9" t="s">
        <v>1162</v>
      </c>
      <c r="B1020" s="12" t="str">
        <f t="array" ref="B1020">XLOOKUP(C1020, Channel_Listings!C:C, Channel_Listings!B:B)
</f>
        <v>Garden_Planters</v>
      </c>
      <c r="C1020" s="24" t="s">
        <v>996</v>
      </c>
      <c r="D1020" s="14" t="str">
        <f t="array" ref="D1020">XLOOKUP(C1020, Channel_Listings!C:C, Channel_Listings!D:D)
</f>
        <v>PLANTER-ROUNDORCHID-SAUCER10-PK1</v>
      </c>
      <c r="E1020" s="15"/>
      <c r="F1020" s="16">
        <f t="array" ref="F1020">IFERROR(
  VALUE( INDEX(Product_Master!$I:$I,
               MATCH( INDEX(Pack_Master!$B:$B, MATCH($D1020, Pack_Master!$A:$A, 0)),
                      Product_Master!$B:$B, 0)
  )) 
  * VALUE( INDEX(Pack_Master!$C:$C, MATCH($D1020, Pack_Master!$A:$A, 0)) )
  + VALUE( INDEX(Pack_Master!$D:$D, MATCH($D1020, Pack_Master!$A:$A, 0)) ),
"")
</f>
        <v>86.5</v>
      </c>
      <c r="G1020" s="17">
        <f t="array" ref="G1020">IFERROR(
 ( INDEX(Pack_Master!E:E, MATCH($D1020, Pack_Master!A:A, 0))
   * INDEX(Pack_Master!F:F, MATCH($D1020, Pack_Master!A:A, 0))
   * INDEX(Pack_Master!G:G, MATCH($D1020, Pack_Master!A:A, 0))
 ) / INDEX(Config!C:C, MATCH($A1020, Config!A:A, 0)),
"")
</f>
        <v>2.8392</v>
      </c>
      <c r="H1020" s="17">
        <f t="array" ref="H1020">MAX( INDEX(Pack_Master!H:H, MATCH($D1020, Pack_Master!A:A, 0)),
      IFERROR(G1020, 0) )
</f>
        <v>2.8392</v>
      </c>
      <c r="I1020" s="18">
        <f>IFERROR(__xludf.DUMMYFUNCTION("IFERROR(
 INDEX(
   FILTER(Shipping_Rate_Card!B:F, Shipping_Rate_Card!A:A=$A1020),
   MATCH($H1020, FILTER(Shipping_Rate_Card!B:B, Shipping_Rate_Card!A:A=$A1020), 1),
   IF( INDEX(Config!B:B, MATCH($A1020, Config!A:A, 0))=""Local"", 2,
     IF( INDEX(Conf"&amp;"ig!B:B, MATCH($A1020, Config!A:A, 0))=""Regional"", 3, 4 )
   )
 ),
"""")
"),173.0)</f>
        <v>173</v>
      </c>
      <c r="J1020" s="16">
        <f>IFERROR(__xludf.DUMMYFUNCTION("IFERROR(
 ( E1020 * INDEX(FILTER(Pricing_Rules!E:E, Pricing_Rules!A:A=A1020, Pricing_Rules!B:B=B1020, Pricing_Rules!C:C&lt;=E1020, Pricing_Rules!D:D&gt;=E1020), 1)
   + INDEX(FILTER(Pricing_Rules!F:F, Pricing_Rules!A:A=A1020, Pricing_Rules!B:B=B1020, Pricing_Ru"&amp;"les!C:C&lt;=E1020, Pricing_Rules!D:D&gt;=E1020), 1)
 )
 * (1 + IFERROR( INDEX(Config!D:D, MATCH(A1020, Config!A:A, 0)), 0 )),
"""")
"),15.34)</f>
        <v>15.34</v>
      </c>
      <c r="K1020" s="19">
        <f t="shared" si="3"/>
        <v>-274.84</v>
      </c>
      <c r="L1020" s="20" t="str">
        <f t="shared" si="4"/>
        <v/>
      </c>
    </row>
    <row r="1021" ht="15.75" customHeight="1">
      <c r="A1021" s="9" t="s">
        <v>1162</v>
      </c>
      <c r="B1021" s="12" t="str">
        <f t="array" ref="B1021">XLOOKUP(C1021, Channel_Listings!C:C, Channel_Listings!B:B)
</f>
        <v>Garden_Planters</v>
      </c>
      <c r="C1021" s="24" t="s">
        <v>997</v>
      </c>
      <c r="D1021" s="14" t="str">
        <f t="array" ref="D1021">XLOOKUP(C1021, Channel_Listings!C:C, Channel_Listings!D:D)
</f>
        <v>PLANTER-ROUNDORCHID-SAUCER10-PK3</v>
      </c>
      <c r="E1021" s="15"/>
      <c r="F1021" s="16">
        <f t="array" ref="F1021">IFERROR(
  VALUE( INDEX(Product_Master!$I:$I,
               MATCH( INDEX(Pack_Master!$B:$B, MATCH($D1021, Pack_Master!$A:$A, 0)),
                      Product_Master!$B:$B, 0)
  )) 
  * VALUE( INDEX(Pack_Master!$C:$C, MATCH($D1021, Pack_Master!$A:$A, 0)) )
  + VALUE( INDEX(Pack_Master!$D:$D, MATCH($D1021, Pack_Master!$A:$A, 0)) ),
"")
</f>
        <v>159.5</v>
      </c>
      <c r="G1021" s="17">
        <f t="array" ref="G1021">IFERROR(
 ( INDEX(Pack_Master!E:E, MATCH($D1021, Pack_Master!A:A, 0))
   * INDEX(Pack_Master!F:F, MATCH($D1021, Pack_Master!A:A, 0))
   * INDEX(Pack_Master!G:G, MATCH($D1021, Pack_Master!A:A, 0))
 ) / INDEX(Config!C:C, MATCH($A1021, Config!A:A, 0)),
"")
</f>
        <v>3.5152</v>
      </c>
      <c r="H1021" s="17">
        <f t="array" ref="H1021">MAX( INDEX(Pack_Master!H:H, MATCH($D1021, Pack_Master!A:A, 0)),
      IFERROR(G1021, 0) )
</f>
        <v>3.5152</v>
      </c>
      <c r="I1021" s="18">
        <f>IFERROR(__xludf.DUMMYFUNCTION("IFERROR(
 INDEX(
   FILTER(Shipping_Rate_Card!B:F, Shipping_Rate_Card!A:A=$A1021),
   MATCH($H1021, FILTER(Shipping_Rate_Card!B:B, Shipping_Rate_Card!A:A=$A1021), 1),
   IF( INDEX(Config!B:B, MATCH($A1021, Config!A:A, 0))=""Local"", 2,
     IF( INDEX(Conf"&amp;"ig!B:B, MATCH($A1021, Config!A:A, 0))=""Regional"", 3, 4 )
   )
 ),
"""")
"),243.0)</f>
        <v>243</v>
      </c>
      <c r="J1021" s="16">
        <f>IFERROR(__xludf.DUMMYFUNCTION("IFERROR(
 ( E1021 * INDEX(FILTER(Pricing_Rules!E:E, Pricing_Rules!A:A=A1021, Pricing_Rules!B:B=B1021, Pricing_Rules!C:C&lt;=E1021, Pricing_Rules!D:D&gt;=E1021), 1)
   + INDEX(FILTER(Pricing_Rules!F:F, Pricing_Rules!A:A=A1021, Pricing_Rules!B:B=B1021, Pricing_Ru"&amp;"les!C:C&lt;=E1021, Pricing_Rules!D:D&gt;=E1021), 1)
 )
 * (1 + IFERROR( INDEX(Config!D:D, MATCH(A1021, Config!A:A, 0)), 0 )),
"""")
"),15.34)</f>
        <v>15.34</v>
      </c>
      <c r="K1021" s="19">
        <f t="shared" si="3"/>
        <v>-417.84</v>
      </c>
      <c r="L1021" s="20" t="str">
        <f t="shared" si="4"/>
        <v/>
      </c>
    </row>
    <row r="1022" ht="15.75" customHeight="1">
      <c r="A1022" s="9" t="s">
        <v>1162</v>
      </c>
      <c r="B1022" s="12" t="str">
        <f t="array" ref="B1022">XLOOKUP(C1022, Channel_Listings!C:C, Channel_Listings!B:B)
</f>
        <v>Garden_Planters</v>
      </c>
      <c r="C1022" s="24" t="s">
        <v>999</v>
      </c>
      <c r="D1022" s="14" t="str">
        <f t="array" ref="D1022">XLOOKUP(C1022, Channel_Listings!C:C, Channel_Listings!D:D)
</f>
        <v>PLANTER-ROUNDORCHID-SAUCER10-PK6</v>
      </c>
      <c r="E1022" s="15"/>
      <c r="F1022" s="16">
        <f t="array" ref="F1022">IFERROR(
  VALUE( INDEX(Product_Master!$I:$I,
               MATCH( INDEX(Pack_Master!$B:$B, MATCH($D1022, Pack_Master!$A:$A, 0)),
                      Product_Master!$B:$B, 0)
  )) 
  * VALUE( INDEX(Pack_Master!$C:$C, MATCH($D1022, Pack_Master!$A:$A, 0)) )
  + VALUE( INDEX(Pack_Master!$D:$D, MATCH($D1022, Pack_Master!$A:$A, 0)) ),
"")
</f>
        <v>269</v>
      </c>
      <c r="G1022" s="17">
        <f t="array" ref="G1022">IFERROR(
 ( INDEX(Pack_Master!E:E, MATCH($D1022, Pack_Master!A:A, 0))
   * INDEX(Pack_Master!F:F, MATCH($D1022, Pack_Master!A:A, 0))
   * INDEX(Pack_Master!G:G, MATCH($D1022, Pack_Master!A:A, 0))
 ) / INDEX(Config!C:C, MATCH($A1022, Config!A:A, 0)),
"")
</f>
        <v>4.3264</v>
      </c>
      <c r="H1022" s="17">
        <f t="array" ref="H1022">MAX( INDEX(Pack_Master!H:H, MATCH($D1022, Pack_Master!A:A, 0)),
      IFERROR(G1022, 0) )
</f>
        <v>4.3264</v>
      </c>
      <c r="I1022" s="18">
        <f>IFERROR(__xludf.DUMMYFUNCTION("IFERROR(
 INDEX(
   FILTER(Shipping_Rate_Card!B:F, Shipping_Rate_Card!A:A=$A1022),
   MATCH($H1022, FILTER(Shipping_Rate_Card!B:B, Shipping_Rate_Card!A:A=$A1022), 1),
   IF( INDEX(Config!B:B, MATCH($A1022, Config!A:A, 0))=""Local"", 2,
     IF( INDEX(Conf"&amp;"ig!B:B, MATCH($A1022, Config!A:A, 0))=""Regional"", 3, 4 )
   )
 ),
"""")
"),243.0)</f>
        <v>243</v>
      </c>
      <c r="J1022" s="16">
        <f>IFERROR(__xludf.DUMMYFUNCTION("IFERROR(
 ( E1022 * INDEX(FILTER(Pricing_Rules!E:E, Pricing_Rules!A:A=A1022, Pricing_Rules!B:B=B1022, Pricing_Rules!C:C&lt;=E1022, Pricing_Rules!D:D&gt;=E1022), 1)
   + INDEX(FILTER(Pricing_Rules!F:F, Pricing_Rules!A:A=A1022, Pricing_Rules!B:B=B1022, Pricing_Ru"&amp;"les!C:C&lt;=E1022, Pricing_Rules!D:D&gt;=E1022), 1)
 )
 * (1 + IFERROR( INDEX(Config!D:D, MATCH(A1022, Config!A:A, 0)), 0 )),
"""")
"),15.34)</f>
        <v>15.34</v>
      </c>
      <c r="K1022" s="19">
        <f t="shared" si="3"/>
        <v>-527.34</v>
      </c>
      <c r="L1022" s="20" t="str">
        <f t="shared" si="4"/>
        <v/>
      </c>
    </row>
    <row r="1023" ht="15.75" customHeight="1">
      <c r="A1023" s="9" t="s">
        <v>1162</v>
      </c>
      <c r="B1023" s="12" t="str">
        <f t="array" ref="B1023">XLOOKUP(C1023, Channel_Listings!C:C, Channel_Listings!B:B)
</f>
        <v>Garden_Planters</v>
      </c>
      <c r="C1023" s="24" t="s">
        <v>1001</v>
      </c>
      <c r="D1023" s="14" t="str">
        <f t="array" ref="D1023">XLOOKUP(C1023, Channel_Listings!C:C, Channel_Listings!D:D)
</f>
        <v>PLANTER-ROUNDORCHID-SAUCER10-PK12</v>
      </c>
      <c r="E1023" s="15"/>
      <c r="F1023" s="16">
        <f t="array" ref="F1023">IFERROR(
  VALUE( INDEX(Product_Master!$I:$I,
               MATCH( INDEX(Pack_Master!$B:$B, MATCH($D1023, Pack_Master!$A:$A, 0)),
                      Product_Master!$B:$B, 0)
  )) 
  * VALUE( INDEX(Pack_Master!$C:$C, MATCH($D1023, Pack_Master!$A:$A, 0)) )
  + VALUE( INDEX(Pack_Master!$D:$D, MATCH($D1023, Pack_Master!$A:$A, 0)) ),
"")
</f>
        <v>488</v>
      </c>
      <c r="G1023" s="17">
        <f t="array" ref="G1023">IFERROR(
 ( INDEX(Pack_Master!E:E, MATCH($D1023, Pack_Master!A:A, 0))
   * INDEX(Pack_Master!F:F, MATCH($D1023, Pack_Master!A:A, 0))
   * INDEX(Pack_Master!G:G, MATCH($D1023, Pack_Master!A:A, 0))
 ) / INDEX(Config!C:C, MATCH($A1023, Config!A:A, 0)),
"")
</f>
        <v>6.2192</v>
      </c>
      <c r="H1023" s="17">
        <f t="array" ref="H1023">MAX( INDEX(Pack_Master!H:H, MATCH($D1023, Pack_Master!A:A, 0)),
      IFERROR(G1023, 0) )
</f>
        <v>6.2192</v>
      </c>
      <c r="I1023" s="18">
        <f>IFERROR(__xludf.DUMMYFUNCTION("IFERROR(
 INDEX(
   FILTER(Shipping_Rate_Card!B:F, Shipping_Rate_Card!A:A=$A1023),
   MATCH($H1023, FILTER(Shipping_Rate_Card!B:B, Shipping_Rate_Card!A:A=$A1023), 1),
   IF( INDEX(Config!B:B, MATCH($A1023, Config!A:A, 0))=""Local"", 2,
     IF( INDEX(Conf"&amp;"ig!B:B, MATCH($A1023, Config!A:A, 0))=""Regional"", 3, 4 )
   )
 ),
"""")
"),383.0)</f>
        <v>383</v>
      </c>
      <c r="J1023" s="16">
        <f>IFERROR(__xludf.DUMMYFUNCTION("IFERROR(
 ( E1023 * INDEX(FILTER(Pricing_Rules!E:E, Pricing_Rules!A:A=A1023, Pricing_Rules!B:B=B1023, Pricing_Rules!C:C&lt;=E1023, Pricing_Rules!D:D&gt;=E1023), 1)
   + INDEX(FILTER(Pricing_Rules!F:F, Pricing_Rules!A:A=A1023, Pricing_Rules!B:B=B1023, Pricing_Ru"&amp;"les!C:C&lt;=E1023, Pricing_Rules!D:D&gt;=E1023), 1)
 )
 * (1 + IFERROR( INDEX(Config!D:D, MATCH(A1023, Config!A:A, 0)), 0 )),
"""")
"),15.34)</f>
        <v>15.34</v>
      </c>
      <c r="K1023" s="19">
        <f t="shared" si="3"/>
        <v>-886.34</v>
      </c>
      <c r="L1023" s="20" t="str">
        <f t="shared" si="4"/>
        <v/>
      </c>
    </row>
    <row r="1024" ht="15.75" customHeight="1">
      <c r="A1024" s="9" t="s">
        <v>1162</v>
      </c>
      <c r="B1024" s="12" t="str">
        <f t="array" ref="B1024">XLOOKUP(C1024, Channel_Listings!C:C, Channel_Listings!B:B)
</f>
        <v>Garden_Planters</v>
      </c>
      <c r="C1024" s="24" t="s">
        <v>1003</v>
      </c>
      <c r="D1024" s="14" t="str">
        <f t="array" ref="D1024">XLOOKUP(C1024, Channel_Listings!C:C, Channel_Listings!D:D)
</f>
        <v>PLANTER-ROUNDORCHID-SAUCER12-PK1</v>
      </c>
      <c r="E1024" s="15"/>
      <c r="F1024" s="16">
        <f t="array" ref="F1024">IFERROR(
  VALUE( INDEX(Product_Master!$I:$I,
               MATCH( INDEX(Pack_Master!$B:$B, MATCH($D1024, Pack_Master!$A:$A, 0)),
                      Product_Master!$B:$B, 0)
  )) 
  * VALUE( INDEX(Pack_Master!$C:$C, MATCH($D1024, Pack_Master!$A:$A, 0)) )
  + VALUE( INDEX(Pack_Master!$D:$D, MATCH($D1024, Pack_Master!$A:$A, 0)) ),
"")
</f>
        <v>123.5</v>
      </c>
      <c r="G1024" s="17">
        <f t="array" ref="G1024">IFERROR(
 ( INDEX(Pack_Master!E:E, MATCH($D1024, Pack_Master!A:A, 0))
   * INDEX(Pack_Master!F:F, MATCH($D1024, Pack_Master!A:A, 0))
   * INDEX(Pack_Master!G:G, MATCH($D1024, Pack_Master!A:A, 0))
 ) / INDEX(Config!C:C, MATCH($A1024, Config!A:A, 0)),
"")
</f>
        <v>4.9972</v>
      </c>
      <c r="H1024" s="17">
        <f t="array" ref="H1024">MAX( INDEX(Pack_Master!H:H, MATCH($D1024, Pack_Master!A:A, 0)),
      IFERROR(G1024, 0) )
</f>
        <v>4.9972</v>
      </c>
      <c r="I1024" s="18">
        <f>IFERROR(__xludf.DUMMYFUNCTION("IFERROR(
 INDEX(
   FILTER(Shipping_Rate_Card!B:F, Shipping_Rate_Card!A:A=$A1024),
   MATCH($H1024, FILTER(Shipping_Rate_Card!B:B, Shipping_Rate_Card!A:A=$A1024), 1),
   IF( INDEX(Config!B:B, MATCH($A1024, Config!A:A, 0))=""Local"", 2,
     IF( INDEX(Conf"&amp;"ig!B:B, MATCH($A1024, Config!A:A, 0))=""Regional"", 3, 4 )
   )
 ),
"""")
"),243.0)</f>
        <v>243</v>
      </c>
      <c r="J1024" s="16">
        <f>IFERROR(__xludf.DUMMYFUNCTION("IFERROR(
 ( E1024 * INDEX(FILTER(Pricing_Rules!E:E, Pricing_Rules!A:A=A1024, Pricing_Rules!B:B=B1024, Pricing_Rules!C:C&lt;=E1024, Pricing_Rules!D:D&gt;=E1024), 1)
   + INDEX(FILTER(Pricing_Rules!F:F, Pricing_Rules!A:A=A1024, Pricing_Rules!B:B=B1024, Pricing_Ru"&amp;"les!C:C&lt;=E1024, Pricing_Rules!D:D&gt;=E1024), 1)
 )
 * (1 + IFERROR( INDEX(Config!D:D, MATCH(A1024, Config!A:A, 0)), 0 )),
"""")
"),15.34)</f>
        <v>15.34</v>
      </c>
      <c r="K1024" s="19">
        <f t="shared" si="3"/>
        <v>-381.84</v>
      </c>
      <c r="L1024" s="20" t="str">
        <f t="shared" si="4"/>
        <v/>
      </c>
    </row>
    <row r="1025" ht="15.75" customHeight="1">
      <c r="A1025" s="9" t="s">
        <v>1162</v>
      </c>
      <c r="B1025" s="12" t="str">
        <f t="array" ref="B1025">XLOOKUP(C1025, Channel_Listings!C:C, Channel_Listings!B:B)
</f>
        <v>Garden_Planters</v>
      </c>
      <c r="C1025" s="24" t="s">
        <v>1004</v>
      </c>
      <c r="D1025" s="14" t="str">
        <f t="array" ref="D1025">XLOOKUP(C1025, Channel_Listings!C:C, Channel_Listings!D:D)
</f>
        <v>PLANTER-ROUNDORCHID-SAUCER12-PK3</v>
      </c>
      <c r="E1025" s="15"/>
      <c r="F1025" s="16">
        <f t="array" ref="F1025">IFERROR(
  VALUE( INDEX(Product_Master!$I:$I,
               MATCH( INDEX(Pack_Master!$B:$B, MATCH($D1025, Pack_Master!$A:$A, 0)),
                      Product_Master!$B:$B, 0)
  )) 
  * VALUE( INDEX(Pack_Master!$C:$C, MATCH($D1025, Pack_Master!$A:$A, 0)) )
  + VALUE( INDEX(Pack_Master!$D:$D, MATCH($D1025, Pack_Master!$A:$A, 0)) ),
"")
</f>
        <v>230.5</v>
      </c>
      <c r="G1025" s="17">
        <f t="array" ref="G1025">IFERROR(
 ( INDEX(Pack_Master!E:E, MATCH($D1025, Pack_Master!A:A, 0))
   * INDEX(Pack_Master!F:F, MATCH($D1025, Pack_Master!A:A, 0))
   * INDEX(Pack_Master!G:G, MATCH($D1025, Pack_Master!A:A, 0))
 ) / INDEX(Config!C:C, MATCH($A1025, Config!A:A, 0)),
"")
</f>
        <v>5.766</v>
      </c>
      <c r="H1025" s="17">
        <f t="array" ref="H1025">MAX( INDEX(Pack_Master!H:H, MATCH($D1025, Pack_Master!A:A, 0)),
      IFERROR(G1025, 0) )
</f>
        <v>5.766</v>
      </c>
      <c r="I1025" s="18">
        <f>IFERROR(__xludf.DUMMYFUNCTION("IFERROR(
 INDEX(
   FILTER(Shipping_Rate_Card!B:F, Shipping_Rate_Card!A:A=$A1025),
   MATCH($H1025, FILTER(Shipping_Rate_Card!B:B, Shipping_Rate_Card!A:A=$A1025), 1),
   IF( INDEX(Config!B:B, MATCH($A1025, Config!A:A, 0))=""Local"", 2,
     IF( INDEX(Conf"&amp;"ig!B:B, MATCH($A1025, Config!A:A, 0))=""Regional"", 3, 4 )
   )
 ),
"""")
"),383.0)</f>
        <v>383</v>
      </c>
      <c r="J1025" s="16">
        <f>IFERROR(__xludf.DUMMYFUNCTION("IFERROR(
 ( E1025 * INDEX(FILTER(Pricing_Rules!E:E, Pricing_Rules!A:A=A1025, Pricing_Rules!B:B=B1025, Pricing_Rules!C:C&lt;=E1025, Pricing_Rules!D:D&gt;=E1025), 1)
   + INDEX(FILTER(Pricing_Rules!F:F, Pricing_Rules!A:A=A1025, Pricing_Rules!B:B=B1025, Pricing_Ru"&amp;"les!C:C&lt;=E1025, Pricing_Rules!D:D&gt;=E1025), 1)
 )
 * (1 + IFERROR( INDEX(Config!D:D, MATCH(A1025, Config!A:A, 0)), 0 )),
"""")
"),15.34)</f>
        <v>15.34</v>
      </c>
      <c r="K1025" s="19">
        <f t="shared" si="3"/>
        <v>-628.84</v>
      </c>
      <c r="L1025" s="20" t="str">
        <f t="shared" si="4"/>
        <v/>
      </c>
    </row>
    <row r="1026" ht="15.75" customHeight="1">
      <c r="A1026" s="9" t="s">
        <v>1162</v>
      </c>
      <c r="B1026" s="12" t="str">
        <f t="array" ref="B1026">XLOOKUP(C1026, Channel_Listings!C:C, Channel_Listings!B:B)
</f>
        <v>Garden_Planters</v>
      </c>
      <c r="C1026" s="24" t="s">
        <v>1006</v>
      </c>
      <c r="D1026" s="14" t="str">
        <f t="array" ref="D1026">XLOOKUP(C1026, Channel_Listings!C:C, Channel_Listings!D:D)
</f>
        <v>PLANTER-ROUNDORCHID-SAUCER12-PK6</v>
      </c>
      <c r="E1026" s="15"/>
      <c r="F1026" s="16">
        <f t="array" ref="F1026">IFERROR(
  VALUE( INDEX(Product_Master!$I:$I,
               MATCH( INDEX(Pack_Master!$B:$B, MATCH($D1026, Pack_Master!$A:$A, 0)),
                      Product_Master!$B:$B, 0)
  )) 
  * VALUE( INDEX(Pack_Master!$C:$C, MATCH($D1026, Pack_Master!$A:$A, 0)) )
  + VALUE( INDEX(Pack_Master!$D:$D, MATCH($D1026, Pack_Master!$A:$A, 0)) ),
"")
</f>
        <v>391</v>
      </c>
      <c r="G1026" s="17">
        <f t="array" ref="G1026">IFERROR(
 ( INDEX(Pack_Master!E:E, MATCH($D1026, Pack_Master!A:A, 0))
   * INDEX(Pack_Master!F:F, MATCH($D1026, Pack_Master!A:A, 0))
   * INDEX(Pack_Master!G:G, MATCH($D1026, Pack_Master!A:A, 0))
 ) / INDEX(Config!C:C, MATCH($A1026, Config!A:A, 0)),
"")
</f>
        <v>7.3036</v>
      </c>
      <c r="H1026" s="17">
        <f t="array" ref="H1026">MAX( INDEX(Pack_Master!H:H, MATCH($D1026, Pack_Master!A:A, 0)),
      IFERROR(G1026, 0) )
</f>
        <v>7.3036</v>
      </c>
      <c r="I1026" s="18">
        <f>IFERROR(__xludf.DUMMYFUNCTION("IFERROR(
 INDEX(
   FILTER(Shipping_Rate_Card!B:F, Shipping_Rate_Card!A:A=$A1026),
   MATCH($H1026, FILTER(Shipping_Rate_Card!B:B, Shipping_Rate_Card!A:A=$A1026), 1),
   IF( INDEX(Config!B:B, MATCH($A1026, Config!A:A, 0))=""Local"", 2,
     IF( INDEX(Conf"&amp;"ig!B:B, MATCH($A1026, Config!A:A, 0))=""Regional"", 3, 4 )
   )
 ),
"""")
"),383.0)</f>
        <v>383</v>
      </c>
      <c r="J1026" s="16">
        <f>IFERROR(__xludf.DUMMYFUNCTION("IFERROR(
 ( E1026 * INDEX(FILTER(Pricing_Rules!E:E, Pricing_Rules!A:A=A1026, Pricing_Rules!B:B=B1026, Pricing_Rules!C:C&lt;=E1026, Pricing_Rules!D:D&gt;=E1026), 1)
   + INDEX(FILTER(Pricing_Rules!F:F, Pricing_Rules!A:A=A1026, Pricing_Rules!B:B=B1026, Pricing_Ru"&amp;"les!C:C&lt;=E1026, Pricing_Rules!D:D&gt;=E1026), 1)
 )
 * (1 + IFERROR( INDEX(Config!D:D, MATCH(A1026, Config!A:A, 0)), 0 )),
"""")
"),15.34)</f>
        <v>15.34</v>
      </c>
      <c r="K1026" s="19">
        <f t="shared" si="3"/>
        <v>-789.34</v>
      </c>
      <c r="L1026" s="20" t="str">
        <f t="shared" si="4"/>
        <v/>
      </c>
    </row>
    <row r="1027" ht="15.75" customHeight="1">
      <c r="A1027" s="9" t="s">
        <v>1162</v>
      </c>
      <c r="B1027" s="12" t="str">
        <f t="array" ref="B1027">XLOOKUP(C1027, Channel_Listings!C:C, Channel_Listings!B:B)
</f>
        <v>Garden_Planters</v>
      </c>
      <c r="C1027" s="24" t="s">
        <v>1008</v>
      </c>
      <c r="D1027" s="14" t="str">
        <f t="array" ref="D1027">XLOOKUP(C1027, Channel_Listings!C:C, Channel_Listings!D:D)
</f>
        <v>PLANTER-ROUNDORCHID-SAUCER12-PK12</v>
      </c>
      <c r="E1027" s="15"/>
      <c r="F1027" s="16">
        <f t="array" ref="F1027">IFERROR(
  VALUE( INDEX(Product_Master!$I:$I,
               MATCH( INDEX(Pack_Master!$B:$B, MATCH($D1027, Pack_Master!$A:$A, 0)),
                      Product_Master!$B:$B, 0)
  )) 
  * VALUE( INDEX(Pack_Master!$C:$C, MATCH($D1027, Pack_Master!$A:$A, 0)) )
  + VALUE( INDEX(Pack_Master!$D:$D, MATCH($D1027, Pack_Master!$A:$A, 0)) ),
"")
</f>
        <v>712</v>
      </c>
      <c r="G1027" s="17">
        <f t="array" ref="G1027">IFERROR(
 ( INDEX(Pack_Master!E:E, MATCH($D1027, Pack_Master!A:A, 0))
   * INDEX(Pack_Master!F:F, MATCH($D1027, Pack_Master!A:A, 0))
   * INDEX(Pack_Master!G:G, MATCH($D1027, Pack_Master!A:A, 0))
 ) / INDEX(Config!C:C, MATCH($A1027, Config!A:A, 0)),
"")
</f>
        <v>10.1866</v>
      </c>
      <c r="H1027" s="17">
        <f t="array" ref="H1027">MAX( INDEX(Pack_Master!H:H, MATCH($D1027, Pack_Master!A:A, 0)),
      IFERROR(G1027, 0) )
</f>
        <v>10.1866</v>
      </c>
      <c r="I1027" s="18">
        <f>IFERROR(__xludf.DUMMYFUNCTION("IFERROR(
 INDEX(
   FILTER(Shipping_Rate_Card!B:F, Shipping_Rate_Card!A:A=$A1027),
   MATCH($H1027, FILTER(Shipping_Rate_Card!B:B, Shipping_Rate_Card!A:A=$A1027), 1),
   IF( INDEX(Config!B:B, MATCH($A1027, Config!A:A, 0))=""Local"", 2,
     IF( INDEX(Conf"&amp;"ig!B:B, MATCH($A1027, Config!A:A, 0))=""Regional"", 3, 4 )
   )
 ),
"""")
"),733.0)</f>
        <v>733</v>
      </c>
      <c r="J1027" s="16">
        <f>IFERROR(__xludf.DUMMYFUNCTION("IFERROR(
 ( E1027 * INDEX(FILTER(Pricing_Rules!E:E, Pricing_Rules!A:A=A1027, Pricing_Rules!B:B=B1027, Pricing_Rules!C:C&lt;=E1027, Pricing_Rules!D:D&gt;=E1027), 1)
   + INDEX(FILTER(Pricing_Rules!F:F, Pricing_Rules!A:A=A1027, Pricing_Rules!B:B=B1027, Pricing_Ru"&amp;"les!C:C&lt;=E1027, Pricing_Rules!D:D&gt;=E1027), 1)
 )
 * (1 + IFERROR( INDEX(Config!D:D, MATCH(A1027, Config!A:A, 0)), 0 )),
"""")
"),15.34)</f>
        <v>15.34</v>
      </c>
      <c r="K1027" s="19">
        <f t="shared" si="3"/>
        <v>-1460.34</v>
      </c>
      <c r="L1027" s="20" t="str">
        <f t="shared" si="4"/>
        <v/>
      </c>
    </row>
    <row r="1028" ht="15.75" customHeight="1">
      <c r="A1028" s="9" t="s">
        <v>1162</v>
      </c>
      <c r="B1028" s="12" t="str">
        <f t="array" ref="B1028">XLOOKUP(C1028, Channel_Listings!C:C, Channel_Listings!B:B)
</f>
        <v>Garden_Planters</v>
      </c>
      <c r="C1028" s="24" t="s">
        <v>1010</v>
      </c>
      <c r="D1028" s="14" t="str">
        <f t="array" ref="D1028">XLOOKUP(C1028, Channel_Listings!C:C, Channel_Listings!D:D)
</f>
        <v>PLANTER-ROUNDORCHID-SAUCER14-PK1</v>
      </c>
      <c r="E1028" s="15"/>
      <c r="F1028" s="16">
        <f t="array" ref="F1028">IFERROR(
  VALUE( INDEX(Product_Master!$I:$I,
               MATCH( INDEX(Pack_Master!$B:$B, MATCH($D1028, Pack_Master!$A:$A, 0)),
                      Product_Master!$B:$B, 0)
  )) 
  * VALUE( INDEX(Pack_Master!$C:$C, MATCH($D1028, Pack_Master!$A:$A, 0)) )
  + VALUE( INDEX(Pack_Master!$D:$D, MATCH($D1028, Pack_Master!$A:$A, 0)) ),
"")
</f>
        <v>184.5</v>
      </c>
      <c r="G1028" s="17">
        <f t="array" ref="G1028">IFERROR(
 ( INDEX(Pack_Master!E:E, MATCH($D1028, Pack_Master!A:A, 0))
   * INDEX(Pack_Master!F:F, MATCH($D1028, Pack_Master!A:A, 0))
   * INDEX(Pack_Master!G:G, MATCH($D1028, Pack_Master!A:A, 0))
 ) / INDEX(Config!C:C, MATCH($A1028, Config!A:A, 0)),
"")
</f>
        <v>8.4878</v>
      </c>
      <c r="H1028" s="17">
        <f t="array" ref="H1028">MAX( INDEX(Pack_Master!H:H, MATCH($D1028, Pack_Master!A:A, 0)),
      IFERROR(G1028, 0) )
</f>
        <v>8.4878</v>
      </c>
      <c r="I1028" s="18">
        <f>IFERROR(__xludf.DUMMYFUNCTION("IFERROR(
 INDEX(
   FILTER(Shipping_Rate_Card!B:F, Shipping_Rate_Card!A:A=$A1028),
   MATCH($H1028, FILTER(Shipping_Rate_Card!B:B, Shipping_Rate_Card!A:A=$A1028), 1),
   IF( INDEX(Config!B:B, MATCH($A1028, Config!A:A, 0))=""Local"", 2,
     IF( INDEX(Conf"&amp;"ig!B:B, MATCH($A1028, Config!A:A, 0))=""Regional"", 3, 4 )
   )
 ),
"""")
"),383.0)</f>
        <v>383</v>
      </c>
      <c r="J1028" s="16">
        <f>IFERROR(__xludf.DUMMYFUNCTION("IFERROR(
 ( E1028 * INDEX(FILTER(Pricing_Rules!E:E, Pricing_Rules!A:A=A1028, Pricing_Rules!B:B=B1028, Pricing_Rules!C:C&lt;=E1028, Pricing_Rules!D:D&gt;=E1028), 1)
   + INDEX(FILTER(Pricing_Rules!F:F, Pricing_Rules!A:A=A1028, Pricing_Rules!B:B=B1028, Pricing_Ru"&amp;"les!C:C&lt;=E1028, Pricing_Rules!D:D&gt;=E1028), 1)
 )
 * (1 + IFERROR( INDEX(Config!D:D, MATCH(A1028, Config!A:A, 0)), 0 )),
"""")
"),15.34)</f>
        <v>15.34</v>
      </c>
      <c r="K1028" s="19">
        <f t="shared" si="3"/>
        <v>-582.84</v>
      </c>
      <c r="L1028" s="20" t="str">
        <f t="shared" si="4"/>
        <v/>
      </c>
    </row>
    <row r="1029" ht="15.75" customHeight="1">
      <c r="A1029" s="9" t="s">
        <v>1162</v>
      </c>
      <c r="B1029" s="12" t="str">
        <f t="array" ref="B1029">XLOOKUP(C1029, Channel_Listings!C:C, Channel_Listings!B:B)
</f>
        <v>Garden_Planters</v>
      </c>
      <c r="C1029" s="24" t="s">
        <v>1012</v>
      </c>
      <c r="D1029" s="14" t="str">
        <f t="array" ref="D1029">XLOOKUP(C1029, Channel_Listings!C:C, Channel_Listings!D:D)
</f>
        <v>PLANTER-ROUNDORCHID-SAUCER14-PK3</v>
      </c>
      <c r="E1029" s="15"/>
      <c r="F1029" s="16">
        <f t="array" ref="F1029">IFERROR(
  VALUE( INDEX(Product_Master!$I:$I,
               MATCH( INDEX(Pack_Master!$B:$B, MATCH($D1029, Pack_Master!$A:$A, 0)),
                      Product_Master!$B:$B, 0)
  )) 
  * VALUE( INDEX(Pack_Master!$C:$C, MATCH($D1029, Pack_Master!$A:$A, 0)) )
  + VALUE( INDEX(Pack_Master!$D:$D, MATCH($D1029, Pack_Master!$A:$A, 0)) ),
"")
</f>
        <v>353.5</v>
      </c>
      <c r="G1029" s="17">
        <f t="array" ref="G1029">IFERROR(
 ( INDEX(Pack_Master!E:E, MATCH($D1029, Pack_Master!A:A, 0))
   * INDEX(Pack_Master!F:F, MATCH($D1029, Pack_Master!A:A, 0))
   * INDEX(Pack_Master!G:G, MATCH($D1029, Pack_Master!A:A, 0))
 ) / INDEX(Config!C:C, MATCH($A1029, Config!A:A, 0)),
"")
</f>
        <v>9.8568</v>
      </c>
      <c r="H1029" s="17">
        <f t="array" ref="H1029">MAX( INDEX(Pack_Master!H:H, MATCH($D1029, Pack_Master!A:A, 0)),
      IFERROR(G1029, 0) )
</f>
        <v>9.8568</v>
      </c>
      <c r="I1029" s="18">
        <f>IFERROR(__xludf.DUMMYFUNCTION("IFERROR(
 INDEX(
   FILTER(Shipping_Rate_Card!B:F, Shipping_Rate_Card!A:A=$A1029),
   MATCH($H1029, FILTER(Shipping_Rate_Card!B:B, Shipping_Rate_Card!A:A=$A1029), 1),
   IF( INDEX(Config!B:B, MATCH($A1029, Config!A:A, 0))=""Local"", 2,
     IF( INDEX(Conf"&amp;"ig!B:B, MATCH($A1029, Config!A:A, 0))=""Regional"", 3, 4 )
   )
 ),
"""")
"),383.0)</f>
        <v>383</v>
      </c>
      <c r="J1029" s="16">
        <f>IFERROR(__xludf.DUMMYFUNCTION("IFERROR(
 ( E1029 * INDEX(FILTER(Pricing_Rules!E:E, Pricing_Rules!A:A=A1029, Pricing_Rules!B:B=B1029, Pricing_Rules!C:C&lt;=E1029, Pricing_Rules!D:D&gt;=E1029), 1)
   + INDEX(FILTER(Pricing_Rules!F:F, Pricing_Rules!A:A=A1029, Pricing_Rules!B:B=B1029, Pricing_Ru"&amp;"les!C:C&lt;=E1029, Pricing_Rules!D:D&gt;=E1029), 1)
 )
 * (1 + IFERROR( INDEX(Config!D:D, MATCH(A1029, Config!A:A, 0)), 0 )),
"""")
"),15.34)</f>
        <v>15.34</v>
      </c>
      <c r="K1029" s="19">
        <f t="shared" si="3"/>
        <v>-751.84</v>
      </c>
      <c r="L1029" s="20" t="str">
        <f t="shared" si="4"/>
        <v/>
      </c>
    </row>
    <row r="1030" ht="15.75" customHeight="1">
      <c r="A1030" s="9" t="s">
        <v>1162</v>
      </c>
      <c r="B1030" s="12" t="str">
        <f t="array" ref="B1030">XLOOKUP(C1030, Channel_Listings!C:C, Channel_Listings!B:B)
</f>
        <v>Garden_Planters</v>
      </c>
      <c r="C1030" s="24" t="s">
        <v>1014</v>
      </c>
      <c r="D1030" s="14" t="str">
        <f t="array" ref="D1030">XLOOKUP(C1030, Channel_Listings!C:C, Channel_Listings!D:D)
</f>
        <v>PLANTER-ROUNDORCHID-SAUCER14-PK6</v>
      </c>
      <c r="E1030" s="15"/>
      <c r="F1030" s="16">
        <f t="array" ref="F1030">IFERROR(
  VALUE( INDEX(Product_Master!$I:$I,
               MATCH( INDEX(Pack_Master!$B:$B, MATCH($D1030, Pack_Master!$A:$A, 0)),
                      Product_Master!$B:$B, 0)
  )) 
  * VALUE( INDEX(Pack_Master!$C:$C, MATCH($D1030, Pack_Master!$A:$A, 0)) )
  + VALUE( INDEX(Pack_Master!$D:$D, MATCH($D1030, Pack_Master!$A:$A, 0)) ),
"")
</f>
        <v>607</v>
      </c>
      <c r="G1030" s="17">
        <f t="array" ref="G1030">IFERROR(
 ( INDEX(Pack_Master!E:E, MATCH($D1030, Pack_Master!A:A, 0))
   * INDEX(Pack_Master!F:F, MATCH($D1030, Pack_Master!A:A, 0))
   * INDEX(Pack_Master!G:G, MATCH($D1030, Pack_Master!A:A, 0))
 ) / INDEX(Config!C:C, MATCH($A1030, Config!A:A, 0)),
"")
</f>
        <v>12.321</v>
      </c>
      <c r="H1030" s="17">
        <f t="array" ref="H1030">MAX( INDEX(Pack_Master!H:H, MATCH($D1030, Pack_Master!A:A, 0)),
      IFERROR(G1030, 0) )
</f>
        <v>12.321</v>
      </c>
      <c r="I1030" s="18">
        <f>IFERROR(__xludf.DUMMYFUNCTION("IFERROR(
 INDEX(
   FILTER(Shipping_Rate_Card!B:F, Shipping_Rate_Card!A:A=$A1030),
   MATCH($H1030, FILTER(Shipping_Rate_Card!B:B, Shipping_Rate_Card!A:A=$A1030), 1),
   IF( INDEX(Config!B:B, MATCH($A1030, Config!A:A, 0))=""Local"", 2,
     IF( INDEX(Conf"&amp;"ig!B:B, MATCH($A1030, Config!A:A, 0))=""Regional"", 3, 4 )
   )
 ),
"""")
"),733.0)</f>
        <v>733</v>
      </c>
      <c r="J1030" s="16">
        <f>IFERROR(__xludf.DUMMYFUNCTION("IFERROR(
 ( E1030 * INDEX(FILTER(Pricing_Rules!E:E, Pricing_Rules!A:A=A1030, Pricing_Rules!B:B=B1030, Pricing_Rules!C:C&lt;=E1030, Pricing_Rules!D:D&gt;=E1030), 1)
   + INDEX(FILTER(Pricing_Rules!F:F, Pricing_Rules!A:A=A1030, Pricing_Rules!B:B=B1030, Pricing_Ru"&amp;"les!C:C&lt;=E1030, Pricing_Rules!D:D&gt;=E1030), 1)
 )
 * (1 + IFERROR( INDEX(Config!D:D, MATCH(A1030, Config!A:A, 0)), 0 )),
"""")
"),15.34)</f>
        <v>15.34</v>
      </c>
      <c r="K1030" s="19">
        <f t="shared" si="3"/>
        <v>-1355.34</v>
      </c>
      <c r="L1030" s="20" t="str">
        <f t="shared" si="4"/>
        <v/>
      </c>
    </row>
    <row r="1031" ht="15.75" customHeight="1">
      <c r="A1031" s="9" t="s">
        <v>1162</v>
      </c>
      <c r="B1031" s="12" t="str">
        <f t="array" ref="B1031">XLOOKUP(C1031, Channel_Listings!C:C, Channel_Listings!B:B)
</f>
        <v>Garden_Planters</v>
      </c>
      <c r="C1031" s="24" t="s">
        <v>1016</v>
      </c>
      <c r="D1031" s="14" t="str">
        <f t="array" ref="D1031">XLOOKUP(C1031, Channel_Listings!C:C, Channel_Listings!D:D)
</f>
        <v>PLANTER-ROUNDORCHID-SAUCER14-PK12</v>
      </c>
      <c r="E1031" s="15"/>
      <c r="F1031" s="16">
        <f t="array" ref="F1031">IFERROR(
  VALUE( INDEX(Product_Master!$I:$I,
               MATCH( INDEX(Pack_Master!$B:$B, MATCH($D1031, Pack_Master!$A:$A, 0)),
                      Product_Master!$B:$B, 0)
  )) 
  * VALUE( INDEX(Pack_Master!$C:$C, MATCH($D1031, Pack_Master!$A:$A, 0)) )
  + VALUE( INDEX(Pack_Master!$D:$D, MATCH($D1031, Pack_Master!$A:$A, 0)) ),
"")
</f>
        <v>1114</v>
      </c>
      <c r="G1031" s="17">
        <f t="array" ref="G1031">IFERROR(
 ( INDEX(Pack_Master!E:E, MATCH($D1031, Pack_Master!A:A, 0))
   * INDEX(Pack_Master!F:F, MATCH($D1031, Pack_Master!A:A, 0))
   * INDEX(Pack_Master!G:G, MATCH($D1031, Pack_Master!A:A, 0))
 ) / INDEX(Config!C:C, MATCH($A1031, Config!A:A, 0)),
"")
</f>
        <v>17.2494</v>
      </c>
      <c r="H1031" s="17">
        <f t="array" ref="H1031">MAX( INDEX(Pack_Master!H:H, MATCH($D1031, Pack_Master!A:A, 0)),
      IFERROR(G1031, 0) )
</f>
        <v>17.2494</v>
      </c>
      <c r="I1031" s="18">
        <f>IFERROR(__xludf.DUMMYFUNCTION("IFERROR(
 INDEX(
   FILTER(Shipping_Rate_Card!B:F, Shipping_Rate_Card!A:A=$A1031),
   MATCH($H1031, FILTER(Shipping_Rate_Card!B:B, Shipping_Rate_Card!A:A=$A1031), 1),
   IF( INDEX(Config!B:B, MATCH($A1031, Config!A:A, 0))=""Local"", 2,
     IF( INDEX(Conf"&amp;"ig!B:B, MATCH($A1031, Config!A:A, 0))=""Regional"", 3, 4 )
   )
 ),
"""")
"),733.0)</f>
        <v>733</v>
      </c>
      <c r="J1031" s="16">
        <f>IFERROR(__xludf.DUMMYFUNCTION("IFERROR(
 ( E1031 * INDEX(FILTER(Pricing_Rules!E:E, Pricing_Rules!A:A=A1031, Pricing_Rules!B:B=B1031, Pricing_Rules!C:C&lt;=E1031, Pricing_Rules!D:D&gt;=E1031), 1)
   + INDEX(FILTER(Pricing_Rules!F:F, Pricing_Rules!A:A=A1031, Pricing_Rules!B:B=B1031, Pricing_Ru"&amp;"les!C:C&lt;=E1031, Pricing_Rules!D:D&gt;=E1031), 1)
 )
 * (1 + IFERROR( INDEX(Config!D:D, MATCH(A1031, Config!A:A, 0)), 0 )),
"""")
"),15.34)</f>
        <v>15.34</v>
      </c>
      <c r="K1031" s="19">
        <f t="shared" si="3"/>
        <v>-1862.34</v>
      </c>
      <c r="L1031" s="20" t="str">
        <f t="shared" si="4"/>
        <v/>
      </c>
    </row>
    <row r="1032" ht="15.75" customHeight="1">
      <c r="A1032" s="9" t="s">
        <v>1162</v>
      </c>
      <c r="B1032" s="12" t="str">
        <f t="array" ref="B1032">XLOOKUP(C1032, Channel_Listings!C:C, Channel_Listings!B:B)
</f>
        <v>Garden_Planters</v>
      </c>
      <c r="C1032" s="24" t="s">
        <v>1018</v>
      </c>
      <c r="D1032" s="14" t="str">
        <f t="array" ref="D1032">XLOOKUP(C1032, Channel_Listings!C:C, Channel_Listings!D:D)
</f>
        <v>PLANTER-ROUNDORCHID-SAUCER8-PK1</v>
      </c>
      <c r="E1032" s="15"/>
      <c r="F1032" s="16">
        <f t="array" ref="F1032">IFERROR(
  VALUE( INDEX(Product_Master!$I:$I,
               MATCH( INDEX(Pack_Master!$B:$B, MATCH($D1032, Pack_Master!$A:$A, 0)),
                      Product_Master!$B:$B, 0)
  )) 
  * VALUE( INDEX(Pack_Master!$C:$C, MATCH($D1032, Pack_Master!$A:$A, 0)) )
  + VALUE( INDEX(Pack_Master!$D:$D, MATCH($D1032, Pack_Master!$A:$A, 0)) ),
"")
</f>
        <v>53.5</v>
      </c>
      <c r="G1032" s="17">
        <f t="array" ref="G1032">IFERROR(
 ( INDEX(Pack_Master!E:E, MATCH($D1032, Pack_Master!A:A, 0))
   * INDEX(Pack_Master!F:F, MATCH($D1032, Pack_Master!A:A, 0))
   * INDEX(Pack_Master!G:G, MATCH($D1032, Pack_Master!A:A, 0))
 ) / INDEX(Config!C:C, MATCH($A1032, Config!A:A, 0)),
"")
</f>
        <v>1.7986</v>
      </c>
      <c r="H1032" s="17">
        <f t="array" ref="H1032">MAX( INDEX(Pack_Master!H:H, MATCH($D1032, Pack_Master!A:A, 0)),
      IFERROR(G1032, 0) )
</f>
        <v>1.7986</v>
      </c>
      <c r="I1032" s="18">
        <f>IFERROR(__xludf.DUMMYFUNCTION("IFERROR(
 INDEX(
   FILTER(Shipping_Rate_Card!B:F, Shipping_Rate_Card!A:A=$A1032),
   MATCH($H1032, FILTER(Shipping_Rate_Card!B:B, Shipping_Rate_Card!A:A=$A1032), 1),
   IF( INDEX(Config!B:B, MATCH($A1032, Config!A:A, 0))=""Local"", 2,
     IF( INDEX(Conf"&amp;"ig!B:B, MATCH($A1032, Config!A:A, 0))=""Regional"", 3, 4 )
   )
 ),
"""")
"),138.0)</f>
        <v>138</v>
      </c>
      <c r="J1032" s="16">
        <f>IFERROR(__xludf.DUMMYFUNCTION("IFERROR(
 ( E1032 * INDEX(FILTER(Pricing_Rules!E:E, Pricing_Rules!A:A=A1032, Pricing_Rules!B:B=B1032, Pricing_Rules!C:C&lt;=E1032, Pricing_Rules!D:D&gt;=E1032), 1)
   + INDEX(FILTER(Pricing_Rules!F:F, Pricing_Rules!A:A=A1032, Pricing_Rules!B:B=B1032, Pricing_Ru"&amp;"les!C:C&lt;=E1032, Pricing_Rules!D:D&gt;=E1032), 1)
 )
 * (1 + IFERROR( INDEX(Config!D:D, MATCH(A1032, Config!A:A, 0)), 0 )),
"""")
"),15.34)</f>
        <v>15.34</v>
      </c>
      <c r="K1032" s="19">
        <f t="shared" si="3"/>
        <v>-206.84</v>
      </c>
      <c r="L1032" s="20" t="str">
        <f t="shared" si="4"/>
        <v/>
      </c>
    </row>
    <row r="1033" ht="15.75" customHeight="1">
      <c r="A1033" s="9" t="s">
        <v>1162</v>
      </c>
      <c r="B1033" s="12" t="str">
        <f t="array" ref="B1033">XLOOKUP(C1033, Channel_Listings!C:C, Channel_Listings!B:B)
</f>
        <v>Garden_Planters</v>
      </c>
      <c r="C1033" s="24" t="s">
        <v>1019</v>
      </c>
      <c r="D1033" s="14" t="str">
        <f t="array" ref="D1033">XLOOKUP(C1033, Channel_Listings!C:C, Channel_Listings!D:D)
</f>
        <v>PLANTER-ROUNDORCHID-SAUCER8-PK3</v>
      </c>
      <c r="E1033" s="15"/>
      <c r="F1033" s="16">
        <f t="array" ref="F1033">IFERROR(
  VALUE( INDEX(Product_Master!$I:$I,
               MATCH( INDEX(Pack_Master!$B:$B, MATCH($D1033, Pack_Master!$A:$A, 0)),
                      Product_Master!$B:$B, 0)
  )) 
  * VALUE( INDEX(Pack_Master!$C:$C, MATCH($D1033, Pack_Master!$A:$A, 0)) )
  + VALUE( INDEX(Pack_Master!$D:$D, MATCH($D1033, Pack_Master!$A:$A, 0)) ),
"")
</f>
        <v>100.5</v>
      </c>
      <c r="G1033" s="17">
        <f t="array" ref="G1033">IFERROR(
 ( INDEX(Pack_Master!E:E, MATCH($D1033, Pack_Master!A:A, 0))
   * INDEX(Pack_Master!F:F, MATCH($D1033, Pack_Master!A:A, 0))
   * INDEX(Pack_Master!G:G, MATCH($D1033, Pack_Master!A:A, 0))
 ) / INDEX(Config!C:C, MATCH($A1033, Config!A:A, 0)),
"")
</f>
        <v>2.0102</v>
      </c>
      <c r="H1033" s="17">
        <f t="array" ref="H1033">MAX( INDEX(Pack_Master!H:H, MATCH($D1033, Pack_Master!A:A, 0)),
      IFERROR(G1033, 0) )
</f>
        <v>2.0102</v>
      </c>
      <c r="I1033" s="18">
        <f>IFERROR(__xludf.DUMMYFUNCTION("IFERROR(
 INDEX(
   FILTER(Shipping_Rate_Card!B:F, Shipping_Rate_Card!A:A=$A1033),
   MATCH($H1033, FILTER(Shipping_Rate_Card!B:B, Shipping_Rate_Card!A:A=$A1033), 1),
   IF( INDEX(Config!B:B, MATCH($A1033, Config!A:A, 0))=""Local"", 2,
     IF( INDEX(Conf"&amp;"ig!B:B, MATCH($A1033, Config!A:A, 0))=""Regional"", 3, 4 )
   )
 ),
"""")
"),173.0)</f>
        <v>173</v>
      </c>
      <c r="J1033" s="16">
        <f>IFERROR(__xludf.DUMMYFUNCTION("IFERROR(
 ( E1033 * INDEX(FILTER(Pricing_Rules!E:E, Pricing_Rules!A:A=A1033, Pricing_Rules!B:B=B1033, Pricing_Rules!C:C&lt;=E1033, Pricing_Rules!D:D&gt;=E1033), 1)
   + INDEX(FILTER(Pricing_Rules!F:F, Pricing_Rules!A:A=A1033, Pricing_Rules!B:B=B1033, Pricing_Ru"&amp;"les!C:C&lt;=E1033, Pricing_Rules!D:D&gt;=E1033), 1)
 )
 * (1 + IFERROR( INDEX(Config!D:D, MATCH(A1033, Config!A:A, 0)), 0 )),
"""")
"),15.34)</f>
        <v>15.34</v>
      </c>
      <c r="K1033" s="19">
        <f t="shared" si="3"/>
        <v>-288.84</v>
      </c>
      <c r="L1033" s="20" t="str">
        <f t="shared" si="4"/>
        <v/>
      </c>
    </row>
    <row r="1034" ht="15.75" customHeight="1">
      <c r="A1034" s="9" t="s">
        <v>1162</v>
      </c>
      <c r="B1034" s="12" t="str">
        <f t="array" ref="B1034">XLOOKUP(C1034, Channel_Listings!C:C, Channel_Listings!B:B)
</f>
        <v>Garden_Planters</v>
      </c>
      <c r="C1034" s="24" t="s">
        <v>1021</v>
      </c>
      <c r="D1034" s="14" t="str">
        <f t="array" ref="D1034">XLOOKUP(C1034, Channel_Listings!C:C, Channel_Listings!D:D)
</f>
        <v>PLANTER-ROUNDORCHID-SAUCER8-PK6</v>
      </c>
      <c r="E1034" s="15"/>
      <c r="F1034" s="16">
        <f t="array" ref="F1034">IFERROR(
  VALUE( INDEX(Product_Master!$I:$I,
               MATCH( INDEX(Pack_Master!$B:$B, MATCH($D1034, Pack_Master!$A:$A, 0)),
                      Product_Master!$B:$B, 0)
  )) 
  * VALUE( INDEX(Pack_Master!$C:$C, MATCH($D1034, Pack_Master!$A:$A, 0)) )
  + VALUE( INDEX(Pack_Master!$D:$D, MATCH($D1034, Pack_Master!$A:$A, 0)) ),
"")
</f>
        <v>171</v>
      </c>
      <c r="G1034" s="17">
        <f t="array" ref="G1034">IFERROR(
 ( INDEX(Pack_Master!E:E, MATCH($D1034, Pack_Master!A:A, 0))
   * INDEX(Pack_Master!F:F, MATCH($D1034, Pack_Master!A:A, 0))
   * INDEX(Pack_Master!G:G, MATCH($D1034, Pack_Master!A:A, 0))
 ) / INDEX(Config!C:C, MATCH($A1034, Config!A:A, 0)),
"")
</f>
        <v>2.5392</v>
      </c>
      <c r="H1034" s="17">
        <f t="array" ref="H1034">MAX( INDEX(Pack_Master!H:H, MATCH($D1034, Pack_Master!A:A, 0)),
      IFERROR(G1034, 0) )
</f>
        <v>2.5392</v>
      </c>
      <c r="I1034" s="18">
        <f>IFERROR(__xludf.DUMMYFUNCTION("IFERROR(
 INDEX(
   FILTER(Shipping_Rate_Card!B:F, Shipping_Rate_Card!A:A=$A1034),
   MATCH($H1034, FILTER(Shipping_Rate_Card!B:B, Shipping_Rate_Card!A:A=$A1034), 1),
   IF( INDEX(Config!B:B, MATCH($A1034, Config!A:A, 0))=""Local"", 2,
     IF( INDEX(Conf"&amp;"ig!B:B, MATCH($A1034, Config!A:A, 0))=""Regional"", 3, 4 )
   )
 ),
"""")
"),173.0)</f>
        <v>173</v>
      </c>
      <c r="J1034" s="16">
        <f>IFERROR(__xludf.DUMMYFUNCTION("IFERROR(
 ( E1034 * INDEX(FILTER(Pricing_Rules!E:E, Pricing_Rules!A:A=A1034, Pricing_Rules!B:B=B1034, Pricing_Rules!C:C&lt;=E1034, Pricing_Rules!D:D&gt;=E1034), 1)
   + INDEX(FILTER(Pricing_Rules!F:F, Pricing_Rules!A:A=A1034, Pricing_Rules!B:B=B1034, Pricing_Ru"&amp;"les!C:C&lt;=E1034, Pricing_Rules!D:D&gt;=E1034), 1)
 )
 * (1 + IFERROR( INDEX(Config!D:D, MATCH(A1034, Config!A:A, 0)), 0 )),
"""")
"),15.34)</f>
        <v>15.34</v>
      </c>
      <c r="K1034" s="19">
        <f t="shared" si="3"/>
        <v>-359.34</v>
      </c>
      <c r="L1034" s="20" t="str">
        <f t="shared" si="4"/>
        <v/>
      </c>
    </row>
    <row r="1035" ht="15.75" customHeight="1">
      <c r="A1035" s="9" t="s">
        <v>1162</v>
      </c>
      <c r="B1035" s="12" t="str">
        <f t="array" ref="B1035">XLOOKUP(C1035, Channel_Listings!C:C, Channel_Listings!B:B)
</f>
        <v>Garden_Planters</v>
      </c>
      <c r="C1035" s="24" t="s">
        <v>1023</v>
      </c>
      <c r="D1035" s="14" t="str">
        <f t="array" ref="D1035">XLOOKUP(C1035, Channel_Listings!C:C, Channel_Listings!D:D)
</f>
        <v>PLANTER-ROUNDORCHID-SAUCER8-PK12</v>
      </c>
      <c r="E1035" s="15"/>
      <c r="F1035" s="16">
        <f t="array" ref="F1035">IFERROR(
  VALUE( INDEX(Product_Master!$I:$I,
               MATCH( INDEX(Pack_Master!$B:$B, MATCH($D1035, Pack_Master!$A:$A, 0)),
                      Product_Master!$B:$B, 0)
  )) 
  * VALUE( INDEX(Pack_Master!$C:$C, MATCH($D1035, Pack_Master!$A:$A, 0)) )
  + VALUE( INDEX(Pack_Master!$D:$D, MATCH($D1035, Pack_Master!$A:$A, 0)) ),
"")
</f>
        <v>312</v>
      </c>
      <c r="G1035" s="17">
        <f t="array" ref="G1035">IFERROR(
 ( INDEX(Pack_Master!E:E, MATCH($D1035, Pack_Master!A:A, 0))
   * INDEX(Pack_Master!F:F, MATCH($D1035, Pack_Master!A:A, 0))
   * INDEX(Pack_Master!G:G, MATCH($D1035, Pack_Master!A:A, 0))
 ) / INDEX(Config!C:C, MATCH($A1035, Config!A:A, 0)),
"")
</f>
        <v>3.3856</v>
      </c>
      <c r="H1035" s="17">
        <f t="array" ref="H1035">MAX( INDEX(Pack_Master!H:H, MATCH($D1035, Pack_Master!A:A, 0)),
      IFERROR(G1035, 0) )
</f>
        <v>3.3856</v>
      </c>
      <c r="I1035" s="18">
        <f>IFERROR(__xludf.DUMMYFUNCTION("IFERROR(
 INDEX(
   FILTER(Shipping_Rate_Card!B:F, Shipping_Rate_Card!A:A=$A1035),
   MATCH($H1035, FILTER(Shipping_Rate_Card!B:B, Shipping_Rate_Card!A:A=$A1035), 1),
   IF( INDEX(Config!B:B, MATCH($A1035, Config!A:A, 0))=""Local"", 2,
     IF( INDEX(Conf"&amp;"ig!B:B, MATCH($A1035, Config!A:A, 0))=""Regional"", 3, 4 )
   )
 ),
"""")
"),243.0)</f>
        <v>243</v>
      </c>
      <c r="J1035" s="16">
        <f>IFERROR(__xludf.DUMMYFUNCTION("IFERROR(
 ( E1035 * INDEX(FILTER(Pricing_Rules!E:E, Pricing_Rules!A:A=A1035, Pricing_Rules!B:B=B1035, Pricing_Rules!C:C&lt;=E1035, Pricing_Rules!D:D&gt;=E1035), 1)
   + INDEX(FILTER(Pricing_Rules!F:F, Pricing_Rules!A:A=A1035, Pricing_Rules!B:B=B1035, Pricing_Ru"&amp;"les!C:C&lt;=E1035, Pricing_Rules!D:D&gt;=E1035), 1)
 )
 * (1 + IFERROR( INDEX(Config!D:D, MATCH(A1035, Config!A:A, 0)), 0 )),
"""")
"),15.34)</f>
        <v>15.34</v>
      </c>
      <c r="K1035" s="19">
        <f t="shared" si="3"/>
        <v>-570.34</v>
      </c>
      <c r="L1035" s="20" t="str">
        <f t="shared" si="4"/>
        <v/>
      </c>
    </row>
    <row r="1036" ht="15.75" customHeight="1">
      <c r="A1036" s="9" t="s">
        <v>1162</v>
      </c>
      <c r="B1036" s="12" t="str">
        <f t="array" ref="B1036">XLOOKUP(C1036, Channel_Listings!C:C, Channel_Listings!B:B)
</f>
        <v>Garden_Planters</v>
      </c>
      <c r="C1036" s="23" t="s">
        <v>1570</v>
      </c>
      <c r="D1036" s="14" t="str">
        <f t="array" ref="D1036">XLOOKUP(C1036, Channel_Listings!C:C, Channel_Listings!D:D)
</f>
        <v>PLANTER-ROUNDORCHID-SAUCER8-PK6</v>
      </c>
      <c r="E1036" s="15"/>
      <c r="F1036" s="16">
        <f t="array" ref="F1036">IFERROR(
  VALUE( INDEX(Product_Master!$I:$I,
               MATCH( INDEX(Pack_Master!$B:$B, MATCH($D1036, Pack_Master!$A:$A, 0)),
                      Product_Master!$B:$B, 0)
  )) 
  * VALUE( INDEX(Pack_Master!$C:$C, MATCH($D1036, Pack_Master!$A:$A, 0)) )
  + VALUE( INDEX(Pack_Master!$D:$D, MATCH($D1036, Pack_Master!$A:$A, 0)) ),
"")
</f>
        <v>171</v>
      </c>
      <c r="G1036" s="17">
        <f t="array" ref="G1036">IFERROR(
 ( INDEX(Pack_Master!E:E, MATCH($D1036, Pack_Master!A:A, 0))
   * INDEX(Pack_Master!F:F, MATCH($D1036, Pack_Master!A:A, 0))
   * INDEX(Pack_Master!G:G, MATCH($D1036, Pack_Master!A:A, 0))
 ) / INDEX(Config!C:C, MATCH($A1036, Config!A:A, 0)),
"")
</f>
        <v>2.5392</v>
      </c>
      <c r="H1036" s="17">
        <f t="array" ref="H1036">MAX( INDEX(Pack_Master!H:H, MATCH($D1036, Pack_Master!A:A, 0)),
      IFERROR(G1036, 0) )
</f>
        <v>2.5392</v>
      </c>
      <c r="I1036" s="18">
        <f>IFERROR(__xludf.DUMMYFUNCTION("IFERROR(
 INDEX(
   FILTER(Shipping_Rate_Card!B:F, Shipping_Rate_Card!A:A=$A1036),
   MATCH($H1036, FILTER(Shipping_Rate_Card!B:B, Shipping_Rate_Card!A:A=$A1036), 1),
   IF( INDEX(Config!B:B, MATCH($A1036, Config!A:A, 0))=""Local"", 2,
     IF( INDEX(Conf"&amp;"ig!B:B, MATCH($A1036, Config!A:A, 0))=""Regional"", 3, 4 )
   )
 ),
"""")
"),173.0)</f>
        <v>173</v>
      </c>
      <c r="J1036" s="16">
        <f>IFERROR(__xludf.DUMMYFUNCTION("IFERROR(
 ( E1036 * INDEX(FILTER(Pricing_Rules!E:E, Pricing_Rules!A:A=A1036, Pricing_Rules!B:B=B1036, Pricing_Rules!C:C&lt;=E1036, Pricing_Rules!D:D&gt;=E1036), 1)
   + INDEX(FILTER(Pricing_Rules!F:F, Pricing_Rules!A:A=A1036, Pricing_Rules!B:B=B1036, Pricing_Ru"&amp;"les!C:C&lt;=E1036, Pricing_Rules!D:D&gt;=E1036), 1)
 )
 * (1 + IFERROR( INDEX(Config!D:D, MATCH(A1036, Config!A:A, 0)), 0 )),
"""")
"),15.34)</f>
        <v>15.34</v>
      </c>
      <c r="K1036" s="19">
        <f t="shared" si="3"/>
        <v>-359.34</v>
      </c>
      <c r="L1036" s="20" t="str">
        <f t="shared" si="4"/>
        <v/>
      </c>
    </row>
    <row r="1037" ht="15.75" customHeight="1">
      <c r="A1037" s="9" t="s">
        <v>1162</v>
      </c>
      <c r="B1037" s="12" t="str">
        <f t="array" ref="B1037">XLOOKUP(C1037, Channel_Listings!C:C, Channel_Listings!B:B)
</f>
        <v>Garden_Planters</v>
      </c>
      <c r="C1037" s="23" t="s">
        <v>1025</v>
      </c>
      <c r="D1037" s="14" t="str">
        <f t="array" ref="D1037">XLOOKUP(C1037, Channel_Listings!C:C, Channel_Listings!D:D)
</f>
        <v>PLANTERS-COLOR-ROUND-FULORA5-PK3</v>
      </c>
      <c r="E1037" s="15"/>
      <c r="F1037" s="16">
        <f t="array" ref="F1037">IFERROR(
  VALUE( INDEX(Product_Master!$I:$I,
               MATCH( INDEX(Pack_Master!$B:$B, MATCH($D1037, Pack_Master!$A:$A, 0)),
                      Product_Master!$B:$B, 0)
  )) 
  * VALUE( INDEX(Pack_Master!$C:$C, MATCH($D1037, Pack_Master!$A:$A, 0)) )
  + VALUE( INDEX(Pack_Master!$D:$D, MATCH($D1037, Pack_Master!$A:$A, 0)) ),
"")
</f>
        <v>9</v>
      </c>
      <c r="G1037" s="17">
        <f t="array" ref="G1037">IFERROR(
 ( INDEX(Pack_Master!E:E, MATCH($D1037, Pack_Master!A:A, 0))
   * INDEX(Pack_Master!F:F, MATCH($D1037, Pack_Master!A:A, 0))
   * INDEX(Pack_Master!G:G, MATCH($D1037, Pack_Master!A:A, 0))
 ) / INDEX(Config!C:C, MATCH($A1037, Config!A:A, 0)),
"")
</f>
        <v>0</v>
      </c>
      <c r="H1037" s="17">
        <f t="array" ref="H1037">MAX( INDEX(Pack_Master!H:H, MATCH($D1037, Pack_Master!A:A, 0)),
      IFERROR(G1037, 0) )
</f>
        <v>0</v>
      </c>
      <c r="I1037" s="18" t="str">
        <f>IFERROR(__xludf.DUMMYFUNCTION("IFERROR(
 INDEX(
   FILTER(Shipping_Rate_Card!B:F, Shipping_Rate_Card!A:A=$A1037),
   MATCH($H1037, FILTER(Shipping_Rate_Card!B:B, Shipping_Rate_Card!A:A=$A1037), 1),
   IF( INDEX(Config!B:B, MATCH($A1037, Config!A:A, 0))=""Local"", 2,
     IF( INDEX(Conf"&amp;"ig!B:B, MATCH($A1037, Config!A:A, 0))=""Regional"", 3, 4 )
   )
 ),
"""")
"),"")</f>
        <v/>
      </c>
      <c r="J1037" s="16">
        <f>IFERROR(__xludf.DUMMYFUNCTION("IFERROR(
 ( E1037 * INDEX(FILTER(Pricing_Rules!E:E, Pricing_Rules!A:A=A1037, Pricing_Rules!B:B=B1037, Pricing_Rules!C:C&lt;=E1037, Pricing_Rules!D:D&gt;=E1037), 1)
   + INDEX(FILTER(Pricing_Rules!F:F, Pricing_Rules!A:A=A1037, Pricing_Rules!B:B=B1037, Pricing_Ru"&amp;"les!C:C&lt;=E1037, Pricing_Rules!D:D&gt;=E1037), 1)
 )
 * (1 + IFERROR( INDEX(Config!D:D, MATCH(A1037, Config!A:A, 0)), 0 )),
"""")
"),15.34)</f>
        <v>15.34</v>
      </c>
      <c r="K1037" s="19">
        <f t="shared" si="3"/>
        <v>-24.34</v>
      </c>
      <c r="L1037" s="20" t="str">
        <f t="shared" si="4"/>
        <v/>
      </c>
    </row>
    <row r="1038" ht="15.75" customHeight="1">
      <c r="A1038" s="9" t="s">
        <v>1162</v>
      </c>
      <c r="B1038" s="12" t="str">
        <f t="array" ref="B1038">XLOOKUP(C1038, Channel_Listings!C:C, Channel_Listings!B:B)
</f>
        <v>Garden_Planters</v>
      </c>
      <c r="C1038" s="23" t="s">
        <v>1029</v>
      </c>
      <c r="D1038" s="14" t="str">
        <f t="array" ref="D1038">XLOOKUP(C1038, Channel_Listings!C:C, Channel_Listings!D:D)
</f>
        <v>PLANTERS-COLOR-ROUND-FULORA7-PK3</v>
      </c>
      <c r="E1038" s="15"/>
      <c r="F1038" s="16">
        <f t="array" ref="F1038">IFERROR(
  VALUE( INDEX(Product_Master!$I:$I,
               MATCH( INDEX(Pack_Master!$B:$B, MATCH($D1038, Pack_Master!$A:$A, 0)),
                      Product_Master!$B:$B, 0)
  )) 
  * VALUE( INDEX(Pack_Master!$C:$C, MATCH($D1038, Pack_Master!$A:$A, 0)) )
  + VALUE( INDEX(Pack_Master!$D:$D, MATCH($D1038, Pack_Master!$A:$A, 0)) ),
"")
</f>
        <v>9</v>
      </c>
      <c r="G1038" s="17">
        <f t="array" ref="G1038">IFERROR(
 ( INDEX(Pack_Master!E:E, MATCH($D1038, Pack_Master!A:A, 0))
   * INDEX(Pack_Master!F:F, MATCH($D1038, Pack_Master!A:A, 0))
   * INDEX(Pack_Master!G:G, MATCH($D1038, Pack_Master!A:A, 0))
 ) / INDEX(Config!C:C, MATCH($A1038, Config!A:A, 0)),
"")
</f>
        <v>0</v>
      </c>
      <c r="H1038" s="17">
        <f t="array" ref="H1038">MAX( INDEX(Pack_Master!H:H, MATCH($D1038, Pack_Master!A:A, 0)),
      IFERROR(G1038, 0) )
</f>
        <v>0</v>
      </c>
      <c r="I1038" s="18" t="str">
        <f>IFERROR(__xludf.DUMMYFUNCTION("IFERROR(
 INDEX(
   FILTER(Shipping_Rate_Card!B:F, Shipping_Rate_Card!A:A=$A1038),
   MATCH($H1038, FILTER(Shipping_Rate_Card!B:B, Shipping_Rate_Card!A:A=$A1038), 1),
   IF( INDEX(Config!B:B, MATCH($A1038, Config!A:A, 0))=""Local"", 2,
     IF( INDEX(Conf"&amp;"ig!B:B, MATCH($A1038, Config!A:A, 0))=""Regional"", 3, 4 )
   )
 ),
"""")
"),"")</f>
        <v/>
      </c>
      <c r="J1038" s="16">
        <f>IFERROR(__xludf.DUMMYFUNCTION("IFERROR(
 ( E1038 * INDEX(FILTER(Pricing_Rules!E:E, Pricing_Rules!A:A=A1038, Pricing_Rules!B:B=B1038, Pricing_Rules!C:C&lt;=E1038, Pricing_Rules!D:D&gt;=E1038), 1)
   + INDEX(FILTER(Pricing_Rules!F:F, Pricing_Rules!A:A=A1038, Pricing_Rules!B:B=B1038, Pricing_Ru"&amp;"les!C:C&lt;=E1038, Pricing_Rules!D:D&gt;=E1038), 1)
 )
 * (1 + IFERROR( INDEX(Config!D:D, MATCH(A1038, Config!A:A, 0)), 0 )),
"""")
"),15.34)</f>
        <v>15.34</v>
      </c>
      <c r="K1038" s="19">
        <f t="shared" si="3"/>
        <v>-24.34</v>
      </c>
      <c r="L1038" s="20" t="str">
        <f t="shared" si="4"/>
        <v/>
      </c>
    </row>
    <row r="1039" ht="15.75" customHeight="1">
      <c r="A1039" s="9" t="s">
        <v>1162</v>
      </c>
      <c r="B1039" s="12" t="str">
        <f t="array" ref="B1039">XLOOKUP(C1039, Channel_Listings!C:C, Channel_Listings!B:B)
</f>
        <v>Garden_Planters</v>
      </c>
      <c r="C1039" s="23" t="s">
        <v>1031</v>
      </c>
      <c r="D1039" s="14" t="str">
        <f t="array" ref="D1039">XLOOKUP(C1039, Channel_Listings!C:C, Channel_Listings!D:D)
</f>
        <v>PLANTERS-COLOR-ROUND-FULORA7-PK5</v>
      </c>
      <c r="E1039" s="15"/>
      <c r="F1039" s="16">
        <f t="array" ref="F1039">IFERROR(
  VALUE( INDEX(Product_Master!$I:$I,
               MATCH( INDEX(Pack_Master!$B:$B, MATCH($D1039, Pack_Master!$A:$A, 0)),
                      Product_Master!$B:$B, 0)
  )) 
  * VALUE( INDEX(Pack_Master!$C:$C, MATCH($D1039, Pack_Master!$A:$A, 0)) )
  + VALUE( INDEX(Pack_Master!$D:$D, MATCH($D1039, Pack_Master!$A:$A, 0)) ),
"")
</f>
        <v>15</v>
      </c>
      <c r="G1039" s="17">
        <f t="array" ref="G1039">IFERROR(
 ( INDEX(Pack_Master!E:E, MATCH($D1039, Pack_Master!A:A, 0))
   * INDEX(Pack_Master!F:F, MATCH($D1039, Pack_Master!A:A, 0))
   * INDEX(Pack_Master!G:G, MATCH($D1039, Pack_Master!A:A, 0))
 ) / INDEX(Config!C:C, MATCH($A1039, Config!A:A, 0)),
"")
</f>
        <v>0</v>
      </c>
      <c r="H1039" s="17">
        <f t="array" ref="H1039">MAX( INDEX(Pack_Master!H:H, MATCH($D1039, Pack_Master!A:A, 0)),
      IFERROR(G1039, 0) )
</f>
        <v>0</v>
      </c>
      <c r="I1039" s="18" t="str">
        <f>IFERROR(__xludf.DUMMYFUNCTION("IFERROR(
 INDEX(
   FILTER(Shipping_Rate_Card!B:F, Shipping_Rate_Card!A:A=$A1039),
   MATCH($H1039, FILTER(Shipping_Rate_Card!B:B, Shipping_Rate_Card!A:A=$A1039), 1),
   IF( INDEX(Config!B:B, MATCH($A1039, Config!A:A, 0))=""Local"", 2,
     IF( INDEX(Conf"&amp;"ig!B:B, MATCH($A1039, Config!A:A, 0))=""Regional"", 3, 4 )
   )
 ),
"""")
"),"")</f>
        <v/>
      </c>
      <c r="J1039" s="16">
        <f>IFERROR(__xludf.DUMMYFUNCTION("IFERROR(
 ( E1039 * INDEX(FILTER(Pricing_Rules!E:E, Pricing_Rules!A:A=A1039, Pricing_Rules!B:B=B1039, Pricing_Rules!C:C&lt;=E1039, Pricing_Rules!D:D&gt;=E1039), 1)
   + INDEX(FILTER(Pricing_Rules!F:F, Pricing_Rules!A:A=A1039, Pricing_Rules!B:B=B1039, Pricing_Ru"&amp;"les!C:C&lt;=E1039, Pricing_Rules!D:D&gt;=E1039), 1)
 )
 * (1 + IFERROR( INDEX(Config!D:D, MATCH(A1039, Config!A:A, 0)), 0 )),
"""")
"),15.34)</f>
        <v>15.34</v>
      </c>
      <c r="K1039" s="19">
        <f t="shared" si="3"/>
        <v>-30.34</v>
      </c>
      <c r="L1039" s="20" t="str">
        <f t="shared" si="4"/>
        <v/>
      </c>
    </row>
    <row r="1040" ht="15.75" customHeight="1">
      <c r="A1040" s="9" t="s">
        <v>1162</v>
      </c>
      <c r="B1040" s="12" t="str">
        <f t="array" ref="B1040">XLOOKUP(C1040, Channel_Listings!C:C, Channel_Listings!B:B)
</f>
        <v>Garden_Planters</v>
      </c>
      <c r="C1040" s="23" t="s">
        <v>1033</v>
      </c>
      <c r="D1040" s="14" t="str">
        <f t="array" ref="D1040">XLOOKUP(C1040, Channel_Listings!C:C, Channel_Listings!D:D)
</f>
        <v>PLANTERS-COLOR-ROUND-FULORA9-PK3</v>
      </c>
      <c r="E1040" s="15"/>
      <c r="F1040" s="16">
        <f t="array" ref="F1040">IFERROR(
  VALUE( INDEX(Product_Master!$I:$I,
               MATCH( INDEX(Pack_Master!$B:$B, MATCH($D1040, Pack_Master!$A:$A, 0)),
                      Product_Master!$B:$B, 0)
  )) 
  * VALUE( INDEX(Pack_Master!$C:$C, MATCH($D1040, Pack_Master!$A:$A, 0)) )
  + VALUE( INDEX(Pack_Master!$D:$D, MATCH($D1040, Pack_Master!$A:$A, 0)) ),
"")
</f>
        <v>9</v>
      </c>
      <c r="G1040" s="17">
        <f t="array" ref="G1040">IFERROR(
 ( INDEX(Pack_Master!E:E, MATCH($D1040, Pack_Master!A:A, 0))
   * INDEX(Pack_Master!F:F, MATCH($D1040, Pack_Master!A:A, 0))
   * INDEX(Pack_Master!G:G, MATCH($D1040, Pack_Master!A:A, 0))
 ) / INDEX(Config!C:C, MATCH($A1040, Config!A:A, 0)),
"")
</f>
        <v>0</v>
      </c>
      <c r="H1040" s="17">
        <f t="array" ref="H1040">MAX( INDEX(Pack_Master!H:H, MATCH($D1040, Pack_Master!A:A, 0)),
      IFERROR(G1040, 0) )
</f>
        <v>0</v>
      </c>
      <c r="I1040" s="18" t="str">
        <f>IFERROR(__xludf.DUMMYFUNCTION("IFERROR(
 INDEX(
   FILTER(Shipping_Rate_Card!B:F, Shipping_Rate_Card!A:A=$A1040),
   MATCH($H1040, FILTER(Shipping_Rate_Card!B:B, Shipping_Rate_Card!A:A=$A1040), 1),
   IF( INDEX(Config!B:B, MATCH($A1040, Config!A:A, 0))=""Local"", 2,
     IF( INDEX(Conf"&amp;"ig!B:B, MATCH($A1040, Config!A:A, 0))=""Regional"", 3, 4 )
   )
 ),
"""")
"),"")</f>
        <v/>
      </c>
      <c r="J1040" s="16">
        <f>IFERROR(__xludf.DUMMYFUNCTION("IFERROR(
 ( E1040 * INDEX(FILTER(Pricing_Rules!E:E, Pricing_Rules!A:A=A1040, Pricing_Rules!B:B=B1040, Pricing_Rules!C:C&lt;=E1040, Pricing_Rules!D:D&gt;=E1040), 1)
   + INDEX(FILTER(Pricing_Rules!F:F, Pricing_Rules!A:A=A1040, Pricing_Rules!B:B=B1040, Pricing_Ru"&amp;"les!C:C&lt;=E1040, Pricing_Rules!D:D&gt;=E1040), 1)
 )
 * (1 + IFERROR( INDEX(Config!D:D, MATCH(A1040, Config!A:A, 0)), 0 )),
"""")
"),15.34)</f>
        <v>15.34</v>
      </c>
      <c r="K1040" s="19">
        <f t="shared" si="3"/>
        <v>-24.34</v>
      </c>
      <c r="L1040" s="20" t="str">
        <f t="shared" si="4"/>
        <v/>
      </c>
    </row>
    <row r="1041" ht="15.75" customHeight="1">
      <c r="A1041" s="9" t="s">
        <v>1162</v>
      </c>
      <c r="B1041" s="12" t="str">
        <f t="array" ref="B1041">XLOOKUP(C1041, Channel_Listings!C:C, Channel_Listings!B:B)
</f>
        <v>Garden_Planters</v>
      </c>
      <c r="C1041" s="23" t="s">
        <v>1035</v>
      </c>
      <c r="D1041" s="14" t="str">
        <f t="array" ref="D1041">XLOOKUP(C1041, Channel_Listings!C:C, Channel_Listings!D:D)
</f>
        <v>PLANTERS-COLOR-ROUND-FULORA9-PK5</v>
      </c>
      <c r="E1041" s="15"/>
      <c r="F1041" s="16">
        <f t="array" ref="F1041">IFERROR(
  VALUE( INDEX(Product_Master!$I:$I,
               MATCH( INDEX(Pack_Master!$B:$B, MATCH($D1041, Pack_Master!$A:$A, 0)),
                      Product_Master!$B:$B, 0)
  )) 
  * VALUE( INDEX(Pack_Master!$C:$C, MATCH($D1041, Pack_Master!$A:$A, 0)) )
  + VALUE( INDEX(Pack_Master!$D:$D, MATCH($D1041, Pack_Master!$A:$A, 0)) ),
"")
</f>
        <v>15</v>
      </c>
      <c r="G1041" s="17">
        <f t="array" ref="G1041">IFERROR(
 ( INDEX(Pack_Master!E:E, MATCH($D1041, Pack_Master!A:A, 0))
   * INDEX(Pack_Master!F:F, MATCH($D1041, Pack_Master!A:A, 0))
   * INDEX(Pack_Master!G:G, MATCH($D1041, Pack_Master!A:A, 0))
 ) / INDEX(Config!C:C, MATCH($A1041, Config!A:A, 0)),
"")
</f>
        <v>0</v>
      </c>
      <c r="H1041" s="17">
        <f t="array" ref="H1041">MAX( INDEX(Pack_Master!H:H, MATCH($D1041, Pack_Master!A:A, 0)),
      IFERROR(G1041, 0) )
</f>
        <v>0</v>
      </c>
      <c r="I1041" s="18" t="str">
        <f>IFERROR(__xludf.DUMMYFUNCTION("IFERROR(
 INDEX(
   FILTER(Shipping_Rate_Card!B:F, Shipping_Rate_Card!A:A=$A1041),
   MATCH($H1041, FILTER(Shipping_Rate_Card!B:B, Shipping_Rate_Card!A:A=$A1041), 1),
   IF( INDEX(Config!B:B, MATCH($A1041, Config!A:A, 0))=""Local"", 2,
     IF( INDEX(Conf"&amp;"ig!B:B, MATCH($A1041, Config!A:A, 0))=""Regional"", 3, 4 )
   )
 ),
"""")
"),"")</f>
        <v/>
      </c>
      <c r="J1041" s="16">
        <f>IFERROR(__xludf.DUMMYFUNCTION("IFERROR(
 ( E1041 * INDEX(FILTER(Pricing_Rules!E:E, Pricing_Rules!A:A=A1041, Pricing_Rules!B:B=B1041, Pricing_Rules!C:C&lt;=E1041, Pricing_Rules!D:D&gt;=E1041), 1)
   + INDEX(FILTER(Pricing_Rules!F:F, Pricing_Rules!A:A=A1041, Pricing_Rules!B:B=B1041, Pricing_Ru"&amp;"les!C:C&lt;=E1041, Pricing_Rules!D:D&gt;=E1041), 1)
 )
 * (1 + IFERROR( INDEX(Config!D:D, MATCH(A1041, Config!A:A, 0)), 0 )),
"""")
"),15.34)</f>
        <v>15.34</v>
      </c>
      <c r="K1041" s="19">
        <f t="shared" si="3"/>
        <v>-30.34</v>
      </c>
      <c r="L1041" s="20" t="str">
        <f t="shared" si="4"/>
        <v/>
      </c>
    </row>
    <row r="1042" ht="15.75" customHeight="1">
      <c r="A1042" s="9" t="s">
        <v>1162</v>
      </c>
      <c r="B1042" s="12" t="str">
        <f t="array" ref="B1042">XLOOKUP(C1042, Channel_Listings!C:C, Channel_Listings!B:B)
</f>
        <v>Garden_Planters</v>
      </c>
      <c r="C1042" s="23" t="s">
        <v>1037</v>
      </c>
      <c r="D1042" s="14" t="str">
        <f t="array" ref="D1042">XLOOKUP(C1042, Channel_Listings!C:C, Channel_Listings!D:D)
</f>
        <v>PLANTERS-COLOR-SQUARE-STERLING4-PK3</v>
      </c>
      <c r="E1042" s="15"/>
      <c r="F1042" s="16">
        <f t="array" ref="F1042">IFERROR(
  VALUE( INDEX(Product_Master!$I:$I,
               MATCH( INDEX(Pack_Master!$B:$B, MATCH($D1042, Pack_Master!$A:$A, 0)),
                      Product_Master!$B:$B, 0)
  )) 
  * VALUE( INDEX(Pack_Master!$C:$C, MATCH($D1042, Pack_Master!$A:$A, 0)) )
  + VALUE( INDEX(Pack_Master!$D:$D, MATCH($D1042, Pack_Master!$A:$A, 0)) ),
"")
</f>
        <v>9</v>
      </c>
      <c r="G1042" s="17">
        <f t="array" ref="G1042">IFERROR(
 ( INDEX(Pack_Master!E:E, MATCH($D1042, Pack_Master!A:A, 0))
   * INDEX(Pack_Master!F:F, MATCH($D1042, Pack_Master!A:A, 0))
   * INDEX(Pack_Master!G:G, MATCH($D1042, Pack_Master!A:A, 0))
 ) / INDEX(Config!C:C, MATCH($A1042, Config!A:A, 0)),
"")
</f>
        <v>0</v>
      </c>
      <c r="H1042" s="17">
        <f t="array" ref="H1042">MAX( INDEX(Pack_Master!H:H, MATCH($D1042, Pack_Master!A:A, 0)),
      IFERROR(G1042, 0) )
</f>
        <v>0</v>
      </c>
      <c r="I1042" s="18" t="str">
        <f>IFERROR(__xludf.DUMMYFUNCTION("IFERROR(
 INDEX(
   FILTER(Shipping_Rate_Card!B:F, Shipping_Rate_Card!A:A=$A1042),
   MATCH($H1042, FILTER(Shipping_Rate_Card!B:B, Shipping_Rate_Card!A:A=$A1042), 1),
   IF( INDEX(Config!B:B, MATCH($A1042, Config!A:A, 0))=""Local"", 2,
     IF( INDEX(Conf"&amp;"ig!B:B, MATCH($A1042, Config!A:A, 0))=""Regional"", 3, 4 )
   )
 ),
"""")
"),"")</f>
        <v/>
      </c>
      <c r="J1042" s="16">
        <f>IFERROR(__xludf.DUMMYFUNCTION("IFERROR(
 ( E1042 * INDEX(FILTER(Pricing_Rules!E:E, Pricing_Rules!A:A=A1042, Pricing_Rules!B:B=B1042, Pricing_Rules!C:C&lt;=E1042, Pricing_Rules!D:D&gt;=E1042), 1)
   + INDEX(FILTER(Pricing_Rules!F:F, Pricing_Rules!A:A=A1042, Pricing_Rules!B:B=B1042, Pricing_Ru"&amp;"les!C:C&lt;=E1042, Pricing_Rules!D:D&gt;=E1042), 1)
 )
 * (1 + IFERROR( INDEX(Config!D:D, MATCH(A1042, Config!A:A, 0)), 0 )),
"""")
"),15.34)</f>
        <v>15.34</v>
      </c>
      <c r="K1042" s="19">
        <f t="shared" si="3"/>
        <v>-24.34</v>
      </c>
      <c r="L1042" s="20" t="str">
        <f t="shared" si="4"/>
        <v/>
      </c>
    </row>
    <row r="1043" ht="15.75" customHeight="1">
      <c r="A1043" s="9" t="s">
        <v>1162</v>
      </c>
      <c r="B1043" s="12" t="str">
        <f t="array" ref="B1043">XLOOKUP(C1043, Channel_Listings!C:C, Channel_Listings!B:B)
</f>
        <v>Garden_Planters</v>
      </c>
      <c r="C1043" s="23" t="s">
        <v>1043</v>
      </c>
      <c r="D1043" s="14" t="str">
        <f t="array" ref="D1043">XLOOKUP(C1043, Channel_Listings!C:C, Channel_Listings!D:D)
</f>
        <v>PLANTERS-COLOR-SQUARE-STERLING5-PK3</v>
      </c>
      <c r="E1043" s="15"/>
      <c r="F1043" s="16">
        <f t="array" ref="F1043">IFERROR(
  VALUE( INDEX(Product_Master!$I:$I,
               MATCH( INDEX(Pack_Master!$B:$B, MATCH($D1043, Pack_Master!$A:$A, 0)),
                      Product_Master!$B:$B, 0)
  )) 
  * VALUE( INDEX(Pack_Master!$C:$C, MATCH($D1043, Pack_Master!$A:$A, 0)) )
  + VALUE( INDEX(Pack_Master!$D:$D, MATCH($D1043, Pack_Master!$A:$A, 0)) ),
"")
</f>
        <v>9</v>
      </c>
      <c r="G1043" s="17">
        <f t="array" ref="G1043">IFERROR(
 ( INDEX(Pack_Master!E:E, MATCH($D1043, Pack_Master!A:A, 0))
   * INDEX(Pack_Master!F:F, MATCH($D1043, Pack_Master!A:A, 0))
   * INDEX(Pack_Master!G:G, MATCH($D1043, Pack_Master!A:A, 0))
 ) / INDEX(Config!C:C, MATCH($A1043, Config!A:A, 0)),
"")
</f>
        <v>0</v>
      </c>
      <c r="H1043" s="17">
        <f t="array" ref="H1043">MAX( INDEX(Pack_Master!H:H, MATCH($D1043, Pack_Master!A:A, 0)),
      IFERROR(G1043, 0) )
</f>
        <v>0</v>
      </c>
      <c r="I1043" s="18" t="str">
        <f>IFERROR(__xludf.DUMMYFUNCTION("IFERROR(
 INDEX(
   FILTER(Shipping_Rate_Card!B:F, Shipping_Rate_Card!A:A=$A1043),
   MATCH($H1043, FILTER(Shipping_Rate_Card!B:B, Shipping_Rate_Card!A:A=$A1043), 1),
   IF( INDEX(Config!B:B, MATCH($A1043, Config!A:A, 0))=""Local"", 2,
     IF( INDEX(Conf"&amp;"ig!B:B, MATCH($A1043, Config!A:A, 0))=""Regional"", 3, 4 )
   )
 ),
"""")
"),"")</f>
        <v/>
      </c>
      <c r="J1043" s="16">
        <f>IFERROR(__xludf.DUMMYFUNCTION("IFERROR(
 ( E1043 * INDEX(FILTER(Pricing_Rules!E:E, Pricing_Rules!A:A=A1043, Pricing_Rules!B:B=B1043, Pricing_Rules!C:C&lt;=E1043, Pricing_Rules!D:D&gt;=E1043), 1)
   + INDEX(FILTER(Pricing_Rules!F:F, Pricing_Rules!A:A=A1043, Pricing_Rules!B:B=B1043, Pricing_Ru"&amp;"les!C:C&lt;=E1043, Pricing_Rules!D:D&gt;=E1043), 1)
 )
 * (1 + IFERROR( INDEX(Config!D:D, MATCH(A1043, Config!A:A, 0)), 0 )),
"""")
"),15.34)</f>
        <v>15.34</v>
      </c>
      <c r="K1043" s="19">
        <f t="shared" si="3"/>
        <v>-24.34</v>
      </c>
      <c r="L1043" s="20" t="str">
        <f t="shared" si="4"/>
        <v/>
      </c>
    </row>
    <row r="1044" ht="15.75" customHeight="1">
      <c r="A1044" s="9" t="s">
        <v>1162</v>
      </c>
      <c r="B1044" s="12" t="str">
        <f t="array" ref="B1044">XLOOKUP(C1044, Channel_Listings!C:C, Channel_Listings!B:B)
</f>
        <v>Garden_Planters</v>
      </c>
      <c r="C1044" s="23" t="s">
        <v>1579</v>
      </c>
      <c r="D1044" s="14" t="str">
        <f t="array" ref="D1044">XLOOKUP(C1044, Channel_Listings!C:C, Channel_Listings!D:D)
</f>
        <v>PLANTERS-COLOR-SQUARE-STERLING5-PK6</v>
      </c>
      <c r="E1044" s="15"/>
      <c r="F1044" s="16">
        <f t="array" ref="F1044">IFERROR(
  VALUE( INDEX(Product_Master!$I:$I,
               MATCH( INDEX(Pack_Master!$B:$B, MATCH($D1044, Pack_Master!$A:$A, 0)),
                      Product_Master!$B:$B, 0)
  )) 
  * VALUE( INDEX(Pack_Master!$C:$C, MATCH($D1044, Pack_Master!$A:$A, 0)) )
  + VALUE( INDEX(Pack_Master!$D:$D, MATCH($D1044, Pack_Master!$A:$A, 0)) ),
"")
</f>
        <v>18</v>
      </c>
      <c r="G1044" s="17">
        <f t="array" ref="G1044">IFERROR(
 ( INDEX(Pack_Master!E:E, MATCH($D1044, Pack_Master!A:A, 0))
   * INDEX(Pack_Master!F:F, MATCH($D1044, Pack_Master!A:A, 0))
   * INDEX(Pack_Master!G:G, MATCH($D1044, Pack_Master!A:A, 0))
 ) / INDEX(Config!C:C, MATCH($A1044, Config!A:A, 0)),
"")
</f>
        <v>0</v>
      </c>
      <c r="H1044" s="17">
        <f t="array" ref="H1044">MAX( INDEX(Pack_Master!H:H, MATCH($D1044, Pack_Master!A:A, 0)),
      IFERROR(G1044, 0) )
</f>
        <v>0</v>
      </c>
      <c r="I1044" s="18" t="str">
        <f>IFERROR(__xludf.DUMMYFUNCTION("IFERROR(
 INDEX(
   FILTER(Shipping_Rate_Card!B:F, Shipping_Rate_Card!A:A=$A1044),
   MATCH($H1044, FILTER(Shipping_Rate_Card!B:B, Shipping_Rate_Card!A:A=$A1044), 1),
   IF( INDEX(Config!B:B, MATCH($A1044, Config!A:A, 0))=""Local"", 2,
     IF( INDEX(Conf"&amp;"ig!B:B, MATCH($A1044, Config!A:A, 0))=""Regional"", 3, 4 )
   )
 ),
"""")
"),"")</f>
        <v/>
      </c>
      <c r="J1044" s="16">
        <f>IFERROR(__xludf.DUMMYFUNCTION("IFERROR(
 ( E1044 * INDEX(FILTER(Pricing_Rules!E:E, Pricing_Rules!A:A=A1044, Pricing_Rules!B:B=B1044, Pricing_Rules!C:C&lt;=E1044, Pricing_Rules!D:D&gt;=E1044), 1)
   + INDEX(FILTER(Pricing_Rules!F:F, Pricing_Rules!A:A=A1044, Pricing_Rules!B:B=B1044, Pricing_Ru"&amp;"les!C:C&lt;=E1044, Pricing_Rules!D:D&gt;=E1044), 1)
 )
 * (1 + IFERROR( INDEX(Config!D:D, MATCH(A1044, Config!A:A, 0)), 0 )),
"""")
"),15.34)</f>
        <v>15.34</v>
      </c>
      <c r="K1044" s="19">
        <f t="shared" si="3"/>
        <v>-33.34</v>
      </c>
      <c r="L1044" s="20" t="str">
        <f t="shared" si="4"/>
        <v/>
      </c>
    </row>
    <row r="1045" ht="15.75" customHeight="1">
      <c r="A1045" s="9" t="s">
        <v>1162</v>
      </c>
      <c r="B1045" s="12" t="str">
        <f t="array" ref="B1045">XLOOKUP(C1045, Channel_Listings!C:C, Channel_Listings!B:B)
</f>
        <v>Garden_Planters</v>
      </c>
      <c r="C1045" s="23" t="s">
        <v>1049</v>
      </c>
      <c r="D1045" s="14" t="str">
        <f t="array" ref="D1045">XLOOKUP(C1045, Channel_Listings!C:C, Channel_Listings!D:D)
</f>
        <v>PLANTERS-COLOR-SQUARE-STERLING6-PK3</v>
      </c>
      <c r="E1045" s="15"/>
      <c r="F1045" s="16">
        <f t="array" ref="F1045">IFERROR(
  VALUE( INDEX(Product_Master!$I:$I,
               MATCH( INDEX(Pack_Master!$B:$B, MATCH($D1045, Pack_Master!$A:$A, 0)),
                      Product_Master!$B:$B, 0)
  )) 
  * VALUE( INDEX(Pack_Master!$C:$C, MATCH($D1045, Pack_Master!$A:$A, 0)) )
  + VALUE( INDEX(Pack_Master!$D:$D, MATCH($D1045, Pack_Master!$A:$A, 0)) ),
"")
</f>
        <v>9</v>
      </c>
      <c r="G1045" s="17">
        <f t="array" ref="G1045">IFERROR(
 ( INDEX(Pack_Master!E:E, MATCH($D1045, Pack_Master!A:A, 0))
   * INDEX(Pack_Master!F:F, MATCH($D1045, Pack_Master!A:A, 0))
   * INDEX(Pack_Master!G:G, MATCH($D1045, Pack_Master!A:A, 0))
 ) / INDEX(Config!C:C, MATCH($A1045, Config!A:A, 0)),
"")
</f>
        <v>0</v>
      </c>
      <c r="H1045" s="17">
        <f t="array" ref="H1045">MAX( INDEX(Pack_Master!H:H, MATCH($D1045, Pack_Master!A:A, 0)),
      IFERROR(G1045, 0) )
</f>
        <v>0</v>
      </c>
      <c r="I1045" s="18" t="str">
        <f>IFERROR(__xludf.DUMMYFUNCTION("IFERROR(
 INDEX(
   FILTER(Shipping_Rate_Card!B:F, Shipping_Rate_Card!A:A=$A1045),
   MATCH($H1045, FILTER(Shipping_Rate_Card!B:B, Shipping_Rate_Card!A:A=$A1045), 1),
   IF( INDEX(Config!B:B, MATCH($A1045, Config!A:A, 0))=""Local"", 2,
     IF( INDEX(Conf"&amp;"ig!B:B, MATCH($A1045, Config!A:A, 0))=""Regional"", 3, 4 )
   )
 ),
"""")
"),"")</f>
        <v/>
      </c>
      <c r="J1045" s="16">
        <f>IFERROR(__xludf.DUMMYFUNCTION("IFERROR(
 ( E1045 * INDEX(FILTER(Pricing_Rules!E:E, Pricing_Rules!A:A=A1045, Pricing_Rules!B:B=B1045, Pricing_Rules!C:C&lt;=E1045, Pricing_Rules!D:D&gt;=E1045), 1)
   + INDEX(FILTER(Pricing_Rules!F:F, Pricing_Rules!A:A=A1045, Pricing_Rules!B:B=B1045, Pricing_Ru"&amp;"les!C:C&lt;=E1045, Pricing_Rules!D:D&gt;=E1045), 1)
 )
 * (1 + IFERROR( INDEX(Config!D:D, MATCH(A1045, Config!A:A, 0)), 0 )),
"""")
"),15.34)</f>
        <v>15.34</v>
      </c>
      <c r="K1045" s="19">
        <f t="shared" si="3"/>
        <v>-24.34</v>
      </c>
      <c r="L1045" s="20" t="str">
        <f t="shared" si="4"/>
        <v/>
      </c>
    </row>
    <row r="1046" ht="15.75" customHeight="1">
      <c r="A1046" s="9" t="s">
        <v>1162</v>
      </c>
      <c r="B1046" s="12" t="str">
        <f t="array" ref="B1046">XLOOKUP(C1046, Channel_Listings!C:C, Channel_Listings!B:B)
</f>
        <v>Garden_Planters</v>
      </c>
      <c r="C1046" s="23" t="s">
        <v>1052</v>
      </c>
      <c r="D1046" s="14" t="str">
        <f t="array" ref="D1046">XLOOKUP(C1046, Channel_Listings!C:C, Channel_Listings!D:D)
</f>
        <v>PLANTERS-COLOR-SQUARE-STERLING6-PK5</v>
      </c>
      <c r="E1046" s="15"/>
      <c r="F1046" s="16">
        <f t="array" ref="F1046">IFERROR(
  VALUE( INDEX(Product_Master!$I:$I,
               MATCH( INDEX(Pack_Master!$B:$B, MATCH($D1046, Pack_Master!$A:$A, 0)),
                      Product_Master!$B:$B, 0)
  )) 
  * VALUE( INDEX(Pack_Master!$C:$C, MATCH($D1046, Pack_Master!$A:$A, 0)) )
  + VALUE( INDEX(Pack_Master!$D:$D, MATCH($D1046, Pack_Master!$A:$A, 0)) ),
"")
</f>
        <v>15</v>
      </c>
      <c r="G1046" s="17">
        <f t="array" ref="G1046">IFERROR(
 ( INDEX(Pack_Master!E:E, MATCH($D1046, Pack_Master!A:A, 0))
   * INDEX(Pack_Master!F:F, MATCH($D1046, Pack_Master!A:A, 0))
   * INDEX(Pack_Master!G:G, MATCH($D1046, Pack_Master!A:A, 0))
 ) / INDEX(Config!C:C, MATCH($A1046, Config!A:A, 0)),
"")
</f>
        <v>0</v>
      </c>
      <c r="H1046" s="17">
        <f t="array" ref="H1046">MAX( INDEX(Pack_Master!H:H, MATCH($D1046, Pack_Master!A:A, 0)),
      IFERROR(G1046, 0) )
</f>
        <v>0</v>
      </c>
      <c r="I1046" s="18" t="str">
        <f>IFERROR(__xludf.DUMMYFUNCTION("IFERROR(
 INDEX(
   FILTER(Shipping_Rate_Card!B:F, Shipping_Rate_Card!A:A=$A1046),
   MATCH($H1046, FILTER(Shipping_Rate_Card!B:B, Shipping_Rate_Card!A:A=$A1046), 1),
   IF( INDEX(Config!B:B, MATCH($A1046, Config!A:A, 0))=""Local"", 2,
     IF( INDEX(Conf"&amp;"ig!B:B, MATCH($A1046, Config!A:A, 0))=""Regional"", 3, 4 )
   )
 ),
"""")
"),"")</f>
        <v/>
      </c>
      <c r="J1046" s="16">
        <f>IFERROR(__xludf.DUMMYFUNCTION("IFERROR(
 ( E1046 * INDEX(FILTER(Pricing_Rules!E:E, Pricing_Rules!A:A=A1046, Pricing_Rules!B:B=B1046, Pricing_Rules!C:C&lt;=E1046, Pricing_Rules!D:D&gt;=E1046), 1)
   + INDEX(FILTER(Pricing_Rules!F:F, Pricing_Rules!A:A=A1046, Pricing_Rules!B:B=B1046, Pricing_Ru"&amp;"les!C:C&lt;=E1046, Pricing_Rules!D:D&gt;=E1046), 1)
 )
 * (1 + IFERROR( INDEX(Config!D:D, MATCH(A1046, Config!A:A, 0)), 0 )),
"""")
"),15.34)</f>
        <v>15.34</v>
      </c>
      <c r="K1046" s="19">
        <f t="shared" si="3"/>
        <v>-30.34</v>
      </c>
      <c r="L1046" s="20" t="str">
        <f t="shared" si="4"/>
        <v/>
      </c>
    </row>
    <row r="1047" ht="15.75" customHeight="1">
      <c r="A1047" s="9" t="s">
        <v>1162</v>
      </c>
      <c r="B1047" s="12" t="str">
        <f t="array" ref="B1047">XLOOKUP(C1047, Channel_Listings!C:C, Channel_Listings!B:B)
</f>
        <v>Garden_Planters</v>
      </c>
      <c r="C1047" s="23" t="s">
        <v>1055</v>
      </c>
      <c r="D1047" s="14" t="str">
        <f t="array" ref="D1047">XLOOKUP(C1047, Channel_Listings!C:C, Channel_Listings!D:D)
</f>
        <v>PLANTERS-COLOR-SQUARE-STERLING7-PK3</v>
      </c>
      <c r="E1047" s="15"/>
      <c r="F1047" s="16">
        <f t="array" ref="F1047">IFERROR(
  VALUE( INDEX(Product_Master!$I:$I,
               MATCH( INDEX(Pack_Master!$B:$B, MATCH($D1047, Pack_Master!$A:$A, 0)),
                      Product_Master!$B:$B, 0)
  )) 
  * VALUE( INDEX(Pack_Master!$C:$C, MATCH($D1047, Pack_Master!$A:$A, 0)) )
  + VALUE( INDEX(Pack_Master!$D:$D, MATCH($D1047, Pack_Master!$A:$A, 0)) ),
"")
</f>
        <v>9</v>
      </c>
      <c r="G1047" s="17">
        <f t="array" ref="G1047">IFERROR(
 ( INDEX(Pack_Master!E:E, MATCH($D1047, Pack_Master!A:A, 0))
   * INDEX(Pack_Master!F:F, MATCH($D1047, Pack_Master!A:A, 0))
   * INDEX(Pack_Master!G:G, MATCH($D1047, Pack_Master!A:A, 0))
 ) / INDEX(Config!C:C, MATCH($A1047, Config!A:A, 0)),
"")
</f>
        <v>0</v>
      </c>
      <c r="H1047" s="17">
        <f t="array" ref="H1047">MAX( INDEX(Pack_Master!H:H, MATCH($D1047, Pack_Master!A:A, 0)),
      IFERROR(G1047, 0) )
</f>
        <v>0</v>
      </c>
      <c r="I1047" s="18" t="str">
        <f>IFERROR(__xludf.DUMMYFUNCTION("IFERROR(
 INDEX(
   FILTER(Shipping_Rate_Card!B:F, Shipping_Rate_Card!A:A=$A1047),
   MATCH($H1047, FILTER(Shipping_Rate_Card!B:B, Shipping_Rate_Card!A:A=$A1047), 1),
   IF( INDEX(Config!B:B, MATCH($A1047, Config!A:A, 0))=""Local"", 2,
     IF( INDEX(Conf"&amp;"ig!B:B, MATCH($A1047, Config!A:A, 0))=""Regional"", 3, 4 )
   )
 ),
"""")
"),"")</f>
        <v/>
      </c>
      <c r="J1047" s="16">
        <f>IFERROR(__xludf.DUMMYFUNCTION("IFERROR(
 ( E1047 * INDEX(FILTER(Pricing_Rules!E:E, Pricing_Rules!A:A=A1047, Pricing_Rules!B:B=B1047, Pricing_Rules!C:C&lt;=E1047, Pricing_Rules!D:D&gt;=E1047), 1)
   + INDEX(FILTER(Pricing_Rules!F:F, Pricing_Rules!A:A=A1047, Pricing_Rules!B:B=B1047, Pricing_Ru"&amp;"les!C:C&lt;=E1047, Pricing_Rules!D:D&gt;=E1047), 1)
 )
 * (1 + IFERROR( INDEX(Config!D:D, MATCH(A1047, Config!A:A, 0)), 0 )),
"""")
"),15.34)</f>
        <v>15.34</v>
      </c>
      <c r="K1047" s="19">
        <f t="shared" si="3"/>
        <v>-24.34</v>
      </c>
      <c r="L1047" s="20" t="str">
        <f t="shared" si="4"/>
        <v/>
      </c>
    </row>
    <row r="1048" ht="15.75" customHeight="1">
      <c r="A1048" s="9" t="s">
        <v>1162</v>
      </c>
      <c r="B1048" s="12" t="str">
        <f t="array" ref="B1048">XLOOKUP(C1048, Channel_Listings!C:C, Channel_Listings!B:B)
</f>
        <v>Garden_Planters</v>
      </c>
      <c r="C1048" s="23" t="s">
        <v>1058</v>
      </c>
      <c r="D1048" s="14" t="str">
        <f t="array" ref="D1048">XLOOKUP(C1048, Channel_Listings!C:C, Channel_Listings!D:D)
</f>
        <v>PLANTERS-COLOR-SQUARE-STERLING7-PK5</v>
      </c>
      <c r="E1048" s="15"/>
      <c r="F1048" s="16">
        <f t="array" ref="F1048">IFERROR(
  VALUE( INDEX(Product_Master!$I:$I,
               MATCH( INDEX(Pack_Master!$B:$B, MATCH($D1048, Pack_Master!$A:$A, 0)),
                      Product_Master!$B:$B, 0)
  )) 
  * VALUE( INDEX(Pack_Master!$C:$C, MATCH($D1048, Pack_Master!$A:$A, 0)) )
  + VALUE( INDEX(Pack_Master!$D:$D, MATCH($D1048, Pack_Master!$A:$A, 0)) ),
"")
</f>
        <v>15</v>
      </c>
      <c r="G1048" s="17">
        <f t="array" ref="G1048">IFERROR(
 ( INDEX(Pack_Master!E:E, MATCH($D1048, Pack_Master!A:A, 0))
   * INDEX(Pack_Master!F:F, MATCH($D1048, Pack_Master!A:A, 0))
   * INDEX(Pack_Master!G:G, MATCH($D1048, Pack_Master!A:A, 0))
 ) / INDEX(Config!C:C, MATCH($A1048, Config!A:A, 0)),
"")
</f>
        <v>0</v>
      </c>
      <c r="H1048" s="17">
        <f t="array" ref="H1048">MAX( INDEX(Pack_Master!H:H, MATCH($D1048, Pack_Master!A:A, 0)),
      IFERROR(G1048, 0) )
</f>
        <v>0</v>
      </c>
      <c r="I1048" s="18" t="str">
        <f>IFERROR(__xludf.DUMMYFUNCTION("IFERROR(
 INDEX(
   FILTER(Shipping_Rate_Card!B:F, Shipping_Rate_Card!A:A=$A1048),
   MATCH($H1048, FILTER(Shipping_Rate_Card!B:B, Shipping_Rate_Card!A:A=$A1048), 1),
   IF( INDEX(Config!B:B, MATCH($A1048, Config!A:A, 0))=""Local"", 2,
     IF( INDEX(Conf"&amp;"ig!B:B, MATCH($A1048, Config!A:A, 0))=""Regional"", 3, 4 )
   )
 ),
"""")
"),"")</f>
        <v/>
      </c>
      <c r="J1048" s="16">
        <f>IFERROR(__xludf.DUMMYFUNCTION("IFERROR(
 ( E1048 * INDEX(FILTER(Pricing_Rules!E:E, Pricing_Rules!A:A=A1048, Pricing_Rules!B:B=B1048, Pricing_Rules!C:C&lt;=E1048, Pricing_Rules!D:D&gt;=E1048), 1)
   + INDEX(FILTER(Pricing_Rules!F:F, Pricing_Rules!A:A=A1048, Pricing_Rules!B:B=B1048, Pricing_Ru"&amp;"les!C:C&lt;=E1048, Pricing_Rules!D:D&gt;=E1048), 1)
 )
 * (1 + IFERROR( INDEX(Config!D:D, MATCH(A1048, Config!A:A, 0)), 0 )),
"""")
"),15.34)</f>
        <v>15.34</v>
      </c>
      <c r="K1048" s="19">
        <f t="shared" si="3"/>
        <v>-30.34</v>
      </c>
      <c r="L1048" s="20" t="str">
        <f t="shared" si="4"/>
        <v/>
      </c>
    </row>
    <row r="1049" ht="15.75" customHeight="1">
      <c r="A1049" s="9" t="s">
        <v>1162</v>
      </c>
      <c r="B1049" s="12" t="str">
        <f t="array" ref="B1049">XLOOKUP(C1049, Channel_Listings!C:C, Channel_Listings!B:B)
</f>
        <v/>
      </c>
      <c r="C1049" s="23" t="s">
        <v>1585</v>
      </c>
      <c r="D1049" s="14" t="str">
        <f t="array" ref="D1049">XLOOKUP(C1049, Channel_Listings!C:C, Channel_Listings!D:D)
</f>
        <v/>
      </c>
      <c r="E1049" s="15"/>
      <c r="F1049" s="16" t="str">
        <f t="array" ref="F1049">IFERROR(
  VALUE( INDEX(Product_Master!$I:$I,
               MATCH( INDEX(Pack_Master!$B:$B, MATCH($D1049, Pack_Master!$A:$A, 0)),
                      Product_Master!$B:$B, 0)
  )) 
  * VALUE( INDEX(Pack_Master!$C:$C, MATCH($D1049, Pack_Master!$A:$A, 0)) )
  + VALUE( INDEX(Pack_Master!$D:$D, MATCH($D1049, Pack_Master!$A:$A, 0)) ),
"")
</f>
        <v/>
      </c>
      <c r="G1049" s="17" t="str">
        <f t="array" ref="G1049">IFERROR(
 ( INDEX(Pack_Master!E:E, MATCH($D1049, Pack_Master!A:A, 0))
   * INDEX(Pack_Master!F:F, MATCH($D1049, Pack_Master!A:A, 0))
   * INDEX(Pack_Master!G:G, MATCH($D1049, Pack_Master!A:A, 0))
 ) / INDEX(Config!C:C, MATCH($A1049, Config!A:A, 0)),
"")
</f>
        <v/>
      </c>
      <c r="H1049" s="17" t="str">
        <f t="array" ref="H1049">MAX( INDEX(Pack_Master!H:H, MATCH($D1049, Pack_Master!A:A, 0)),
      IFERROR(G1049, 0) )
</f>
        <v>#N/A</v>
      </c>
      <c r="I1049" s="18" t="str">
        <f>IFERROR(__xludf.DUMMYFUNCTION("IFERROR(
 INDEX(
   FILTER(Shipping_Rate_Card!B:F, Shipping_Rate_Card!A:A=$A1049),
   MATCH($H1049, FILTER(Shipping_Rate_Card!B:B, Shipping_Rate_Card!A:A=$A1049), 1),
   IF( INDEX(Config!B:B, MATCH($A1049, Config!A:A, 0))=""Local"", 2,
     IF( INDEX(Conf"&amp;"ig!B:B, MATCH($A1049, Config!A:A, 0))=""Regional"", 3, 4 )
   )
 ),
"""")
"),"")</f>
        <v/>
      </c>
      <c r="J1049" s="16" t="str">
        <f>IFERROR(__xludf.DUMMYFUNCTION("IFERROR(
 ( E1049 * INDEX(FILTER(Pricing_Rules!E:E, Pricing_Rules!A:A=A1049, Pricing_Rules!B:B=B1049, Pricing_Rules!C:C&lt;=E1049, Pricing_Rules!D:D&gt;=E1049), 1)
   + INDEX(FILTER(Pricing_Rules!F:F, Pricing_Rules!A:A=A1049, Pricing_Rules!B:B=B1049, Pricing_Ru"&amp;"les!C:C&lt;=E1049, Pricing_Rules!D:D&gt;=E1049), 1)
 )
 * (1 + IFERROR( INDEX(Config!D:D, MATCH(A1049, Config!A:A, 0)), 0 )),
"""")
"),"")</f>
        <v/>
      </c>
      <c r="K1049" s="19">
        <f t="shared" si="3"/>
        <v>0</v>
      </c>
      <c r="L1049" s="20" t="str">
        <f t="shared" si="4"/>
        <v/>
      </c>
    </row>
    <row r="1050" ht="15.75" customHeight="1">
      <c r="A1050" s="9" t="s">
        <v>1162</v>
      </c>
      <c r="B1050" s="12" t="str">
        <f t="array" ref="B1050">XLOOKUP(C1050, Channel_Listings!C:C, Channel_Listings!B:B)
</f>
        <v/>
      </c>
      <c r="C1050" s="23" t="s">
        <v>1587</v>
      </c>
      <c r="D1050" s="14" t="str">
        <f t="array" ref="D1050">XLOOKUP(C1050, Channel_Listings!C:C, Channel_Listings!D:D)
</f>
        <v/>
      </c>
      <c r="E1050" s="15"/>
      <c r="F1050" s="16" t="str">
        <f t="array" ref="F1050">IFERROR(
  VALUE( INDEX(Product_Master!$I:$I,
               MATCH( INDEX(Pack_Master!$B:$B, MATCH($D1050, Pack_Master!$A:$A, 0)),
                      Product_Master!$B:$B, 0)
  )) 
  * VALUE( INDEX(Pack_Master!$C:$C, MATCH($D1050, Pack_Master!$A:$A, 0)) )
  + VALUE( INDEX(Pack_Master!$D:$D, MATCH($D1050, Pack_Master!$A:$A, 0)) ),
"")
</f>
        <v/>
      </c>
      <c r="G1050" s="17" t="str">
        <f t="array" ref="G1050">IFERROR(
 ( INDEX(Pack_Master!E:E, MATCH($D1050, Pack_Master!A:A, 0))
   * INDEX(Pack_Master!F:F, MATCH($D1050, Pack_Master!A:A, 0))
   * INDEX(Pack_Master!G:G, MATCH($D1050, Pack_Master!A:A, 0))
 ) / INDEX(Config!C:C, MATCH($A1050, Config!A:A, 0)),
"")
</f>
        <v/>
      </c>
      <c r="H1050" s="17" t="str">
        <f t="array" ref="H1050">MAX( INDEX(Pack_Master!H:H, MATCH($D1050, Pack_Master!A:A, 0)),
      IFERROR(G1050, 0) )
</f>
        <v>#N/A</v>
      </c>
      <c r="I1050" s="18" t="str">
        <f>IFERROR(__xludf.DUMMYFUNCTION("IFERROR(
 INDEX(
   FILTER(Shipping_Rate_Card!B:F, Shipping_Rate_Card!A:A=$A1050),
   MATCH($H1050, FILTER(Shipping_Rate_Card!B:B, Shipping_Rate_Card!A:A=$A1050), 1),
   IF( INDEX(Config!B:B, MATCH($A1050, Config!A:A, 0))=""Local"", 2,
     IF( INDEX(Conf"&amp;"ig!B:B, MATCH($A1050, Config!A:A, 0))=""Regional"", 3, 4 )
   )
 ),
"""")
"),"")</f>
        <v/>
      </c>
      <c r="J1050" s="16" t="str">
        <f>IFERROR(__xludf.DUMMYFUNCTION("IFERROR(
 ( E1050 * INDEX(FILTER(Pricing_Rules!E:E, Pricing_Rules!A:A=A1050, Pricing_Rules!B:B=B1050, Pricing_Rules!C:C&lt;=E1050, Pricing_Rules!D:D&gt;=E1050), 1)
   + INDEX(FILTER(Pricing_Rules!F:F, Pricing_Rules!A:A=A1050, Pricing_Rules!B:B=B1050, Pricing_Ru"&amp;"les!C:C&lt;=E1050, Pricing_Rules!D:D&gt;=E1050), 1)
 )
 * (1 + IFERROR( INDEX(Config!D:D, MATCH(A1050, Config!A:A, 0)), 0 )),
"""")
"),"")</f>
        <v/>
      </c>
      <c r="K1050" s="19">
        <f t="shared" si="3"/>
        <v>0</v>
      </c>
      <c r="L1050" s="20" t="str">
        <f t="shared" si="4"/>
        <v/>
      </c>
    </row>
    <row r="1051" ht="15.75" customHeight="1">
      <c r="A1051" s="9" t="s">
        <v>1162</v>
      </c>
      <c r="B1051" s="12" t="str">
        <f t="array" ref="B1051">XLOOKUP(C1051, Channel_Listings!C:C, Channel_Listings!B:B)
</f>
        <v>Garden_Planters</v>
      </c>
      <c r="C1051" s="23" t="s">
        <v>1589</v>
      </c>
      <c r="D1051" s="14" t="str">
        <f t="array" ref="D1051">XLOOKUP(C1051, Channel_Listings!C:C, Channel_Listings!D:D)
</f>
        <v>PLANTER-ROUND-MULTICOLOR8-PK5</v>
      </c>
      <c r="E1051" s="15"/>
      <c r="F1051" s="16">
        <f t="array" ref="F1051">IFERROR(
  VALUE( INDEX(Product_Master!$I:$I,
               MATCH( INDEX(Pack_Master!$B:$B, MATCH($D1051, Pack_Master!$A:$A, 0)),
                      Product_Master!$B:$B, 0)
  )) 
  * VALUE( INDEX(Pack_Master!$C:$C, MATCH($D1051, Pack_Master!$A:$A, 0)) )
  + VALUE( INDEX(Pack_Master!$D:$D, MATCH($D1051, Pack_Master!$A:$A, 0)) ),
"")
</f>
        <v>15</v>
      </c>
      <c r="G1051" s="17">
        <f t="array" ref="G1051">IFERROR(
 ( INDEX(Pack_Master!E:E, MATCH($D1051, Pack_Master!A:A, 0))
   * INDEX(Pack_Master!F:F, MATCH($D1051, Pack_Master!A:A, 0))
   * INDEX(Pack_Master!G:G, MATCH($D1051, Pack_Master!A:A, 0))
 ) / INDEX(Config!C:C, MATCH($A1051, Config!A:A, 0)),
"")
</f>
        <v>0</v>
      </c>
      <c r="H1051" s="17">
        <f t="array" ref="H1051">MAX( INDEX(Pack_Master!H:H, MATCH($D1051, Pack_Master!A:A, 0)),
      IFERROR(G1051, 0) )
</f>
        <v>0</v>
      </c>
      <c r="I1051" s="18" t="str">
        <f>IFERROR(__xludf.DUMMYFUNCTION("IFERROR(
 INDEX(
   FILTER(Shipping_Rate_Card!B:F, Shipping_Rate_Card!A:A=$A1051),
   MATCH($H1051, FILTER(Shipping_Rate_Card!B:B, Shipping_Rate_Card!A:A=$A1051), 1),
   IF( INDEX(Config!B:B, MATCH($A1051, Config!A:A, 0))=""Local"", 2,
     IF( INDEX(Conf"&amp;"ig!B:B, MATCH($A1051, Config!A:A, 0))=""Regional"", 3, 4 )
   )
 ),
"""")
"),"")</f>
        <v/>
      </c>
      <c r="J1051" s="16">
        <f>IFERROR(__xludf.DUMMYFUNCTION("IFERROR(
 ( E1051 * INDEX(FILTER(Pricing_Rules!E:E, Pricing_Rules!A:A=A1051, Pricing_Rules!B:B=B1051, Pricing_Rules!C:C&lt;=E1051, Pricing_Rules!D:D&gt;=E1051), 1)
   + INDEX(FILTER(Pricing_Rules!F:F, Pricing_Rules!A:A=A1051, Pricing_Rules!B:B=B1051, Pricing_Ru"&amp;"les!C:C&lt;=E1051, Pricing_Rules!D:D&gt;=E1051), 1)
 )
 * (1 + IFERROR( INDEX(Config!D:D, MATCH(A1051, Config!A:A, 0)), 0 )),
"""")
"),15.34)</f>
        <v>15.34</v>
      </c>
      <c r="K1051" s="19">
        <f t="shared" si="3"/>
        <v>-30.34</v>
      </c>
      <c r="L1051" s="20" t="str">
        <f t="shared" si="4"/>
        <v/>
      </c>
    </row>
    <row r="1052" ht="15.75" customHeight="1">
      <c r="A1052" s="9" t="s">
        <v>1162</v>
      </c>
      <c r="B1052" s="12" t="str">
        <f t="array" ref="B1052">XLOOKUP(C1052, Channel_Listings!C:C, Channel_Listings!B:B)
</f>
        <v>Apparel_Caps_Beanies</v>
      </c>
      <c r="C1052" s="23" t="s">
        <v>1591</v>
      </c>
      <c r="D1052" s="14" t="str">
        <f t="array" ref="D1052">XLOOKUP(C1052, Channel_Listings!C:C, Channel_Listings!D:D)
</f>
        <v>CAP-DRYFIT-NAVYBLUE</v>
      </c>
      <c r="E1052" s="15"/>
      <c r="F1052" s="16">
        <f t="array" ref="F1052">IFERROR(
  VALUE( INDEX(Product_Master!$I:$I,
               MATCH( INDEX(Pack_Master!$B:$B, MATCH($D1052, Pack_Master!$A:$A, 0)),
                      Product_Master!$B:$B, 0)
  )) 
  * VALUE( INDEX(Pack_Master!$C:$C, MATCH($D1052, Pack_Master!$A:$A, 0)) )
  + VALUE( INDEX(Pack_Master!$D:$D, MATCH($D1052, Pack_Master!$A:$A, 0)) ),
"")
</f>
        <v>2</v>
      </c>
      <c r="G1052" s="17">
        <f t="array" ref="G1052">IFERROR(
 ( INDEX(Pack_Master!E:E, MATCH($D1052, Pack_Master!A:A, 0))
   * INDEX(Pack_Master!F:F, MATCH($D1052, Pack_Master!A:A, 0))
   * INDEX(Pack_Master!G:G, MATCH($D1052, Pack_Master!A:A, 0))
 ) / INDEX(Config!C:C, MATCH($A1052, Config!A:A, 0)),
"")
</f>
        <v>0.375</v>
      </c>
      <c r="H1052" s="17">
        <f t="array" ref="H1052">MAX( INDEX(Pack_Master!H:H, MATCH($D1052, Pack_Master!A:A, 0)),
      IFERROR(G1052, 0) )
</f>
        <v>0.5</v>
      </c>
      <c r="I1052" s="18">
        <f>IFERROR(__xludf.DUMMYFUNCTION("IFERROR(
 INDEX(
   FILTER(Shipping_Rate_Card!B:F, Shipping_Rate_Card!A:A=$A1052),
   MATCH($H1052, FILTER(Shipping_Rate_Card!B:B, Shipping_Rate_Card!A:A=$A1052), 1),
   IF( INDEX(Config!B:B, MATCH($A1052, Config!A:A, 0))=""Local"", 2,
     IF( INDEX(Conf"&amp;"ig!B:B, MATCH($A1052, Config!A:A, 0))=""Regional"", 3, 4 )
   )
 ),
"""")
"),75.0)</f>
        <v>75</v>
      </c>
      <c r="J1052" s="16">
        <f>IFERROR(__xludf.DUMMYFUNCTION("IFERROR(
 ( E1052 * INDEX(FILTER(Pricing_Rules!E:E, Pricing_Rules!A:A=A1052, Pricing_Rules!B:B=B1052, Pricing_Rules!C:C&lt;=E1052, Pricing_Rules!D:D&gt;=E1052), 1)
   + INDEX(FILTER(Pricing_Rules!F:F, Pricing_Rules!A:A=A1052, Pricing_Rules!B:B=B1052, Pricing_Ru"&amp;"les!C:C&lt;=E1052, Pricing_Rules!D:D&gt;=E1052), 1)
 )
 * (1 + IFERROR( INDEX(Config!D:D, MATCH(A1052, Config!A:A, 0)), 0 )),
"""")
"),15.34)</f>
        <v>15.34</v>
      </c>
      <c r="K1052" s="19">
        <f t="shared" si="3"/>
        <v>-92.34</v>
      </c>
      <c r="L1052" s="20" t="str">
        <f t="shared" si="4"/>
        <v/>
      </c>
    </row>
    <row r="1053" ht="15.75" customHeight="1">
      <c r="A1053" s="9" t="s">
        <v>1162</v>
      </c>
      <c r="B1053" s="12" t="str">
        <f t="array" ref="B1053">XLOOKUP(C1053, Channel_Listings!C:C, Channel_Listings!B:B)
</f>
        <v>Other</v>
      </c>
      <c r="C1053" s="23" t="s">
        <v>1593</v>
      </c>
      <c r="D1053" s="14" t="str">
        <f t="array" ref="D1053">XLOOKUP(C1053, Channel_Listings!C:C, Channel_Listings!D:D)
</f>
        <v>SCISSOR-JUPITER-10INCH</v>
      </c>
      <c r="E1053" s="15"/>
      <c r="F1053" s="16">
        <f t="array" ref="F1053">IFERROR(
  VALUE( INDEX(Product_Master!$I:$I,
               MATCH( INDEX(Pack_Master!$B:$B, MATCH($D1053, Pack_Master!$A:$A, 0)),
                      Product_Master!$B:$B, 0)
  )) 
  * VALUE( INDEX(Pack_Master!$C:$C, MATCH($D1053, Pack_Master!$A:$A, 0)) )
  + VALUE( INDEX(Pack_Master!$D:$D, MATCH($D1053, Pack_Master!$A:$A, 0)) ),
"")
</f>
        <v>0</v>
      </c>
      <c r="G1053" s="17">
        <f t="array" ref="G1053">IFERROR(
 ( INDEX(Pack_Master!E:E, MATCH($D1053, Pack_Master!A:A, 0))
   * INDEX(Pack_Master!F:F, MATCH($D1053, Pack_Master!A:A, 0))
   * INDEX(Pack_Master!G:G, MATCH($D1053, Pack_Master!A:A, 0))
 ) / INDEX(Config!C:C, MATCH($A1053, Config!A:A, 0)),
"")
</f>
        <v>0</v>
      </c>
      <c r="H1053" s="17">
        <f t="array" ref="H1053">MAX( INDEX(Pack_Master!H:H, MATCH($D1053, Pack_Master!A:A, 0)),
      IFERROR(G1053, 0) )
</f>
        <v>0</v>
      </c>
      <c r="I1053" s="18" t="str">
        <f>IFERROR(__xludf.DUMMYFUNCTION("IFERROR(
 INDEX(
   FILTER(Shipping_Rate_Card!B:F, Shipping_Rate_Card!A:A=$A1053),
   MATCH($H1053, FILTER(Shipping_Rate_Card!B:B, Shipping_Rate_Card!A:A=$A1053), 1),
   IF( INDEX(Config!B:B, MATCH($A1053, Config!A:A, 0))=""Local"", 2,
     IF( INDEX(Conf"&amp;"ig!B:B, MATCH($A1053, Config!A:A, 0))=""Regional"", 3, 4 )
   )
 ),
"""")
"),"")</f>
        <v/>
      </c>
      <c r="J1053" s="16" t="str">
        <f>IFERROR(__xludf.DUMMYFUNCTION("IFERROR(
 ( E1053 * INDEX(FILTER(Pricing_Rules!E:E, Pricing_Rules!A:A=A1053, Pricing_Rules!B:B=B1053, Pricing_Rules!C:C&lt;=E1053, Pricing_Rules!D:D&gt;=E1053), 1)
   + INDEX(FILTER(Pricing_Rules!F:F, Pricing_Rules!A:A=A1053, Pricing_Rules!B:B=B1053, Pricing_Ru"&amp;"les!C:C&lt;=E1053, Pricing_Rules!D:D&gt;=E1053), 1)
 )
 * (1 + IFERROR( INDEX(Config!D:D, MATCH(A1053, Config!A:A, 0)), 0 )),
"""")
"),"")</f>
        <v/>
      </c>
      <c r="K1053" s="19">
        <f t="shared" si="3"/>
        <v>0</v>
      </c>
      <c r="L1053" s="20" t="str">
        <f t="shared" si="4"/>
        <v/>
      </c>
    </row>
    <row r="1054" ht="15.75" customHeight="1">
      <c r="A1054" s="9" t="s">
        <v>1162</v>
      </c>
      <c r="B1054" s="12" t="str">
        <f t="array" ref="B1054">XLOOKUP(C1054, Channel_Listings!C:C, Channel_Listings!B:B)
</f>
        <v>Other</v>
      </c>
      <c r="C1054" s="23" t="s">
        <v>1595</v>
      </c>
      <c r="D1054" s="14" t="str">
        <f t="array" ref="D1054">XLOOKUP(C1054, Channel_Listings!C:C, Channel_Listings!D:D)
</f>
        <v>SCISSOR-JUPITER-11INCH</v>
      </c>
      <c r="E1054" s="15"/>
      <c r="F1054" s="16">
        <f t="array" ref="F1054">IFERROR(
  VALUE( INDEX(Product_Master!$I:$I,
               MATCH( INDEX(Pack_Master!$B:$B, MATCH($D1054, Pack_Master!$A:$A, 0)),
                      Product_Master!$B:$B, 0)
  )) 
  * VALUE( INDEX(Pack_Master!$C:$C, MATCH($D1054, Pack_Master!$A:$A, 0)) )
  + VALUE( INDEX(Pack_Master!$D:$D, MATCH($D1054, Pack_Master!$A:$A, 0)) ),
"")
</f>
        <v>0</v>
      </c>
      <c r="G1054" s="17">
        <f t="array" ref="G1054">IFERROR(
 ( INDEX(Pack_Master!E:E, MATCH($D1054, Pack_Master!A:A, 0))
   * INDEX(Pack_Master!F:F, MATCH($D1054, Pack_Master!A:A, 0))
   * INDEX(Pack_Master!G:G, MATCH($D1054, Pack_Master!A:A, 0))
 ) / INDEX(Config!C:C, MATCH($A1054, Config!A:A, 0)),
"")
</f>
        <v>0</v>
      </c>
      <c r="H1054" s="17">
        <f t="array" ref="H1054">MAX( INDEX(Pack_Master!H:H, MATCH($D1054, Pack_Master!A:A, 0)),
      IFERROR(G1054, 0) )
</f>
        <v>0</v>
      </c>
      <c r="I1054" s="18" t="str">
        <f>IFERROR(__xludf.DUMMYFUNCTION("IFERROR(
 INDEX(
   FILTER(Shipping_Rate_Card!B:F, Shipping_Rate_Card!A:A=$A1054),
   MATCH($H1054, FILTER(Shipping_Rate_Card!B:B, Shipping_Rate_Card!A:A=$A1054), 1),
   IF( INDEX(Config!B:B, MATCH($A1054, Config!A:A, 0))=""Local"", 2,
     IF( INDEX(Conf"&amp;"ig!B:B, MATCH($A1054, Config!A:A, 0))=""Regional"", 3, 4 )
   )
 ),
"""")
"),"")</f>
        <v/>
      </c>
      <c r="J1054" s="16" t="str">
        <f>IFERROR(__xludf.DUMMYFUNCTION("IFERROR(
 ( E1054 * INDEX(FILTER(Pricing_Rules!E:E, Pricing_Rules!A:A=A1054, Pricing_Rules!B:B=B1054, Pricing_Rules!C:C&lt;=E1054, Pricing_Rules!D:D&gt;=E1054), 1)
   + INDEX(FILTER(Pricing_Rules!F:F, Pricing_Rules!A:A=A1054, Pricing_Rules!B:B=B1054, Pricing_Ru"&amp;"les!C:C&lt;=E1054, Pricing_Rules!D:D&gt;=E1054), 1)
 )
 * (1 + IFERROR( INDEX(Config!D:D, MATCH(A1054, Config!A:A, 0)), 0 )),
"""")
"),"")</f>
        <v/>
      </c>
      <c r="K1054" s="19">
        <f t="shared" si="3"/>
        <v>0</v>
      </c>
      <c r="L1054" s="20" t="str">
        <f t="shared" si="4"/>
        <v/>
      </c>
    </row>
    <row r="1055" ht="15.75" customHeight="1">
      <c r="A1055" s="9" t="s">
        <v>1162</v>
      </c>
      <c r="B1055" s="12" t="str">
        <f t="array" ref="B1055">XLOOKUP(C1055, Channel_Listings!C:C, Channel_Listings!B:B)
</f>
        <v>Apparel_Caps_Beanies</v>
      </c>
      <c r="C1055" s="23" t="s">
        <v>1597</v>
      </c>
      <c r="D1055" s="14" t="str">
        <f t="array" ref="D1055">XLOOKUP(C1055, Channel_Listings!C:C, Channel_Listings!D:D)
</f>
        <v>CAP-BASEBALL-NY-GREYWHITE</v>
      </c>
      <c r="E1055" s="15"/>
      <c r="F1055" s="16">
        <f t="array" ref="F1055">IFERROR(
  VALUE( INDEX(Product_Master!$I:$I,
               MATCH( INDEX(Pack_Master!$B:$B, MATCH($D1055, Pack_Master!$A:$A, 0)),
                      Product_Master!$B:$B, 0)
  )) 
  * VALUE( INDEX(Pack_Master!$C:$C, MATCH($D1055, Pack_Master!$A:$A, 0)) )
  + VALUE( INDEX(Pack_Master!$D:$D, MATCH($D1055, Pack_Master!$A:$A, 0)) ),
"")
</f>
        <v>2</v>
      </c>
      <c r="G1055" s="17">
        <f t="array" ref="G1055">IFERROR(
 ( INDEX(Pack_Master!E:E, MATCH($D1055, Pack_Master!A:A, 0))
   * INDEX(Pack_Master!F:F, MATCH($D1055, Pack_Master!A:A, 0))
   * INDEX(Pack_Master!G:G, MATCH($D1055, Pack_Master!A:A, 0))
 ) / INDEX(Config!C:C, MATCH($A1055, Config!A:A, 0)),
"")
</f>
        <v>0.375</v>
      </c>
      <c r="H1055" s="17">
        <f t="array" ref="H1055">MAX( INDEX(Pack_Master!H:H, MATCH($D1055, Pack_Master!A:A, 0)),
      IFERROR(G1055, 0) )
</f>
        <v>0.5</v>
      </c>
      <c r="I1055" s="18">
        <f>IFERROR(__xludf.DUMMYFUNCTION("IFERROR(
 INDEX(
   FILTER(Shipping_Rate_Card!B:F, Shipping_Rate_Card!A:A=$A1055),
   MATCH($H1055, FILTER(Shipping_Rate_Card!B:B, Shipping_Rate_Card!A:A=$A1055), 1),
   IF( INDEX(Config!B:B, MATCH($A1055, Config!A:A, 0))=""Local"", 2,
     IF( INDEX(Conf"&amp;"ig!B:B, MATCH($A1055, Config!A:A, 0))=""Regional"", 3, 4 )
   )
 ),
"""")
"),75.0)</f>
        <v>75</v>
      </c>
      <c r="J1055" s="16">
        <f>IFERROR(__xludf.DUMMYFUNCTION("IFERROR(
 ( E1055 * INDEX(FILTER(Pricing_Rules!E:E, Pricing_Rules!A:A=A1055, Pricing_Rules!B:B=B1055, Pricing_Rules!C:C&lt;=E1055, Pricing_Rules!D:D&gt;=E1055), 1)
   + INDEX(FILTER(Pricing_Rules!F:F, Pricing_Rules!A:A=A1055, Pricing_Rules!B:B=B1055, Pricing_Ru"&amp;"les!C:C&lt;=E1055, Pricing_Rules!D:D&gt;=E1055), 1)
 )
 * (1 + IFERROR( INDEX(Config!D:D, MATCH(A1055, Config!A:A, 0)), 0 )),
"""")
"),15.34)</f>
        <v>15.34</v>
      </c>
      <c r="K1055" s="19">
        <f t="shared" si="3"/>
        <v>-92.34</v>
      </c>
      <c r="L1055" s="20" t="str">
        <f t="shared" si="4"/>
        <v/>
      </c>
    </row>
    <row r="1056" ht="15.75" customHeight="1">
      <c r="A1056" s="9" t="s">
        <v>1162</v>
      </c>
      <c r="B1056" s="12" t="str">
        <f t="array" ref="B1056">XLOOKUP(C1056, Channel_Listings!C:C, Channel_Listings!B:B)
</f>
        <v>Apparel_Caps_Beanies</v>
      </c>
      <c r="C1056" s="23" t="s">
        <v>1599</v>
      </c>
      <c r="D1056" s="14" t="str">
        <f t="array" ref="D1056">XLOOKUP(C1056, Channel_Listings!C:C, Channel_Listings!D:D)
</f>
        <v>CAP-BASEBALL-NY-OLIVEWHITE</v>
      </c>
      <c r="E1056" s="15"/>
      <c r="F1056" s="16">
        <f t="array" ref="F1056">IFERROR(
  VALUE( INDEX(Product_Master!$I:$I,
               MATCH( INDEX(Pack_Master!$B:$B, MATCH($D1056, Pack_Master!$A:$A, 0)),
                      Product_Master!$B:$B, 0)
  )) 
  * VALUE( INDEX(Pack_Master!$C:$C, MATCH($D1056, Pack_Master!$A:$A, 0)) )
  + VALUE( INDEX(Pack_Master!$D:$D, MATCH($D1056, Pack_Master!$A:$A, 0)) ),
"")
</f>
        <v>2</v>
      </c>
      <c r="G1056" s="17">
        <f t="array" ref="G1056">IFERROR(
 ( INDEX(Pack_Master!E:E, MATCH($D1056, Pack_Master!A:A, 0))
   * INDEX(Pack_Master!F:F, MATCH($D1056, Pack_Master!A:A, 0))
   * INDEX(Pack_Master!G:G, MATCH($D1056, Pack_Master!A:A, 0))
 ) / INDEX(Config!C:C, MATCH($A1056, Config!A:A, 0)),
"")
</f>
        <v>0.375</v>
      </c>
      <c r="H1056" s="17">
        <f t="array" ref="H1056">MAX( INDEX(Pack_Master!H:H, MATCH($D1056, Pack_Master!A:A, 0)),
      IFERROR(G1056, 0) )
</f>
        <v>0.5</v>
      </c>
      <c r="I1056" s="18">
        <f>IFERROR(__xludf.DUMMYFUNCTION("IFERROR(
 INDEX(
   FILTER(Shipping_Rate_Card!B:F, Shipping_Rate_Card!A:A=$A1056),
   MATCH($H1056, FILTER(Shipping_Rate_Card!B:B, Shipping_Rate_Card!A:A=$A1056), 1),
   IF( INDEX(Config!B:B, MATCH($A1056, Config!A:A, 0))=""Local"", 2,
     IF( INDEX(Conf"&amp;"ig!B:B, MATCH($A1056, Config!A:A, 0))=""Regional"", 3, 4 )
   )
 ),
"""")
"),75.0)</f>
        <v>75</v>
      </c>
      <c r="J1056" s="16">
        <f>IFERROR(__xludf.DUMMYFUNCTION("IFERROR(
 ( E1056 * INDEX(FILTER(Pricing_Rules!E:E, Pricing_Rules!A:A=A1056, Pricing_Rules!B:B=B1056, Pricing_Rules!C:C&lt;=E1056, Pricing_Rules!D:D&gt;=E1056), 1)
   + INDEX(FILTER(Pricing_Rules!F:F, Pricing_Rules!A:A=A1056, Pricing_Rules!B:B=B1056, Pricing_Ru"&amp;"les!C:C&lt;=E1056, Pricing_Rules!D:D&gt;=E1056), 1)
 )
 * (1 + IFERROR( INDEX(Config!D:D, MATCH(A1056, Config!A:A, 0)), 0 )),
"""")
"),15.34)</f>
        <v>15.34</v>
      </c>
      <c r="K1056" s="19">
        <f t="shared" si="3"/>
        <v>-92.34</v>
      </c>
      <c r="L1056" s="20" t="str">
        <f t="shared" si="4"/>
        <v/>
      </c>
    </row>
    <row r="1057" ht="15.75" customHeight="1">
      <c r="A1057" s="9" t="s">
        <v>1162</v>
      </c>
      <c r="B1057" s="12" t="str">
        <f t="array" ref="B1057">XLOOKUP(C1057, Channel_Listings!C:C, Channel_Listings!B:B)
</f>
        <v>Apparel_Caps_Beanies</v>
      </c>
      <c r="C1057" s="23" t="s">
        <v>1602</v>
      </c>
      <c r="D1057" s="14" t="str">
        <f t="array" ref="D1057">XLOOKUP(C1057, Channel_Listings!C:C, Channel_Listings!D:D)
</f>
        <v>CAP-BASEBALL-NY-WHITEBLACK</v>
      </c>
      <c r="E1057" s="15"/>
      <c r="F1057" s="16">
        <f t="array" ref="F1057">IFERROR(
  VALUE( INDEX(Product_Master!$I:$I,
               MATCH( INDEX(Pack_Master!$B:$B, MATCH($D1057, Pack_Master!$A:$A, 0)),
                      Product_Master!$B:$B, 0)
  )) 
  * VALUE( INDEX(Pack_Master!$C:$C, MATCH($D1057, Pack_Master!$A:$A, 0)) )
  + VALUE( INDEX(Pack_Master!$D:$D, MATCH($D1057, Pack_Master!$A:$A, 0)) ),
"")
</f>
        <v>2</v>
      </c>
      <c r="G1057" s="17">
        <f t="array" ref="G1057">IFERROR(
 ( INDEX(Pack_Master!E:E, MATCH($D1057, Pack_Master!A:A, 0))
   * INDEX(Pack_Master!F:F, MATCH($D1057, Pack_Master!A:A, 0))
   * INDEX(Pack_Master!G:G, MATCH($D1057, Pack_Master!A:A, 0))
 ) / INDEX(Config!C:C, MATCH($A1057, Config!A:A, 0)),
"")
</f>
        <v>0.375</v>
      </c>
      <c r="H1057" s="17">
        <f t="array" ref="H1057">MAX( INDEX(Pack_Master!H:H, MATCH($D1057, Pack_Master!A:A, 0)),
      IFERROR(G1057, 0) )
</f>
        <v>0.5</v>
      </c>
      <c r="I1057" s="18">
        <f>IFERROR(__xludf.DUMMYFUNCTION("IFERROR(
 INDEX(
   FILTER(Shipping_Rate_Card!B:F, Shipping_Rate_Card!A:A=$A1057),
   MATCH($H1057, FILTER(Shipping_Rate_Card!B:B, Shipping_Rate_Card!A:A=$A1057), 1),
   IF( INDEX(Config!B:B, MATCH($A1057, Config!A:A, 0))=""Local"", 2,
     IF( INDEX(Conf"&amp;"ig!B:B, MATCH($A1057, Config!A:A, 0))=""Regional"", 3, 4 )
   )
 ),
"""")
"),75.0)</f>
        <v>75</v>
      </c>
      <c r="J1057" s="16">
        <f>IFERROR(__xludf.DUMMYFUNCTION("IFERROR(
 ( E1057 * INDEX(FILTER(Pricing_Rules!E:E, Pricing_Rules!A:A=A1057, Pricing_Rules!B:B=B1057, Pricing_Rules!C:C&lt;=E1057, Pricing_Rules!D:D&gt;=E1057), 1)
   + INDEX(FILTER(Pricing_Rules!F:F, Pricing_Rules!A:A=A1057, Pricing_Rules!B:B=B1057, Pricing_Ru"&amp;"les!C:C&lt;=E1057, Pricing_Rules!D:D&gt;=E1057), 1)
 )
 * (1 + IFERROR( INDEX(Config!D:D, MATCH(A1057, Config!A:A, 0)), 0 )),
"""")
"),15.34)</f>
        <v>15.34</v>
      </c>
      <c r="K1057" s="19">
        <f t="shared" si="3"/>
        <v>-92.34</v>
      </c>
      <c r="L1057" s="20" t="str">
        <f t="shared" si="4"/>
        <v/>
      </c>
    </row>
    <row r="1058" ht="15.75" customHeight="1">
      <c r="A1058" s="9" t="s">
        <v>1162</v>
      </c>
      <c r="B1058" s="12" t="str">
        <f t="array" ref="B1058">XLOOKUP(C1058, Channel_Listings!C:C, Channel_Listings!B:B)
</f>
        <v>Apparel_ArmSleeves</v>
      </c>
      <c r="C1058" s="23" t="s">
        <v>1604</v>
      </c>
      <c r="D1058" s="14" t="str">
        <f t="array" ref="D1058">XLOOKUP(C1058, Channel_Listings!C:C, Channel_Listings!D:D)
</f>
        <v>ARMSLEEVES-FULL-BLACK</v>
      </c>
      <c r="E1058" s="15"/>
      <c r="F1058" s="16">
        <f t="array" ref="F1058">IFERROR(
  VALUE( INDEX(Product_Master!$I:$I,
               MATCH( INDEX(Pack_Master!$B:$B, MATCH($D1058, Pack_Master!$A:$A, 0)),
                      Product_Master!$B:$B, 0)
  )) 
  * VALUE( INDEX(Pack_Master!$C:$C, MATCH($D1058, Pack_Master!$A:$A, 0)) )
  + VALUE( INDEX(Pack_Master!$D:$D, MATCH($D1058, Pack_Master!$A:$A, 0)) ),
"")
</f>
        <v>0</v>
      </c>
      <c r="G1058" s="17">
        <f t="array" ref="G1058">IFERROR(
 ( INDEX(Pack_Master!E:E, MATCH($D1058, Pack_Master!A:A, 0))
   * INDEX(Pack_Master!F:F, MATCH($D1058, Pack_Master!A:A, 0))
   * INDEX(Pack_Master!G:G, MATCH($D1058, Pack_Master!A:A, 0))
 ) / INDEX(Config!C:C, MATCH($A1058, Config!A:A, 0)),
"")
</f>
        <v>0</v>
      </c>
      <c r="H1058" s="17">
        <f t="array" ref="H1058">MAX( INDEX(Pack_Master!H:H, MATCH($D1058, Pack_Master!A:A, 0)),
      IFERROR(G1058, 0) )
</f>
        <v>0</v>
      </c>
      <c r="I1058" s="18" t="str">
        <f>IFERROR(__xludf.DUMMYFUNCTION("IFERROR(
 INDEX(
   FILTER(Shipping_Rate_Card!B:F, Shipping_Rate_Card!A:A=$A1058),
   MATCH($H1058, FILTER(Shipping_Rate_Card!B:B, Shipping_Rate_Card!A:A=$A1058), 1),
   IF( INDEX(Config!B:B, MATCH($A1058, Config!A:A, 0))=""Local"", 2,
     IF( INDEX(Conf"&amp;"ig!B:B, MATCH($A1058, Config!A:A, 0))=""Regional"", 3, 4 )
   )
 ),
"""")
"),"")</f>
        <v/>
      </c>
      <c r="J1058" s="16">
        <f>IFERROR(__xludf.DUMMYFUNCTION("IFERROR(
 ( E1058 * INDEX(FILTER(Pricing_Rules!E:E, Pricing_Rules!A:A=A1058, Pricing_Rules!B:B=B1058, Pricing_Rules!C:C&lt;=E1058, Pricing_Rules!D:D&gt;=E1058), 1)
   + INDEX(FILTER(Pricing_Rules!F:F, Pricing_Rules!A:A=A1058, Pricing_Rules!B:B=B1058, Pricing_Ru"&amp;"les!C:C&lt;=E1058, Pricing_Rules!D:D&gt;=E1058), 1)
 )
 * (1 + IFERROR( INDEX(Config!D:D, MATCH(A1058, Config!A:A, 0)), 0 )),
"""")
"),0.0)</f>
        <v>0</v>
      </c>
      <c r="K1058" s="19">
        <f t="shared" si="3"/>
        <v>0</v>
      </c>
      <c r="L1058" s="20" t="str">
        <f t="shared" si="4"/>
        <v/>
      </c>
    </row>
    <row r="1059" ht="15.75" customHeight="1">
      <c r="A1059" s="9" t="s">
        <v>1162</v>
      </c>
      <c r="B1059" s="12" t="str">
        <f t="array" ref="B1059">XLOOKUP(C1059, Channel_Listings!C:C, Channel_Listings!B:B)
</f>
        <v>Apparel_ArmSleeves</v>
      </c>
      <c r="C1059" s="23" t="s">
        <v>1606</v>
      </c>
      <c r="D1059" s="14" t="str">
        <f t="array" ref="D1059">XLOOKUP(C1059, Channel_Listings!C:C, Channel_Listings!D:D)
</f>
        <v>ARMSLEEVES-HALF-WHITE</v>
      </c>
      <c r="E1059" s="15"/>
      <c r="F1059" s="16">
        <f t="array" ref="F1059">IFERROR(
  VALUE( INDEX(Product_Master!$I:$I,
               MATCH( INDEX(Pack_Master!$B:$B, MATCH($D1059, Pack_Master!$A:$A, 0)),
                      Product_Master!$B:$B, 0)
  )) 
  * VALUE( INDEX(Pack_Master!$C:$C, MATCH($D1059, Pack_Master!$A:$A, 0)) )
  + VALUE( INDEX(Pack_Master!$D:$D, MATCH($D1059, Pack_Master!$A:$A, 0)) ),
"")
</f>
        <v>0</v>
      </c>
      <c r="G1059" s="17">
        <f t="array" ref="G1059">IFERROR(
 ( INDEX(Pack_Master!E:E, MATCH($D1059, Pack_Master!A:A, 0))
   * INDEX(Pack_Master!F:F, MATCH($D1059, Pack_Master!A:A, 0))
   * INDEX(Pack_Master!G:G, MATCH($D1059, Pack_Master!A:A, 0))
 ) / INDEX(Config!C:C, MATCH($A1059, Config!A:A, 0)),
"")
</f>
        <v>0</v>
      </c>
      <c r="H1059" s="17">
        <f t="array" ref="H1059">MAX( INDEX(Pack_Master!H:H, MATCH($D1059, Pack_Master!A:A, 0)),
      IFERROR(G1059, 0) )
</f>
        <v>0</v>
      </c>
      <c r="I1059" s="18" t="str">
        <f>IFERROR(__xludf.DUMMYFUNCTION("IFERROR(
 INDEX(
   FILTER(Shipping_Rate_Card!B:F, Shipping_Rate_Card!A:A=$A1059),
   MATCH($H1059, FILTER(Shipping_Rate_Card!B:B, Shipping_Rate_Card!A:A=$A1059), 1),
   IF( INDEX(Config!B:B, MATCH($A1059, Config!A:A, 0))=""Local"", 2,
     IF( INDEX(Conf"&amp;"ig!B:B, MATCH($A1059, Config!A:A, 0))=""Regional"", 3, 4 )
   )
 ),
"""")
"),"")</f>
        <v/>
      </c>
      <c r="J1059" s="16">
        <f>IFERROR(__xludf.DUMMYFUNCTION("IFERROR(
 ( E1059 * INDEX(FILTER(Pricing_Rules!E:E, Pricing_Rules!A:A=A1059, Pricing_Rules!B:B=B1059, Pricing_Rules!C:C&lt;=E1059, Pricing_Rules!D:D&gt;=E1059), 1)
   + INDEX(FILTER(Pricing_Rules!F:F, Pricing_Rules!A:A=A1059, Pricing_Rules!B:B=B1059, Pricing_Ru"&amp;"les!C:C&lt;=E1059, Pricing_Rules!D:D&gt;=E1059), 1)
 )
 * (1 + IFERROR( INDEX(Config!D:D, MATCH(A1059, Config!A:A, 0)), 0 )),
"""")
"),0.0)</f>
        <v>0</v>
      </c>
      <c r="K1059" s="19">
        <f t="shared" si="3"/>
        <v>0</v>
      </c>
      <c r="L1059" s="20" t="str">
        <f t="shared" si="4"/>
        <v/>
      </c>
    </row>
    <row r="1060" ht="15.75" customHeight="1">
      <c r="A1060" s="9" t="s">
        <v>1162</v>
      </c>
      <c r="B1060" s="12" t="str">
        <f t="array" ref="B1060">XLOOKUP(C1060, Channel_Listings!C:C, Channel_Listings!B:B)
</f>
        <v>Apparel_Hoodies_Sweatshirts</v>
      </c>
      <c r="C1060" s="23" t="s">
        <v>1067</v>
      </c>
      <c r="D1060" s="14" t="str">
        <f t="array" ref="D1060">XLOOKUP(C1060, Channel_Listings!C:C, Channel_Listings!D:D)
</f>
        <v>SWEATSHIRT-BLACK-SOLID-L</v>
      </c>
      <c r="E1060" s="15"/>
      <c r="F1060" s="16">
        <f t="array" ref="F1060">IFERROR(
  VALUE( INDEX(Product_Master!$I:$I,
               MATCH( INDEX(Pack_Master!$B:$B, MATCH($D1060, Pack_Master!$A:$A, 0)),
                      Product_Master!$B:$B, 0)
  )) 
  * VALUE( INDEX(Pack_Master!$C:$C, MATCH($D1060, Pack_Master!$A:$A, 0)) )
  + VALUE( INDEX(Pack_Master!$D:$D, MATCH($D1060, Pack_Master!$A:$A, 0)) ),
"")
</f>
        <v>0</v>
      </c>
      <c r="G1060" s="17">
        <f t="array" ref="G1060">IFERROR(
 ( INDEX(Pack_Master!E:E, MATCH($D1060, Pack_Master!A:A, 0))
   * INDEX(Pack_Master!F:F, MATCH($D1060, Pack_Master!A:A, 0))
   * INDEX(Pack_Master!G:G, MATCH($D1060, Pack_Master!A:A, 0))
 ) / INDEX(Config!C:C, MATCH($A1060, Config!A:A, 0)),
"")
</f>
        <v>0</v>
      </c>
      <c r="H1060" s="17">
        <f t="array" ref="H1060">MAX( INDEX(Pack_Master!H:H, MATCH($D1060, Pack_Master!A:A, 0)),
      IFERROR(G1060, 0) )
</f>
        <v>0</v>
      </c>
      <c r="I1060" s="18" t="str">
        <f>IFERROR(__xludf.DUMMYFUNCTION("IFERROR(
 INDEX(
   FILTER(Shipping_Rate_Card!B:F, Shipping_Rate_Card!A:A=$A1060),
   MATCH($H1060, FILTER(Shipping_Rate_Card!B:B, Shipping_Rate_Card!A:A=$A1060), 1),
   IF( INDEX(Config!B:B, MATCH($A1060, Config!A:A, 0))=""Local"", 2,
     IF( INDEX(Conf"&amp;"ig!B:B, MATCH($A1060, Config!A:A, 0))=""Regional"", 3, 4 )
   )
 ),
"""")
"),"")</f>
        <v/>
      </c>
      <c r="J1060" s="16">
        <f>IFERROR(__xludf.DUMMYFUNCTION("IFERROR(
 ( E1060 * INDEX(FILTER(Pricing_Rules!E:E, Pricing_Rules!A:A=A1060, Pricing_Rules!B:B=B1060, Pricing_Rules!C:C&lt;=E1060, Pricing_Rules!D:D&gt;=E1060), 1)
   + INDEX(FILTER(Pricing_Rules!F:F, Pricing_Rules!A:A=A1060, Pricing_Rules!B:B=B1060, Pricing_Ru"&amp;"les!C:C&lt;=E1060, Pricing_Rules!D:D&gt;=E1060), 1)
 )
 * (1 + IFERROR( INDEX(Config!D:D, MATCH(A1060, Config!A:A, 0)), 0 )),
"""")
"),15.34)</f>
        <v>15.34</v>
      </c>
      <c r="K1060" s="19">
        <f t="shared" si="3"/>
        <v>-15.34</v>
      </c>
      <c r="L1060" s="20" t="str">
        <f t="shared" si="4"/>
        <v/>
      </c>
    </row>
    <row r="1061" ht="15.75" customHeight="1">
      <c r="A1061" s="9" t="s">
        <v>1162</v>
      </c>
      <c r="B1061" s="12" t="str">
        <f t="array" ref="B1061">XLOOKUP(C1061, Channel_Listings!C:C, Channel_Listings!B:B)
</f>
        <v>Apparel_Hoodies_Sweatshirts</v>
      </c>
      <c r="C1061" s="23" t="s">
        <v>1068</v>
      </c>
      <c r="D1061" s="14" t="str">
        <f t="array" ref="D1061">XLOOKUP(C1061, Channel_Listings!C:C, Channel_Listings!D:D)
</f>
        <v>SWEATSHIRT-BLACK-SOLID-XL</v>
      </c>
      <c r="E1061" s="15"/>
      <c r="F1061" s="16">
        <f t="array" ref="F1061">IFERROR(
  VALUE( INDEX(Product_Master!$I:$I,
               MATCH( INDEX(Pack_Master!$B:$B, MATCH($D1061, Pack_Master!$A:$A, 0)),
                      Product_Master!$B:$B, 0)
  )) 
  * VALUE( INDEX(Pack_Master!$C:$C, MATCH($D1061, Pack_Master!$A:$A, 0)) )
  + VALUE( INDEX(Pack_Master!$D:$D, MATCH($D1061, Pack_Master!$A:$A, 0)) ),
"")
</f>
        <v>0</v>
      </c>
      <c r="G1061" s="17">
        <f t="array" ref="G1061">IFERROR(
 ( INDEX(Pack_Master!E:E, MATCH($D1061, Pack_Master!A:A, 0))
   * INDEX(Pack_Master!F:F, MATCH($D1061, Pack_Master!A:A, 0))
   * INDEX(Pack_Master!G:G, MATCH($D1061, Pack_Master!A:A, 0))
 ) / INDEX(Config!C:C, MATCH($A1061, Config!A:A, 0)),
"")
</f>
        <v>0</v>
      </c>
      <c r="H1061" s="17">
        <f t="array" ref="H1061">MAX( INDEX(Pack_Master!H:H, MATCH($D1061, Pack_Master!A:A, 0)),
      IFERROR(G1061, 0) )
</f>
        <v>0</v>
      </c>
      <c r="I1061" s="18" t="str">
        <f>IFERROR(__xludf.DUMMYFUNCTION("IFERROR(
 INDEX(
   FILTER(Shipping_Rate_Card!B:F, Shipping_Rate_Card!A:A=$A1061),
   MATCH($H1061, FILTER(Shipping_Rate_Card!B:B, Shipping_Rate_Card!A:A=$A1061), 1),
   IF( INDEX(Config!B:B, MATCH($A1061, Config!A:A, 0))=""Local"", 2,
     IF( INDEX(Conf"&amp;"ig!B:B, MATCH($A1061, Config!A:A, 0))=""Regional"", 3, 4 )
   )
 ),
"""")
"),"")</f>
        <v/>
      </c>
      <c r="J1061" s="16">
        <f>IFERROR(__xludf.DUMMYFUNCTION("IFERROR(
 ( E1061 * INDEX(FILTER(Pricing_Rules!E:E, Pricing_Rules!A:A=A1061, Pricing_Rules!B:B=B1061, Pricing_Rules!C:C&lt;=E1061, Pricing_Rules!D:D&gt;=E1061), 1)
   + INDEX(FILTER(Pricing_Rules!F:F, Pricing_Rules!A:A=A1061, Pricing_Rules!B:B=B1061, Pricing_Ru"&amp;"les!C:C&lt;=E1061, Pricing_Rules!D:D&gt;=E1061), 1)
 )
 * (1 + IFERROR( INDEX(Config!D:D, MATCH(A1061, Config!A:A, 0)), 0 )),
"""")
"),15.34)</f>
        <v>15.34</v>
      </c>
      <c r="K1061" s="19">
        <f t="shared" si="3"/>
        <v>-15.34</v>
      </c>
      <c r="L1061" s="20" t="str">
        <f t="shared" si="4"/>
        <v/>
      </c>
    </row>
    <row r="1062" ht="15.75" customHeight="1">
      <c r="A1062" s="9" t="s">
        <v>1162</v>
      </c>
      <c r="B1062" s="12" t="str">
        <f t="array" ref="B1062">XLOOKUP(C1062, Channel_Listings!C:C, Channel_Listings!B:B)
</f>
        <v>Apparel_Hoodies_Sweatshirts</v>
      </c>
      <c r="C1062" s="23" t="s">
        <v>1069</v>
      </c>
      <c r="D1062" s="14" t="str">
        <f t="array" ref="D1062">XLOOKUP(C1062, Channel_Listings!C:C, Channel_Listings!D:D)
</f>
        <v>SWEATSHIRT-BLACK-SOLID-XXL</v>
      </c>
      <c r="E1062" s="15"/>
      <c r="F1062" s="16">
        <f t="array" ref="F1062">IFERROR(
  VALUE( INDEX(Product_Master!$I:$I,
               MATCH( INDEX(Pack_Master!$B:$B, MATCH($D1062, Pack_Master!$A:$A, 0)),
                      Product_Master!$B:$B, 0)
  )) 
  * VALUE( INDEX(Pack_Master!$C:$C, MATCH($D1062, Pack_Master!$A:$A, 0)) )
  + VALUE( INDEX(Pack_Master!$D:$D, MATCH($D1062, Pack_Master!$A:$A, 0)) ),
"")
</f>
        <v>0</v>
      </c>
      <c r="G1062" s="17">
        <f t="array" ref="G1062">IFERROR(
 ( INDEX(Pack_Master!E:E, MATCH($D1062, Pack_Master!A:A, 0))
   * INDEX(Pack_Master!F:F, MATCH($D1062, Pack_Master!A:A, 0))
   * INDEX(Pack_Master!G:G, MATCH($D1062, Pack_Master!A:A, 0))
 ) / INDEX(Config!C:C, MATCH($A1062, Config!A:A, 0)),
"")
</f>
        <v>0</v>
      </c>
      <c r="H1062" s="17">
        <f t="array" ref="H1062">MAX( INDEX(Pack_Master!H:H, MATCH($D1062, Pack_Master!A:A, 0)),
      IFERROR(G1062, 0) )
</f>
        <v>0</v>
      </c>
      <c r="I1062" s="18" t="str">
        <f>IFERROR(__xludf.DUMMYFUNCTION("IFERROR(
 INDEX(
   FILTER(Shipping_Rate_Card!B:F, Shipping_Rate_Card!A:A=$A1062),
   MATCH($H1062, FILTER(Shipping_Rate_Card!B:B, Shipping_Rate_Card!A:A=$A1062), 1),
   IF( INDEX(Config!B:B, MATCH($A1062, Config!A:A, 0))=""Local"", 2,
     IF( INDEX(Conf"&amp;"ig!B:B, MATCH($A1062, Config!A:A, 0))=""Regional"", 3, 4 )
   )
 ),
"""")
"),"")</f>
        <v/>
      </c>
      <c r="J1062" s="16">
        <f>IFERROR(__xludf.DUMMYFUNCTION("IFERROR(
 ( E1062 * INDEX(FILTER(Pricing_Rules!E:E, Pricing_Rules!A:A=A1062, Pricing_Rules!B:B=B1062, Pricing_Rules!C:C&lt;=E1062, Pricing_Rules!D:D&gt;=E1062), 1)
   + INDEX(FILTER(Pricing_Rules!F:F, Pricing_Rules!A:A=A1062, Pricing_Rules!B:B=B1062, Pricing_Ru"&amp;"les!C:C&lt;=E1062, Pricing_Rules!D:D&gt;=E1062), 1)
 )
 * (1 + IFERROR( INDEX(Config!D:D, MATCH(A1062, Config!A:A, 0)), 0 )),
"""")
"),15.34)</f>
        <v>15.34</v>
      </c>
      <c r="K1062" s="19">
        <f t="shared" si="3"/>
        <v>-15.34</v>
      </c>
      <c r="L1062" s="20" t="str">
        <f t="shared" si="4"/>
        <v/>
      </c>
    </row>
    <row r="1063" ht="15.75" customHeight="1">
      <c r="A1063" s="9" t="s">
        <v>1162</v>
      </c>
      <c r="B1063" s="12" t="str">
        <f t="array" ref="B1063">XLOOKUP(C1063, Channel_Listings!C:C, Channel_Listings!B:B)
</f>
        <v>Apparel_Hoodies_Sweatshirts</v>
      </c>
      <c r="C1063" s="23" t="s">
        <v>1072</v>
      </c>
      <c r="D1063" s="14" t="str">
        <f t="array" ref="D1063">XLOOKUP(C1063, Channel_Listings!C:C, Channel_Listings!D:D)
</f>
        <v>SWEATSHIRT-NAVYBLUE-SOLID-XL</v>
      </c>
      <c r="E1063" s="15"/>
      <c r="F1063" s="16">
        <f t="array" ref="F1063">IFERROR(
  VALUE( INDEX(Product_Master!$I:$I,
               MATCH( INDEX(Pack_Master!$B:$B, MATCH($D1063, Pack_Master!$A:$A, 0)),
                      Product_Master!$B:$B, 0)
  )) 
  * VALUE( INDEX(Pack_Master!$C:$C, MATCH($D1063, Pack_Master!$A:$A, 0)) )
  + VALUE( INDEX(Pack_Master!$D:$D, MATCH($D1063, Pack_Master!$A:$A, 0)) ),
"")
</f>
        <v>0</v>
      </c>
      <c r="G1063" s="17">
        <f t="array" ref="G1063">IFERROR(
 ( INDEX(Pack_Master!E:E, MATCH($D1063, Pack_Master!A:A, 0))
   * INDEX(Pack_Master!F:F, MATCH($D1063, Pack_Master!A:A, 0))
   * INDEX(Pack_Master!G:G, MATCH($D1063, Pack_Master!A:A, 0))
 ) / INDEX(Config!C:C, MATCH($A1063, Config!A:A, 0)),
"")
</f>
        <v>0</v>
      </c>
      <c r="H1063" s="17">
        <f t="array" ref="H1063">MAX( INDEX(Pack_Master!H:H, MATCH($D1063, Pack_Master!A:A, 0)),
      IFERROR(G1063, 0) )
</f>
        <v>0</v>
      </c>
      <c r="I1063" s="18" t="str">
        <f>IFERROR(__xludf.DUMMYFUNCTION("IFERROR(
 INDEX(
   FILTER(Shipping_Rate_Card!B:F, Shipping_Rate_Card!A:A=$A1063),
   MATCH($H1063, FILTER(Shipping_Rate_Card!B:B, Shipping_Rate_Card!A:A=$A1063), 1),
   IF( INDEX(Config!B:B, MATCH($A1063, Config!A:A, 0))=""Local"", 2,
     IF( INDEX(Conf"&amp;"ig!B:B, MATCH($A1063, Config!A:A, 0))=""Regional"", 3, 4 )
   )
 ),
"""")
"),"")</f>
        <v/>
      </c>
      <c r="J1063" s="16">
        <f>IFERROR(__xludf.DUMMYFUNCTION("IFERROR(
 ( E1063 * INDEX(FILTER(Pricing_Rules!E:E, Pricing_Rules!A:A=A1063, Pricing_Rules!B:B=B1063, Pricing_Rules!C:C&lt;=E1063, Pricing_Rules!D:D&gt;=E1063), 1)
   + INDEX(FILTER(Pricing_Rules!F:F, Pricing_Rules!A:A=A1063, Pricing_Rules!B:B=B1063, Pricing_Ru"&amp;"les!C:C&lt;=E1063, Pricing_Rules!D:D&gt;=E1063), 1)
 )
 * (1 + IFERROR( INDEX(Config!D:D, MATCH(A1063, Config!A:A, 0)), 0 )),
"""")
"),15.34)</f>
        <v>15.34</v>
      </c>
      <c r="K1063" s="19">
        <f t="shared" si="3"/>
        <v>-15.34</v>
      </c>
      <c r="L1063" s="20" t="str">
        <f t="shared" si="4"/>
        <v/>
      </c>
    </row>
    <row r="1064" ht="15.75" customHeight="1">
      <c r="A1064" s="9" t="s">
        <v>1162</v>
      </c>
      <c r="B1064" s="12" t="str">
        <f t="array" ref="B1064">XLOOKUP(C1064, Channel_Listings!C:C, Channel_Listings!B:B)
</f>
        <v>Apparel_Hoodies_Sweatshirts</v>
      </c>
      <c r="C1064" s="23" t="s">
        <v>1073</v>
      </c>
      <c r="D1064" s="14" t="str">
        <f t="array" ref="D1064">XLOOKUP(C1064, Channel_Listings!C:C, Channel_Listings!D:D)
</f>
        <v>SWEATSHIRT-NAVYBLUE-SOLID-XXL</v>
      </c>
      <c r="E1064" s="15"/>
      <c r="F1064" s="16">
        <f t="array" ref="F1064">IFERROR(
  VALUE( INDEX(Product_Master!$I:$I,
               MATCH( INDEX(Pack_Master!$B:$B, MATCH($D1064, Pack_Master!$A:$A, 0)),
                      Product_Master!$B:$B, 0)
  )) 
  * VALUE( INDEX(Pack_Master!$C:$C, MATCH($D1064, Pack_Master!$A:$A, 0)) )
  + VALUE( INDEX(Pack_Master!$D:$D, MATCH($D1064, Pack_Master!$A:$A, 0)) ),
"")
</f>
        <v>0</v>
      </c>
      <c r="G1064" s="17">
        <f t="array" ref="G1064">IFERROR(
 ( INDEX(Pack_Master!E:E, MATCH($D1064, Pack_Master!A:A, 0))
   * INDEX(Pack_Master!F:F, MATCH($D1064, Pack_Master!A:A, 0))
   * INDEX(Pack_Master!G:G, MATCH($D1064, Pack_Master!A:A, 0))
 ) / INDEX(Config!C:C, MATCH($A1064, Config!A:A, 0)),
"")
</f>
        <v>0</v>
      </c>
      <c r="H1064" s="17">
        <f t="array" ref="H1064">MAX( INDEX(Pack_Master!H:H, MATCH($D1064, Pack_Master!A:A, 0)),
      IFERROR(G1064, 0) )
</f>
        <v>0</v>
      </c>
      <c r="I1064" s="18" t="str">
        <f>IFERROR(__xludf.DUMMYFUNCTION("IFERROR(
 INDEX(
   FILTER(Shipping_Rate_Card!B:F, Shipping_Rate_Card!A:A=$A1064),
   MATCH($H1064, FILTER(Shipping_Rate_Card!B:B, Shipping_Rate_Card!A:A=$A1064), 1),
   IF( INDEX(Config!B:B, MATCH($A1064, Config!A:A, 0))=""Local"", 2,
     IF( INDEX(Conf"&amp;"ig!B:B, MATCH($A1064, Config!A:A, 0))=""Regional"", 3, 4 )
   )
 ),
"""")
"),"")</f>
        <v/>
      </c>
      <c r="J1064" s="16">
        <f>IFERROR(__xludf.DUMMYFUNCTION("IFERROR(
 ( E1064 * INDEX(FILTER(Pricing_Rules!E:E, Pricing_Rules!A:A=A1064, Pricing_Rules!B:B=B1064, Pricing_Rules!C:C&lt;=E1064, Pricing_Rules!D:D&gt;=E1064), 1)
   + INDEX(FILTER(Pricing_Rules!F:F, Pricing_Rules!A:A=A1064, Pricing_Rules!B:B=B1064, Pricing_Ru"&amp;"les!C:C&lt;=E1064, Pricing_Rules!D:D&gt;=E1064), 1)
 )
 * (1 + IFERROR( INDEX(Config!D:D, MATCH(A1064, Config!A:A, 0)), 0 )),
"""")
"),15.34)</f>
        <v>15.34</v>
      </c>
      <c r="K1064" s="19">
        <f t="shared" si="3"/>
        <v>-15.34</v>
      </c>
      <c r="L1064" s="20" t="str">
        <f t="shared" si="4"/>
        <v/>
      </c>
    </row>
    <row r="1065" ht="15.75" customHeight="1">
      <c r="A1065" s="9" t="s">
        <v>1162</v>
      </c>
      <c r="B1065" s="12" t="str">
        <f t="array" ref="B1065">XLOOKUP(C1065, Channel_Listings!C:C, Channel_Listings!B:B)
</f>
        <v>Apparel_Tshirts</v>
      </c>
      <c r="C1065" s="23" t="s">
        <v>1106</v>
      </c>
      <c r="D1065" s="14" t="str">
        <f t="array" ref="D1065">XLOOKUP(C1065, Channel_Listings!C:C, Channel_Listings!D:D)
</f>
        <v>TSHIRT-BLACK-L</v>
      </c>
      <c r="E1065" s="15"/>
      <c r="F1065" s="16">
        <f t="array" ref="F1065">IFERROR(
  VALUE( INDEX(Product_Master!$I:$I,
               MATCH( INDEX(Pack_Master!$B:$B, MATCH($D1065, Pack_Master!$A:$A, 0)),
                      Product_Master!$B:$B, 0)
  )) 
  * VALUE( INDEX(Pack_Master!$C:$C, MATCH($D1065, Pack_Master!$A:$A, 0)) )
  + VALUE( INDEX(Pack_Master!$D:$D, MATCH($D1065, Pack_Master!$A:$A, 0)) ),
"")
</f>
        <v>2</v>
      </c>
      <c r="G1065" s="17">
        <f t="array" ref="G1065">IFERROR(
 ( INDEX(Pack_Master!E:E, MATCH($D1065, Pack_Master!A:A, 0))
   * INDEX(Pack_Master!F:F, MATCH($D1065, Pack_Master!A:A, 0))
   * INDEX(Pack_Master!G:G, MATCH($D1065, Pack_Master!A:A, 0))
 ) / INDEX(Config!C:C, MATCH($A1065, Config!A:A, 0)),
"")
</f>
        <v>0.375</v>
      </c>
      <c r="H1065" s="17">
        <f t="array" ref="H1065">MAX( INDEX(Pack_Master!H:H, MATCH($D1065, Pack_Master!A:A, 0)),
      IFERROR(G1065, 0) )
</f>
        <v>0.5</v>
      </c>
      <c r="I1065" s="18">
        <f>IFERROR(__xludf.DUMMYFUNCTION("IFERROR(
 INDEX(
   FILTER(Shipping_Rate_Card!B:F, Shipping_Rate_Card!A:A=$A1065),
   MATCH($H1065, FILTER(Shipping_Rate_Card!B:B, Shipping_Rate_Card!A:A=$A1065), 1),
   IF( INDEX(Config!B:B, MATCH($A1065, Config!A:A, 0))=""Local"", 2,
     IF( INDEX(Conf"&amp;"ig!B:B, MATCH($A1065, Config!A:A, 0))=""Regional"", 3, 4 )
   )
 ),
"""")
"),75.0)</f>
        <v>75</v>
      </c>
      <c r="J1065" s="16">
        <f>IFERROR(__xludf.DUMMYFUNCTION("IFERROR(
 ( E1065 * INDEX(FILTER(Pricing_Rules!E:E, Pricing_Rules!A:A=A1065, Pricing_Rules!B:B=B1065, Pricing_Rules!C:C&lt;=E1065, Pricing_Rules!D:D&gt;=E1065), 1)
   + INDEX(FILTER(Pricing_Rules!F:F, Pricing_Rules!A:A=A1065, Pricing_Rules!B:B=B1065, Pricing_Ru"&amp;"les!C:C&lt;=E1065, Pricing_Rules!D:D&gt;=E1065), 1)
 )
 * (1 + IFERROR( INDEX(Config!D:D, MATCH(A1065, Config!A:A, 0)), 0 )),
"""")
"),15.34)</f>
        <v>15.34</v>
      </c>
      <c r="K1065" s="19">
        <f t="shared" si="3"/>
        <v>-92.34</v>
      </c>
      <c r="L1065" s="20" t="str">
        <f t="shared" si="4"/>
        <v/>
      </c>
    </row>
    <row r="1066" ht="15.75" customHeight="1">
      <c r="A1066" s="9" t="s">
        <v>1162</v>
      </c>
      <c r="B1066" s="12" t="str">
        <f t="array" ref="B1066">XLOOKUP(C1066, Channel_Listings!C:C, Channel_Listings!B:B)
</f>
        <v>Apparel_Tshirts</v>
      </c>
      <c r="C1066" s="23" t="s">
        <v>1108</v>
      </c>
      <c r="D1066" s="14" t="str">
        <f t="array" ref="D1066">XLOOKUP(C1066, Channel_Listings!C:C, Channel_Listings!D:D)
</f>
        <v>TSHIRT-BLACK-M</v>
      </c>
      <c r="E1066" s="15"/>
      <c r="F1066" s="16">
        <f t="array" ref="F1066">IFERROR(
  VALUE( INDEX(Product_Master!$I:$I,
               MATCH( INDEX(Pack_Master!$B:$B, MATCH($D1066, Pack_Master!$A:$A, 0)),
                      Product_Master!$B:$B, 0)
  )) 
  * VALUE( INDEX(Pack_Master!$C:$C, MATCH($D1066, Pack_Master!$A:$A, 0)) )
  + VALUE( INDEX(Pack_Master!$D:$D, MATCH($D1066, Pack_Master!$A:$A, 0)) ),
"")
</f>
        <v>2</v>
      </c>
      <c r="G1066" s="17">
        <f t="array" ref="G1066">IFERROR(
 ( INDEX(Pack_Master!E:E, MATCH($D1066, Pack_Master!A:A, 0))
   * INDEX(Pack_Master!F:F, MATCH($D1066, Pack_Master!A:A, 0))
   * INDEX(Pack_Master!G:G, MATCH($D1066, Pack_Master!A:A, 0))
 ) / INDEX(Config!C:C, MATCH($A1066, Config!A:A, 0)),
"")
</f>
        <v>0.375</v>
      </c>
      <c r="H1066" s="17">
        <f t="array" ref="H1066">MAX( INDEX(Pack_Master!H:H, MATCH($D1066, Pack_Master!A:A, 0)),
      IFERROR(G1066, 0) )
</f>
        <v>0.5</v>
      </c>
      <c r="I1066" s="18">
        <f>IFERROR(__xludf.DUMMYFUNCTION("IFERROR(
 INDEX(
   FILTER(Shipping_Rate_Card!B:F, Shipping_Rate_Card!A:A=$A1066),
   MATCH($H1066, FILTER(Shipping_Rate_Card!B:B, Shipping_Rate_Card!A:A=$A1066), 1),
   IF( INDEX(Config!B:B, MATCH($A1066, Config!A:A, 0))=""Local"", 2,
     IF( INDEX(Conf"&amp;"ig!B:B, MATCH($A1066, Config!A:A, 0))=""Regional"", 3, 4 )
   )
 ),
"""")
"),75.0)</f>
        <v>75</v>
      </c>
      <c r="J1066" s="16">
        <f>IFERROR(__xludf.DUMMYFUNCTION("IFERROR(
 ( E1066 * INDEX(FILTER(Pricing_Rules!E:E, Pricing_Rules!A:A=A1066, Pricing_Rules!B:B=B1066, Pricing_Rules!C:C&lt;=E1066, Pricing_Rules!D:D&gt;=E1066), 1)
   + INDEX(FILTER(Pricing_Rules!F:F, Pricing_Rules!A:A=A1066, Pricing_Rules!B:B=B1066, Pricing_Ru"&amp;"les!C:C&lt;=E1066, Pricing_Rules!D:D&gt;=E1066), 1)
 )
 * (1 + IFERROR( INDEX(Config!D:D, MATCH(A1066, Config!A:A, 0)), 0 )),
"""")
"),15.34)</f>
        <v>15.34</v>
      </c>
      <c r="K1066" s="19">
        <f t="shared" si="3"/>
        <v>-92.34</v>
      </c>
      <c r="L1066" s="20" t="str">
        <f t="shared" si="4"/>
        <v/>
      </c>
    </row>
    <row r="1067" ht="15.75" customHeight="1">
      <c r="A1067" s="9" t="s">
        <v>1162</v>
      </c>
      <c r="B1067" s="12" t="str">
        <f t="array" ref="B1067">XLOOKUP(C1067, Channel_Listings!C:C, Channel_Listings!B:B)
</f>
        <v>Apparel_Tshirts</v>
      </c>
      <c r="C1067" s="23" t="s">
        <v>1110</v>
      </c>
      <c r="D1067" s="14" t="str">
        <f t="array" ref="D1067">XLOOKUP(C1067, Channel_Listings!C:C, Channel_Listings!D:D)
</f>
        <v>TSHIRT-BLACK-XL</v>
      </c>
      <c r="E1067" s="15"/>
      <c r="F1067" s="16">
        <f t="array" ref="F1067">IFERROR(
  VALUE( INDEX(Product_Master!$I:$I,
               MATCH( INDEX(Pack_Master!$B:$B, MATCH($D1067, Pack_Master!$A:$A, 0)),
                      Product_Master!$B:$B, 0)
  )) 
  * VALUE( INDEX(Pack_Master!$C:$C, MATCH($D1067, Pack_Master!$A:$A, 0)) )
  + VALUE( INDEX(Pack_Master!$D:$D, MATCH($D1067, Pack_Master!$A:$A, 0)) ),
"")
</f>
        <v>2</v>
      </c>
      <c r="G1067" s="17">
        <f t="array" ref="G1067">IFERROR(
 ( INDEX(Pack_Master!E:E, MATCH($D1067, Pack_Master!A:A, 0))
   * INDEX(Pack_Master!F:F, MATCH($D1067, Pack_Master!A:A, 0))
   * INDEX(Pack_Master!G:G, MATCH($D1067, Pack_Master!A:A, 0))
 ) / INDEX(Config!C:C, MATCH($A1067, Config!A:A, 0)),
"")
</f>
        <v>0.375</v>
      </c>
      <c r="H1067" s="17">
        <f t="array" ref="H1067">MAX( INDEX(Pack_Master!H:H, MATCH($D1067, Pack_Master!A:A, 0)),
      IFERROR(G1067, 0) )
</f>
        <v>0.5</v>
      </c>
      <c r="I1067" s="18">
        <f>IFERROR(__xludf.DUMMYFUNCTION("IFERROR(
 INDEX(
   FILTER(Shipping_Rate_Card!B:F, Shipping_Rate_Card!A:A=$A1067),
   MATCH($H1067, FILTER(Shipping_Rate_Card!B:B, Shipping_Rate_Card!A:A=$A1067), 1),
   IF( INDEX(Config!B:B, MATCH($A1067, Config!A:A, 0))=""Local"", 2,
     IF( INDEX(Conf"&amp;"ig!B:B, MATCH($A1067, Config!A:A, 0))=""Regional"", 3, 4 )
   )
 ),
"""")
"),75.0)</f>
        <v>75</v>
      </c>
      <c r="J1067" s="16">
        <f>IFERROR(__xludf.DUMMYFUNCTION("IFERROR(
 ( E1067 * INDEX(FILTER(Pricing_Rules!E:E, Pricing_Rules!A:A=A1067, Pricing_Rules!B:B=B1067, Pricing_Rules!C:C&lt;=E1067, Pricing_Rules!D:D&gt;=E1067), 1)
   + INDEX(FILTER(Pricing_Rules!F:F, Pricing_Rules!A:A=A1067, Pricing_Rules!B:B=B1067, Pricing_Ru"&amp;"les!C:C&lt;=E1067, Pricing_Rules!D:D&gt;=E1067), 1)
 )
 * (1 + IFERROR( INDEX(Config!D:D, MATCH(A1067, Config!A:A, 0)), 0 )),
"""")
"),15.34)</f>
        <v>15.34</v>
      </c>
      <c r="K1067" s="19">
        <f t="shared" si="3"/>
        <v>-92.34</v>
      </c>
      <c r="L1067" s="20" t="str">
        <f t="shared" si="4"/>
        <v/>
      </c>
    </row>
    <row r="1068" ht="15.75" customHeight="1">
      <c r="A1068" s="9" t="s">
        <v>1162</v>
      </c>
      <c r="B1068" s="12" t="str">
        <f t="array" ref="B1068">XLOOKUP(C1068, Channel_Listings!C:C, Channel_Listings!B:B)
</f>
        <v>Apparel_Tshirts</v>
      </c>
      <c r="C1068" s="23" t="s">
        <v>1112</v>
      </c>
      <c r="D1068" s="14" t="str">
        <f t="array" ref="D1068">XLOOKUP(C1068, Channel_Listings!C:C, Channel_Listings!D:D)
</f>
        <v>TSHIRT-BLACK-XXL</v>
      </c>
      <c r="E1068" s="15"/>
      <c r="F1068" s="16">
        <f t="array" ref="F1068">IFERROR(
  VALUE( INDEX(Product_Master!$I:$I,
               MATCH( INDEX(Pack_Master!$B:$B, MATCH($D1068, Pack_Master!$A:$A, 0)),
                      Product_Master!$B:$B, 0)
  )) 
  * VALUE( INDEX(Pack_Master!$C:$C, MATCH($D1068, Pack_Master!$A:$A, 0)) )
  + VALUE( INDEX(Pack_Master!$D:$D, MATCH($D1068, Pack_Master!$A:$A, 0)) ),
"")
</f>
        <v>2</v>
      </c>
      <c r="G1068" s="17">
        <f t="array" ref="G1068">IFERROR(
 ( INDEX(Pack_Master!E:E, MATCH($D1068, Pack_Master!A:A, 0))
   * INDEX(Pack_Master!F:F, MATCH($D1068, Pack_Master!A:A, 0))
   * INDEX(Pack_Master!G:G, MATCH($D1068, Pack_Master!A:A, 0))
 ) / INDEX(Config!C:C, MATCH($A1068, Config!A:A, 0)),
"")
</f>
        <v>0.375</v>
      </c>
      <c r="H1068" s="17">
        <f t="array" ref="H1068">MAX( INDEX(Pack_Master!H:H, MATCH($D1068, Pack_Master!A:A, 0)),
      IFERROR(G1068, 0) )
</f>
        <v>0.5</v>
      </c>
      <c r="I1068" s="18">
        <f>IFERROR(__xludf.DUMMYFUNCTION("IFERROR(
 INDEX(
   FILTER(Shipping_Rate_Card!B:F, Shipping_Rate_Card!A:A=$A1068),
   MATCH($H1068, FILTER(Shipping_Rate_Card!B:B, Shipping_Rate_Card!A:A=$A1068), 1),
   IF( INDEX(Config!B:B, MATCH($A1068, Config!A:A, 0))=""Local"", 2,
     IF( INDEX(Conf"&amp;"ig!B:B, MATCH($A1068, Config!A:A, 0))=""Regional"", 3, 4 )
   )
 ),
"""")
"),75.0)</f>
        <v>75</v>
      </c>
      <c r="J1068" s="16">
        <f>IFERROR(__xludf.DUMMYFUNCTION("IFERROR(
 ( E1068 * INDEX(FILTER(Pricing_Rules!E:E, Pricing_Rules!A:A=A1068, Pricing_Rules!B:B=B1068, Pricing_Rules!C:C&lt;=E1068, Pricing_Rules!D:D&gt;=E1068), 1)
   + INDEX(FILTER(Pricing_Rules!F:F, Pricing_Rules!A:A=A1068, Pricing_Rules!B:B=B1068, Pricing_Ru"&amp;"les!C:C&lt;=E1068, Pricing_Rules!D:D&gt;=E1068), 1)
 )
 * (1 + IFERROR( INDEX(Config!D:D, MATCH(A1068, Config!A:A, 0)), 0 )),
"""")
"),15.34)</f>
        <v>15.34</v>
      </c>
      <c r="K1068" s="19">
        <f t="shared" si="3"/>
        <v>-92.34</v>
      </c>
      <c r="L1068" s="20" t="str">
        <f t="shared" si="4"/>
        <v/>
      </c>
    </row>
    <row r="1069" ht="15.75" customHeight="1">
      <c r="A1069" s="9" t="s">
        <v>1162</v>
      </c>
      <c r="B1069" s="12" t="str">
        <f t="array" ref="B1069">XLOOKUP(C1069, Channel_Listings!C:C, Channel_Listings!B:B)
</f>
        <v>Apparel_Tshirts</v>
      </c>
      <c r="C1069" s="23" t="s">
        <v>1118</v>
      </c>
      <c r="D1069" s="14" t="str">
        <f t="array" ref="D1069">XLOOKUP(C1069, Channel_Listings!C:C, Channel_Listings!D:D)
</f>
        <v>TSHIRT-BLACK-L</v>
      </c>
      <c r="E1069" s="15"/>
      <c r="F1069" s="16">
        <f t="array" ref="F1069">IFERROR(
  VALUE( INDEX(Product_Master!$I:$I,
               MATCH( INDEX(Pack_Master!$B:$B, MATCH($D1069, Pack_Master!$A:$A, 0)),
                      Product_Master!$B:$B, 0)
  )) 
  * VALUE( INDEX(Pack_Master!$C:$C, MATCH($D1069, Pack_Master!$A:$A, 0)) )
  + VALUE( INDEX(Pack_Master!$D:$D, MATCH($D1069, Pack_Master!$A:$A, 0)) ),
"")
</f>
        <v>2</v>
      </c>
      <c r="G1069" s="17">
        <f t="array" ref="G1069">IFERROR(
 ( INDEX(Pack_Master!E:E, MATCH($D1069, Pack_Master!A:A, 0))
   * INDEX(Pack_Master!F:F, MATCH($D1069, Pack_Master!A:A, 0))
   * INDEX(Pack_Master!G:G, MATCH($D1069, Pack_Master!A:A, 0))
 ) / INDEX(Config!C:C, MATCH($A1069, Config!A:A, 0)),
"")
</f>
        <v>0.375</v>
      </c>
      <c r="H1069" s="17">
        <f t="array" ref="H1069">MAX( INDEX(Pack_Master!H:H, MATCH($D1069, Pack_Master!A:A, 0)),
      IFERROR(G1069, 0) )
</f>
        <v>0.5</v>
      </c>
      <c r="I1069" s="18">
        <f>IFERROR(__xludf.DUMMYFUNCTION("IFERROR(
 INDEX(
   FILTER(Shipping_Rate_Card!B:F, Shipping_Rate_Card!A:A=$A1069),
   MATCH($H1069, FILTER(Shipping_Rate_Card!B:B, Shipping_Rate_Card!A:A=$A1069), 1),
   IF( INDEX(Config!B:B, MATCH($A1069, Config!A:A, 0))=""Local"", 2,
     IF( INDEX(Conf"&amp;"ig!B:B, MATCH($A1069, Config!A:A, 0))=""Regional"", 3, 4 )
   )
 ),
"""")
"),75.0)</f>
        <v>75</v>
      </c>
      <c r="J1069" s="16">
        <f>IFERROR(__xludf.DUMMYFUNCTION("IFERROR(
 ( E1069 * INDEX(FILTER(Pricing_Rules!E:E, Pricing_Rules!A:A=A1069, Pricing_Rules!B:B=B1069, Pricing_Rules!C:C&lt;=E1069, Pricing_Rules!D:D&gt;=E1069), 1)
   + INDEX(FILTER(Pricing_Rules!F:F, Pricing_Rules!A:A=A1069, Pricing_Rules!B:B=B1069, Pricing_Ru"&amp;"les!C:C&lt;=E1069, Pricing_Rules!D:D&gt;=E1069), 1)
 )
 * (1 + IFERROR( INDEX(Config!D:D, MATCH(A1069, Config!A:A, 0)), 0 )),
"""")
"),15.34)</f>
        <v>15.34</v>
      </c>
      <c r="K1069" s="19">
        <f t="shared" si="3"/>
        <v>-92.34</v>
      </c>
      <c r="L1069" s="20" t="str">
        <f t="shared" si="4"/>
        <v/>
      </c>
    </row>
    <row r="1070" ht="15.75" customHeight="1">
      <c r="A1070" s="9" t="s">
        <v>1162</v>
      </c>
      <c r="B1070" s="12" t="str">
        <f t="array" ref="B1070">XLOOKUP(C1070, Channel_Listings!C:C, Channel_Listings!B:B)
</f>
        <v>Apparel_Tshirts</v>
      </c>
      <c r="C1070" s="23" t="s">
        <v>1119</v>
      </c>
      <c r="D1070" s="14" t="str">
        <f t="array" ref="D1070">XLOOKUP(C1070, Channel_Listings!C:C, Channel_Listings!D:D)
</f>
        <v>TSHIRT-BLACK-M</v>
      </c>
      <c r="E1070" s="15"/>
      <c r="F1070" s="16">
        <f t="array" ref="F1070">IFERROR(
  VALUE( INDEX(Product_Master!$I:$I,
               MATCH( INDEX(Pack_Master!$B:$B, MATCH($D1070, Pack_Master!$A:$A, 0)),
                      Product_Master!$B:$B, 0)
  )) 
  * VALUE( INDEX(Pack_Master!$C:$C, MATCH($D1070, Pack_Master!$A:$A, 0)) )
  + VALUE( INDEX(Pack_Master!$D:$D, MATCH($D1070, Pack_Master!$A:$A, 0)) ),
"")
</f>
        <v>2</v>
      </c>
      <c r="G1070" s="17">
        <f t="array" ref="G1070">IFERROR(
 ( INDEX(Pack_Master!E:E, MATCH($D1070, Pack_Master!A:A, 0))
   * INDEX(Pack_Master!F:F, MATCH($D1070, Pack_Master!A:A, 0))
   * INDEX(Pack_Master!G:G, MATCH($D1070, Pack_Master!A:A, 0))
 ) / INDEX(Config!C:C, MATCH($A1070, Config!A:A, 0)),
"")
</f>
        <v>0.375</v>
      </c>
      <c r="H1070" s="17">
        <f t="array" ref="H1070">MAX( INDEX(Pack_Master!H:H, MATCH($D1070, Pack_Master!A:A, 0)),
      IFERROR(G1070, 0) )
</f>
        <v>0.5</v>
      </c>
      <c r="I1070" s="18">
        <f>IFERROR(__xludf.DUMMYFUNCTION("IFERROR(
 INDEX(
   FILTER(Shipping_Rate_Card!B:F, Shipping_Rate_Card!A:A=$A1070),
   MATCH($H1070, FILTER(Shipping_Rate_Card!B:B, Shipping_Rate_Card!A:A=$A1070), 1),
   IF( INDEX(Config!B:B, MATCH($A1070, Config!A:A, 0))=""Local"", 2,
     IF( INDEX(Conf"&amp;"ig!B:B, MATCH($A1070, Config!A:A, 0))=""Regional"", 3, 4 )
   )
 ),
"""")
"),75.0)</f>
        <v>75</v>
      </c>
      <c r="J1070" s="16">
        <f>IFERROR(__xludf.DUMMYFUNCTION("IFERROR(
 ( E1070 * INDEX(FILTER(Pricing_Rules!E:E, Pricing_Rules!A:A=A1070, Pricing_Rules!B:B=B1070, Pricing_Rules!C:C&lt;=E1070, Pricing_Rules!D:D&gt;=E1070), 1)
   + INDEX(FILTER(Pricing_Rules!F:F, Pricing_Rules!A:A=A1070, Pricing_Rules!B:B=B1070, Pricing_Ru"&amp;"les!C:C&lt;=E1070, Pricing_Rules!D:D&gt;=E1070), 1)
 )
 * (1 + IFERROR( INDEX(Config!D:D, MATCH(A1070, Config!A:A, 0)), 0 )),
"""")
"),15.34)</f>
        <v>15.34</v>
      </c>
      <c r="K1070" s="19">
        <f t="shared" si="3"/>
        <v>-92.34</v>
      </c>
      <c r="L1070" s="20" t="str">
        <f t="shared" si="4"/>
        <v/>
      </c>
    </row>
    <row r="1071" ht="15.75" customHeight="1">
      <c r="A1071" s="9" t="s">
        <v>1162</v>
      </c>
      <c r="B1071" s="12" t="str">
        <f t="array" ref="B1071">XLOOKUP(C1071, Channel_Listings!C:C, Channel_Listings!B:B)
</f>
        <v>Apparel_Tshirts</v>
      </c>
      <c r="C1071" s="23" t="s">
        <v>1120</v>
      </c>
      <c r="D1071" s="14" t="str">
        <f t="array" ref="D1071">XLOOKUP(C1071, Channel_Listings!C:C, Channel_Listings!D:D)
</f>
        <v>TSHIRT-BLACK-XL</v>
      </c>
      <c r="E1071" s="15"/>
      <c r="F1071" s="16">
        <f t="array" ref="F1071">IFERROR(
  VALUE( INDEX(Product_Master!$I:$I,
               MATCH( INDEX(Pack_Master!$B:$B, MATCH($D1071, Pack_Master!$A:$A, 0)),
                      Product_Master!$B:$B, 0)
  )) 
  * VALUE( INDEX(Pack_Master!$C:$C, MATCH($D1071, Pack_Master!$A:$A, 0)) )
  + VALUE( INDEX(Pack_Master!$D:$D, MATCH($D1071, Pack_Master!$A:$A, 0)) ),
"")
</f>
        <v>2</v>
      </c>
      <c r="G1071" s="17">
        <f t="array" ref="G1071">IFERROR(
 ( INDEX(Pack_Master!E:E, MATCH($D1071, Pack_Master!A:A, 0))
   * INDEX(Pack_Master!F:F, MATCH($D1071, Pack_Master!A:A, 0))
   * INDEX(Pack_Master!G:G, MATCH($D1071, Pack_Master!A:A, 0))
 ) / INDEX(Config!C:C, MATCH($A1071, Config!A:A, 0)),
"")
</f>
        <v>0.375</v>
      </c>
      <c r="H1071" s="17">
        <f t="array" ref="H1071">MAX( INDEX(Pack_Master!H:H, MATCH($D1071, Pack_Master!A:A, 0)),
      IFERROR(G1071, 0) )
</f>
        <v>0.5</v>
      </c>
      <c r="I1071" s="18">
        <f>IFERROR(__xludf.DUMMYFUNCTION("IFERROR(
 INDEX(
   FILTER(Shipping_Rate_Card!B:F, Shipping_Rate_Card!A:A=$A1071),
   MATCH($H1071, FILTER(Shipping_Rate_Card!B:B, Shipping_Rate_Card!A:A=$A1071), 1),
   IF( INDEX(Config!B:B, MATCH($A1071, Config!A:A, 0))=""Local"", 2,
     IF( INDEX(Conf"&amp;"ig!B:B, MATCH($A1071, Config!A:A, 0))=""Regional"", 3, 4 )
   )
 ),
"""")
"),75.0)</f>
        <v>75</v>
      </c>
      <c r="J1071" s="16">
        <f>IFERROR(__xludf.DUMMYFUNCTION("IFERROR(
 ( E1071 * INDEX(FILTER(Pricing_Rules!E:E, Pricing_Rules!A:A=A1071, Pricing_Rules!B:B=B1071, Pricing_Rules!C:C&lt;=E1071, Pricing_Rules!D:D&gt;=E1071), 1)
   + INDEX(FILTER(Pricing_Rules!F:F, Pricing_Rules!A:A=A1071, Pricing_Rules!B:B=B1071, Pricing_Ru"&amp;"les!C:C&lt;=E1071, Pricing_Rules!D:D&gt;=E1071), 1)
 )
 * (1 + IFERROR( INDEX(Config!D:D, MATCH(A1071, Config!A:A, 0)), 0 )),
"""")
"),15.34)</f>
        <v>15.34</v>
      </c>
      <c r="K1071" s="19">
        <f t="shared" si="3"/>
        <v>-92.34</v>
      </c>
      <c r="L1071" s="20" t="str">
        <f t="shared" si="4"/>
        <v/>
      </c>
    </row>
    <row r="1072" ht="15.75" customHeight="1">
      <c r="A1072" s="9" t="s">
        <v>1162</v>
      </c>
      <c r="B1072" s="12" t="str">
        <f t="array" ref="B1072">XLOOKUP(C1072, Channel_Listings!C:C, Channel_Listings!B:B)
</f>
        <v>Apparel_Tshirts</v>
      </c>
      <c r="C1072" s="23" t="s">
        <v>1121</v>
      </c>
      <c r="D1072" s="14" t="str">
        <f t="array" ref="D1072">XLOOKUP(C1072, Channel_Listings!C:C, Channel_Listings!D:D)
</f>
        <v>TSHIRT-BLACK-XXL</v>
      </c>
      <c r="E1072" s="15"/>
      <c r="F1072" s="16">
        <f t="array" ref="F1072">IFERROR(
  VALUE( INDEX(Product_Master!$I:$I,
               MATCH( INDEX(Pack_Master!$B:$B, MATCH($D1072, Pack_Master!$A:$A, 0)),
                      Product_Master!$B:$B, 0)
  )) 
  * VALUE( INDEX(Pack_Master!$C:$C, MATCH($D1072, Pack_Master!$A:$A, 0)) )
  + VALUE( INDEX(Pack_Master!$D:$D, MATCH($D1072, Pack_Master!$A:$A, 0)) ),
"")
</f>
        <v>2</v>
      </c>
      <c r="G1072" s="17">
        <f t="array" ref="G1072">IFERROR(
 ( INDEX(Pack_Master!E:E, MATCH($D1072, Pack_Master!A:A, 0))
   * INDEX(Pack_Master!F:F, MATCH($D1072, Pack_Master!A:A, 0))
   * INDEX(Pack_Master!G:G, MATCH($D1072, Pack_Master!A:A, 0))
 ) / INDEX(Config!C:C, MATCH($A1072, Config!A:A, 0)),
"")
</f>
        <v>0.375</v>
      </c>
      <c r="H1072" s="17">
        <f t="array" ref="H1072">MAX( INDEX(Pack_Master!H:H, MATCH($D1072, Pack_Master!A:A, 0)),
      IFERROR(G1072, 0) )
</f>
        <v>0.5</v>
      </c>
      <c r="I1072" s="18">
        <f>IFERROR(__xludf.DUMMYFUNCTION("IFERROR(
 INDEX(
   FILTER(Shipping_Rate_Card!B:F, Shipping_Rate_Card!A:A=$A1072),
   MATCH($H1072, FILTER(Shipping_Rate_Card!B:B, Shipping_Rate_Card!A:A=$A1072), 1),
   IF( INDEX(Config!B:B, MATCH($A1072, Config!A:A, 0))=""Local"", 2,
     IF( INDEX(Conf"&amp;"ig!B:B, MATCH($A1072, Config!A:A, 0))=""Regional"", 3, 4 )
   )
 ),
"""")
"),75.0)</f>
        <v>75</v>
      </c>
      <c r="J1072" s="16">
        <f>IFERROR(__xludf.DUMMYFUNCTION("IFERROR(
 ( E1072 * INDEX(FILTER(Pricing_Rules!E:E, Pricing_Rules!A:A=A1072, Pricing_Rules!B:B=B1072, Pricing_Rules!C:C&lt;=E1072, Pricing_Rules!D:D&gt;=E1072), 1)
   + INDEX(FILTER(Pricing_Rules!F:F, Pricing_Rules!A:A=A1072, Pricing_Rules!B:B=B1072, Pricing_Ru"&amp;"les!C:C&lt;=E1072, Pricing_Rules!D:D&gt;=E1072), 1)
 )
 * (1 + IFERROR( INDEX(Config!D:D, MATCH(A1072, Config!A:A, 0)), 0 )),
"""")
"),15.34)</f>
        <v>15.34</v>
      </c>
      <c r="K1072" s="19">
        <f t="shared" si="3"/>
        <v>-92.34</v>
      </c>
      <c r="L1072" s="20" t="str">
        <f t="shared" si="4"/>
        <v/>
      </c>
    </row>
    <row r="1073" ht="15.75" customHeight="1">
      <c r="A1073" s="9" t="s">
        <v>1162</v>
      </c>
      <c r="B1073" s="12" t="str">
        <f t="array" ref="B1073">XLOOKUP(C1073, Channel_Listings!C:C, Channel_Listings!B:B)
</f>
        <v>Apparel_Tshirts</v>
      </c>
      <c r="C1073" s="23" t="s">
        <v>1621</v>
      </c>
      <c r="D1073" s="14" t="str">
        <f t="array" ref="D1073">XLOOKUP(C1073, Channel_Listings!C:C, Channel_Listings!D:D)
</f>
        <v>TSHIRT-BLACK-L</v>
      </c>
      <c r="E1073" s="15"/>
      <c r="F1073" s="16">
        <f t="array" ref="F1073">IFERROR(
  VALUE( INDEX(Product_Master!$I:$I,
               MATCH( INDEX(Pack_Master!$B:$B, MATCH($D1073, Pack_Master!$A:$A, 0)),
                      Product_Master!$B:$B, 0)
  )) 
  * VALUE( INDEX(Pack_Master!$C:$C, MATCH($D1073, Pack_Master!$A:$A, 0)) )
  + VALUE( INDEX(Pack_Master!$D:$D, MATCH($D1073, Pack_Master!$A:$A, 0)) ),
"")
</f>
        <v>2</v>
      </c>
      <c r="G1073" s="17">
        <f t="array" ref="G1073">IFERROR(
 ( INDEX(Pack_Master!E:E, MATCH($D1073, Pack_Master!A:A, 0))
   * INDEX(Pack_Master!F:F, MATCH($D1073, Pack_Master!A:A, 0))
   * INDEX(Pack_Master!G:G, MATCH($D1073, Pack_Master!A:A, 0))
 ) / INDEX(Config!C:C, MATCH($A1073, Config!A:A, 0)),
"")
</f>
        <v>0.375</v>
      </c>
      <c r="H1073" s="17">
        <f t="array" ref="H1073">MAX( INDEX(Pack_Master!H:H, MATCH($D1073, Pack_Master!A:A, 0)),
      IFERROR(G1073, 0) )
</f>
        <v>0.5</v>
      </c>
      <c r="I1073" s="18">
        <f>IFERROR(__xludf.DUMMYFUNCTION("IFERROR(
 INDEX(
   FILTER(Shipping_Rate_Card!B:F, Shipping_Rate_Card!A:A=$A1073),
   MATCH($H1073, FILTER(Shipping_Rate_Card!B:B, Shipping_Rate_Card!A:A=$A1073), 1),
   IF( INDEX(Config!B:B, MATCH($A1073, Config!A:A, 0))=""Local"", 2,
     IF( INDEX(Conf"&amp;"ig!B:B, MATCH($A1073, Config!A:A, 0))=""Regional"", 3, 4 )
   )
 ),
"""")
"),75.0)</f>
        <v>75</v>
      </c>
      <c r="J1073" s="16">
        <f>IFERROR(__xludf.DUMMYFUNCTION("IFERROR(
 ( E1073 * INDEX(FILTER(Pricing_Rules!E:E, Pricing_Rules!A:A=A1073, Pricing_Rules!B:B=B1073, Pricing_Rules!C:C&lt;=E1073, Pricing_Rules!D:D&gt;=E1073), 1)
   + INDEX(FILTER(Pricing_Rules!F:F, Pricing_Rules!A:A=A1073, Pricing_Rules!B:B=B1073, Pricing_Ru"&amp;"les!C:C&lt;=E1073, Pricing_Rules!D:D&gt;=E1073), 1)
 )
 * (1 + IFERROR( INDEX(Config!D:D, MATCH(A1073, Config!A:A, 0)), 0 )),
"""")
"),15.34)</f>
        <v>15.34</v>
      </c>
      <c r="K1073" s="19">
        <f t="shared" si="3"/>
        <v>-92.34</v>
      </c>
      <c r="L1073" s="20" t="str">
        <f t="shared" si="4"/>
        <v/>
      </c>
    </row>
    <row r="1074" ht="15.75" customHeight="1">
      <c r="A1074" s="9" t="s">
        <v>1162</v>
      </c>
      <c r="B1074" s="12" t="str">
        <f t="array" ref="B1074">XLOOKUP(C1074, Channel_Listings!C:C, Channel_Listings!B:B)
</f>
        <v>Apparel_Tshirts</v>
      </c>
      <c r="C1074" s="23" t="s">
        <v>1623</v>
      </c>
      <c r="D1074" s="14" t="str">
        <f t="array" ref="D1074">XLOOKUP(C1074, Channel_Listings!C:C, Channel_Listings!D:D)
</f>
        <v>TSHIRT-BLACK-M</v>
      </c>
      <c r="E1074" s="15"/>
      <c r="F1074" s="16">
        <f t="array" ref="F1074">IFERROR(
  VALUE( INDEX(Product_Master!$I:$I,
               MATCH( INDEX(Pack_Master!$B:$B, MATCH($D1074, Pack_Master!$A:$A, 0)),
                      Product_Master!$B:$B, 0)
  )) 
  * VALUE( INDEX(Pack_Master!$C:$C, MATCH($D1074, Pack_Master!$A:$A, 0)) )
  + VALUE( INDEX(Pack_Master!$D:$D, MATCH($D1074, Pack_Master!$A:$A, 0)) ),
"")
</f>
        <v>2</v>
      </c>
      <c r="G1074" s="17">
        <f t="array" ref="G1074">IFERROR(
 ( INDEX(Pack_Master!E:E, MATCH($D1074, Pack_Master!A:A, 0))
   * INDEX(Pack_Master!F:F, MATCH($D1074, Pack_Master!A:A, 0))
   * INDEX(Pack_Master!G:G, MATCH($D1074, Pack_Master!A:A, 0))
 ) / INDEX(Config!C:C, MATCH($A1074, Config!A:A, 0)),
"")
</f>
        <v>0.375</v>
      </c>
      <c r="H1074" s="17">
        <f t="array" ref="H1074">MAX( INDEX(Pack_Master!H:H, MATCH($D1074, Pack_Master!A:A, 0)),
      IFERROR(G1074, 0) )
</f>
        <v>0.5</v>
      </c>
      <c r="I1074" s="18">
        <f>IFERROR(__xludf.DUMMYFUNCTION("IFERROR(
 INDEX(
   FILTER(Shipping_Rate_Card!B:F, Shipping_Rate_Card!A:A=$A1074),
   MATCH($H1074, FILTER(Shipping_Rate_Card!B:B, Shipping_Rate_Card!A:A=$A1074), 1),
   IF( INDEX(Config!B:B, MATCH($A1074, Config!A:A, 0))=""Local"", 2,
     IF( INDEX(Conf"&amp;"ig!B:B, MATCH($A1074, Config!A:A, 0))=""Regional"", 3, 4 )
   )
 ),
"""")
"),75.0)</f>
        <v>75</v>
      </c>
      <c r="J1074" s="16">
        <f>IFERROR(__xludf.DUMMYFUNCTION("IFERROR(
 ( E1074 * INDEX(FILTER(Pricing_Rules!E:E, Pricing_Rules!A:A=A1074, Pricing_Rules!B:B=B1074, Pricing_Rules!C:C&lt;=E1074, Pricing_Rules!D:D&gt;=E1074), 1)
   + INDEX(FILTER(Pricing_Rules!F:F, Pricing_Rules!A:A=A1074, Pricing_Rules!B:B=B1074, Pricing_Ru"&amp;"les!C:C&lt;=E1074, Pricing_Rules!D:D&gt;=E1074), 1)
 )
 * (1 + IFERROR( INDEX(Config!D:D, MATCH(A1074, Config!A:A, 0)), 0 )),
"""")
"),15.34)</f>
        <v>15.34</v>
      </c>
      <c r="K1074" s="19">
        <f t="shared" si="3"/>
        <v>-92.34</v>
      </c>
      <c r="L1074" s="20" t="str">
        <f t="shared" si="4"/>
        <v/>
      </c>
    </row>
    <row r="1075" ht="15.75" customHeight="1">
      <c r="A1075" s="9" t="s">
        <v>1162</v>
      </c>
      <c r="B1075" s="12" t="str">
        <f t="array" ref="B1075">XLOOKUP(C1075, Channel_Listings!C:C, Channel_Listings!B:B)
</f>
        <v>Apparel_Tshirts</v>
      </c>
      <c r="C1075" s="23" t="s">
        <v>1625</v>
      </c>
      <c r="D1075" s="14" t="str">
        <f t="array" ref="D1075">XLOOKUP(C1075, Channel_Listings!C:C, Channel_Listings!D:D)
</f>
        <v>TSHIRT-BLACK-XL</v>
      </c>
      <c r="E1075" s="15"/>
      <c r="F1075" s="16">
        <f t="array" ref="F1075">IFERROR(
  VALUE( INDEX(Product_Master!$I:$I,
               MATCH( INDEX(Pack_Master!$B:$B, MATCH($D1075, Pack_Master!$A:$A, 0)),
                      Product_Master!$B:$B, 0)
  )) 
  * VALUE( INDEX(Pack_Master!$C:$C, MATCH($D1075, Pack_Master!$A:$A, 0)) )
  + VALUE( INDEX(Pack_Master!$D:$D, MATCH($D1075, Pack_Master!$A:$A, 0)) ),
"")
</f>
        <v>2</v>
      </c>
      <c r="G1075" s="17">
        <f t="array" ref="G1075">IFERROR(
 ( INDEX(Pack_Master!E:E, MATCH($D1075, Pack_Master!A:A, 0))
   * INDEX(Pack_Master!F:F, MATCH($D1075, Pack_Master!A:A, 0))
   * INDEX(Pack_Master!G:G, MATCH($D1075, Pack_Master!A:A, 0))
 ) / INDEX(Config!C:C, MATCH($A1075, Config!A:A, 0)),
"")
</f>
        <v>0.375</v>
      </c>
      <c r="H1075" s="17">
        <f t="array" ref="H1075">MAX( INDEX(Pack_Master!H:H, MATCH($D1075, Pack_Master!A:A, 0)),
      IFERROR(G1075, 0) )
</f>
        <v>0.5</v>
      </c>
      <c r="I1075" s="18">
        <f>IFERROR(__xludf.DUMMYFUNCTION("IFERROR(
 INDEX(
   FILTER(Shipping_Rate_Card!B:F, Shipping_Rate_Card!A:A=$A1075),
   MATCH($H1075, FILTER(Shipping_Rate_Card!B:B, Shipping_Rate_Card!A:A=$A1075), 1),
   IF( INDEX(Config!B:B, MATCH($A1075, Config!A:A, 0))=""Local"", 2,
     IF( INDEX(Conf"&amp;"ig!B:B, MATCH($A1075, Config!A:A, 0))=""Regional"", 3, 4 )
   )
 ),
"""")
"),75.0)</f>
        <v>75</v>
      </c>
      <c r="J1075" s="16">
        <f>IFERROR(__xludf.DUMMYFUNCTION("IFERROR(
 ( E1075 * INDEX(FILTER(Pricing_Rules!E:E, Pricing_Rules!A:A=A1075, Pricing_Rules!B:B=B1075, Pricing_Rules!C:C&lt;=E1075, Pricing_Rules!D:D&gt;=E1075), 1)
   + INDEX(FILTER(Pricing_Rules!F:F, Pricing_Rules!A:A=A1075, Pricing_Rules!B:B=B1075, Pricing_Ru"&amp;"les!C:C&lt;=E1075, Pricing_Rules!D:D&gt;=E1075), 1)
 )
 * (1 + IFERROR( INDEX(Config!D:D, MATCH(A1075, Config!A:A, 0)), 0 )),
"""")
"),15.34)</f>
        <v>15.34</v>
      </c>
      <c r="K1075" s="19">
        <f t="shared" si="3"/>
        <v>-92.34</v>
      </c>
      <c r="L1075" s="20" t="str">
        <f t="shared" si="4"/>
        <v/>
      </c>
    </row>
    <row r="1076" ht="15.75" customHeight="1">
      <c r="A1076" s="9" t="s">
        <v>1162</v>
      </c>
      <c r="B1076" s="12" t="str">
        <f t="array" ref="B1076">XLOOKUP(C1076, Channel_Listings!C:C, Channel_Listings!B:B)
</f>
        <v>Apparel_Tshirts</v>
      </c>
      <c r="C1076" s="23" t="s">
        <v>1627</v>
      </c>
      <c r="D1076" s="14" t="str">
        <f t="array" ref="D1076">XLOOKUP(C1076, Channel_Listings!C:C, Channel_Listings!D:D)
</f>
        <v>TSHIRT-BLACK-XXL</v>
      </c>
      <c r="E1076" s="15"/>
      <c r="F1076" s="16">
        <f t="array" ref="F1076">IFERROR(
  VALUE( INDEX(Product_Master!$I:$I,
               MATCH( INDEX(Pack_Master!$B:$B, MATCH($D1076, Pack_Master!$A:$A, 0)),
                      Product_Master!$B:$B, 0)
  )) 
  * VALUE( INDEX(Pack_Master!$C:$C, MATCH($D1076, Pack_Master!$A:$A, 0)) )
  + VALUE( INDEX(Pack_Master!$D:$D, MATCH($D1076, Pack_Master!$A:$A, 0)) ),
"")
</f>
        <v>2</v>
      </c>
      <c r="G1076" s="17">
        <f t="array" ref="G1076">IFERROR(
 ( INDEX(Pack_Master!E:E, MATCH($D1076, Pack_Master!A:A, 0))
   * INDEX(Pack_Master!F:F, MATCH($D1076, Pack_Master!A:A, 0))
   * INDEX(Pack_Master!G:G, MATCH($D1076, Pack_Master!A:A, 0))
 ) / INDEX(Config!C:C, MATCH($A1076, Config!A:A, 0)),
"")
</f>
        <v>0.375</v>
      </c>
      <c r="H1076" s="17">
        <f t="array" ref="H1076">MAX( INDEX(Pack_Master!H:H, MATCH($D1076, Pack_Master!A:A, 0)),
      IFERROR(G1076, 0) )
</f>
        <v>0.5</v>
      </c>
      <c r="I1076" s="18">
        <f>IFERROR(__xludf.DUMMYFUNCTION("IFERROR(
 INDEX(
   FILTER(Shipping_Rate_Card!B:F, Shipping_Rate_Card!A:A=$A1076),
   MATCH($H1076, FILTER(Shipping_Rate_Card!B:B, Shipping_Rate_Card!A:A=$A1076), 1),
   IF( INDEX(Config!B:B, MATCH($A1076, Config!A:A, 0))=""Local"", 2,
     IF( INDEX(Conf"&amp;"ig!B:B, MATCH($A1076, Config!A:A, 0))=""Regional"", 3, 4 )
   )
 ),
"""")
"),75.0)</f>
        <v>75</v>
      </c>
      <c r="J1076" s="16">
        <f>IFERROR(__xludf.DUMMYFUNCTION("IFERROR(
 ( E1076 * INDEX(FILTER(Pricing_Rules!E:E, Pricing_Rules!A:A=A1076, Pricing_Rules!B:B=B1076, Pricing_Rules!C:C&lt;=E1076, Pricing_Rules!D:D&gt;=E1076), 1)
   + INDEX(FILTER(Pricing_Rules!F:F, Pricing_Rules!A:A=A1076, Pricing_Rules!B:B=B1076, Pricing_Ru"&amp;"les!C:C&lt;=E1076, Pricing_Rules!D:D&gt;=E1076), 1)
 )
 * (1 + IFERROR( INDEX(Config!D:D, MATCH(A1076, Config!A:A, 0)), 0 )),
"""")
"),15.34)</f>
        <v>15.34</v>
      </c>
      <c r="K1076" s="19">
        <f t="shared" si="3"/>
        <v>-92.34</v>
      </c>
      <c r="L1076" s="20" t="str">
        <f t="shared" si="4"/>
        <v/>
      </c>
    </row>
    <row r="1077" ht="15.75" customHeight="1">
      <c r="A1077" s="9" t="s">
        <v>1162</v>
      </c>
      <c r="B1077" s="12" t="str">
        <f t="array" ref="B1077">XLOOKUP(C1077, Channel_Listings!C:C, Channel_Listings!B:B)
</f>
        <v>Apparel_Tshirts</v>
      </c>
      <c r="C1077" s="23" t="s">
        <v>1629</v>
      </c>
      <c r="D1077" s="14" t="str">
        <f t="array" ref="D1077">XLOOKUP(C1077, Channel_Listings!C:C, Channel_Listings!D:D)
</f>
        <v>TSHIRT-BLACK-L</v>
      </c>
      <c r="E1077" s="15"/>
      <c r="F1077" s="16">
        <f t="array" ref="F1077">IFERROR(
  VALUE( INDEX(Product_Master!$I:$I,
               MATCH( INDEX(Pack_Master!$B:$B, MATCH($D1077, Pack_Master!$A:$A, 0)),
                      Product_Master!$B:$B, 0)
  )) 
  * VALUE( INDEX(Pack_Master!$C:$C, MATCH($D1077, Pack_Master!$A:$A, 0)) )
  + VALUE( INDEX(Pack_Master!$D:$D, MATCH($D1077, Pack_Master!$A:$A, 0)) ),
"")
</f>
        <v>2</v>
      </c>
      <c r="G1077" s="17">
        <f t="array" ref="G1077">IFERROR(
 ( INDEX(Pack_Master!E:E, MATCH($D1077, Pack_Master!A:A, 0))
   * INDEX(Pack_Master!F:F, MATCH($D1077, Pack_Master!A:A, 0))
   * INDEX(Pack_Master!G:G, MATCH($D1077, Pack_Master!A:A, 0))
 ) / INDEX(Config!C:C, MATCH($A1077, Config!A:A, 0)),
"")
</f>
        <v>0.375</v>
      </c>
      <c r="H1077" s="17">
        <f t="array" ref="H1077">MAX( INDEX(Pack_Master!H:H, MATCH($D1077, Pack_Master!A:A, 0)),
      IFERROR(G1077, 0) )
</f>
        <v>0.5</v>
      </c>
      <c r="I1077" s="18">
        <f>IFERROR(__xludf.DUMMYFUNCTION("IFERROR(
 INDEX(
   FILTER(Shipping_Rate_Card!B:F, Shipping_Rate_Card!A:A=$A1077),
   MATCH($H1077, FILTER(Shipping_Rate_Card!B:B, Shipping_Rate_Card!A:A=$A1077), 1),
   IF( INDEX(Config!B:B, MATCH($A1077, Config!A:A, 0))=""Local"", 2,
     IF( INDEX(Conf"&amp;"ig!B:B, MATCH($A1077, Config!A:A, 0))=""Regional"", 3, 4 )
   )
 ),
"""")
"),75.0)</f>
        <v>75</v>
      </c>
      <c r="J1077" s="16">
        <f>IFERROR(__xludf.DUMMYFUNCTION("IFERROR(
 ( E1077 * INDEX(FILTER(Pricing_Rules!E:E, Pricing_Rules!A:A=A1077, Pricing_Rules!B:B=B1077, Pricing_Rules!C:C&lt;=E1077, Pricing_Rules!D:D&gt;=E1077), 1)
   + INDEX(FILTER(Pricing_Rules!F:F, Pricing_Rules!A:A=A1077, Pricing_Rules!B:B=B1077, Pricing_Ru"&amp;"les!C:C&lt;=E1077, Pricing_Rules!D:D&gt;=E1077), 1)
 )
 * (1 + IFERROR( INDEX(Config!D:D, MATCH(A1077, Config!A:A, 0)), 0 )),
"""")
"),15.34)</f>
        <v>15.34</v>
      </c>
      <c r="K1077" s="19">
        <f t="shared" si="3"/>
        <v>-92.34</v>
      </c>
      <c r="L1077" s="20" t="str">
        <f t="shared" si="4"/>
        <v/>
      </c>
    </row>
    <row r="1078" ht="15.75" customHeight="1">
      <c r="A1078" s="9" t="s">
        <v>1162</v>
      </c>
      <c r="B1078" s="12" t="str">
        <f t="array" ref="B1078">XLOOKUP(C1078, Channel_Listings!C:C, Channel_Listings!B:B)
</f>
        <v>Apparel_Tshirts</v>
      </c>
      <c r="C1078" s="23" t="s">
        <v>1631</v>
      </c>
      <c r="D1078" s="14" t="str">
        <f t="array" ref="D1078">XLOOKUP(C1078, Channel_Listings!C:C, Channel_Listings!D:D)
</f>
        <v>TSHIRT-BLACK-M</v>
      </c>
      <c r="E1078" s="15"/>
      <c r="F1078" s="16">
        <f t="array" ref="F1078">IFERROR(
  VALUE( INDEX(Product_Master!$I:$I,
               MATCH( INDEX(Pack_Master!$B:$B, MATCH($D1078, Pack_Master!$A:$A, 0)),
                      Product_Master!$B:$B, 0)
  )) 
  * VALUE( INDEX(Pack_Master!$C:$C, MATCH($D1078, Pack_Master!$A:$A, 0)) )
  + VALUE( INDEX(Pack_Master!$D:$D, MATCH($D1078, Pack_Master!$A:$A, 0)) ),
"")
</f>
        <v>2</v>
      </c>
      <c r="G1078" s="17">
        <f t="array" ref="G1078">IFERROR(
 ( INDEX(Pack_Master!E:E, MATCH($D1078, Pack_Master!A:A, 0))
   * INDEX(Pack_Master!F:F, MATCH($D1078, Pack_Master!A:A, 0))
   * INDEX(Pack_Master!G:G, MATCH($D1078, Pack_Master!A:A, 0))
 ) / INDEX(Config!C:C, MATCH($A1078, Config!A:A, 0)),
"")
</f>
        <v>0.375</v>
      </c>
      <c r="H1078" s="17">
        <f t="array" ref="H1078">MAX( INDEX(Pack_Master!H:H, MATCH($D1078, Pack_Master!A:A, 0)),
      IFERROR(G1078, 0) )
</f>
        <v>0.5</v>
      </c>
      <c r="I1078" s="18">
        <f>IFERROR(__xludf.DUMMYFUNCTION("IFERROR(
 INDEX(
   FILTER(Shipping_Rate_Card!B:F, Shipping_Rate_Card!A:A=$A1078),
   MATCH($H1078, FILTER(Shipping_Rate_Card!B:B, Shipping_Rate_Card!A:A=$A1078), 1),
   IF( INDEX(Config!B:B, MATCH($A1078, Config!A:A, 0))=""Local"", 2,
     IF( INDEX(Conf"&amp;"ig!B:B, MATCH($A1078, Config!A:A, 0))=""Regional"", 3, 4 )
   )
 ),
"""")
"),75.0)</f>
        <v>75</v>
      </c>
      <c r="J1078" s="16">
        <f>IFERROR(__xludf.DUMMYFUNCTION("IFERROR(
 ( E1078 * INDEX(FILTER(Pricing_Rules!E:E, Pricing_Rules!A:A=A1078, Pricing_Rules!B:B=B1078, Pricing_Rules!C:C&lt;=E1078, Pricing_Rules!D:D&gt;=E1078), 1)
   + INDEX(FILTER(Pricing_Rules!F:F, Pricing_Rules!A:A=A1078, Pricing_Rules!B:B=B1078, Pricing_Ru"&amp;"les!C:C&lt;=E1078, Pricing_Rules!D:D&gt;=E1078), 1)
 )
 * (1 + IFERROR( INDEX(Config!D:D, MATCH(A1078, Config!A:A, 0)), 0 )),
"""")
"),15.34)</f>
        <v>15.34</v>
      </c>
      <c r="K1078" s="19">
        <f t="shared" si="3"/>
        <v>-92.34</v>
      </c>
      <c r="L1078" s="20" t="str">
        <f t="shared" si="4"/>
        <v/>
      </c>
    </row>
    <row r="1079" ht="15.75" customHeight="1">
      <c r="A1079" s="9" t="s">
        <v>1162</v>
      </c>
      <c r="B1079" s="12" t="str">
        <f t="array" ref="B1079">XLOOKUP(C1079, Channel_Listings!C:C, Channel_Listings!B:B)
</f>
        <v>Apparel_Tshirts</v>
      </c>
      <c r="C1079" s="23" t="s">
        <v>1633</v>
      </c>
      <c r="D1079" s="14" t="str">
        <f t="array" ref="D1079">XLOOKUP(C1079, Channel_Listings!C:C, Channel_Listings!D:D)
</f>
        <v>TSHIRT-BLACK-XL</v>
      </c>
      <c r="E1079" s="15"/>
      <c r="F1079" s="16">
        <f t="array" ref="F1079">IFERROR(
  VALUE( INDEX(Product_Master!$I:$I,
               MATCH( INDEX(Pack_Master!$B:$B, MATCH($D1079, Pack_Master!$A:$A, 0)),
                      Product_Master!$B:$B, 0)
  )) 
  * VALUE( INDEX(Pack_Master!$C:$C, MATCH($D1079, Pack_Master!$A:$A, 0)) )
  + VALUE( INDEX(Pack_Master!$D:$D, MATCH($D1079, Pack_Master!$A:$A, 0)) ),
"")
</f>
        <v>2</v>
      </c>
      <c r="G1079" s="17">
        <f t="array" ref="G1079">IFERROR(
 ( INDEX(Pack_Master!E:E, MATCH($D1079, Pack_Master!A:A, 0))
   * INDEX(Pack_Master!F:F, MATCH($D1079, Pack_Master!A:A, 0))
   * INDEX(Pack_Master!G:G, MATCH($D1079, Pack_Master!A:A, 0))
 ) / INDEX(Config!C:C, MATCH($A1079, Config!A:A, 0)),
"")
</f>
        <v>0.375</v>
      </c>
      <c r="H1079" s="17">
        <f t="array" ref="H1079">MAX( INDEX(Pack_Master!H:H, MATCH($D1079, Pack_Master!A:A, 0)),
      IFERROR(G1079, 0) )
</f>
        <v>0.5</v>
      </c>
      <c r="I1079" s="18">
        <f>IFERROR(__xludf.DUMMYFUNCTION("IFERROR(
 INDEX(
   FILTER(Shipping_Rate_Card!B:F, Shipping_Rate_Card!A:A=$A1079),
   MATCH($H1079, FILTER(Shipping_Rate_Card!B:B, Shipping_Rate_Card!A:A=$A1079), 1),
   IF( INDEX(Config!B:B, MATCH($A1079, Config!A:A, 0))=""Local"", 2,
     IF( INDEX(Conf"&amp;"ig!B:B, MATCH($A1079, Config!A:A, 0))=""Regional"", 3, 4 )
   )
 ),
"""")
"),75.0)</f>
        <v>75</v>
      </c>
      <c r="J1079" s="16">
        <f>IFERROR(__xludf.DUMMYFUNCTION("IFERROR(
 ( E1079 * INDEX(FILTER(Pricing_Rules!E:E, Pricing_Rules!A:A=A1079, Pricing_Rules!B:B=B1079, Pricing_Rules!C:C&lt;=E1079, Pricing_Rules!D:D&gt;=E1079), 1)
   + INDEX(FILTER(Pricing_Rules!F:F, Pricing_Rules!A:A=A1079, Pricing_Rules!B:B=B1079, Pricing_Ru"&amp;"les!C:C&lt;=E1079, Pricing_Rules!D:D&gt;=E1079), 1)
 )
 * (1 + IFERROR( INDEX(Config!D:D, MATCH(A1079, Config!A:A, 0)), 0 )),
"""")
"),15.34)</f>
        <v>15.34</v>
      </c>
      <c r="K1079" s="19">
        <f t="shared" si="3"/>
        <v>-92.34</v>
      </c>
      <c r="L1079" s="20" t="str">
        <f t="shared" si="4"/>
        <v/>
      </c>
    </row>
    <row r="1080" ht="15.75" customHeight="1">
      <c r="A1080" s="9" t="s">
        <v>1162</v>
      </c>
      <c r="B1080" s="12" t="str">
        <f t="array" ref="B1080">XLOOKUP(C1080, Channel_Listings!C:C, Channel_Listings!B:B)
</f>
        <v>Apparel_Tshirts</v>
      </c>
      <c r="C1080" s="23" t="s">
        <v>1635</v>
      </c>
      <c r="D1080" s="14" t="str">
        <f t="array" ref="D1080">XLOOKUP(C1080, Channel_Listings!C:C, Channel_Listings!D:D)
</f>
        <v>TSHIRT-BLACK-XXL</v>
      </c>
      <c r="E1080" s="15"/>
      <c r="F1080" s="16">
        <f t="array" ref="F1080">IFERROR(
  VALUE( INDEX(Product_Master!$I:$I,
               MATCH( INDEX(Pack_Master!$B:$B, MATCH($D1080, Pack_Master!$A:$A, 0)),
                      Product_Master!$B:$B, 0)
  )) 
  * VALUE( INDEX(Pack_Master!$C:$C, MATCH($D1080, Pack_Master!$A:$A, 0)) )
  + VALUE( INDEX(Pack_Master!$D:$D, MATCH($D1080, Pack_Master!$A:$A, 0)) ),
"")
</f>
        <v>2</v>
      </c>
      <c r="G1080" s="17">
        <f t="array" ref="G1080">IFERROR(
 ( INDEX(Pack_Master!E:E, MATCH($D1080, Pack_Master!A:A, 0))
   * INDEX(Pack_Master!F:F, MATCH($D1080, Pack_Master!A:A, 0))
   * INDEX(Pack_Master!G:G, MATCH($D1080, Pack_Master!A:A, 0))
 ) / INDEX(Config!C:C, MATCH($A1080, Config!A:A, 0)),
"")
</f>
        <v>0.375</v>
      </c>
      <c r="H1080" s="17">
        <f t="array" ref="H1080">MAX( INDEX(Pack_Master!H:H, MATCH($D1080, Pack_Master!A:A, 0)),
      IFERROR(G1080, 0) )
</f>
        <v>0.5</v>
      </c>
      <c r="I1080" s="18">
        <f>IFERROR(__xludf.DUMMYFUNCTION("IFERROR(
 INDEX(
   FILTER(Shipping_Rate_Card!B:F, Shipping_Rate_Card!A:A=$A1080),
   MATCH($H1080, FILTER(Shipping_Rate_Card!B:B, Shipping_Rate_Card!A:A=$A1080), 1),
   IF( INDEX(Config!B:B, MATCH($A1080, Config!A:A, 0))=""Local"", 2,
     IF( INDEX(Conf"&amp;"ig!B:B, MATCH($A1080, Config!A:A, 0))=""Regional"", 3, 4 )
   )
 ),
"""")
"),75.0)</f>
        <v>75</v>
      </c>
      <c r="J1080" s="16">
        <f>IFERROR(__xludf.DUMMYFUNCTION("IFERROR(
 ( E1080 * INDEX(FILTER(Pricing_Rules!E:E, Pricing_Rules!A:A=A1080, Pricing_Rules!B:B=B1080, Pricing_Rules!C:C&lt;=E1080, Pricing_Rules!D:D&gt;=E1080), 1)
   + INDEX(FILTER(Pricing_Rules!F:F, Pricing_Rules!A:A=A1080, Pricing_Rules!B:B=B1080, Pricing_Ru"&amp;"les!C:C&lt;=E1080, Pricing_Rules!D:D&gt;=E1080), 1)
 )
 * (1 + IFERROR( INDEX(Config!D:D, MATCH(A1080, Config!A:A, 0)), 0 )),
"""")
"),15.34)</f>
        <v>15.34</v>
      </c>
      <c r="K1080" s="19">
        <f t="shared" si="3"/>
        <v>-92.34</v>
      </c>
      <c r="L1080" s="20" t="str">
        <f t="shared" si="4"/>
        <v/>
      </c>
    </row>
    <row r="1081" ht="15.75" customHeight="1">
      <c r="A1081" s="9" t="s">
        <v>1162</v>
      </c>
      <c r="B1081" s="12" t="str">
        <f t="array" ref="B1081">XLOOKUP(C1081, Channel_Listings!C:C, Channel_Listings!B:B)
</f>
        <v>Apparel_Tshirts</v>
      </c>
      <c r="C1081" s="23" t="s">
        <v>1637</v>
      </c>
      <c r="D1081" s="14" t="str">
        <f t="array" ref="D1081">XLOOKUP(C1081, Channel_Listings!C:C, Channel_Listings!D:D)
</f>
        <v>TSHIRT-BLACK-L</v>
      </c>
      <c r="E1081" s="15"/>
      <c r="F1081" s="16">
        <f t="array" ref="F1081">IFERROR(
  VALUE( INDEX(Product_Master!$I:$I,
               MATCH( INDEX(Pack_Master!$B:$B, MATCH($D1081, Pack_Master!$A:$A, 0)),
                      Product_Master!$B:$B, 0)
  )) 
  * VALUE( INDEX(Pack_Master!$C:$C, MATCH($D1081, Pack_Master!$A:$A, 0)) )
  + VALUE( INDEX(Pack_Master!$D:$D, MATCH($D1081, Pack_Master!$A:$A, 0)) ),
"")
</f>
        <v>2</v>
      </c>
      <c r="G1081" s="17">
        <f t="array" ref="G1081">IFERROR(
 ( INDEX(Pack_Master!E:E, MATCH($D1081, Pack_Master!A:A, 0))
   * INDEX(Pack_Master!F:F, MATCH($D1081, Pack_Master!A:A, 0))
   * INDEX(Pack_Master!G:G, MATCH($D1081, Pack_Master!A:A, 0))
 ) / INDEX(Config!C:C, MATCH($A1081, Config!A:A, 0)),
"")
</f>
        <v>0.375</v>
      </c>
      <c r="H1081" s="17">
        <f t="array" ref="H1081">MAX( INDEX(Pack_Master!H:H, MATCH($D1081, Pack_Master!A:A, 0)),
      IFERROR(G1081, 0) )
</f>
        <v>0.5</v>
      </c>
      <c r="I1081" s="18">
        <f>IFERROR(__xludf.DUMMYFUNCTION("IFERROR(
 INDEX(
   FILTER(Shipping_Rate_Card!B:F, Shipping_Rate_Card!A:A=$A1081),
   MATCH($H1081, FILTER(Shipping_Rate_Card!B:B, Shipping_Rate_Card!A:A=$A1081), 1),
   IF( INDEX(Config!B:B, MATCH($A1081, Config!A:A, 0))=""Local"", 2,
     IF( INDEX(Conf"&amp;"ig!B:B, MATCH($A1081, Config!A:A, 0))=""Regional"", 3, 4 )
   )
 ),
"""")
"),75.0)</f>
        <v>75</v>
      </c>
      <c r="J1081" s="16">
        <f>IFERROR(__xludf.DUMMYFUNCTION("IFERROR(
 ( E1081 * INDEX(FILTER(Pricing_Rules!E:E, Pricing_Rules!A:A=A1081, Pricing_Rules!B:B=B1081, Pricing_Rules!C:C&lt;=E1081, Pricing_Rules!D:D&gt;=E1081), 1)
   + INDEX(FILTER(Pricing_Rules!F:F, Pricing_Rules!A:A=A1081, Pricing_Rules!B:B=B1081, Pricing_Ru"&amp;"les!C:C&lt;=E1081, Pricing_Rules!D:D&gt;=E1081), 1)
 )
 * (1 + IFERROR( INDEX(Config!D:D, MATCH(A1081, Config!A:A, 0)), 0 )),
"""")
"),15.34)</f>
        <v>15.34</v>
      </c>
      <c r="K1081" s="19">
        <f t="shared" si="3"/>
        <v>-92.34</v>
      </c>
      <c r="L1081" s="20" t="str">
        <f t="shared" si="4"/>
        <v/>
      </c>
    </row>
    <row r="1082" ht="15.75" customHeight="1">
      <c r="A1082" s="9" t="s">
        <v>1162</v>
      </c>
      <c r="B1082" s="12" t="str">
        <f t="array" ref="B1082">XLOOKUP(C1082, Channel_Listings!C:C, Channel_Listings!B:B)
</f>
        <v>Apparel_Tshirts</v>
      </c>
      <c r="C1082" s="23" t="s">
        <v>1639</v>
      </c>
      <c r="D1082" s="14" t="str">
        <f t="array" ref="D1082">XLOOKUP(C1082, Channel_Listings!C:C, Channel_Listings!D:D)
</f>
        <v>TSHIRT-BLACK-M</v>
      </c>
      <c r="E1082" s="15"/>
      <c r="F1082" s="16">
        <f t="array" ref="F1082">IFERROR(
  VALUE( INDEX(Product_Master!$I:$I,
               MATCH( INDEX(Pack_Master!$B:$B, MATCH($D1082, Pack_Master!$A:$A, 0)),
                      Product_Master!$B:$B, 0)
  )) 
  * VALUE( INDEX(Pack_Master!$C:$C, MATCH($D1082, Pack_Master!$A:$A, 0)) )
  + VALUE( INDEX(Pack_Master!$D:$D, MATCH($D1082, Pack_Master!$A:$A, 0)) ),
"")
</f>
        <v>2</v>
      </c>
      <c r="G1082" s="17">
        <f t="array" ref="G1082">IFERROR(
 ( INDEX(Pack_Master!E:E, MATCH($D1082, Pack_Master!A:A, 0))
   * INDEX(Pack_Master!F:F, MATCH($D1082, Pack_Master!A:A, 0))
   * INDEX(Pack_Master!G:G, MATCH($D1082, Pack_Master!A:A, 0))
 ) / INDEX(Config!C:C, MATCH($A1082, Config!A:A, 0)),
"")
</f>
        <v>0.375</v>
      </c>
      <c r="H1082" s="17">
        <f t="array" ref="H1082">MAX( INDEX(Pack_Master!H:H, MATCH($D1082, Pack_Master!A:A, 0)),
      IFERROR(G1082, 0) )
</f>
        <v>0.5</v>
      </c>
      <c r="I1082" s="18">
        <f>IFERROR(__xludf.DUMMYFUNCTION("IFERROR(
 INDEX(
   FILTER(Shipping_Rate_Card!B:F, Shipping_Rate_Card!A:A=$A1082),
   MATCH($H1082, FILTER(Shipping_Rate_Card!B:B, Shipping_Rate_Card!A:A=$A1082), 1),
   IF( INDEX(Config!B:B, MATCH($A1082, Config!A:A, 0))=""Local"", 2,
     IF( INDEX(Conf"&amp;"ig!B:B, MATCH($A1082, Config!A:A, 0))=""Regional"", 3, 4 )
   )
 ),
"""")
"),75.0)</f>
        <v>75</v>
      </c>
      <c r="J1082" s="16">
        <f>IFERROR(__xludf.DUMMYFUNCTION("IFERROR(
 ( E1082 * INDEX(FILTER(Pricing_Rules!E:E, Pricing_Rules!A:A=A1082, Pricing_Rules!B:B=B1082, Pricing_Rules!C:C&lt;=E1082, Pricing_Rules!D:D&gt;=E1082), 1)
   + INDEX(FILTER(Pricing_Rules!F:F, Pricing_Rules!A:A=A1082, Pricing_Rules!B:B=B1082, Pricing_Ru"&amp;"les!C:C&lt;=E1082, Pricing_Rules!D:D&gt;=E1082), 1)
 )
 * (1 + IFERROR( INDEX(Config!D:D, MATCH(A1082, Config!A:A, 0)), 0 )),
"""")
"),15.34)</f>
        <v>15.34</v>
      </c>
      <c r="K1082" s="19">
        <f t="shared" si="3"/>
        <v>-92.34</v>
      </c>
      <c r="L1082" s="20" t="str">
        <f t="shared" si="4"/>
        <v/>
      </c>
    </row>
    <row r="1083" ht="15.75" customHeight="1">
      <c r="A1083" s="9" t="s">
        <v>1162</v>
      </c>
      <c r="B1083" s="12" t="str">
        <f t="array" ref="B1083">XLOOKUP(C1083, Channel_Listings!C:C, Channel_Listings!B:B)
</f>
        <v>Apparel_Tshirts</v>
      </c>
      <c r="C1083" s="23" t="s">
        <v>1641</v>
      </c>
      <c r="D1083" s="14" t="str">
        <f t="array" ref="D1083">XLOOKUP(C1083, Channel_Listings!C:C, Channel_Listings!D:D)
</f>
        <v>TSHIRT-BLACK-XL</v>
      </c>
      <c r="E1083" s="15"/>
      <c r="F1083" s="16">
        <f t="array" ref="F1083">IFERROR(
  VALUE( INDEX(Product_Master!$I:$I,
               MATCH( INDEX(Pack_Master!$B:$B, MATCH($D1083, Pack_Master!$A:$A, 0)),
                      Product_Master!$B:$B, 0)
  )) 
  * VALUE( INDEX(Pack_Master!$C:$C, MATCH($D1083, Pack_Master!$A:$A, 0)) )
  + VALUE( INDEX(Pack_Master!$D:$D, MATCH($D1083, Pack_Master!$A:$A, 0)) ),
"")
</f>
        <v>2</v>
      </c>
      <c r="G1083" s="17">
        <f t="array" ref="G1083">IFERROR(
 ( INDEX(Pack_Master!E:E, MATCH($D1083, Pack_Master!A:A, 0))
   * INDEX(Pack_Master!F:F, MATCH($D1083, Pack_Master!A:A, 0))
   * INDEX(Pack_Master!G:G, MATCH($D1083, Pack_Master!A:A, 0))
 ) / INDEX(Config!C:C, MATCH($A1083, Config!A:A, 0)),
"")
</f>
        <v>0.375</v>
      </c>
      <c r="H1083" s="17">
        <f t="array" ref="H1083">MAX( INDEX(Pack_Master!H:H, MATCH($D1083, Pack_Master!A:A, 0)),
      IFERROR(G1083, 0) )
</f>
        <v>0.5</v>
      </c>
      <c r="I1083" s="18">
        <f>IFERROR(__xludf.DUMMYFUNCTION("IFERROR(
 INDEX(
   FILTER(Shipping_Rate_Card!B:F, Shipping_Rate_Card!A:A=$A1083),
   MATCH($H1083, FILTER(Shipping_Rate_Card!B:B, Shipping_Rate_Card!A:A=$A1083), 1),
   IF( INDEX(Config!B:B, MATCH($A1083, Config!A:A, 0))=""Local"", 2,
     IF( INDEX(Conf"&amp;"ig!B:B, MATCH($A1083, Config!A:A, 0))=""Regional"", 3, 4 )
   )
 ),
"""")
"),75.0)</f>
        <v>75</v>
      </c>
      <c r="J1083" s="16">
        <f>IFERROR(__xludf.DUMMYFUNCTION("IFERROR(
 ( E1083 * INDEX(FILTER(Pricing_Rules!E:E, Pricing_Rules!A:A=A1083, Pricing_Rules!B:B=B1083, Pricing_Rules!C:C&lt;=E1083, Pricing_Rules!D:D&gt;=E1083), 1)
   + INDEX(FILTER(Pricing_Rules!F:F, Pricing_Rules!A:A=A1083, Pricing_Rules!B:B=B1083, Pricing_Ru"&amp;"les!C:C&lt;=E1083, Pricing_Rules!D:D&gt;=E1083), 1)
 )
 * (1 + IFERROR( INDEX(Config!D:D, MATCH(A1083, Config!A:A, 0)), 0 )),
"""")
"),15.34)</f>
        <v>15.34</v>
      </c>
      <c r="K1083" s="19">
        <f t="shared" si="3"/>
        <v>-92.34</v>
      </c>
      <c r="L1083" s="20" t="str">
        <f t="shared" si="4"/>
        <v/>
      </c>
    </row>
    <row r="1084" ht="15.75" customHeight="1">
      <c r="A1084" s="9" t="s">
        <v>1162</v>
      </c>
      <c r="B1084" s="12" t="str">
        <f t="array" ref="B1084">XLOOKUP(C1084, Channel_Listings!C:C, Channel_Listings!B:B)
</f>
        <v>Apparel_Tshirts</v>
      </c>
      <c r="C1084" s="23" t="s">
        <v>1643</v>
      </c>
      <c r="D1084" s="14" t="str">
        <f t="array" ref="D1084">XLOOKUP(C1084, Channel_Listings!C:C, Channel_Listings!D:D)
</f>
        <v>TSHIRT-BLACK-XXL</v>
      </c>
      <c r="E1084" s="15"/>
      <c r="F1084" s="16">
        <f t="array" ref="F1084">IFERROR(
  VALUE( INDEX(Product_Master!$I:$I,
               MATCH( INDEX(Pack_Master!$B:$B, MATCH($D1084, Pack_Master!$A:$A, 0)),
                      Product_Master!$B:$B, 0)
  )) 
  * VALUE( INDEX(Pack_Master!$C:$C, MATCH($D1084, Pack_Master!$A:$A, 0)) )
  + VALUE( INDEX(Pack_Master!$D:$D, MATCH($D1084, Pack_Master!$A:$A, 0)) ),
"")
</f>
        <v>2</v>
      </c>
      <c r="G1084" s="17">
        <f t="array" ref="G1084">IFERROR(
 ( INDEX(Pack_Master!E:E, MATCH($D1084, Pack_Master!A:A, 0))
   * INDEX(Pack_Master!F:F, MATCH($D1084, Pack_Master!A:A, 0))
   * INDEX(Pack_Master!G:G, MATCH($D1084, Pack_Master!A:A, 0))
 ) / INDEX(Config!C:C, MATCH($A1084, Config!A:A, 0)),
"")
</f>
        <v>0.375</v>
      </c>
      <c r="H1084" s="17">
        <f t="array" ref="H1084">MAX( INDEX(Pack_Master!H:H, MATCH($D1084, Pack_Master!A:A, 0)),
      IFERROR(G1084, 0) )
</f>
        <v>0.5</v>
      </c>
      <c r="I1084" s="18">
        <f>IFERROR(__xludf.DUMMYFUNCTION("IFERROR(
 INDEX(
   FILTER(Shipping_Rate_Card!B:F, Shipping_Rate_Card!A:A=$A1084),
   MATCH($H1084, FILTER(Shipping_Rate_Card!B:B, Shipping_Rate_Card!A:A=$A1084), 1),
   IF( INDEX(Config!B:B, MATCH($A1084, Config!A:A, 0))=""Local"", 2,
     IF( INDEX(Conf"&amp;"ig!B:B, MATCH($A1084, Config!A:A, 0))=""Regional"", 3, 4 )
   )
 ),
"""")
"),75.0)</f>
        <v>75</v>
      </c>
      <c r="J1084" s="16">
        <f>IFERROR(__xludf.DUMMYFUNCTION("IFERROR(
 ( E1084 * INDEX(FILTER(Pricing_Rules!E:E, Pricing_Rules!A:A=A1084, Pricing_Rules!B:B=B1084, Pricing_Rules!C:C&lt;=E1084, Pricing_Rules!D:D&gt;=E1084), 1)
   + INDEX(FILTER(Pricing_Rules!F:F, Pricing_Rules!A:A=A1084, Pricing_Rules!B:B=B1084, Pricing_Ru"&amp;"les!C:C&lt;=E1084, Pricing_Rules!D:D&gt;=E1084), 1)
 )
 * (1 + IFERROR( INDEX(Config!D:D, MATCH(A1084, Config!A:A, 0)), 0 )),
"""")
"),15.34)</f>
        <v>15.34</v>
      </c>
      <c r="K1084" s="19">
        <f t="shared" si="3"/>
        <v>-92.34</v>
      </c>
      <c r="L1084" s="20" t="str">
        <f t="shared" si="4"/>
        <v/>
      </c>
    </row>
    <row r="1085" ht="15.75" customHeight="1">
      <c r="A1085" s="9" t="s">
        <v>1162</v>
      </c>
      <c r="B1085" s="12" t="str">
        <f t="array" ref="B1085">XLOOKUP(C1085, Channel_Listings!C:C, Channel_Listings!B:B)
</f>
        <v>Apparel_Tshirts</v>
      </c>
      <c r="C1085" s="23" t="s">
        <v>1645</v>
      </c>
      <c r="D1085" s="14" t="str">
        <f t="array" ref="D1085">XLOOKUP(C1085, Channel_Listings!C:C, Channel_Listings!D:D)
</f>
        <v>TSHIRT-BLACK-M</v>
      </c>
      <c r="E1085" s="15"/>
      <c r="F1085" s="16">
        <f t="array" ref="F1085">IFERROR(
  VALUE( INDEX(Product_Master!$I:$I,
               MATCH( INDEX(Pack_Master!$B:$B, MATCH($D1085, Pack_Master!$A:$A, 0)),
                      Product_Master!$B:$B, 0)
  )) 
  * VALUE( INDEX(Pack_Master!$C:$C, MATCH($D1085, Pack_Master!$A:$A, 0)) )
  + VALUE( INDEX(Pack_Master!$D:$D, MATCH($D1085, Pack_Master!$A:$A, 0)) ),
"")
</f>
        <v>2</v>
      </c>
      <c r="G1085" s="17">
        <f t="array" ref="G1085">IFERROR(
 ( INDEX(Pack_Master!E:E, MATCH($D1085, Pack_Master!A:A, 0))
   * INDEX(Pack_Master!F:F, MATCH($D1085, Pack_Master!A:A, 0))
   * INDEX(Pack_Master!G:G, MATCH($D1085, Pack_Master!A:A, 0))
 ) / INDEX(Config!C:C, MATCH($A1085, Config!A:A, 0)),
"")
</f>
        <v>0.375</v>
      </c>
      <c r="H1085" s="17">
        <f t="array" ref="H1085">MAX( INDEX(Pack_Master!H:H, MATCH($D1085, Pack_Master!A:A, 0)),
      IFERROR(G1085, 0) )
</f>
        <v>0.5</v>
      </c>
      <c r="I1085" s="18">
        <f>IFERROR(__xludf.DUMMYFUNCTION("IFERROR(
 INDEX(
   FILTER(Shipping_Rate_Card!B:F, Shipping_Rate_Card!A:A=$A1085),
   MATCH($H1085, FILTER(Shipping_Rate_Card!B:B, Shipping_Rate_Card!A:A=$A1085), 1),
   IF( INDEX(Config!B:B, MATCH($A1085, Config!A:A, 0))=""Local"", 2,
     IF( INDEX(Conf"&amp;"ig!B:B, MATCH($A1085, Config!A:A, 0))=""Regional"", 3, 4 )
   )
 ),
"""")
"),75.0)</f>
        <v>75</v>
      </c>
      <c r="J1085" s="16">
        <f>IFERROR(__xludf.DUMMYFUNCTION("IFERROR(
 ( E1085 * INDEX(FILTER(Pricing_Rules!E:E, Pricing_Rules!A:A=A1085, Pricing_Rules!B:B=B1085, Pricing_Rules!C:C&lt;=E1085, Pricing_Rules!D:D&gt;=E1085), 1)
   + INDEX(FILTER(Pricing_Rules!F:F, Pricing_Rules!A:A=A1085, Pricing_Rules!B:B=B1085, Pricing_Ru"&amp;"les!C:C&lt;=E1085, Pricing_Rules!D:D&gt;=E1085), 1)
 )
 * (1 + IFERROR( INDEX(Config!D:D, MATCH(A1085, Config!A:A, 0)), 0 )),
"""")
"),15.34)</f>
        <v>15.34</v>
      </c>
      <c r="K1085" s="19">
        <f t="shared" si="3"/>
        <v>-92.34</v>
      </c>
      <c r="L1085" s="20" t="str">
        <f t="shared" si="4"/>
        <v/>
      </c>
    </row>
    <row r="1086" ht="15.75" customHeight="1">
      <c r="A1086" s="9" t="s">
        <v>1162</v>
      </c>
      <c r="B1086" s="12" t="str">
        <f t="array" ref="B1086">XLOOKUP(C1086, Channel_Listings!C:C, Channel_Listings!B:B)
</f>
        <v>Apparel_Tshirts</v>
      </c>
      <c r="C1086" s="23" t="s">
        <v>1647</v>
      </c>
      <c r="D1086" s="14" t="str">
        <f t="array" ref="D1086">XLOOKUP(C1086, Channel_Listings!C:C, Channel_Listings!D:D)
</f>
        <v>TSHIRT-BLACK-XL</v>
      </c>
      <c r="E1086" s="15"/>
      <c r="F1086" s="16">
        <f t="array" ref="F1086">IFERROR(
  VALUE( INDEX(Product_Master!$I:$I,
               MATCH( INDEX(Pack_Master!$B:$B, MATCH($D1086, Pack_Master!$A:$A, 0)),
                      Product_Master!$B:$B, 0)
  )) 
  * VALUE( INDEX(Pack_Master!$C:$C, MATCH($D1086, Pack_Master!$A:$A, 0)) )
  + VALUE( INDEX(Pack_Master!$D:$D, MATCH($D1086, Pack_Master!$A:$A, 0)) ),
"")
</f>
        <v>2</v>
      </c>
      <c r="G1086" s="17">
        <f t="array" ref="G1086">IFERROR(
 ( INDEX(Pack_Master!E:E, MATCH($D1086, Pack_Master!A:A, 0))
   * INDEX(Pack_Master!F:F, MATCH($D1086, Pack_Master!A:A, 0))
   * INDEX(Pack_Master!G:G, MATCH($D1086, Pack_Master!A:A, 0))
 ) / INDEX(Config!C:C, MATCH($A1086, Config!A:A, 0)),
"")
</f>
        <v>0.375</v>
      </c>
      <c r="H1086" s="17">
        <f t="array" ref="H1086">MAX( INDEX(Pack_Master!H:H, MATCH($D1086, Pack_Master!A:A, 0)),
      IFERROR(G1086, 0) )
</f>
        <v>0.5</v>
      </c>
      <c r="I1086" s="18">
        <f>IFERROR(__xludf.DUMMYFUNCTION("IFERROR(
 INDEX(
   FILTER(Shipping_Rate_Card!B:F, Shipping_Rate_Card!A:A=$A1086),
   MATCH($H1086, FILTER(Shipping_Rate_Card!B:B, Shipping_Rate_Card!A:A=$A1086), 1),
   IF( INDEX(Config!B:B, MATCH($A1086, Config!A:A, 0))=""Local"", 2,
     IF( INDEX(Conf"&amp;"ig!B:B, MATCH($A1086, Config!A:A, 0))=""Regional"", 3, 4 )
   )
 ),
"""")
"),75.0)</f>
        <v>75</v>
      </c>
      <c r="J1086" s="16">
        <f>IFERROR(__xludf.DUMMYFUNCTION("IFERROR(
 ( E1086 * INDEX(FILTER(Pricing_Rules!E:E, Pricing_Rules!A:A=A1086, Pricing_Rules!B:B=B1086, Pricing_Rules!C:C&lt;=E1086, Pricing_Rules!D:D&gt;=E1086), 1)
   + INDEX(FILTER(Pricing_Rules!F:F, Pricing_Rules!A:A=A1086, Pricing_Rules!B:B=B1086, Pricing_Ru"&amp;"les!C:C&lt;=E1086, Pricing_Rules!D:D&gt;=E1086), 1)
 )
 * (1 + IFERROR( INDEX(Config!D:D, MATCH(A1086, Config!A:A, 0)), 0 )),
"""")
"),15.34)</f>
        <v>15.34</v>
      </c>
      <c r="K1086" s="19">
        <f t="shared" si="3"/>
        <v>-92.34</v>
      </c>
      <c r="L1086" s="20" t="str">
        <f t="shared" si="4"/>
        <v/>
      </c>
    </row>
    <row r="1087" ht="15.75" customHeight="1">
      <c r="A1087" s="9" t="s">
        <v>1162</v>
      </c>
      <c r="B1087" s="12" t="str">
        <f t="array" ref="B1087">XLOOKUP(C1087, Channel_Listings!C:C, Channel_Listings!B:B)
</f>
        <v>Apparel_Tshirts</v>
      </c>
      <c r="C1087" s="23" t="s">
        <v>1649</v>
      </c>
      <c r="D1087" s="14" t="str">
        <f t="array" ref="D1087">XLOOKUP(C1087, Channel_Listings!C:C, Channel_Listings!D:D)
</f>
        <v>TSHIRT-BLACK-XXL</v>
      </c>
      <c r="E1087" s="15"/>
      <c r="F1087" s="16">
        <f t="array" ref="F1087">IFERROR(
  VALUE( INDEX(Product_Master!$I:$I,
               MATCH( INDEX(Pack_Master!$B:$B, MATCH($D1087, Pack_Master!$A:$A, 0)),
                      Product_Master!$B:$B, 0)
  )) 
  * VALUE( INDEX(Pack_Master!$C:$C, MATCH($D1087, Pack_Master!$A:$A, 0)) )
  + VALUE( INDEX(Pack_Master!$D:$D, MATCH($D1087, Pack_Master!$A:$A, 0)) ),
"")
</f>
        <v>2</v>
      </c>
      <c r="G1087" s="17">
        <f t="array" ref="G1087">IFERROR(
 ( INDEX(Pack_Master!E:E, MATCH($D1087, Pack_Master!A:A, 0))
   * INDEX(Pack_Master!F:F, MATCH($D1087, Pack_Master!A:A, 0))
   * INDEX(Pack_Master!G:G, MATCH($D1087, Pack_Master!A:A, 0))
 ) / INDEX(Config!C:C, MATCH($A1087, Config!A:A, 0)),
"")
</f>
        <v>0.375</v>
      </c>
      <c r="H1087" s="17">
        <f t="array" ref="H1087">MAX( INDEX(Pack_Master!H:H, MATCH($D1087, Pack_Master!A:A, 0)),
      IFERROR(G1087, 0) )
</f>
        <v>0.5</v>
      </c>
      <c r="I1087" s="18">
        <f>IFERROR(__xludf.DUMMYFUNCTION("IFERROR(
 INDEX(
   FILTER(Shipping_Rate_Card!B:F, Shipping_Rate_Card!A:A=$A1087),
   MATCH($H1087, FILTER(Shipping_Rate_Card!B:B, Shipping_Rate_Card!A:A=$A1087), 1),
   IF( INDEX(Config!B:B, MATCH($A1087, Config!A:A, 0))=""Local"", 2,
     IF( INDEX(Conf"&amp;"ig!B:B, MATCH($A1087, Config!A:A, 0))=""Regional"", 3, 4 )
   )
 ),
"""")
"),75.0)</f>
        <v>75</v>
      </c>
      <c r="J1087" s="16">
        <f>IFERROR(__xludf.DUMMYFUNCTION("IFERROR(
 ( E1087 * INDEX(FILTER(Pricing_Rules!E:E, Pricing_Rules!A:A=A1087, Pricing_Rules!B:B=B1087, Pricing_Rules!C:C&lt;=E1087, Pricing_Rules!D:D&gt;=E1087), 1)
   + INDEX(FILTER(Pricing_Rules!F:F, Pricing_Rules!A:A=A1087, Pricing_Rules!B:B=B1087, Pricing_Ru"&amp;"les!C:C&lt;=E1087, Pricing_Rules!D:D&gt;=E1087), 1)
 )
 * (1 + IFERROR( INDEX(Config!D:D, MATCH(A1087, Config!A:A, 0)), 0 )),
"""")
"),15.34)</f>
        <v>15.34</v>
      </c>
      <c r="K1087" s="19">
        <f t="shared" si="3"/>
        <v>-92.34</v>
      </c>
      <c r="L1087" s="20" t="str">
        <f t="shared" si="4"/>
        <v/>
      </c>
    </row>
    <row r="1088" ht="15.75" customHeight="1">
      <c r="A1088" s="9" t="s">
        <v>1162</v>
      </c>
      <c r="B1088" s="12" t="str">
        <f t="array" ref="B1088">XLOOKUP(C1088, Channel_Listings!C:C, Channel_Listings!B:B)
</f>
        <v>Apparel_Tshirts</v>
      </c>
      <c r="C1088" s="23" t="s">
        <v>1651</v>
      </c>
      <c r="D1088" s="14" t="str">
        <f t="array" ref="D1088">XLOOKUP(C1088, Channel_Listings!C:C, Channel_Listings!D:D)
</f>
        <v>TSHIRT-BLACK-L</v>
      </c>
      <c r="E1088" s="15"/>
      <c r="F1088" s="16">
        <f t="array" ref="F1088">IFERROR(
  VALUE( INDEX(Product_Master!$I:$I,
               MATCH( INDEX(Pack_Master!$B:$B, MATCH($D1088, Pack_Master!$A:$A, 0)),
                      Product_Master!$B:$B, 0)
  )) 
  * VALUE( INDEX(Pack_Master!$C:$C, MATCH($D1088, Pack_Master!$A:$A, 0)) )
  + VALUE( INDEX(Pack_Master!$D:$D, MATCH($D1088, Pack_Master!$A:$A, 0)) ),
"")
</f>
        <v>2</v>
      </c>
      <c r="G1088" s="17">
        <f t="array" ref="G1088">IFERROR(
 ( INDEX(Pack_Master!E:E, MATCH($D1088, Pack_Master!A:A, 0))
   * INDEX(Pack_Master!F:F, MATCH($D1088, Pack_Master!A:A, 0))
   * INDEX(Pack_Master!G:G, MATCH($D1088, Pack_Master!A:A, 0))
 ) / INDEX(Config!C:C, MATCH($A1088, Config!A:A, 0)),
"")
</f>
        <v>0.375</v>
      </c>
      <c r="H1088" s="17">
        <f t="array" ref="H1088">MAX( INDEX(Pack_Master!H:H, MATCH($D1088, Pack_Master!A:A, 0)),
      IFERROR(G1088, 0) )
</f>
        <v>0.5</v>
      </c>
      <c r="I1088" s="18">
        <f>IFERROR(__xludf.DUMMYFUNCTION("IFERROR(
 INDEX(
   FILTER(Shipping_Rate_Card!B:F, Shipping_Rate_Card!A:A=$A1088),
   MATCH($H1088, FILTER(Shipping_Rate_Card!B:B, Shipping_Rate_Card!A:A=$A1088), 1),
   IF( INDEX(Config!B:B, MATCH($A1088, Config!A:A, 0))=""Local"", 2,
     IF( INDEX(Conf"&amp;"ig!B:B, MATCH($A1088, Config!A:A, 0))=""Regional"", 3, 4 )
   )
 ),
"""")
"),75.0)</f>
        <v>75</v>
      </c>
      <c r="J1088" s="16">
        <f>IFERROR(__xludf.DUMMYFUNCTION("IFERROR(
 ( E1088 * INDEX(FILTER(Pricing_Rules!E:E, Pricing_Rules!A:A=A1088, Pricing_Rules!B:B=B1088, Pricing_Rules!C:C&lt;=E1088, Pricing_Rules!D:D&gt;=E1088), 1)
   + INDEX(FILTER(Pricing_Rules!F:F, Pricing_Rules!A:A=A1088, Pricing_Rules!B:B=B1088, Pricing_Ru"&amp;"les!C:C&lt;=E1088, Pricing_Rules!D:D&gt;=E1088), 1)
 )
 * (1 + IFERROR( INDEX(Config!D:D, MATCH(A1088, Config!A:A, 0)), 0 )),
"""")
"),15.34)</f>
        <v>15.34</v>
      </c>
      <c r="K1088" s="19">
        <f t="shared" si="3"/>
        <v>-92.34</v>
      </c>
      <c r="L1088" s="20" t="str">
        <f t="shared" si="4"/>
        <v/>
      </c>
    </row>
    <row r="1089" ht="15.75" customHeight="1">
      <c r="A1089" s="9" t="s">
        <v>1162</v>
      </c>
      <c r="B1089" s="12" t="str">
        <f t="array" ref="B1089">XLOOKUP(C1089, Channel_Listings!C:C, Channel_Listings!B:B)
</f>
        <v>Apparel_Tshirts</v>
      </c>
      <c r="C1089" s="23" t="s">
        <v>1653</v>
      </c>
      <c r="D1089" s="14" t="str">
        <f t="array" ref="D1089">XLOOKUP(C1089, Channel_Listings!C:C, Channel_Listings!D:D)
</f>
        <v>TSHIRT-BLACK-M</v>
      </c>
      <c r="E1089" s="15"/>
      <c r="F1089" s="16">
        <f t="array" ref="F1089">IFERROR(
  VALUE( INDEX(Product_Master!$I:$I,
               MATCH( INDEX(Pack_Master!$B:$B, MATCH($D1089, Pack_Master!$A:$A, 0)),
                      Product_Master!$B:$B, 0)
  )) 
  * VALUE( INDEX(Pack_Master!$C:$C, MATCH($D1089, Pack_Master!$A:$A, 0)) )
  + VALUE( INDEX(Pack_Master!$D:$D, MATCH($D1089, Pack_Master!$A:$A, 0)) ),
"")
</f>
        <v>2</v>
      </c>
      <c r="G1089" s="17">
        <f t="array" ref="G1089">IFERROR(
 ( INDEX(Pack_Master!E:E, MATCH($D1089, Pack_Master!A:A, 0))
   * INDEX(Pack_Master!F:F, MATCH($D1089, Pack_Master!A:A, 0))
   * INDEX(Pack_Master!G:G, MATCH($D1089, Pack_Master!A:A, 0))
 ) / INDEX(Config!C:C, MATCH($A1089, Config!A:A, 0)),
"")
</f>
        <v>0.375</v>
      </c>
      <c r="H1089" s="17">
        <f t="array" ref="H1089">MAX( INDEX(Pack_Master!H:H, MATCH($D1089, Pack_Master!A:A, 0)),
      IFERROR(G1089, 0) )
</f>
        <v>0.5</v>
      </c>
      <c r="I1089" s="18">
        <f>IFERROR(__xludf.DUMMYFUNCTION("IFERROR(
 INDEX(
   FILTER(Shipping_Rate_Card!B:F, Shipping_Rate_Card!A:A=$A1089),
   MATCH($H1089, FILTER(Shipping_Rate_Card!B:B, Shipping_Rate_Card!A:A=$A1089), 1),
   IF( INDEX(Config!B:B, MATCH($A1089, Config!A:A, 0))=""Local"", 2,
     IF( INDEX(Conf"&amp;"ig!B:B, MATCH($A1089, Config!A:A, 0))=""Regional"", 3, 4 )
   )
 ),
"""")
"),75.0)</f>
        <v>75</v>
      </c>
      <c r="J1089" s="16">
        <f>IFERROR(__xludf.DUMMYFUNCTION("IFERROR(
 ( E1089 * INDEX(FILTER(Pricing_Rules!E:E, Pricing_Rules!A:A=A1089, Pricing_Rules!B:B=B1089, Pricing_Rules!C:C&lt;=E1089, Pricing_Rules!D:D&gt;=E1089), 1)
   + INDEX(FILTER(Pricing_Rules!F:F, Pricing_Rules!A:A=A1089, Pricing_Rules!B:B=B1089, Pricing_Ru"&amp;"les!C:C&lt;=E1089, Pricing_Rules!D:D&gt;=E1089), 1)
 )
 * (1 + IFERROR( INDEX(Config!D:D, MATCH(A1089, Config!A:A, 0)), 0 )),
"""")
"),15.34)</f>
        <v>15.34</v>
      </c>
      <c r="K1089" s="19">
        <f t="shared" si="3"/>
        <v>-92.34</v>
      </c>
      <c r="L1089" s="20" t="str">
        <f t="shared" si="4"/>
        <v/>
      </c>
    </row>
    <row r="1090" ht="15.75" customHeight="1">
      <c r="A1090" s="9" t="s">
        <v>1162</v>
      </c>
      <c r="B1090" s="12" t="str">
        <f t="array" ref="B1090">XLOOKUP(C1090, Channel_Listings!C:C, Channel_Listings!B:B)
</f>
        <v>Apparel_Tshirts</v>
      </c>
      <c r="C1090" s="23" t="s">
        <v>1655</v>
      </c>
      <c r="D1090" s="14" t="str">
        <f t="array" ref="D1090">XLOOKUP(C1090, Channel_Listings!C:C, Channel_Listings!D:D)
</f>
        <v>TSHIRT-BLACK-XL</v>
      </c>
      <c r="E1090" s="15"/>
      <c r="F1090" s="16">
        <f t="array" ref="F1090">IFERROR(
  VALUE( INDEX(Product_Master!$I:$I,
               MATCH( INDEX(Pack_Master!$B:$B, MATCH($D1090, Pack_Master!$A:$A, 0)),
                      Product_Master!$B:$B, 0)
  )) 
  * VALUE( INDEX(Pack_Master!$C:$C, MATCH($D1090, Pack_Master!$A:$A, 0)) )
  + VALUE( INDEX(Pack_Master!$D:$D, MATCH($D1090, Pack_Master!$A:$A, 0)) ),
"")
</f>
        <v>2</v>
      </c>
      <c r="G1090" s="17">
        <f t="array" ref="G1090">IFERROR(
 ( INDEX(Pack_Master!E:E, MATCH($D1090, Pack_Master!A:A, 0))
   * INDEX(Pack_Master!F:F, MATCH($D1090, Pack_Master!A:A, 0))
   * INDEX(Pack_Master!G:G, MATCH($D1090, Pack_Master!A:A, 0))
 ) / INDEX(Config!C:C, MATCH($A1090, Config!A:A, 0)),
"")
</f>
        <v>0.375</v>
      </c>
      <c r="H1090" s="17">
        <f t="array" ref="H1090">MAX( INDEX(Pack_Master!H:H, MATCH($D1090, Pack_Master!A:A, 0)),
      IFERROR(G1090, 0) )
</f>
        <v>0.5</v>
      </c>
      <c r="I1090" s="18">
        <f>IFERROR(__xludf.DUMMYFUNCTION("IFERROR(
 INDEX(
   FILTER(Shipping_Rate_Card!B:F, Shipping_Rate_Card!A:A=$A1090),
   MATCH($H1090, FILTER(Shipping_Rate_Card!B:B, Shipping_Rate_Card!A:A=$A1090), 1),
   IF( INDEX(Config!B:B, MATCH($A1090, Config!A:A, 0))=""Local"", 2,
     IF( INDEX(Conf"&amp;"ig!B:B, MATCH($A1090, Config!A:A, 0))=""Regional"", 3, 4 )
   )
 ),
"""")
"),75.0)</f>
        <v>75</v>
      </c>
      <c r="J1090" s="16">
        <f>IFERROR(__xludf.DUMMYFUNCTION("IFERROR(
 ( E1090 * INDEX(FILTER(Pricing_Rules!E:E, Pricing_Rules!A:A=A1090, Pricing_Rules!B:B=B1090, Pricing_Rules!C:C&lt;=E1090, Pricing_Rules!D:D&gt;=E1090), 1)
   + INDEX(FILTER(Pricing_Rules!F:F, Pricing_Rules!A:A=A1090, Pricing_Rules!B:B=B1090, Pricing_Ru"&amp;"les!C:C&lt;=E1090, Pricing_Rules!D:D&gt;=E1090), 1)
 )
 * (1 + IFERROR( INDEX(Config!D:D, MATCH(A1090, Config!A:A, 0)), 0 )),
"""")
"),15.34)</f>
        <v>15.34</v>
      </c>
      <c r="K1090" s="19">
        <f t="shared" si="3"/>
        <v>-92.34</v>
      </c>
      <c r="L1090" s="20" t="str">
        <f t="shared" si="4"/>
        <v/>
      </c>
    </row>
    <row r="1091" ht="15.75" customHeight="1">
      <c r="A1091" s="9" t="s">
        <v>1162</v>
      </c>
      <c r="B1091" s="12" t="str">
        <f t="array" ref="B1091">XLOOKUP(C1091, Channel_Listings!C:C, Channel_Listings!B:B)
</f>
        <v>Apparel_Tshirts</v>
      </c>
      <c r="C1091" s="23" t="s">
        <v>1657</v>
      </c>
      <c r="D1091" s="14" t="str">
        <f t="array" ref="D1091">XLOOKUP(C1091, Channel_Listings!C:C, Channel_Listings!D:D)
</f>
        <v>TSHIRT-BLACK-XXL</v>
      </c>
      <c r="E1091" s="15"/>
      <c r="F1091" s="16">
        <f t="array" ref="F1091">IFERROR(
  VALUE( INDEX(Product_Master!$I:$I,
               MATCH( INDEX(Pack_Master!$B:$B, MATCH($D1091, Pack_Master!$A:$A, 0)),
                      Product_Master!$B:$B, 0)
  )) 
  * VALUE( INDEX(Pack_Master!$C:$C, MATCH($D1091, Pack_Master!$A:$A, 0)) )
  + VALUE( INDEX(Pack_Master!$D:$D, MATCH($D1091, Pack_Master!$A:$A, 0)) ),
"")
</f>
        <v>2</v>
      </c>
      <c r="G1091" s="17">
        <f t="array" ref="G1091">IFERROR(
 ( INDEX(Pack_Master!E:E, MATCH($D1091, Pack_Master!A:A, 0))
   * INDEX(Pack_Master!F:F, MATCH($D1091, Pack_Master!A:A, 0))
   * INDEX(Pack_Master!G:G, MATCH($D1091, Pack_Master!A:A, 0))
 ) / INDEX(Config!C:C, MATCH($A1091, Config!A:A, 0)),
"")
</f>
        <v>0.375</v>
      </c>
      <c r="H1091" s="17">
        <f t="array" ref="H1091">MAX( INDEX(Pack_Master!H:H, MATCH($D1091, Pack_Master!A:A, 0)),
      IFERROR(G1091, 0) )
</f>
        <v>0.5</v>
      </c>
      <c r="I1091" s="18">
        <f>IFERROR(__xludf.DUMMYFUNCTION("IFERROR(
 INDEX(
   FILTER(Shipping_Rate_Card!B:F, Shipping_Rate_Card!A:A=$A1091),
   MATCH($H1091, FILTER(Shipping_Rate_Card!B:B, Shipping_Rate_Card!A:A=$A1091), 1),
   IF( INDEX(Config!B:B, MATCH($A1091, Config!A:A, 0))=""Local"", 2,
     IF( INDEX(Conf"&amp;"ig!B:B, MATCH($A1091, Config!A:A, 0))=""Regional"", 3, 4 )
   )
 ),
"""")
"),75.0)</f>
        <v>75</v>
      </c>
      <c r="J1091" s="16">
        <f>IFERROR(__xludf.DUMMYFUNCTION("IFERROR(
 ( E1091 * INDEX(FILTER(Pricing_Rules!E:E, Pricing_Rules!A:A=A1091, Pricing_Rules!B:B=B1091, Pricing_Rules!C:C&lt;=E1091, Pricing_Rules!D:D&gt;=E1091), 1)
   + INDEX(FILTER(Pricing_Rules!F:F, Pricing_Rules!A:A=A1091, Pricing_Rules!B:B=B1091, Pricing_Ru"&amp;"les!C:C&lt;=E1091, Pricing_Rules!D:D&gt;=E1091), 1)
 )
 * (1 + IFERROR( INDEX(Config!D:D, MATCH(A1091, Config!A:A, 0)), 0 )),
"""")
"),15.34)</f>
        <v>15.34</v>
      </c>
      <c r="K1091" s="19">
        <f t="shared" si="3"/>
        <v>-92.34</v>
      </c>
      <c r="L1091" s="20" t="str">
        <f t="shared" si="4"/>
        <v/>
      </c>
    </row>
    <row r="1092" ht="15.75" customHeight="1">
      <c r="A1092" s="9" t="s">
        <v>1162</v>
      </c>
      <c r="B1092" s="12" t="str">
        <f t="array" ref="B1092">XLOOKUP(C1092, Channel_Listings!C:C, Channel_Listings!B:B)
</f>
        <v>Apparel_Tshirts</v>
      </c>
      <c r="C1092" s="23" t="s">
        <v>1659</v>
      </c>
      <c r="D1092" s="14" t="str">
        <f t="array" ref="D1092">XLOOKUP(C1092, Channel_Listings!C:C, Channel_Listings!D:D)
</f>
        <v>TSHIRT-BLACK-L</v>
      </c>
      <c r="E1092" s="15"/>
      <c r="F1092" s="16">
        <f t="array" ref="F1092">IFERROR(
  VALUE( INDEX(Product_Master!$I:$I,
               MATCH( INDEX(Pack_Master!$B:$B, MATCH($D1092, Pack_Master!$A:$A, 0)),
                      Product_Master!$B:$B, 0)
  )) 
  * VALUE( INDEX(Pack_Master!$C:$C, MATCH($D1092, Pack_Master!$A:$A, 0)) )
  + VALUE( INDEX(Pack_Master!$D:$D, MATCH($D1092, Pack_Master!$A:$A, 0)) ),
"")
</f>
        <v>2</v>
      </c>
      <c r="G1092" s="17">
        <f t="array" ref="G1092">IFERROR(
 ( INDEX(Pack_Master!E:E, MATCH($D1092, Pack_Master!A:A, 0))
   * INDEX(Pack_Master!F:F, MATCH($D1092, Pack_Master!A:A, 0))
   * INDEX(Pack_Master!G:G, MATCH($D1092, Pack_Master!A:A, 0))
 ) / INDEX(Config!C:C, MATCH($A1092, Config!A:A, 0)),
"")
</f>
        <v>0.375</v>
      </c>
      <c r="H1092" s="17">
        <f t="array" ref="H1092">MAX( INDEX(Pack_Master!H:H, MATCH($D1092, Pack_Master!A:A, 0)),
      IFERROR(G1092, 0) )
</f>
        <v>0.5</v>
      </c>
      <c r="I1092" s="18">
        <f>IFERROR(__xludf.DUMMYFUNCTION("IFERROR(
 INDEX(
   FILTER(Shipping_Rate_Card!B:F, Shipping_Rate_Card!A:A=$A1092),
   MATCH($H1092, FILTER(Shipping_Rate_Card!B:B, Shipping_Rate_Card!A:A=$A1092), 1),
   IF( INDEX(Config!B:B, MATCH($A1092, Config!A:A, 0))=""Local"", 2,
     IF( INDEX(Conf"&amp;"ig!B:B, MATCH($A1092, Config!A:A, 0))=""Regional"", 3, 4 )
   )
 ),
"""")
"),75.0)</f>
        <v>75</v>
      </c>
      <c r="J1092" s="16">
        <f>IFERROR(__xludf.DUMMYFUNCTION("IFERROR(
 ( E1092 * INDEX(FILTER(Pricing_Rules!E:E, Pricing_Rules!A:A=A1092, Pricing_Rules!B:B=B1092, Pricing_Rules!C:C&lt;=E1092, Pricing_Rules!D:D&gt;=E1092), 1)
   + INDEX(FILTER(Pricing_Rules!F:F, Pricing_Rules!A:A=A1092, Pricing_Rules!B:B=B1092, Pricing_Ru"&amp;"les!C:C&lt;=E1092, Pricing_Rules!D:D&gt;=E1092), 1)
 )
 * (1 + IFERROR( INDEX(Config!D:D, MATCH(A1092, Config!A:A, 0)), 0 )),
"""")
"),15.34)</f>
        <v>15.34</v>
      </c>
      <c r="K1092" s="19">
        <f t="shared" si="3"/>
        <v>-92.34</v>
      </c>
      <c r="L1092" s="20" t="str">
        <f t="shared" si="4"/>
        <v/>
      </c>
    </row>
    <row r="1093" ht="15.75" customHeight="1">
      <c r="A1093" s="9" t="s">
        <v>1162</v>
      </c>
      <c r="B1093" s="12" t="str">
        <f t="array" ref="B1093">XLOOKUP(C1093, Channel_Listings!C:C, Channel_Listings!B:B)
</f>
        <v>Apparel_Tshirts</v>
      </c>
      <c r="C1093" s="23" t="s">
        <v>1661</v>
      </c>
      <c r="D1093" s="14" t="str">
        <f t="array" ref="D1093">XLOOKUP(C1093, Channel_Listings!C:C, Channel_Listings!D:D)
</f>
        <v>TSHIRT-BLACK-M</v>
      </c>
      <c r="E1093" s="15"/>
      <c r="F1093" s="16">
        <f t="array" ref="F1093">IFERROR(
  VALUE( INDEX(Product_Master!$I:$I,
               MATCH( INDEX(Pack_Master!$B:$B, MATCH($D1093, Pack_Master!$A:$A, 0)),
                      Product_Master!$B:$B, 0)
  )) 
  * VALUE( INDEX(Pack_Master!$C:$C, MATCH($D1093, Pack_Master!$A:$A, 0)) )
  + VALUE( INDEX(Pack_Master!$D:$D, MATCH($D1093, Pack_Master!$A:$A, 0)) ),
"")
</f>
        <v>2</v>
      </c>
      <c r="G1093" s="17">
        <f t="array" ref="G1093">IFERROR(
 ( INDEX(Pack_Master!E:E, MATCH($D1093, Pack_Master!A:A, 0))
   * INDEX(Pack_Master!F:F, MATCH($D1093, Pack_Master!A:A, 0))
   * INDEX(Pack_Master!G:G, MATCH($D1093, Pack_Master!A:A, 0))
 ) / INDEX(Config!C:C, MATCH($A1093, Config!A:A, 0)),
"")
</f>
        <v>0.375</v>
      </c>
      <c r="H1093" s="17">
        <f t="array" ref="H1093">MAX( INDEX(Pack_Master!H:H, MATCH($D1093, Pack_Master!A:A, 0)),
      IFERROR(G1093, 0) )
</f>
        <v>0.5</v>
      </c>
      <c r="I1093" s="18">
        <f>IFERROR(__xludf.DUMMYFUNCTION("IFERROR(
 INDEX(
   FILTER(Shipping_Rate_Card!B:F, Shipping_Rate_Card!A:A=$A1093),
   MATCH($H1093, FILTER(Shipping_Rate_Card!B:B, Shipping_Rate_Card!A:A=$A1093), 1),
   IF( INDEX(Config!B:B, MATCH($A1093, Config!A:A, 0))=""Local"", 2,
     IF( INDEX(Conf"&amp;"ig!B:B, MATCH($A1093, Config!A:A, 0))=""Regional"", 3, 4 )
   )
 ),
"""")
"),75.0)</f>
        <v>75</v>
      </c>
      <c r="J1093" s="16">
        <f>IFERROR(__xludf.DUMMYFUNCTION("IFERROR(
 ( E1093 * INDEX(FILTER(Pricing_Rules!E:E, Pricing_Rules!A:A=A1093, Pricing_Rules!B:B=B1093, Pricing_Rules!C:C&lt;=E1093, Pricing_Rules!D:D&gt;=E1093), 1)
   + INDEX(FILTER(Pricing_Rules!F:F, Pricing_Rules!A:A=A1093, Pricing_Rules!B:B=B1093, Pricing_Ru"&amp;"les!C:C&lt;=E1093, Pricing_Rules!D:D&gt;=E1093), 1)
 )
 * (1 + IFERROR( INDEX(Config!D:D, MATCH(A1093, Config!A:A, 0)), 0 )),
"""")
"),15.34)</f>
        <v>15.34</v>
      </c>
      <c r="K1093" s="19">
        <f t="shared" si="3"/>
        <v>-92.34</v>
      </c>
      <c r="L1093" s="20" t="str">
        <f t="shared" si="4"/>
        <v/>
      </c>
    </row>
    <row r="1094" ht="15.75" customHeight="1">
      <c r="A1094" s="9" t="s">
        <v>1162</v>
      </c>
      <c r="B1094" s="12" t="str">
        <f t="array" ref="B1094">XLOOKUP(C1094, Channel_Listings!C:C, Channel_Listings!B:B)
</f>
        <v>Apparel_Tshirts</v>
      </c>
      <c r="C1094" s="23" t="s">
        <v>1663</v>
      </c>
      <c r="D1094" s="14" t="str">
        <f t="array" ref="D1094">XLOOKUP(C1094, Channel_Listings!C:C, Channel_Listings!D:D)
</f>
        <v>TSHIRT-BLACK-XL</v>
      </c>
      <c r="E1094" s="15"/>
      <c r="F1094" s="16">
        <f t="array" ref="F1094">IFERROR(
  VALUE( INDEX(Product_Master!$I:$I,
               MATCH( INDEX(Pack_Master!$B:$B, MATCH($D1094, Pack_Master!$A:$A, 0)),
                      Product_Master!$B:$B, 0)
  )) 
  * VALUE( INDEX(Pack_Master!$C:$C, MATCH($D1094, Pack_Master!$A:$A, 0)) )
  + VALUE( INDEX(Pack_Master!$D:$D, MATCH($D1094, Pack_Master!$A:$A, 0)) ),
"")
</f>
        <v>2</v>
      </c>
      <c r="G1094" s="17">
        <f t="array" ref="G1094">IFERROR(
 ( INDEX(Pack_Master!E:E, MATCH($D1094, Pack_Master!A:A, 0))
   * INDEX(Pack_Master!F:F, MATCH($D1094, Pack_Master!A:A, 0))
   * INDEX(Pack_Master!G:G, MATCH($D1094, Pack_Master!A:A, 0))
 ) / INDEX(Config!C:C, MATCH($A1094, Config!A:A, 0)),
"")
</f>
        <v>0.375</v>
      </c>
      <c r="H1094" s="17">
        <f t="array" ref="H1094">MAX( INDEX(Pack_Master!H:H, MATCH($D1094, Pack_Master!A:A, 0)),
      IFERROR(G1094, 0) )
</f>
        <v>0.5</v>
      </c>
      <c r="I1094" s="18">
        <f>IFERROR(__xludf.DUMMYFUNCTION("IFERROR(
 INDEX(
   FILTER(Shipping_Rate_Card!B:F, Shipping_Rate_Card!A:A=$A1094),
   MATCH($H1094, FILTER(Shipping_Rate_Card!B:B, Shipping_Rate_Card!A:A=$A1094), 1),
   IF( INDEX(Config!B:B, MATCH($A1094, Config!A:A, 0))=""Local"", 2,
     IF( INDEX(Conf"&amp;"ig!B:B, MATCH($A1094, Config!A:A, 0))=""Regional"", 3, 4 )
   )
 ),
"""")
"),75.0)</f>
        <v>75</v>
      </c>
      <c r="J1094" s="16">
        <f>IFERROR(__xludf.DUMMYFUNCTION("IFERROR(
 ( E1094 * INDEX(FILTER(Pricing_Rules!E:E, Pricing_Rules!A:A=A1094, Pricing_Rules!B:B=B1094, Pricing_Rules!C:C&lt;=E1094, Pricing_Rules!D:D&gt;=E1094), 1)
   + INDEX(FILTER(Pricing_Rules!F:F, Pricing_Rules!A:A=A1094, Pricing_Rules!B:B=B1094, Pricing_Ru"&amp;"les!C:C&lt;=E1094, Pricing_Rules!D:D&gt;=E1094), 1)
 )
 * (1 + IFERROR( INDEX(Config!D:D, MATCH(A1094, Config!A:A, 0)), 0 )),
"""")
"),15.34)</f>
        <v>15.34</v>
      </c>
      <c r="K1094" s="19">
        <f t="shared" si="3"/>
        <v>-92.34</v>
      </c>
      <c r="L1094" s="20" t="str">
        <f t="shared" si="4"/>
        <v/>
      </c>
    </row>
    <row r="1095" ht="15.75" customHeight="1">
      <c r="A1095" s="9" t="s">
        <v>1162</v>
      </c>
      <c r="B1095" s="12" t="str">
        <f t="array" ref="B1095">XLOOKUP(C1095, Channel_Listings!C:C, Channel_Listings!B:B)
</f>
        <v>Apparel_Tshirts</v>
      </c>
      <c r="C1095" s="23" t="s">
        <v>1665</v>
      </c>
      <c r="D1095" s="14" t="str">
        <f t="array" ref="D1095">XLOOKUP(C1095, Channel_Listings!C:C, Channel_Listings!D:D)
</f>
        <v>TSHIRT-BLACK-XXL</v>
      </c>
      <c r="E1095" s="15"/>
      <c r="F1095" s="16">
        <f t="array" ref="F1095">IFERROR(
  VALUE( INDEX(Product_Master!$I:$I,
               MATCH( INDEX(Pack_Master!$B:$B, MATCH($D1095, Pack_Master!$A:$A, 0)),
                      Product_Master!$B:$B, 0)
  )) 
  * VALUE( INDEX(Pack_Master!$C:$C, MATCH($D1095, Pack_Master!$A:$A, 0)) )
  + VALUE( INDEX(Pack_Master!$D:$D, MATCH($D1095, Pack_Master!$A:$A, 0)) ),
"")
</f>
        <v>2</v>
      </c>
      <c r="G1095" s="17">
        <f t="array" ref="G1095">IFERROR(
 ( INDEX(Pack_Master!E:E, MATCH($D1095, Pack_Master!A:A, 0))
   * INDEX(Pack_Master!F:F, MATCH($D1095, Pack_Master!A:A, 0))
   * INDEX(Pack_Master!G:G, MATCH($D1095, Pack_Master!A:A, 0))
 ) / INDEX(Config!C:C, MATCH($A1095, Config!A:A, 0)),
"")
</f>
        <v>0.375</v>
      </c>
      <c r="H1095" s="17">
        <f t="array" ref="H1095">MAX( INDEX(Pack_Master!H:H, MATCH($D1095, Pack_Master!A:A, 0)),
      IFERROR(G1095, 0) )
</f>
        <v>0.5</v>
      </c>
      <c r="I1095" s="18">
        <f>IFERROR(__xludf.DUMMYFUNCTION("IFERROR(
 INDEX(
   FILTER(Shipping_Rate_Card!B:F, Shipping_Rate_Card!A:A=$A1095),
   MATCH($H1095, FILTER(Shipping_Rate_Card!B:B, Shipping_Rate_Card!A:A=$A1095), 1),
   IF( INDEX(Config!B:B, MATCH($A1095, Config!A:A, 0))=""Local"", 2,
     IF( INDEX(Conf"&amp;"ig!B:B, MATCH($A1095, Config!A:A, 0))=""Regional"", 3, 4 )
   )
 ),
"""")
"),75.0)</f>
        <v>75</v>
      </c>
      <c r="J1095" s="16">
        <f>IFERROR(__xludf.DUMMYFUNCTION("IFERROR(
 ( E1095 * INDEX(FILTER(Pricing_Rules!E:E, Pricing_Rules!A:A=A1095, Pricing_Rules!B:B=B1095, Pricing_Rules!C:C&lt;=E1095, Pricing_Rules!D:D&gt;=E1095), 1)
   + INDEX(FILTER(Pricing_Rules!F:F, Pricing_Rules!A:A=A1095, Pricing_Rules!B:B=B1095, Pricing_Ru"&amp;"les!C:C&lt;=E1095, Pricing_Rules!D:D&gt;=E1095), 1)
 )
 * (1 + IFERROR( INDEX(Config!D:D, MATCH(A1095, Config!A:A, 0)), 0 )),
"""")
"),15.34)</f>
        <v>15.34</v>
      </c>
      <c r="K1095" s="19">
        <f t="shared" si="3"/>
        <v>-92.34</v>
      </c>
      <c r="L1095" s="20" t="str">
        <f t="shared" si="4"/>
        <v/>
      </c>
    </row>
    <row r="1096" ht="15.75" customHeight="1">
      <c r="A1096" s="9" t="s">
        <v>1162</v>
      </c>
      <c r="B1096" s="12" t="str">
        <f t="array" ref="B1096">XLOOKUP(C1096, Channel_Listings!C:C, Channel_Listings!B:B)
</f>
        <v>Apparel_Tshirts</v>
      </c>
      <c r="C1096" s="23" t="s">
        <v>1667</v>
      </c>
      <c r="D1096" s="14" t="str">
        <f t="array" ref="D1096">XLOOKUP(C1096, Channel_Listings!C:C, Channel_Listings!D:D)
</f>
        <v>TSHIRT-BLACK-L</v>
      </c>
      <c r="E1096" s="15"/>
      <c r="F1096" s="16">
        <f t="array" ref="F1096">IFERROR(
  VALUE( INDEX(Product_Master!$I:$I,
               MATCH( INDEX(Pack_Master!$B:$B, MATCH($D1096, Pack_Master!$A:$A, 0)),
                      Product_Master!$B:$B, 0)
  )) 
  * VALUE( INDEX(Pack_Master!$C:$C, MATCH($D1096, Pack_Master!$A:$A, 0)) )
  + VALUE( INDEX(Pack_Master!$D:$D, MATCH($D1096, Pack_Master!$A:$A, 0)) ),
"")
</f>
        <v>2</v>
      </c>
      <c r="G1096" s="17">
        <f t="array" ref="G1096">IFERROR(
 ( INDEX(Pack_Master!E:E, MATCH($D1096, Pack_Master!A:A, 0))
   * INDEX(Pack_Master!F:F, MATCH($D1096, Pack_Master!A:A, 0))
   * INDEX(Pack_Master!G:G, MATCH($D1096, Pack_Master!A:A, 0))
 ) / INDEX(Config!C:C, MATCH($A1096, Config!A:A, 0)),
"")
</f>
        <v>0.375</v>
      </c>
      <c r="H1096" s="17">
        <f t="array" ref="H1096">MAX( INDEX(Pack_Master!H:H, MATCH($D1096, Pack_Master!A:A, 0)),
      IFERROR(G1096, 0) )
</f>
        <v>0.5</v>
      </c>
      <c r="I1096" s="18">
        <f>IFERROR(__xludf.DUMMYFUNCTION("IFERROR(
 INDEX(
   FILTER(Shipping_Rate_Card!B:F, Shipping_Rate_Card!A:A=$A1096),
   MATCH($H1096, FILTER(Shipping_Rate_Card!B:B, Shipping_Rate_Card!A:A=$A1096), 1),
   IF( INDEX(Config!B:B, MATCH($A1096, Config!A:A, 0))=""Local"", 2,
     IF( INDEX(Conf"&amp;"ig!B:B, MATCH($A1096, Config!A:A, 0))=""Regional"", 3, 4 )
   )
 ),
"""")
"),75.0)</f>
        <v>75</v>
      </c>
      <c r="J1096" s="16">
        <f>IFERROR(__xludf.DUMMYFUNCTION("IFERROR(
 ( E1096 * INDEX(FILTER(Pricing_Rules!E:E, Pricing_Rules!A:A=A1096, Pricing_Rules!B:B=B1096, Pricing_Rules!C:C&lt;=E1096, Pricing_Rules!D:D&gt;=E1096), 1)
   + INDEX(FILTER(Pricing_Rules!F:F, Pricing_Rules!A:A=A1096, Pricing_Rules!B:B=B1096, Pricing_Ru"&amp;"les!C:C&lt;=E1096, Pricing_Rules!D:D&gt;=E1096), 1)
 )
 * (1 + IFERROR( INDEX(Config!D:D, MATCH(A1096, Config!A:A, 0)), 0 )),
"""")
"),15.34)</f>
        <v>15.34</v>
      </c>
      <c r="K1096" s="19">
        <f t="shared" si="3"/>
        <v>-92.34</v>
      </c>
      <c r="L1096" s="20" t="str">
        <f t="shared" si="4"/>
        <v/>
      </c>
    </row>
    <row r="1097" ht="15.75" customHeight="1">
      <c r="A1097" s="9" t="s">
        <v>1162</v>
      </c>
      <c r="B1097" s="12" t="str">
        <f t="array" ref="B1097">XLOOKUP(C1097, Channel_Listings!C:C, Channel_Listings!B:B)
</f>
        <v>Apparel_Tshirts</v>
      </c>
      <c r="C1097" s="23" t="s">
        <v>1669</v>
      </c>
      <c r="D1097" s="14" t="str">
        <f t="array" ref="D1097">XLOOKUP(C1097, Channel_Listings!C:C, Channel_Listings!D:D)
</f>
        <v>TSHIRT-BLACK-M</v>
      </c>
      <c r="E1097" s="15"/>
      <c r="F1097" s="16">
        <f t="array" ref="F1097">IFERROR(
  VALUE( INDEX(Product_Master!$I:$I,
               MATCH( INDEX(Pack_Master!$B:$B, MATCH($D1097, Pack_Master!$A:$A, 0)),
                      Product_Master!$B:$B, 0)
  )) 
  * VALUE( INDEX(Pack_Master!$C:$C, MATCH($D1097, Pack_Master!$A:$A, 0)) )
  + VALUE( INDEX(Pack_Master!$D:$D, MATCH($D1097, Pack_Master!$A:$A, 0)) ),
"")
</f>
        <v>2</v>
      </c>
      <c r="G1097" s="17">
        <f t="array" ref="G1097">IFERROR(
 ( INDEX(Pack_Master!E:E, MATCH($D1097, Pack_Master!A:A, 0))
   * INDEX(Pack_Master!F:F, MATCH($D1097, Pack_Master!A:A, 0))
   * INDEX(Pack_Master!G:G, MATCH($D1097, Pack_Master!A:A, 0))
 ) / INDEX(Config!C:C, MATCH($A1097, Config!A:A, 0)),
"")
</f>
        <v>0.375</v>
      </c>
      <c r="H1097" s="17">
        <f t="array" ref="H1097">MAX( INDEX(Pack_Master!H:H, MATCH($D1097, Pack_Master!A:A, 0)),
      IFERROR(G1097, 0) )
</f>
        <v>0.5</v>
      </c>
      <c r="I1097" s="18">
        <f>IFERROR(__xludf.DUMMYFUNCTION("IFERROR(
 INDEX(
   FILTER(Shipping_Rate_Card!B:F, Shipping_Rate_Card!A:A=$A1097),
   MATCH($H1097, FILTER(Shipping_Rate_Card!B:B, Shipping_Rate_Card!A:A=$A1097), 1),
   IF( INDEX(Config!B:B, MATCH($A1097, Config!A:A, 0))=""Local"", 2,
     IF( INDEX(Conf"&amp;"ig!B:B, MATCH($A1097, Config!A:A, 0))=""Regional"", 3, 4 )
   )
 ),
"""")
"),75.0)</f>
        <v>75</v>
      </c>
      <c r="J1097" s="16">
        <f>IFERROR(__xludf.DUMMYFUNCTION("IFERROR(
 ( E1097 * INDEX(FILTER(Pricing_Rules!E:E, Pricing_Rules!A:A=A1097, Pricing_Rules!B:B=B1097, Pricing_Rules!C:C&lt;=E1097, Pricing_Rules!D:D&gt;=E1097), 1)
   + INDEX(FILTER(Pricing_Rules!F:F, Pricing_Rules!A:A=A1097, Pricing_Rules!B:B=B1097, Pricing_Ru"&amp;"les!C:C&lt;=E1097, Pricing_Rules!D:D&gt;=E1097), 1)
 )
 * (1 + IFERROR( INDEX(Config!D:D, MATCH(A1097, Config!A:A, 0)), 0 )),
"""")
"),15.34)</f>
        <v>15.34</v>
      </c>
      <c r="K1097" s="19">
        <f t="shared" si="3"/>
        <v>-92.34</v>
      </c>
      <c r="L1097" s="20" t="str">
        <f t="shared" si="4"/>
        <v/>
      </c>
    </row>
    <row r="1098" ht="15.75" customHeight="1">
      <c r="A1098" s="9" t="s">
        <v>1162</v>
      </c>
      <c r="B1098" s="12" t="str">
        <f t="array" ref="B1098">XLOOKUP(C1098, Channel_Listings!C:C, Channel_Listings!B:B)
</f>
        <v>Apparel_Tshirts</v>
      </c>
      <c r="C1098" s="23" t="s">
        <v>1671</v>
      </c>
      <c r="D1098" s="14" t="str">
        <f t="array" ref="D1098">XLOOKUP(C1098, Channel_Listings!C:C, Channel_Listings!D:D)
</f>
        <v>TSHIRT-BLACK-XL</v>
      </c>
      <c r="E1098" s="15"/>
      <c r="F1098" s="16">
        <f t="array" ref="F1098">IFERROR(
  VALUE( INDEX(Product_Master!$I:$I,
               MATCH( INDEX(Pack_Master!$B:$B, MATCH($D1098, Pack_Master!$A:$A, 0)),
                      Product_Master!$B:$B, 0)
  )) 
  * VALUE( INDEX(Pack_Master!$C:$C, MATCH($D1098, Pack_Master!$A:$A, 0)) )
  + VALUE( INDEX(Pack_Master!$D:$D, MATCH($D1098, Pack_Master!$A:$A, 0)) ),
"")
</f>
        <v>2</v>
      </c>
      <c r="G1098" s="17">
        <f t="array" ref="G1098">IFERROR(
 ( INDEX(Pack_Master!E:E, MATCH($D1098, Pack_Master!A:A, 0))
   * INDEX(Pack_Master!F:F, MATCH($D1098, Pack_Master!A:A, 0))
   * INDEX(Pack_Master!G:G, MATCH($D1098, Pack_Master!A:A, 0))
 ) / INDEX(Config!C:C, MATCH($A1098, Config!A:A, 0)),
"")
</f>
        <v>0.375</v>
      </c>
      <c r="H1098" s="17">
        <f t="array" ref="H1098">MAX( INDEX(Pack_Master!H:H, MATCH($D1098, Pack_Master!A:A, 0)),
      IFERROR(G1098, 0) )
</f>
        <v>0.5</v>
      </c>
      <c r="I1098" s="18">
        <f>IFERROR(__xludf.DUMMYFUNCTION("IFERROR(
 INDEX(
   FILTER(Shipping_Rate_Card!B:F, Shipping_Rate_Card!A:A=$A1098),
   MATCH($H1098, FILTER(Shipping_Rate_Card!B:B, Shipping_Rate_Card!A:A=$A1098), 1),
   IF( INDEX(Config!B:B, MATCH($A1098, Config!A:A, 0))=""Local"", 2,
     IF( INDEX(Conf"&amp;"ig!B:B, MATCH($A1098, Config!A:A, 0))=""Regional"", 3, 4 )
   )
 ),
"""")
"),75.0)</f>
        <v>75</v>
      </c>
      <c r="J1098" s="16">
        <f>IFERROR(__xludf.DUMMYFUNCTION("IFERROR(
 ( E1098 * INDEX(FILTER(Pricing_Rules!E:E, Pricing_Rules!A:A=A1098, Pricing_Rules!B:B=B1098, Pricing_Rules!C:C&lt;=E1098, Pricing_Rules!D:D&gt;=E1098), 1)
   + INDEX(FILTER(Pricing_Rules!F:F, Pricing_Rules!A:A=A1098, Pricing_Rules!B:B=B1098, Pricing_Ru"&amp;"les!C:C&lt;=E1098, Pricing_Rules!D:D&gt;=E1098), 1)
 )
 * (1 + IFERROR( INDEX(Config!D:D, MATCH(A1098, Config!A:A, 0)), 0 )),
"""")
"),15.34)</f>
        <v>15.34</v>
      </c>
      <c r="K1098" s="19">
        <f t="shared" si="3"/>
        <v>-92.34</v>
      </c>
      <c r="L1098" s="20" t="str">
        <f t="shared" si="4"/>
        <v/>
      </c>
    </row>
    <row r="1099" ht="15.75" customHeight="1">
      <c r="A1099" s="9" t="s">
        <v>1162</v>
      </c>
      <c r="B1099" s="12" t="str">
        <f t="array" ref="B1099">XLOOKUP(C1099, Channel_Listings!C:C, Channel_Listings!B:B)
</f>
        <v>Apparel_Tshirts</v>
      </c>
      <c r="C1099" s="23" t="s">
        <v>1673</v>
      </c>
      <c r="D1099" s="14" t="str">
        <f t="array" ref="D1099">XLOOKUP(C1099, Channel_Listings!C:C, Channel_Listings!D:D)
</f>
        <v>TSHIRT-BLACK-XXL</v>
      </c>
      <c r="E1099" s="15"/>
      <c r="F1099" s="16">
        <f t="array" ref="F1099">IFERROR(
  VALUE( INDEX(Product_Master!$I:$I,
               MATCH( INDEX(Pack_Master!$B:$B, MATCH($D1099, Pack_Master!$A:$A, 0)),
                      Product_Master!$B:$B, 0)
  )) 
  * VALUE( INDEX(Pack_Master!$C:$C, MATCH($D1099, Pack_Master!$A:$A, 0)) )
  + VALUE( INDEX(Pack_Master!$D:$D, MATCH($D1099, Pack_Master!$A:$A, 0)) ),
"")
</f>
        <v>2</v>
      </c>
      <c r="G1099" s="17">
        <f t="array" ref="G1099">IFERROR(
 ( INDEX(Pack_Master!E:E, MATCH($D1099, Pack_Master!A:A, 0))
   * INDEX(Pack_Master!F:F, MATCH($D1099, Pack_Master!A:A, 0))
   * INDEX(Pack_Master!G:G, MATCH($D1099, Pack_Master!A:A, 0))
 ) / INDEX(Config!C:C, MATCH($A1099, Config!A:A, 0)),
"")
</f>
        <v>0.375</v>
      </c>
      <c r="H1099" s="17">
        <f t="array" ref="H1099">MAX( INDEX(Pack_Master!H:H, MATCH($D1099, Pack_Master!A:A, 0)),
      IFERROR(G1099, 0) )
</f>
        <v>0.5</v>
      </c>
      <c r="I1099" s="18">
        <f>IFERROR(__xludf.DUMMYFUNCTION("IFERROR(
 INDEX(
   FILTER(Shipping_Rate_Card!B:F, Shipping_Rate_Card!A:A=$A1099),
   MATCH($H1099, FILTER(Shipping_Rate_Card!B:B, Shipping_Rate_Card!A:A=$A1099), 1),
   IF( INDEX(Config!B:B, MATCH($A1099, Config!A:A, 0))=""Local"", 2,
     IF( INDEX(Conf"&amp;"ig!B:B, MATCH($A1099, Config!A:A, 0))=""Regional"", 3, 4 )
   )
 ),
"""")
"),75.0)</f>
        <v>75</v>
      </c>
      <c r="J1099" s="16">
        <f>IFERROR(__xludf.DUMMYFUNCTION("IFERROR(
 ( E1099 * INDEX(FILTER(Pricing_Rules!E:E, Pricing_Rules!A:A=A1099, Pricing_Rules!B:B=B1099, Pricing_Rules!C:C&lt;=E1099, Pricing_Rules!D:D&gt;=E1099), 1)
   + INDEX(FILTER(Pricing_Rules!F:F, Pricing_Rules!A:A=A1099, Pricing_Rules!B:B=B1099, Pricing_Ru"&amp;"les!C:C&lt;=E1099, Pricing_Rules!D:D&gt;=E1099), 1)
 )
 * (1 + IFERROR( INDEX(Config!D:D, MATCH(A1099, Config!A:A, 0)), 0 )),
"""")
"),15.34)</f>
        <v>15.34</v>
      </c>
      <c r="K1099" s="19">
        <f t="shared" si="3"/>
        <v>-92.34</v>
      </c>
      <c r="L1099" s="20" t="str">
        <f t="shared" si="4"/>
        <v/>
      </c>
    </row>
    <row r="1100" ht="15.75" customHeight="1">
      <c r="A1100" s="9" t="s">
        <v>1162</v>
      </c>
      <c r="B1100" s="12" t="str">
        <f t="array" ref="B1100">XLOOKUP(C1100, Channel_Listings!C:C, Channel_Listings!B:B)
</f>
        <v>Apparel_Tshirts</v>
      </c>
      <c r="C1100" s="23" t="s">
        <v>1675</v>
      </c>
      <c r="D1100" s="14" t="str">
        <f t="array" ref="D1100">XLOOKUP(C1100, Channel_Listings!C:C, Channel_Listings!D:D)
</f>
        <v>TSHIRT-BLACK-L</v>
      </c>
      <c r="E1100" s="15"/>
      <c r="F1100" s="16">
        <f t="array" ref="F1100">IFERROR(
  VALUE( INDEX(Product_Master!$I:$I,
               MATCH( INDEX(Pack_Master!$B:$B, MATCH($D1100, Pack_Master!$A:$A, 0)),
                      Product_Master!$B:$B, 0)
  )) 
  * VALUE( INDEX(Pack_Master!$C:$C, MATCH($D1100, Pack_Master!$A:$A, 0)) )
  + VALUE( INDEX(Pack_Master!$D:$D, MATCH($D1100, Pack_Master!$A:$A, 0)) ),
"")
</f>
        <v>2</v>
      </c>
      <c r="G1100" s="17">
        <f t="array" ref="G1100">IFERROR(
 ( INDEX(Pack_Master!E:E, MATCH($D1100, Pack_Master!A:A, 0))
   * INDEX(Pack_Master!F:F, MATCH($D1100, Pack_Master!A:A, 0))
   * INDEX(Pack_Master!G:G, MATCH($D1100, Pack_Master!A:A, 0))
 ) / INDEX(Config!C:C, MATCH($A1100, Config!A:A, 0)),
"")
</f>
        <v>0.375</v>
      </c>
      <c r="H1100" s="17">
        <f t="array" ref="H1100">MAX( INDEX(Pack_Master!H:H, MATCH($D1100, Pack_Master!A:A, 0)),
      IFERROR(G1100, 0) )
</f>
        <v>0.5</v>
      </c>
      <c r="I1100" s="18">
        <f>IFERROR(__xludf.DUMMYFUNCTION("IFERROR(
 INDEX(
   FILTER(Shipping_Rate_Card!B:F, Shipping_Rate_Card!A:A=$A1100),
   MATCH($H1100, FILTER(Shipping_Rate_Card!B:B, Shipping_Rate_Card!A:A=$A1100), 1),
   IF( INDEX(Config!B:B, MATCH($A1100, Config!A:A, 0))=""Local"", 2,
     IF( INDEX(Conf"&amp;"ig!B:B, MATCH($A1100, Config!A:A, 0))=""Regional"", 3, 4 )
   )
 ),
"""")
"),75.0)</f>
        <v>75</v>
      </c>
      <c r="J1100" s="16">
        <f>IFERROR(__xludf.DUMMYFUNCTION("IFERROR(
 ( E1100 * INDEX(FILTER(Pricing_Rules!E:E, Pricing_Rules!A:A=A1100, Pricing_Rules!B:B=B1100, Pricing_Rules!C:C&lt;=E1100, Pricing_Rules!D:D&gt;=E1100), 1)
   + INDEX(FILTER(Pricing_Rules!F:F, Pricing_Rules!A:A=A1100, Pricing_Rules!B:B=B1100, Pricing_Ru"&amp;"les!C:C&lt;=E1100, Pricing_Rules!D:D&gt;=E1100), 1)
 )
 * (1 + IFERROR( INDEX(Config!D:D, MATCH(A1100, Config!A:A, 0)), 0 )),
"""")
"),15.34)</f>
        <v>15.34</v>
      </c>
      <c r="K1100" s="19">
        <f t="shared" si="3"/>
        <v>-92.34</v>
      </c>
      <c r="L1100" s="20" t="str">
        <f t="shared" si="4"/>
        <v/>
      </c>
    </row>
    <row r="1101" ht="15.75" customHeight="1">
      <c r="A1101" s="9" t="s">
        <v>1162</v>
      </c>
      <c r="B1101" s="12" t="str">
        <f t="array" ref="B1101">XLOOKUP(C1101, Channel_Listings!C:C, Channel_Listings!B:B)
</f>
        <v>Apparel_Tshirts</v>
      </c>
      <c r="C1101" s="23" t="s">
        <v>1677</v>
      </c>
      <c r="D1101" s="14" t="str">
        <f t="array" ref="D1101">XLOOKUP(C1101, Channel_Listings!C:C, Channel_Listings!D:D)
</f>
        <v>TSHIRT-BLACK-M</v>
      </c>
      <c r="E1101" s="15"/>
      <c r="F1101" s="16">
        <f t="array" ref="F1101">IFERROR(
  VALUE( INDEX(Product_Master!$I:$I,
               MATCH( INDEX(Pack_Master!$B:$B, MATCH($D1101, Pack_Master!$A:$A, 0)),
                      Product_Master!$B:$B, 0)
  )) 
  * VALUE( INDEX(Pack_Master!$C:$C, MATCH($D1101, Pack_Master!$A:$A, 0)) )
  + VALUE( INDEX(Pack_Master!$D:$D, MATCH($D1101, Pack_Master!$A:$A, 0)) ),
"")
</f>
        <v>2</v>
      </c>
      <c r="G1101" s="17">
        <f t="array" ref="G1101">IFERROR(
 ( INDEX(Pack_Master!E:E, MATCH($D1101, Pack_Master!A:A, 0))
   * INDEX(Pack_Master!F:F, MATCH($D1101, Pack_Master!A:A, 0))
   * INDEX(Pack_Master!G:G, MATCH($D1101, Pack_Master!A:A, 0))
 ) / INDEX(Config!C:C, MATCH($A1101, Config!A:A, 0)),
"")
</f>
        <v>0.375</v>
      </c>
      <c r="H1101" s="17">
        <f t="array" ref="H1101">MAX( INDEX(Pack_Master!H:H, MATCH($D1101, Pack_Master!A:A, 0)),
      IFERROR(G1101, 0) )
</f>
        <v>0.5</v>
      </c>
      <c r="I1101" s="18">
        <f>IFERROR(__xludf.DUMMYFUNCTION("IFERROR(
 INDEX(
   FILTER(Shipping_Rate_Card!B:F, Shipping_Rate_Card!A:A=$A1101),
   MATCH($H1101, FILTER(Shipping_Rate_Card!B:B, Shipping_Rate_Card!A:A=$A1101), 1),
   IF( INDEX(Config!B:B, MATCH($A1101, Config!A:A, 0))=""Local"", 2,
     IF( INDEX(Conf"&amp;"ig!B:B, MATCH($A1101, Config!A:A, 0))=""Regional"", 3, 4 )
   )
 ),
"""")
"),75.0)</f>
        <v>75</v>
      </c>
      <c r="J1101" s="16">
        <f>IFERROR(__xludf.DUMMYFUNCTION("IFERROR(
 ( E1101 * INDEX(FILTER(Pricing_Rules!E:E, Pricing_Rules!A:A=A1101, Pricing_Rules!B:B=B1101, Pricing_Rules!C:C&lt;=E1101, Pricing_Rules!D:D&gt;=E1101), 1)
   + INDEX(FILTER(Pricing_Rules!F:F, Pricing_Rules!A:A=A1101, Pricing_Rules!B:B=B1101, Pricing_Ru"&amp;"les!C:C&lt;=E1101, Pricing_Rules!D:D&gt;=E1101), 1)
 )
 * (1 + IFERROR( INDEX(Config!D:D, MATCH(A1101, Config!A:A, 0)), 0 )),
"""")
"),15.34)</f>
        <v>15.34</v>
      </c>
      <c r="K1101" s="19">
        <f t="shared" si="3"/>
        <v>-92.34</v>
      </c>
      <c r="L1101" s="20" t="str">
        <f t="shared" si="4"/>
        <v/>
      </c>
    </row>
    <row r="1102" ht="15.75" customHeight="1">
      <c r="A1102" s="9" t="s">
        <v>1162</v>
      </c>
      <c r="B1102" s="12" t="str">
        <f t="array" ref="B1102">XLOOKUP(C1102, Channel_Listings!C:C, Channel_Listings!B:B)
</f>
        <v>Apparel_Tshirts</v>
      </c>
      <c r="C1102" s="23" t="s">
        <v>1679</v>
      </c>
      <c r="D1102" s="14" t="str">
        <f t="array" ref="D1102">XLOOKUP(C1102, Channel_Listings!C:C, Channel_Listings!D:D)
</f>
        <v>TSHIRT-BLACK-XL</v>
      </c>
      <c r="E1102" s="15"/>
      <c r="F1102" s="16">
        <f t="array" ref="F1102">IFERROR(
  VALUE( INDEX(Product_Master!$I:$I,
               MATCH( INDEX(Pack_Master!$B:$B, MATCH($D1102, Pack_Master!$A:$A, 0)),
                      Product_Master!$B:$B, 0)
  )) 
  * VALUE( INDEX(Pack_Master!$C:$C, MATCH($D1102, Pack_Master!$A:$A, 0)) )
  + VALUE( INDEX(Pack_Master!$D:$D, MATCH($D1102, Pack_Master!$A:$A, 0)) ),
"")
</f>
        <v>2</v>
      </c>
      <c r="G1102" s="17">
        <f t="array" ref="G1102">IFERROR(
 ( INDEX(Pack_Master!E:E, MATCH($D1102, Pack_Master!A:A, 0))
   * INDEX(Pack_Master!F:F, MATCH($D1102, Pack_Master!A:A, 0))
   * INDEX(Pack_Master!G:G, MATCH($D1102, Pack_Master!A:A, 0))
 ) / INDEX(Config!C:C, MATCH($A1102, Config!A:A, 0)),
"")
</f>
        <v>0.375</v>
      </c>
      <c r="H1102" s="17">
        <f t="array" ref="H1102">MAX( INDEX(Pack_Master!H:H, MATCH($D1102, Pack_Master!A:A, 0)),
      IFERROR(G1102, 0) )
</f>
        <v>0.5</v>
      </c>
      <c r="I1102" s="18">
        <f>IFERROR(__xludf.DUMMYFUNCTION("IFERROR(
 INDEX(
   FILTER(Shipping_Rate_Card!B:F, Shipping_Rate_Card!A:A=$A1102),
   MATCH($H1102, FILTER(Shipping_Rate_Card!B:B, Shipping_Rate_Card!A:A=$A1102), 1),
   IF( INDEX(Config!B:B, MATCH($A1102, Config!A:A, 0))=""Local"", 2,
     IF( INDEX(Conf"&amp;"ig!B:B, MATCH($A1102, Config!A:A, 0))=""Regional"", 3, 4 )
   )
 ),
"""")
"),75.0)</f>
        <v>75</v>
      </c>
      <c r="J1102" s="16">
        <f>IFERROR(__xludf.DUMMYFUNCTION("IFERROR(
 ( E1102 * INDEX(FILTER(Pricing_Rules!E:E, Pricing_Rules!A:A=A1102, Pricing_Rules!B:B=B1102, Pricing_Rules!C:C&lt;=E1102, Pricing_Rules!D:D&gt;=E1102), 1)
   + INDEX(FILTER(Pricing_Rules!F:F, Pricing_Rules!A:A=A1102, Pricing_Rules!B:B=B1102, Pricing_Ru"&amp;"les!C:C&lt;=E1102, Pricing_Rules!D:D&gt;=E1102), 1)
 )
 * (1 + IFERROR( INDEX(Config!D:D, MATCH(A1102, Config!A:A, 0)), 0 )),
"""")
"),15.34)</f>
        <v>15.34</v>
      </c>
      <c r="K1102" s="19">
        <f t="shared" si="3"/>
        <v>-92.34</v>
      </c>
      <c r="L1102" s="20" t="str">
        <f t="shared" si="4"/>
        <v/>
      </c>
    </row>
    <row r="1103" ht="15.75" customHeight="1">
      <c r="A1103" s="9" t="s">
        <v>1162</v>
      </c>
      <c r="B1103" s="12" t="str">
        <f t="array" ref="B1103">XLOOKUP(C1103, Channel_Listings!C:C, Channel_Listings!B:B)
</f>
        <v>Apparel_Tshirts</v>
      </c>
      <c r="C1103" s="23" t="s">
        <v>1681</v>
      </c>
      <c r="D1103" s="14" t="str">
        <f t="array" ref="D1103">XLOOKUP(C1103, Channel_Listings!C:C, Channel_Listings!D:D)
</f>
        <v>TSHIRT-BLACK-XXL</v>
      </c>
      <c r="E1103" s="15"/>
      <c r="F1103" s="16">
        <f t="array" ref="F1103">IFERROR(
  VALUE( INDEX(Product_Master!$I:$I,
               MATCH( INDEX(Pack_Master!$B:$B, MATCH($D1103, Pack_Master!$A:$A, 0)),
                      Product_Master!$B:$B, 0)
  )) 
  * VALUE( INDEX(Pack_Master!$C:$C, MATCH($D1103, Pack_Master!$A:$A, 0)) )
  + VALUE( INDEX(Pack_Master!$D:$D, MATCH($D1103, Pack_Master!$A:$A, 0)) ),
"")
</f>
        <v>2</v>
      </c>
      <c r="G1103" s="17">
        <f t="array" ref="G1103">IFERROR(
 ( INDEX(Pack_Master!E:E, MATCH($D1103, Pack_Master!A:A, 0))
   * INDEX(Pack_Master!F:F, MATCH($D1103, Pack_Master!A:A, 0))
   * INDEX(Pack_Master!G:G, MATCH($D1103, Pack_Master!A:A, 0))
 ) / INDEX(Config!C:C, MATCH($A1103, Config!A:A, 0)),
"")
</f>
        <v>0.375</v>
      </c>
      <c r="H1103" s="17">
        <f t="array" ref="H1103">MAX( INDEX(Pack_Master!H:H, MATCH($D1103, Pack_Master!A:A, 0)),
      IFERROR(G1103, 0) )
</f>
        <v>0.5</v>
      </c>
      <c r="I1103" s="18">
        <f>IFERROR(__xludf.DUMMYFUNCTION("IFERROR(
 INDEX(
   FILTER(Shipping_Rate_Card!B:F, Shipping_Rate_Card!A:A=$A1103),
   MATCH($H1103, FILTER(Shipping_Rate_Card!B:B, Shipping_Rate_Card!A:A=$A1103), 1),
   IF( INDEX(Config!B:B, MATCH($A1103, Config!A:A, 0))=""Local"", 2,
     IF( INDEX(Conf"&amp;"ig!B:B, MATCH($A1103, Config!A:A, 0))=""Regional"", 3, 4 )
   )
 ),
"""")
"),75.0)</f>
        <v>75</v>
      </c>
      <c r="J1103" s="16">
        <f>IFERROR(__xludf.DUMMYFUNCTION("IFERROR(
 ( E1103 * INDEX(FILTER(Pricing_Rules!E:E, Pricing_Rules!A:A=A1103, Pricing_Rules!B:B=B1103, Pricing_Rules!C:C&lt;=E1103, Pricing_Rules!D:D&gt;=E1103), 1)
   + INDEX(FILTER(Pricing_Rules!F:F, Pricing_Rules!A:A=A1103, Pricing_Rules!B:B=B1103, Pricing_Ru"&amp;"les!C:C&lt;=E1103, Pricing_Rules!D:D&gt;=E1103), 1)
 )
 * (1 + IFERROR( INDEX(Config!D:D, MATCH(A1103, Config!A:A, 0)), 0 )),
"""")
"),15.34)</f>
        <v>15.34</v>
      </c>
      <c r="K1103" s="19">
        <f t="shared" si="3"/>
        <v>-92.34</v>
      </c>
      <c r="L1103" s="20" t="str">
        <f t="shared" si="4"/>
        <v/>
      </c>
    </row>
    <row r="1104" ht="15.75" customHeight="1">
      <c r="A1104" s="9" t="s">
        <v>1162</v>
      </c>
      <c r="B1104" s="12" t="str">
        <f t="array" ref="B1104">XLOOKUP(C1104, Channel_Listings!C:C, Channel_Listings!B:B)
</f>
        <v>Apparel_Tshirts</v>
      </c>
      <c r="C1104" s="23" t="s">
        <v>1683</v>
      </c>
      <c r="D1104" s="14" t="str">
        <f t="array" ref="D1104">XLOOKUP(C1104, Channel_Listings!C:C, Channel_Listings!D:D)
</f>
        <v>TSHIRT-BLACK-L</v>
      </c>
      <c r="E1104" s="15"/>
      <c r="F1104" s="16">
        <f t="array" ref="F1104">IFERROR(
  VALUE( INDEX(Product_Master!$I:$I,
               MATCH( INDEX(Pack_Master!$B:$B, MATCH($D1104, Pack_Master!$A:$A, 0)),
                      Product_Master!$B:$B, 0)
  )) 
  * VALUE( INDEX(Pack_Master!$C:$C, MATCH($D1104, Pack_Master!$A:$A, 0)) )
  + VALUE( INDEX(Pack_Master!$D:$D, MATCH($D1104, Pack_Master!$A:$A, 0)) ),
"")
</f>
        <v>2</v>
      </c>
      <c r="G1104" s="17">
        <f t="array" ref="G1104">IFERROR(
 ( INDEX(Pack_Master!E:E, MATCH($D1104, Pack_Master!A:A, 0))
   * INDEX(Pack_Master!F:F, MATCH($D1104, Pack_Master!A:A, 0))
   * INDEX(Pack_Master!G:G, MATCH($D1104, Pack_Master!A:A, 0))
 ) / INDEX(Config!C:C, MATCH($A1104, Config!A:A, 0)),
"")
</f>
        <v>0.375</v>
      </c>
      <c r="H1104" s="17">
        <f t="array" ref="H1104">MAX( INDEX(Pack_Master!H:H, MATCH($D1104, Pack_Master!A:A, 0)),
      IFERROR(G1104, 0) )
</f>
        <v>0.5</v>
      </c>
      <c r="I1104" s="18">
        <f>IFERROR(__xludf.DUMMYFUNCTION("IFERROR(
 INDEX(
   FILTER(Shipping_Rate_Card!B:F, Shipping_Rate_Card!A:A=$A1104),
   MATCH($H1104, FILTER(Shipping_Rate_Card!B:B, Shipping_Rate_Card!A:A=$A1104), 1),
   IF( INDEX(Config!B:B, MATCH($A1104, Config!A:A, 0))=""Local"", 2,
     IF( INDEX(Conf"&amp;"ig!B:B, MATCH($A1104, Config!A:A, 0))=""Regional"", 3, 4 )
   )
 ),
"""")
"),75.0)</f>
        <v>75</v>
      </c>
      <c r="J1104" s="16">
        <f>IFERROR(__xludf.DUMMYFUNCTION("IFERROR(
 ( E1104 * INDEX(FILTER(Pricing_Rules!E:E, Pricing_Rules!A:A=A1104, Pricing_Rules!B:B=B1104, Pricing_Rules!C:C&lt;=E1104, Pricing_Rules!D:D&gt;=E1104), 1)
   + INDEX(FILTER(Pricing_Rules!F:F, Pricing_Rules!A:A=A1104, Pricing_Rules!B:B=B1104, Pricing_Ru"&amp;"les!C:C&lt;=E1104, Pricing_Rules!D:D&gt;=E1104), 1)
 )
 * (1 + IFERROR( INDEX(Config!D:D, MATCH(A1104, Config!A:A, 0)), 0 )),
"""")
"),15.34)</f>
        <v>15.34</v>
      </c>
      <c r="K1104" s="19">
        <f t="shared" si="3"/>
        <v>-92.34</v>
      </c>
      <c r="L1104" s="20" t="str">
        <f t="shared" si="4"/>
        <v/>
      </c>
    </row>
    <row r="1105" ht="15.75" customHeight="1">
      <c r="A1105" s="9" t="s">
        <v>1162</v>
      </c>
      <c r="B1105" s="12" t="str">
        <f t="array" ref="B1105">XLOOKUP(C1105, Channel_Listings!C:C, Channel_Listings!B:B)
</f>
        <v>Apparel_Tshirts</v>
      </c>
      <c r="C1105" s="23" t="s">
        <v>1685</v>
      </c>
      <c r="D1105" s="14" t="str">
        <f t="array" ref="D1105">XLOOKUP(C1105, Channel_Listings!C:C, Channel_Listings!D:D)
</f>
        <v>TSHIRT-BLACK-M</v>
      </c>
      <c r="E1105" s="15"/>
      <c r="F1105" s="16">
        <f t="array" ref="F1105">IFERROR(
  VALUE( INDEX(Product_Master!$I:$I,
               MATCH( INDEX(Pack_Master!$B:$B, MATCH($D1105, Pack_Master!$A:$A, 0)),
                      Product_Master!$B:$B, 0)
  )) 
  * VALUE( INDEX(Pack_Master!$C:$C, MATCH($D1105, Pack_Master!$A:$A, 0)) )
  + VALUE( INDEX(Pack_Master!$D:$D, MATCH($D1105, Pack_Master!$A:$A, 0)) ),
"")
</f>
        <v>2</v>
      </c>
      <c r="G1105" s="17">
        <f t="array" ref="G1105">IFERROR(
 ( INDEX(Pack_Master!E:E, MATCH($D1105, Pack_Master!A:A, 0))
   * INDEX(Pack_Master!F:F, MATCH($D1105, Pack_Master!A:A, 0))
   * INDEX(Pack_Master!G:G, MATCH($D1105, Pack_Master!A:A, 0))
 ) / INDEX(Config!C:C, MATCH($A1105, Config!A:A, 0)),
"")
</f>
        <v>0.375</v>
      </c>
      <c r="H1105" s="17">
        <f t="array" ref="H1105">MAX( INDEX(Pack_Master!H:H, MATCH($D1105, Pack_Master!A:A, 0)),
      IFERROR(G1105, 0) )
</f>
        <v>0.5</v>
      </c>
      <c r="I1105" s="18">
        <f>IFERROR(__xludf.DUMMYFUNCTION("IFERROR(
 INDEX(
   FILTER(Shipping_Rate_Card!B:F, Shipping_Rate_Card!A:A=$A1105),
   MATCH($H1105, FILTER(Shipping_Rate_Card!B:B, Shipping_Rate_Card!A:A=$A1105), 1),
   IF( INDEX(Config!B:B, MATCH($A1105, Config!A:A, 0))=""Local"", 2,
     IF( INDEX(Conf"&amp;"ig!B:B, MATCH($A1105, Config!A:A, 0))=""Regional"", 3, 4 )
   )
 ),
"""")
"),75.0)</f>
        <v>75</v>
      </c>
      <c r="J1105" s="16">
        <f>IFERROR(__xludf.DUMMYFUNCTION("IFERROR(
 ( E1105 * INDEX(FILTER(Pricing_Rules!E:E, Pricing_Rules!A:A=A1105, Pricing_Rules!B:B=B1105, Pricing_Rules!C:C&lt;=E1105, Pricing_Rules!D:D&gt;=E1105), 1)
   + INDEX(FILTER(Pricing_Rules!F:F, Pricing_Rules!A:A=A1105, Pricing_Rules!B:B=B1105, Pricing_Ru"&amp;"les!C:C&lt;=E1105, Pricing_Rules!D:D&gt;=E1105), 1)
 )
 * (1 + IFERROR( INDEX(Config!D:D, MATCH(A1105, Config!A:A, 0)), 0 )),
"""")
"),15.34)</f>
        <v>15.34</v>
      </c>
      <c r="K1105" s="19">
        <f t="shared" si="3"/>
        <v>-92.34</v>
      </c>
      <c r="L1105" s="20" t="str">
        <f t="shared" si="4"/>
        <v/>
      </c>
    </row>
    <row r="1106" ht="15.75" customHeight="1">
      <c r="A1106" s="9" t="s">
        <v>1162</v>
      </c>
      <c r="B1106" s="12" t="str">
        <f t="array" ref="B1106">XLOOKUP(C1106, Channel_Listings!C:C, Channel_Listings!B:B)
</f>
        <v>Apparel_Tshirts</v>
      </c>
      <c r="C1106" s="23" t="s">
        <v>1687</v>
      </c>
      <c r="D1106" s="14" t="str">
        <f t="array" ref="D1106">XLOOKUP(C1106, Channel_Listings!C:C, Channel_Listings!D:D)
</f>
        <v>TSHIRT-WHITE-M</v>
      </c>
      <c r="E1106" s="15"/>
      <c r="F1106" s="16">
        <f t="array" ref="F1106">IFERROR(
  VALUE( INDEX(Product_Master!$I:$I,
               MATCH( INDEX(Pack_Master!$B:$B, MATCH($D1106, Pack_Master!$A:$A, 0)),
                      Product_Master!$B:$B, 0)
  )) 
  * VALUE( INDEX(Pack_Master!$C:$C, MATCH($D1106, Pack_Master!$A:$A, 0)) )
  + VALUE( INDEX(Pack_Master!$D:$D, MATCH($D1106, Pack_Master!$A:$A, 0)) ),
"")
</f>
        <v>2</v>
      </c>
      <c r="G1106" s="17">
        <f t="array" ref="G1106">IFERROR(
 ( INDEX(Pack_Master!E:E, MATCH($D1106, Pack_Master!A:A, 0))
   * INDEX(Pack_Master!F:F, MATCH($D1106, Pack_Master!A:A, 0))
   * INDEX(Pack_Master!G:G, MATCH($D1106, Pack_Master!A:A, 0))
 ) / INDEX(Config!C:C, MATCH($A1106, Config!A:A, 0)),
"")
</f>
        <v>0.375</v>
      </c>
      <c r="H1106" s="17">
        <f t="array" ref="H1106">MAX( INDEX(Pack_Master!H:H, MATCH($D1106, Pack_Master!A:A, 0)),
      IFERROR(G1106, 0) )
</f>
        <v>0.5</v>
      </c>
      <c r="I1106" s="18">
        <f>IFERROR(__xludf.DUMMYFUNCTION("IFERROR(
 INDEX(
   FILTER(Shipping_Rate_Card!B:F, Shipping_Rate_Card!A:A=$A1106),
   MATCH($H1106, FILTER(Shipping_Rate_Card!B:B, Shipping_Rate_Card!A:A=$A1106), 1),
   IF( INDEX(Config!B:B, MATCH($A1106, Config!A:A, 0))=""Local"", 2,
     IF( INDEX(Conf"&amp;"ig!B:B, MATCH($A1106, Config!A:A, 0))=""Regional"", 3, 4 )
   )
 ),
"""")
"),75.0)</f>
        <v>75</v>
      </c>
      <c r="J1106" s="16">
        <f>IFERROR(__xludf.DUMMYFUNCTION("IFERROR(
 ( E1106 * INDEX(FILTER(Pricing_Rules!E:E, Pricing_Rules!A:A=A1106, Pricing_Rules!B:B=B1106, Pricing_Rules!C:C&lt;=E1106, Pricing_Rules!D:D&gt;=E1106), 1)
   + INDEX(FILTER(Pricing_Rules!F:F, Pricing_Rules!A:A=A1106, Pricing_Rules!B:B=B1106, Pricing_Ru"&amp;"les!C:C&lt;=E1106, Pricing_Rules!D:D&gt;=E1106), 1)
 )
 * (1 + IFERROR( INDEX(Config!D:D, MATCH(A1106, Config!A:A, 0)), 0 )),
"""")
"),15.34)</f>
        <v>15.34</v>
      </c>
      <c r="K1106" s="19">
        <f t="shared" si="3"/>
        <v>-92.34</v>
      </c>
      <c r="L1106" s="20" t="str">
        <f t="shared" si="4"/>
        <v/>
      </c>
    </row>
    <row r="1107" ht="15.75" customHeight="1">
      <c r="A1107" s="9" t="s">
        <v>1162</v>
      </c>
      <c r="B1107" s="12" t="str">
        <f t="array" ref="B1107">XLOOKUP(C1107, Channel_Listings!C:C, Channel_Listings!B:B)
</f>
        <v>Apparel_Tshirts</v>
      </c>
      <c r="C1107" s="23" t="s">
        <v>1689</v>
      </c>
      <c r="D1107" s="14" t="str">
        <f t="array" ref="D1107">XLOOKUP(C1107, Channel_Listings!C:C, Channel_Listings!D:D)
</f>
        <v>TSHIRT-WHITE-L</v>
      </c>
      <c r="E1107" s="15"/>
      <c r="F1107" s="16">
        <f t="array" ref="F1107">IFERROR(
  VALUE( INDEX(Product_Master!$I:$I,
               MATCH( INDEX(Pack_Master!$B:$B, MATCH($D1107, Pack_Master!$A:$A, 0)),
                      Product_Master!$B:$B, 0)
  )) 
  * VALUE( INDEX(Pack_Master!$C:$C, MATCH($D1107, Pack_Master!$A:$A, 0)) )
  + VALUE( INDEX(Pack_Master!$D:$D, MATCH($D1107, Pack_Master!$A:$A, 0)) ),
"")
</f>
        <v>2</v>
      </c>
      <c r="G1107" s="17">
        <f t="array" ref="G1107">IFERROR(
 ( INDEX(Pack_Master!E:E, MATCH($D1107, Pack_Master!A:A, 0))
   * INDEX(Pack_Master!F:F, MATCH($D1107, Pack_Master!A:A, 0))
   * INDEX(Pack_Master!G:G, MATCH($D1107, Pack_Master!A:A, 0))
 ) / INDEX(Config!C:C, MATCH($A1107, Config!A:A, 0)),
"")
</f>
        <v>0.375</v>
      </c>
      <c r="H1107" s="17">
        <f t="array" ref="H1107">MAX( INDEX(Pack_Master!H:H, MATCH($D1107, Pack_Master!A:A, 0)),
      IFERROR(G1107, 0) )
</f>
        <v>0.5</v>
      </c>
      <c r="I1107" s="18">
        <f>IFERROR(__xludf.DUMMYFUNCTION("IFERROR(
 INDEX(
   FILTER(Shipping_Rate_Card!B:F, Shipping_Rate_Card!A:A=$A1107),
   MATCH($H1107, FILTER(Shipping_Rate_Card!B:B, Shipping_Rate_Card!A:A=$A1107), 1),
   IF( INDEX(Config!B:B, MATCH($A1107, Config!A:A, 0))=""Local"", 2,
     IF( INDEX(Conf"&amp;"ig!B:B, MATCH($A1107, Config!A:A, 0))=""Regional"", 3, 4 )
   )
 ),
"""")
"),75.0)</f>
        <v>75</v>
      </c>
      <c r="J1107" s="16">
        <f>IFERROR(__xludf.DUMMYFUNCTION("IFERROR(
 ( E1107 * INDEX(FILTER(Pricing_Rules!E:E, Pricing_Rules!A:A=A1107, Pricing_Rules!B:B=B1107, Pricing_Rules!C:C&lt;=E1107, Pricing_Rules!D:D&gt;=E1107), 1)
   + INDEX(FILTER(Pricing_Rules!F:F, Pricing_Rules!A:A=A1107, Pricing_Rules!B:B=B1107, Pricing_Ru"&amp;"les!C:C&lt;=E1107, Pricing_Rules!D:D&gt;=E1107), 1)
 )
 * (1 + IFERROR( INDEX(Config!D:D, MATCH(A1107, Config!A:A, 0)), 0 )),
"""")
"),15.34)</f>
        <v>15.34</v>
      </c>
      <c r="K1107" s="19">
        <f t="shared" si="3"/>
        <v>-92.34</v>
      </c>
      <c r="L1107" s="20" t="str">
        <f t="shared" si="4"/>
        <v/>
      </c>
    </row>
    <row r="1108" ht="15.75" customHeight="1">
      <c r="A1108" s="9" t="s">
        <v>1162</v>
      </c>
      <c r="B1108" s="12" t="str">
        <f t="array" ref="B1108">XLOOKUP(C1108, Channel_Listings!C:C, Channel_Listings!B:B)
</f>
        <v>Apparel_Tshirts</v>
      </c>
      <c r="C1108" s="23" t="s">
        <v>1691</v>
      </c>
      <c r="D1108" s="14" t="str">
        <f t="array" ref="D1108">XLOOKUP(C1108, Channel_Listings!C:C, Channel_Listings!D:D)
</f>
        <v>TSHIRT-WHITE-M</v>
      </c>
      <c r="E1108" s="15"/>
      <c r="F1108" s="16">
        <f t="array" ref="F1108">IFERROR(
  VALUE( INDEX(Product_Master!$I:$I,
               MATCH( INDEX(Pack_Master!$B:$B, MATCH($D1108, Pack_Master!$A:$A, 0)),
                      Product_Master!$B:$B, 0)
  )) 
  * VALUE( INDEX(Pack_Master!$C:$C, MATCH($D1108, Pack_Master!$A:$A, 0)) )
  + VALUE( INDEX(Pack_Master!$D:$D, MATCH($D1108, Pack_Master!$A:$A, 0)) ),
"")
</f>
        <v>2</v>
      </c>
      <c r="G1108" s="17">
        <f t="array" ref="G1108">IFERROR(
 ( INDEX(Pack_Master!E:E, MATCH($D1108, Pack_Master!A:A, 0))
   * INDEX(Pack_Master!F:F, MATCH($D1108, Pack_Master!A:A, 0))
   * INDEX(Pack_Master!G:G, MATCH($D1108, Pack_Master!A:A, 0))
 ) / INDEX(Config!C:C, MATCH($A1108, Config!A:A, 0)),
"")
</f>
        <v>0.375</v>
      </c>
      <c r="H1108" s="17">
        <f t="array" ref="H1108">MAX( INDEX(Pack_Master!H:H, MATCH($D1108, Pack_Master!A:A, 0)),
      IFERROR(G1108, 0) )
</f>
        <v>0.5</v>
      </c>
      <c r="I1108" s="18">
        <f>IFERROR(__xludf.DUMMYFUNCTION("IFERROR(
 INDEX(
   FILTER(Shipping_Rate_Card!B:F, Shipping_Rate_Card!A:A=$A1108),
   MATCH($H1108, FILTER(Shipping_Rate_Card!B:B, Shipping_Rate_Card!A:A=$A1108), 1),
   IF( INDEX(Config!B:B, MATCH($A1108, Config!A:A, 0))=""Local"", 2,
     IF( INDEX(Conf"&amp;"ig!B:B, MATCH($A1108, Config!A:A, 0))=""Regional"", 3, 4 )
   )
 ),
"""")
"),75.0)</f>
        <v>75</v>
      </c>
      <c r="J1108" s="16">
        <f>IFERROR(__xludf.DUMMYFUNCTION("IFERROR(
 ( E1108 * INDEX(FILTER(Pricing_Rules!E:E, Pricing_Rules!A:A=A1108, Pricing_Rules!B:B=B1108, Pricing_Rules!C:C&lt;=E1108, Pricing_Rules!D:D&gt;=E1108), 1)
   + INDEX(FILTER(Pricing_Rules!F:F, Pricing_Rules!A:A=A1108, Pricing_Rules!B:B=B1108, Pricing_Ru"&amp;"les!C:C&lt;=E1108, Pricing_Rules!D:D&gt;=E1108), 1)
 )
 * (1 + IFERROR( INDEX(Config!D:D, MATCH(A1108, Config!A:A, 0)), 0 )),
"""")
"),15.34)</f>
        <v>15.34</v>
      </c>
      <c r="K1108" s="19">
        <f t="shared" si="3"/>
        <v>-92.34</v>
      </c>
      <c r="L1108" s="20" t="str">
        <f t="shared" si="4"/>
        <v/>
      </c>
    </row>
    <row r="1109" ht="15.75" customHeight="1">
      <c r="A1109" s="9" t="s">
        <v>1162</v>
      </c>
      <c r="B1109" s="12" t="str">
        <f t="array" ref="B1109">XLOOKUP(C1109, Channel_Listings!C:C, Channel_Listings!B:B)
</f>
        <v>Apparel_Tshirts</v>
      </c>
      <c r="C1109" s="23" t="s">
        <v>1693</v>
      </c>
      <c r="D1109" s="14" t="str">
        <f t="array" ref="D1109">XLOOKUP(C1109, Channel_Listings!C:C, Channel_Listings!D:D)
</f>
        <v>TSHIRT-WHITE-XL</v>
      </c>
      <c r="E1109" s="15"/>
      <c r="F1109" s="16">
        <f t="array" ref="F1109">IFERROR(
  VALUE( INDEX(Product_Master!$I:$I,
               MATCH( INDEX(Pack_Master!$B:$B, MATCH($D1109, Pack_Master!$A:$A, 0)),
                      Product_Master!$B:$B, 0)
  )) 
  * VALUE( INDEX(Pack_Master!$C:$C, MATCH($D1109, Pack_Master!$A:$A, 0)) )
  + VALUE( INDEX(Pack_Master!$D:$D, MATCH($D1109, Pack_Master!$A:$A, 0)) ),
"")
</f>
        <v>2</v>
      </c>
      <c r="G1109" s="17">
        <f t="array" ref="G1109">IFERROR(
 ( INDEX(Pack_Master!E:E, MATCH($D1109, Pack_Master!A:A, 0))
   * INDEX(Pack_Master!F:F, MATCH($D1109, Pack_Master!A:A, 0))
   * INDEX(Pack_Master!G:G, MATCH($D1109, Pack_Master!A:A, 0))
 ) / INDEX(Config!C:C, MATCH($A1109, Config!A:A, 0)),
"")
</f>
        <v>0.375</v>
      </c>
      <c r="H1109" s="17">
        <f t="array" ref="H1109">MAX( INDEX(Pack_Master!H:H, MATCH($D1109, Pack_Master!A:A, 0)),
      IFERROR(G1109, 0) )
</f>
        <v>0.5</v>
      </c>
      <c r="I1109" s="18">
        <f>IFERROR(__xludf.DUMMYFUNCTION("IFERROR(
 INDEX(
   FILTER(Shipping_Rate_Card!B:F, Shipping_Rate_Card!A:A=$A1109),
   MATCH($H1109, FILTER(Shipping_Rate_Card!B:B, Shipping_Rate_Card!A:A=$A1109), 1),
   IF( INDEX(Config!B:B, MATCH($A1109, Config!A:A, 0))=""Local"", 2,
     IF( INDEX(Conf"&amp;"ig!B:B, MATCH($A1109, Config!A:A, 0))=""Regional"", 3, 4 )
   )
 ),
"""")
"),75.0)</f>
        <v>75</v>
      </c>
      <c r="J1109" s="16">
        <f>IFERROR(__xludf.DUMMYFUNCTION("IFERROR(
 ( E1109 * INDEX(FILTER(Pricing_Rules!E:E, Pricing_Rules!A:A=A1109, Pricing_Rules!B:B=B1109, Pricing_Rules!C:C&lt;=E1109, Pricing_Rules!D:D&gt;=E1109), 1)
   + INDEX(FILTER(Pricing_Rules!F:F, Pricing_Rules!A:A=A1109, Pricing_Rules!B:B=B1109, Pricing_Ru"&amp;"les!C:C&lt;=E1109, Pricing_Rules!D:D&gt;=E1109), 1)
 )
 * (1 + IFERROR( INDEX(Config!D:D, MATCH(A1109, Config!A:A, 0)), 0 )),
"""")
"),15.34)</f>
        <v>15.34</v>
      </c>
      <c r="K1109" s="19">
        <f t="shared" si="3"/>
        <v>-92.34</v>
      </c>
      <c r="L1109" s="20" t="str">
        <f t="shared" si="4"/>
        <v/>
      </c>
    </row>
    <row r="1110" ht="15.75" customHeight="1">
      <c r="A1110" s="9" t="s">
        <v>1162</v>
      </c>
      <c r="B1110" s="12" t="str">
        <f t="array" ref="B1110">XLOOKUP(C1110, Channel_Listings!C:C, Channel_Listings!B:B)
</f>
        <v>Apparel_Tshirts</v>
      </c>
      <c r="C1110" s="23" t="s">
        <v>1695</v>
      </c>
      <c r="D1110" s="14" t="str">
        <f t="array" ref="D1110">XLOOKUP(C1110, Channel_Listings!C:C, Channel_Listings!D:D)
</f>
        <v>TSHIRT-WHITE-XXL</v>
      </c>
      <c r="E1110" s="15"/>
      <c r="F1110" s="16">
        <f t="array" ref="F1110">IFERROR(
  VALUE( INDEX(Product_Master!$I:$I,
               MATCH( INDEX(Pack_Master!$B:$B, MATCH($D1110, Pack_Master!$A:$A, 0)),
                      Product_Master!$B:$B, 0)
  )) 
  * VALUE( INDEX(Pack_Master!$C:$C, MATCH($D1110, Pack_Master!$A:$A, 0)) )
  + VALUE( INDEX(Pack_Master!$D:$D, MATCH($D1110, Pack_Master!$A:$A, 0)) ),
"")
</f>
        <v>2</v>
      </c>
      <c r="G1110" s="17">
        <f t="array" ref="G1110">IFERROR(
 ( INDEX(Pack_Master!E:E, MATCH($D1110, Pack_Master!A:A, 0))
   * INDEX(Pack_Master!F:F, MATCH($D1110, Pack_Master!A:A, 0))
   * INDEX(Pack_Master!G:G, MATCH($D1110, Pack_Master!A:A, 0))
 ) / INDEX(Config!C:C, MATCH($A1110, Config!A:A, 0)),
"")
</f>
        <v>0.375</v>
      </c>
      <c r="H1110" s="17">
        <f t="array" ref="H1110">MAX( INDEX(Pack_Master!H:H, MATCH($D1110, Pack_Master!A:A, 0)),
      IFERROR(G1110, 0) )
</f>
        <v>0.5</v>
      </c>
      <c r="I1110" s="18">
        <f>IFERROR(__xludf.DUMMYFUNCTION("IFERROR(
 INDEX(
   FILTER(Shipping_Rate_Card!B:F, Shipping_Rate_Card!A:A=$A1110),
   MATCH($H1110, FILTER(Shipping_Rate_Card!B:B, Shipping_Rate_Card!A:A=$A1110), 1),
   IF( INDEX(Config!B:B, MATCH($A1110, Config!A:A, 0))=""Local"", 2,
     IF( INDEX(Conf"&amp;"ig!B:B, MATCH($A1110, Config!A:A, 0))=""Regional"", 3, 4 )
   )
 ),
"""")
"),75.0)</f>
        <v>75</v>
      </c>
      <c r="J1110" s="16">
        <f>IFERROR(__xludf.DUMMYFUNCTION("IFERROR(
 ( E1110 * INDEX(FILTER(Pricing_Rules!E:E, Pricing_Rules!A:A=A1110, Pricing_Rules!B:B=B1110, Pricing_Rules!C:C&lt;=E1110, Pricing_Rules!D:D&gt;=E1110), 1)
   + INDEX(FILTER(Pricing_Rules!F:F, Pricing_Rules!A:A=A1110, Pricing_Rules!B:B=B1110, Pricing_Ru"&amp;"les!C:C&lt;=E1110, Pricing_Rules!D:D&gt;=E1110), 1)
 )
 * (1 + IFERROR( INDEX(Config!D:D, MATCH(A1110, Config!A:A, 0)), 0 )),
"""")
"),15.34)</f>
        <v>15.34</v>
      </c>
      <c r="K1110" s="19">
        <f t="shared" si="3"/>
        <v>-92.34</v>
      </c>
      <c r="L1110" s="20" t="str">
        <f t="shared" si="4"/>
        <v/>
      </c>
    </row>
    <row r="1111" ht="15.75" customHeight="1">
      <c r="A1111" s="9" t="s">
        <v>1162</v>
      </c>
      <c r="B1111" s="12" t="str">
        <f t="array" ref="B1111">XLOOKUP(C1111, Channel_Listings!C:C, Channel_Listings!B:B)
</f>
        <v>Apparel_Tshirts</v>
      </c>
      <c r="C1111" s="23" t="s">
        <v>1697</v>
      </c>
      <c r="D1111" s="14" t="str">
        <f t="array" ref="D1111">XLOOKUP(C1111, Channel_Listings!C:C, Channel_Listings!D:D)
</f>
        <v>TSHIRT-WHITE-L</v>
      </c>
      <c r="E1111" s="15"/>
      <c r="F1111" s="16">
        <f t="array" ref="F1111">IFERROR(
  VALUE( INDEX(Product_Master!$I:$I,
               MATCH( INDEX(Pack_Master!$B:$B, MATCH($D1111, Pack_Master!$A:$A, 0)),
                      Product_Master!$B:$B, 0)
  )) 
  * VALUE( INDEX(Pack_Master!$C:$C, MATCH($D1111, Pack_Master!$A:$A, 0)) )
  + VALUE( INDEX(Pack_Master!$D:$D, MATCH($D1111, Pack_Master!$A:$A, 0)) ),
"")
</f>
        <v>2</v>
      </c>
      <c r="G1111" s="17">
        <f t="array" ref="G1111">IFERROR(
 ( INDEX(Pack_Master!E:E, MATCH($D1111, Pack_Master!A:A, 0))
   * INDEX(Pack_Master!F:F, MATCH($D1111, Pack_Master!A:A, 0))
   * INDEX(Pack_Master!G:G, MATCH($D1111, Pack_Master!A:A, 0))
 ) / INDEX(Config!C:C, MATCH($A1111, Config!A:A, 0)),
"")
</f>
        <v>0.375</v>
      </c>
      <c r="H1111" s="17">
        <f t="array" ref="H1111">MAX( INDEX(Pack_Master!H:H, MATCH($D1111, Pack_Master!A:A, 0)),
      IFERROR(G1111, 0) )
</f>
        <v>0.5</v>
      </c>
      <c r="I1111" s="18">
        <f>IFERROR(__xludf.DUMMYFUNCTION("IFERROR(
 INDEX(
   FILTER(Shipping_Rate_Card!B:F, Shipping_Rate_Card!A:A=$A1111),
   MATCH($H1111, FILTER(Shipping_Rate_Card!B:B, Shipping_Rate_Card!A:A=$A1111), 1),
   IF( INDEX(Config!B:B, MATCH($A1111, Config!A:A, 0))=""Local"", 2,
     IF( INDEX(Conf"&amp;"ig!B:B, MATCH($A1111, Config!A:A, 0))=""Regional"", 3, 4 )
   )
 ),
"""")
"),75.0)</f>
        <v>75</v>
      </c>
      <c r="J1111" s="16">
        <f>IFERROR(__xludf.DUMMYFUNCTION("IFERROR(
 ( E1111 * INDEX(FILTER(Pricing_Rules!E:E, Pricing_Rules!A:A=A1111, Pricing_Rules!B:B=B1111, Pricing_Rules!C:C&lt;=E1111, Pricing_Rules!D:D&gt;=E1111), 1)
   + INDEX(FILTER(Pricing_Rules!F:F, Pricing_Rules!A:A=A1111, Pricing_Rules!B:B=B1111, Pricing_Ru"&amp;"les!C:C&lt;=E1111, Pricing_Rules!D:D&gt;=E1111), 1)
 )
 * (1 + IFERROR( INDEX(Config!D:D, MATCH(A1111, Config!A:A, 0)), 0 )),
"""")
"),15.34)</f>
        <v>15.34</v>
      </c>
      <c r="K1111" s="19">
        <f t="shared" si="3"/>
        <v>-92.34</v>
      </c>
      <c r="L1111" s="20" t="str">
        <f t="shared" si="4"/>
        <v/>
      </c>
    </row>
    <row r="1112" ht="15.75" customHeight="1">
      <c r="A1112" s="9" t="s">
        <v>1162</v>
      </c>
      <c r="B1112" s="12" t="str">
        <f t="array" ref="B1112">XLOOKUP(C1112, Channel_Listings!C:C, Channel_Listings!B:B)
</f>
        <v>Apparel_Tshirts</v>
      </c>
      <c r="C1112" s="23" t="s">
        <v>1699</v>
      </c>
      <c r="D1112" s="14" t="str">
        <f t="array" ref="D1112">XLOOKUP(C1112, Channel_Listings!C:C, Channel_Listings!D:D)
</f>
        <v>TSHIRT-WHITE-XL</v>
      </c>
      <c r="E1112" s="15"/>
      <c r="F1112" s="16">
        <f t="array" ref="F1112">IFERROR(
  VALUE( INDEX(Product_Master!$I:$I,
               MATCH( INDEX(Pack_Master!$B:$B, MATCH($D1112, Pack_Master!$A:$A, 0)),
                      Product_Master!$B:$B, 0)
  )) 
  * VALUE( INDEX(Pack_Master!$C:$C, MATCH($D1112, Pack_Master!$A:$A, 0)) )
  + VALUE( INDEX(Pack_Master!$D:$D, MATCH($D1112, Pack_Master!$A:$A, 0)) ),
"")
</f>
        <v>2</v>
      </c>
      <c r="G1112" s="17">
        <f t="array" ref="G1112">IFERROR(
 ( INDEX(Pack_Master!E:E, MATCH($D1112, Pack_Master!A:A, 0))
   * INDEX(Pack_Master!F:F, MATCH($D1112, Pack_Master!A:A, 0))
   * INDEX(Pack_Master!G:G, MATCH($D1112, Pack_Master!A:A, 0))
 ) / INDEX(Config!C:C, MATCH($A1112, Config!A:A, 0)),
"")
</f>
        <v>0.375</v>
      </c>
      <c r="H1112" s="17">
        <f t="array" ref="H1112">MAX( INDEX(Pack_Master!H:H, MATCH($D1112, Pack_Master!A:A, 0)),
      IFERROR(G1112, 0) )
</f>
        <v>0.5</v>
      </c>
      <c r="I1112" s="18">
        <f>IFERROR(__xludf.DUMMYFUNCTION("IFERROR(
 INDEX(
   FILTER(Shipping_Rate_Card!B:F, Shipping_Rate_Card!A:A=$A1112),
   MATCH($H1112, FILTER(Shipping_Rate_Card!B:B, Shipping_Rate_Card!A:A=$A1112), 1),
   IF( INDEX(Config!B:B, MATCH($A1112, Config!A:A, 0))=""Local"", 2,
     IF( INDEX(Conf"&amp;"ig!B:B, MATCH($A1112, Config!A:A, 0))=""Regional"", 3, 4 )
   )
 ),
"""")
"),75.0)</f>
        <v>75</v>
      </c>
      <c r="J1112" s="16">
        <f>IFERROR(__xludf.DUMMYFUNCTION("IFERROR(
 ( E1112 * INDEX(FILTER(Pricing_Rules!E:E, Pricing_Rules!A:A=A1112, Pricing_Rules!B:B=B1112, Pricing_Rules!C:C&lt;=E1112, Pricing_Rules!D:D&gt;=E1112), 1)
   + INDEX(FILTER(Pricing_Rules!F:F, Pricing_Rules!A:A=A1112, Pricing_Rules!B:B=B1112, Pricing_Ru"&amp;"les!C:C&lt;=E1112, Pricing_Rules!D:D&gt;=E1112), 1)
 )
 * (1 + IFERROR( INDEX(Config!D:D, MATCH(A1112, Config!A:A, 0)), 0 )),
"""")
"),15.34)</f>
        <v>15.34</v>
      </c>
      <c r="K1112" s="19">
        <f t="shared" si="3"/>
        <v>-92.34</v>
      </c>
      <c r="L1112" s="20" t="str">
        <f t="shared" si="4"/>
        <v/>
      </c>
    </row>
    <row r="1113" ht="15.75" customHeight="1">
      <c r="A1113" s="9" t="s">
        <v>1162</v>
      </c>
      <c r="B1113" s="12" t="str">
        <f t="array" ref="B1113">XLOOKUP(C1113, Channel_Listings!C:C, Channel_Listings!B:B)
</f>
        <v>Apparel_Tshirts</v>
      </c>
      <c r="C1113" s="23" t="s">
        <v>1701</v>
      </c>
      <c r="D1113" s="14" t="str">
        <f t="array" ref="D1113">XLOOKUP(C1113, Channel_Listings!C:C, Channel_Listings!D:D)
</f>
        <v>TSHIRT-WHITE-XXL</v>
      </c>
      <c r="E1113" s="15"/>
      <c r="F1113" s="16">
        <f t="array" ref="F1113">IFERROR(
  VALUE( INDEX(Product_Master!$I:$I,
               MATCH( INDEX(Pack_Master!$B:$B, MATCH($D1113, Pack_Master!$A:$A, 0)),
                      Product_Master!$B:$B, 0)
  )) 
  * VALUE( INDEX(Pack_Master!$C:$C, MATCH($D1113, Pack_Master!$A:$A, 0)) )
  + VALUE( INDEX(Pack_Master!$D:$D, MATCH($D1113, Pack_Master!$A:$A, 0)) ),
"")
</f>
        <v>2</v>
      </c>
      <c r="G1113" s="17">
        <f t="array" ref="G1113">IFERROR(
 ( INDEX(Pack_Master!E:E, MATCH($D1113, Pack_Master!A:A, 0))
   * INDEX(Pack_Master!F:F, MATCH($D1113, Pack_Master!A:A, 0))
   * INDEX(Pack_Master!G:G, MATCH($D1113, Pack_Master!A:A, 0))
 ) / INDEX(Config!C:C, MATCH($A1113, Config!A:A, 0)),
"")
</f>
        <v>0.375</v>
      </c>
      <c r="H1113" s="17">
        <f t="array" ref="H1113">MAX( INDEX(Pack_Master!H:H, MATCH($D1113, Pack_Master!A:A, 0)),
      IFERROR(G1113, 0) )
</f>
        <v>0.5</v>
      </c>
      <c r="I1113" s="18">
        <f>IFERROR(__xludf.DUMMYFUNCTION("IFERROR(
 INDEX(
   FILTER(Shipping_Rate_Card!B:F, Shipping_Rate_Card!A:A=$A1113),
   MATCH($H1113, FILTER(Shipping_Rate_Card!B:B, Shipping_Rate_Card!A:A=$A1113), 1),
   IF( INDEX(Config!B:B, MATCH($A1113, Config!A:A, 0))=""Local"", 2,
     IF( INDEX(Conf"&amp;"ig!B:B, MATCH($A1113, Config!A:A, 0))=""Regional"", 3, 4 )
   )
 ),
"""")
"),75.0)</f>
        <v>75</v>
      </c>
      <c r="J1113" s="16">
        <f>IFERROR(__xludf.DUMMYFUNCTION("IFERROR(
 ( E1113 * INDEX(FILTER(Pricing_Rules!E:E, Pricing_Rules!A:A=A1113, Pricing_Rules!B:B=B1113, Pricing_Rules!C:C&lt;=E1113, Pricing_Rules!D:D&gt;=E1113), 1)
   + INDEX(FILTER(Pricing_Rules!F:F, Pricing_Rules!A:A=A1113, Pricing_Rules!B:B=B1113, Pricing_Ru"&amp;"les!C:C&lt;=E1113, Pricing_Rules!D:D&gt;=E1113), 1)
 )
 * (1 + IFERROR( INDEX(Config!D:D, MATCH(A1113, Config!A:A, 0)), 0 )),
"""")
"),15.34)</f>
        <v>15.34</v>
      </c>
      <c r="K1113" s="19">
        <f t="shared" si="3"/>
        <v>-92.34</v>
      </c>
      <c r="L1113" s="20" t="str">
        <f t="shared" si="4"/>
        <v/>
      </c>
    </row>
    <row r="1114" ht="15.75" customHeight="1">
      <c r="A1114" s="9" t="s">
        <v>1162</v>
      </c>
      <c r="B1114" s="12" t="str">
        <f t="array" ref="B1114">XLOOKUP(C1114, Channel_Listings!C:C, Channel_Listings!B:B)
</f>
        <v>Apparel_Tshirts</v>
      </c>
      <c r="C1114" s="23" t="s">
        <v>1703</v>
      </c>
      <c r="D1114" s="14" t="str">
        <f t="array" ref="D1114">XLOOKUP(C1114, Channel_Listings!C:C, Channel_Listings!D:D)
</f>
        <v>TSHIRT-BLACK-L</v>
      </c>
      <c r="E1114" s="15"/>
      <c r="F1114" s="16">
        <f t="array" ref="F1114">IFERROR(
  VALUE( INDEX(Product_Master!$I:$I,
               MATCH( INDEX(Pack_Master!$B:$B, MATCH($D1114, Pack_Master!$A:$A, 0)),
                      Product_Master!$B:$B, 0)
  )) 
  * VALUE( INDEX(Pack_Master!$C:$C, MATCH($D1114, Pack_Master!$A:$A, 0)) )
  + VALUE( INDEX(Pack_Master!$D:$D, MATCH($D1114, Pack_Master!$A:$A, 0)) ),
"")
</f>
        <v>2</v>
      </c>
      <c r="G1114" s="17">
        <f t="array" ref="G1114">IFERROR(
 ( INDEX(Pack_Master!E:E, MATCH($D1114, Pack_Master!A:A, 0))
   * INDEX(Pack_Master!F:F, MATCH($D1114, Pack_Master!A:A, 0))
   * INDEX(Pack_Master!G:G, MATCH($D1114, Pack_Master!A:A, 0))
 ) / INDEX(Config!C:C, MATCH($A1114, Config!A:A, 0)),
"")
</f>
        <v>0.375</v>
      </c>
      <c r="H1114" s="17">
        <f t="array" ref="H1114">MAX( INDEX(Pack_Master!H:H, MATCH($D1114, Pack_Master!A:A, 0)),
      IFERROR(G1114, 0) )
</f>
        <v>0.5</v>
      </c>
      <c r="I1114" s="18">
        <f>IFERROR(__xludf.DUMMYFUNCTION("IFERROR(
 INDEX(
   FILTER(Shipping_Rate_Card!B:F, Shipping_Rate_Card!A:A=$A1114),
   MATCH($H1114, FILTER(Shipping_Rate_Card!B:B, Shipping_Rate_Card!A:A=$A1114), 1),
   IF( INDEX(Config!B:B, MATCH($A1114, Config!A:A, 0))=""Local"", 2,
     IF( INDEX(Conf"&amp;"ig!B:B, MATCH($A1114, Config!A:A, 0))=""Regional"", 3, 4 )
   )
 ),
"""")
"),75.0)</f>
        <v>75</v>
      </c>
      <c r="J1114" s="16">
        <f>IFERROR(__xludf.DUMMYFUNCTION("IFERROR(
 ( E1114 * INDEX(FILTER(Pricing_Rules!E:E, Pricing_Rules!A:A=A1114, Pricing_Rules!B:B=B1114, Pricing_Rules!C:C&lt;=E1114, Pricing_Rules!D:D&gt;=E1114), 1)
   + INDEX(FILTER(Pricing_Rules!F:F, Pricing_Rules!A:A=A1114, Pricing_Rules!B:B=B1114, Pricing_Ru"&amp;"les!C:C&lt;=E1114, Pricing_Rules!D:D&gt;=E1114), 1)
 )
 * (1 + IFERROR( INDEX(Config!D:D, MATCH(A1114, Config!A:A, 0)), 0 )),
"""")
"),15.34)</f>
        <v>15.34</v>
      </c>
      <c r="K1114" s="19">
        <f t="shared" si="3"/>
        <v>-92.34</v>
      </c>
      <c r="L1114" s="20" t="str">
        <f t="shared" si="4"/>
        <v/>
      </c>
    </row>
    <row r="1115" ht="15.75" customHeight="1">
      <c r="A1115" s="9" t="s">
        <v>1162</v>
      </c>
      <c r="B1115" s="12" t="str">
        <f t="array" ref="B1115">XLOOKUP(C1115, Channel_Listings!C:C, Channel_Listings!B:B)
</f>
        <v>Apparel_Tshirts</v>
      </c>
      <c r="C1115" s="23" t="s">
        <v>1705</v>
      </c>
      <c r="D1115" s="14" t="str">
        <f t="array" ref="D1115">XLOOKUP(C1115, Channel_Listings!C:C, Channel_Listings!D:D)
</f>
        <v>TSHIRT-BLACK-M</v>
      </c>
      <c r="E1115" s="15"/>
      <c r="F1115" s="16">
        <f t="array" ref="F1115">IFERROR(
  VALUE( INDEX(Product_Master!$I:$I,
               MATCH( INDEX(Pack_Master!$B:$B, MATCH($D1115, Pack_Master!$A:$A, 0)),
                      Product_Master!$B:$B, 0)
  )) 
  * VALUE( INDEX(Pack_Master!$C:$C, MATCH($D1115, Pack_Master!$A:$A, 0)) )
  + VALUE( INDEX(Pack_Master!$D:$D, MATCH($D1115, Pack_Master!$A:$A, 0)) ),
"")
</f>
        <v>2</v>
      </c>
      <c r="G1115" s="17">
        <f t="array" ref="G1115">IFERROR(
 ( INDEX(Pack_Master!E:E, MATCH($D1115, Pack_Master!A:A, 0))
   * INDEX(Pack_Master!F:F, MATCH($D1115, Pack_Master!A:A, 0))
   * INDEX(Pack_Master!G:G, MATCH($D1115, Pack_Master!A:A, 0))
 ) / INDEX(Config!C:C, MATCH($A1115, Config!A:A, 0)),
"")
</f>
        <v>0.375</v>
      </c>
      <c r="H1115" s="17">
        <f t="array" ref="H1115">MAX( INDEX(Pack_Master!H:H, MATCH($D1115, Pack_Master!A:A, 0)),
      IFERROR(G1115, 0) )
</f>
        <v>0.5</v>
      </c>
      <c r="I1115" s="18">
        <f>IFERROR(__xludf.DUMMYFUNCTION("IFERROR(
 INDEX(
   FILTER(Shipping_Rate_Card!B:F, Shipping_Rate_Card!A:A=$A1115),
   MATCH($H1115, FILTER(Shipping_Rate_Card!B:B, Shipping_Rate_Card!A:A=$A1115), 1),
   IF( INDEX(Config!B:B, MATCH($A1115, Config!A:A, 0))=""Local"", 2,
     IF( INDEX(Conf"&amp;"ig!B:B, MATCH($A1115, Config!A:A, 0))=""Regional"", 3, 4 )
   )
 ),
"""")
"),75.0)</f>
        <v>75</v>
      </c>
      <c r="J1115" s="16">
        <f>IFERROR(__xludf.DUMMYFUNCTION("IFERROR(
 ( E1115 * INDEX(FILTER(Pricing_Rules!E:E, Pricing_Rules!A:A=A1115, Pricing_Rules!B:B=B1115, Pricing_Rules!C:C&lt;=E1115, Pricing_Rules!D:D&gt;=E1115), 1)
   + INDEX(FILTER(Pricing_Rules!F:F, Pricing_Rules!A:A=A1115, Pricing_Rules!B:B=B1115, Pricing_Ru"&amp;"les!C:C&lt;=E1115, Pricing_Rules!D:D&gt;=E1115), 1)
 )
 * (1 + IFERROR( INDEX(Config!D:D, MATCH(A1115, Config!A:A, 0)), 0 )),
"""")
"),15.34)</f>
        <v>15.34</v>
      </c>
      <c r="K1115" s="19">
        <f t="shared" si="3"/>
        <v>-92.34</v>
      </c>
      <c r="L1115" s="20" t="str">
        <f t="shared" si="4"/>
        <v/>
      </c>
    </row>
    <row r="1116" ht="15.75" customHeight="1">
      <c r="A1116" s="9" t="s">
        <v>1162</v>
      </c>
      <c r="B1116" s="12" t="str">
        <f t="array" ref="B1116">XLOOKUP(C1116, Channel_Listings!C:C, Channel_Listings!B:B)
</f>
        <v>Apparel_Tshirts</v>
      </c>
      <c r="C1116" s="23" t="s">
        <v>1707</v>
      </c>
      <c r="D1116" s="14" t="str">
        <f t="array" ref="D1116">XLOOKUP(C1116, Channel_Listings!C:C, Channel_Listings!D:D)
</f>
        <v>TSHIRT-BLACK-XXL</v>
      </c>
      <c r="E1116" s="15"/>
      <c r="F1116" s="16">
        <f t="array" ref="F1116">IFERROR(
  VALUE( INDEX(Product_Master!$I:$I,
               MATCH( INDEX(Pack_Master!$B:$B, MATCH($D1116, Pack_Master!$A:$A, 0)),
                      Product_Master!$B:$B, 0)
  )) 
  * VALUE( INDEX(Pack_Master!$C:$C, MATCH($D1116, Pack_Master!$A:$A, 0)) )
  + VALUE( INDEX(Pack_Master!$D:$D, MATCH($D1116, Pack_Master!$A:$A, 0)) ),
"")
</f>
        <v>2</v>
      </c>
      <c r="G1116" s="17">
        <f t="array" ref="G1116">IFERROR(
 ( INDEX(Pack_Master!E:E, MATCH($D1116, Pack_Master!A:A, 0))
   * INDEX(Pack_Master!F:F, MATCH($D1116, Pack_Master!A:A, 0))
   * INDEX(Pack_Master!G:G, MATCH($D1116, Pack_Master!A:A, 0))
 ) / INDEX(Config!C:C, MATCH($A1116, Config!A:A, 0)),
"")
</f>
        <v>0.375</v>
      </c>
      <c r="H1116" s="17">
        <f t="array" ref="H1116">MAX( INDEX(Pack_Master!H:H, MATCH($D1116, Pack_Master!A:A, 0)),
      IFERROR(G1116, 0) )
</f>
        <v>0.5</v>
      </c>
      <c r="I1116" s="18">
        <f>IFERROR(__xludf.DUMMYFUNCTION("IFERROR(
 INDEX(
   FILTER(Shipping_Rate_Card!B:F, Shipping_Rate_Card!A:A=$A1116),
   MATCH($H1116, FILTER(Shipping_Rate_Card!B:B, Shipping_Rate_Card!A:A=$A1116), 1),
   IF( INDEX(Config!B:B, MATCH($A1116, Config!A:A, 0))=""Local"", 2,
     IF( INDEX(Conf"&amp;"ig!B:B, MATCH($A1116, Config!A:A, 0))=""Regional"", 3, 4 )
   )
 ),
"""")
"),75.0)</f>
        <v>75</v>
      </c>
      <c r="J1116" s="16">
        <f>IFERROR(__xludf.DUMMYFUNCTION("IFERROR(
 ( E1116 * INDEX(FILTER(Pricing_Rules!E:E, Pricing_Rules!A:A=A1116, Pricing_Rules!B:B=B1116, Pricing_Rules!C:C&lt;=E1116, Pricing_Rules!D:D&gt;=E1116), 1)
   + INDEX(FILTER(Pricing_Rules!F:F, Pricing_Rules!A:A=A1116, Pricing_Rules!B:B=B1116, Pricing_Ru"&amp;"les!C:C&lt;=E1116, Pricing_Rules!D:D&gt;=E1116), 1)
 )
 * (1 + IFERROR( INDEX(Config!D:D, MATCH(A1116, Config!A:A, 0)), 0 )),
"""")
"),15.34)</f>
        <v>15.34</v>
      </c>
      <c r="K1116" s="19">
        <f t="shared" si="3"/>
        <v>-92.34</v>
      </c>
      <c r="L1116" s="20" t="str">
        <f t="shared" si="4"/>
        <v/>
      </c>
    </row>
    <row r="1117" ht="15.75" customHeight="1">
      <c r="A1117" s="9" t="s">
        <v>1162</v>
      </c>
      <c r="B1117" s="12" t="str">
        <f t="array" ref="B1117">XLOOKUP(C1117, Channel_Listings!C:C, Channel_Listings!B:B)
</f>
        <v>Apparel_Tshirts</v>
      </c>
      <c r="C1117" s="23" t="s">
        <v>1709</v>
      </c>
      <c r="D1117" s="14" t="str">
        <f t="array" ref="D1117">XLOOKUP(C1117, Channel_Listings!C:C, Channel_Listings!D:D)
</f>
        <v>TSHIRT-WHITE-L</v>
      </c>
      <c r="E1117" s="15"/>
      <c r="F1117" s="16">
        <f t="array" ref="F1117">IFERROR(
  VALUE( INDEX(Product_Master!$I:$I,
               MATCH( INDEX(Pack_Master!$B:$B, MATCH($D1117, Pack_Master!$A:$A, 0)),
                      Product_Master!$B:$B, 0)
  )) 
  * VALUE( INDEX(Pack_Master!$C:$C, MATCH($D1117, Pack_Master!$A:$A, 0)) )
  + VALUE( INDEX(Pack_Master!$D:$D, MATCH($D1117, Pack_Master!$A:$A, 0)) ),
"")
</f>
        <v>2</v>
      </c>
      <c r="G1117" s="17">
        <f t="array" ref="G1117">IFERROR(
 ( INDEX(Pack_Master!E:E, MATCH($D1117, Pack_Master!A:A, 0))
   * INDEX(Pack_Master!F:F, MATCH($D1117, Pack_Master!A:A, 0))
   * INDEX(Pack_Master!G:G, MATCH($D1117, Pack_Master!A:A, 0))
 ) / INDEX(Config!C:C, MATCH($A1117, Config!A:A, 0)),
"")
</f>
        <v>0.375</v>
      </c>
      <c r="H1117" s="17">
        <f t="array" ref="H1117">MAX( INDEX(Pack_Master!H:H, MATCH($D1117, Pack_Master!A:A, 0)),
      IFERROR(G1117, 0) )
</f>
        <v>0.5</v>
      </c>
      <c r="I1117" s="18">
        <f>IFERROR(__xludf.DUMMYFUNCTION("IFERROR(
 INDEX(
   FILTER(Shipping_Rate_Card!B:F, Shipping_Rate_Card!A:A=$A1117),
   MATCH($H1117, FILTER(Shipping_Rate_Card!B:B, Shipping_Rate_Card!A:A=$A1117), 1),
   IF( INDEX(Config!B:B, MATCH($A1117, Config!A:A, 0))=""Local"", 2,
     IF( INDEX(Conf"&amp;"ig!B:B, MATCH($A1117, Config!A:A, 0))=""Regional"", 3, 4 )
   )
 ),
"""")
"),75.0)</f>
        <v>75</v>
      </c>
      <c r="J1117" s="16">
        <f>IFERROR(__xludf.DUMMYFUNCTION("IFERROR(
 ( E1117 * INDEX(FILTER(Pricing_Rules!E:E, Pricing_Rules!A:A=A1117, Pricing_Rules!B:B=B1117, Pricing_Rules!C:C&lt;=E1117, Pricing_Rules!D:D&gt;=E1117), 1)
   + INDEX(FILTER(Pricing_Rules!F:F, Pricing_Rules!A:A=A1117, Pricing_Rules!B:B=B1117, Pricing_Ru"&amp;"les!C:C&lt;=E1117, Pricing_Rules!D:D&gt;=E1117), 1)
 )
 * (1 + IFERROR( INDEX(Config!D:D, MATCH(A1117, Config!A:A, 0)), 0 )),
"""")
"),15.34)</f>
        <v>15.34</v>
      </c>
      <c r="K1117" s="19">
        <f t="shared" si="3"/>
        <v>-92.34</v>
      </c>
      <c r="L1117" s="20" t="str">
        <f t="shared" si="4"/>
        <v/>
      </c>
    </row>
    <row r="1118" ht="15.75" customHeight="1">
      <c r="A1118" s="9" t="s">
        <v>1162</v>
      </c>
      <c r="B1118" s="12" t="str">
        <f t="array" ref="B1118">XLOOKUP(C1118, Channel_Listings!C:C, Channel_Listings!B:B)
</f>
        <v>Apparel_Tshirts</v>
      </c>
      <c r="C1118" s="23" t="s">
        <v>1711</v>
      </c>
      <c r="D1118" s="14" t="str">
        <f t="array" ref="D1118">XLOOKUP(C1118, Channel_Listings!C:C, Channel_Listings!D:D)
</f>
        <v>TSHIRT-WHITE-M</v>
      </c>
      <c r="E1118" s="15"/>
      <c r="F1118" s="16">
        <f t="array" ref="F1118">IFERROR(
  VALUE( INDEX(Product_Master!$I:$I,
               MATCH( INDEX(Pack_Master!$B:$B, MATCH($D1118, Pack_Master!$A:$A, 0)),
                      Product_Master!$B:$B, 0)
  )) 
  * VALUE( INDEX(Pack_Master!$C:$C, MATCH($D1118, Pack_Master!$A:$A, 0)) )
  + VALUE( INDEX(Pack_Master!$D:$D, MATCH($D1118, Pack_Master!$A:$A, 0)) ),
"")
</f>
        <v>2</v>
      </c>
      <c r="G1118" s="17">
        <f t="array" ref="G1118">IFERROR(
 ( INDEX(Pack_Master!E:E, MATCH($D1118, Pack_Master!A:A, 0))
   * INDEX(Pack_Master!F:F, MATCH($D1118, Pack_Master!A:A, 0))
   * INDEX(Pack_Master!G:G, MATCH($D1118, Pack_Master!A:A, 0))
 ) / INDEX(Config!C:C, MATCH($A1118, Config!A:A, 0)),
"")
</f>
        <v>0.375</v>
      </c>
      <c r="H1118" s="17">
        <f t="array" ref="H1118">MAX( INDEX(Pack_Master!H:H, MATCH($D1118, Pack_Master!A:A, 0)),
      IFERROR(G1118, 0) )
</f>
        <v>0.5</v>
      </c>
      <c r="I1118" s="18">
        <f>IFERROR(__xludf.DUMMYFUNCTION("IFERROR(
 INDEX(
   FILTER(Shipping_Rate_Card!B:F, Shipping_Rate_Card!A:A=$A1118),
   MATCH($H1118, FILTER(Shipping_Rate_Card!B:B, Shipping_Rate_Card!A:A=$A1118), 1),
   IF( INDEX(Config!B:B, MATCH($A1118, Config!A:A, 0))=""Local"", 2,
     IF( INDEX(Conf"&amp;"ig!B:B, MATCH($A1118, Config!A:A, 0))=""Regional"", 3, 4 )
   )
 ),
"""")
"),75.0)</f>
        <v>75</v>
      </c>
      <c r="J1118" s="16">
        <f>IFERROR(__xludf.DUMMYFUNCTION("IFERROR(
 ( E1118 * INDEX(FILTER(Pricing_Rules!E:E, Pricing_Rules!A:A=A1118, Pricing_Rules!B:B=B1118, Pricing_Rules!C:C&lt;=E1118, Pricing_Rules!D:D&gt;=E1118), 1)
   + INDEX(FILTER(Pricing_Rules!F:F, Pricing_Rules!A:A=A1118, Pricing_Rules!B:B=B1118, Pricing_Ru"&amp;"les!C:C&lt;=E1118, Pricing_Rules!D:D&gt;=E1118), 1)
 )
 * (1 + IFERROR( INDEX(Config!D:D, MATCH(A1118, Config!A:A, 0)), 0 )),
"""")
"),15.34)</f>
        <v>15.34</v>
      </c>
      <c r="K1118" s="19">
        <f t="shared" si="3"/>
        <v>-92.34</v>
      </c>
      <c r="L1118" s="20" t="str">
        <f t="shared" si="4"/>
        <v/>
      </c>
    </row>
    <row r="1119" ht="15.75" customHeight="1">
      <c r="A1119" s="9" t="s">
        <v>1162</v>
      </c>
      <c r="B1119" s="12" t="str">
        <f t="array" ref="B1119">XLOOKUP(C1119, Channel_Listings!C:C, Channel_Listings!B:B)
</f>
        <v>Apparel_Tshirts</v>
      </c>
      <c r="C1119" s="23" t="s">
        <v>1713</v>
      </c>
      <c r="D1119" s="14" t="str">
        <f t="array" ref="D1119">XLOOKUP(C1119, Channel_Listings!C:C, Channel_Listings!D:D)
</f>
        <v>TSHIRT-WHITE-XL</v>
      </c>
      <c r="E1119" s="15"/>
      <c r="F1119" s="16">
        <f t="array" ref="F1119">IFERROR(
  VALUE( INDEX(Product_Master!$I:$I,
               MATCH( INDEX(Pack_Master!$B:$B, MATCH($D1119, Pack_Master!$A:$A, 0)),
                      Product_Master!$B:$B, 0)
  )) 
  * VALUE( INDEX(Pack_Master!$C:$C, MATCH($D1119, Pack_Master!$A:$A, 0)) )
  + VALUE( INDEX(Pack_Master!$D:$D, MATCH($D1119, Pack_Master!$A:$A, 0)) ),
"")
</f>
        <v>2</v>
      </c>
      <c r="G1119" s="17">
        <f t="array" ref="G1119">IFERROR(
 ( INDEX(Pack_Master!E:E, MATCH($D1119, Pack_Master!A:A, 0))
   * INDEX(Pack_Master!F:F, MATCH($D1119, Pack_Master!A:A, 0))
   * INDEX(Pack_Master!G:G, MATCH($D1119, Pack_Master!A:A, 0))
 ) / INDEX(Config!C:C, MATCH($A1119, Config!A:A, 0)),
"")
</f>
        <v>0.375</v>
      </c>
      <c r="H1119" s="17">
        <f t="array" ref="H1119">MAX( INDEX(Pack_Master!H:H, MATCH($D1119, Pack_Master!A:A, 0)),
      IFERROR(G1119, 0) )
</f>
        <v>0.5</v>
      </c>
      <c r="I1119" s="18">
        <f>IFERROR(__xludf.DUMMYFUNCTION("IFERROR(
 INDEX(
   FILTER(Shipping_Rate_Card!B:F, Shipping_Rate_Card!A:A=$A1119),
   MATCH($H1119, FILTER(Shipping_Rate_Card!B:B, Shipping_Rate_Card!A:A=$A1119), 1),
   IF( INDEX(Config!B:B, MATCH($A1119, Config!A:A, 0))=""Local"", 2,
     IF( INDEX(Conf"&amp;"ig!B:B, MATCH($A1119, Config!A:A, 0))=""Regional"", 3, 4 )
   )
 ),
"""")
"),75.0)</f>
        <v>75</v>
      </c>
      <c r="J1119" s="16">
        <f>IFERROR(__xludf.DUMMYFUNCTION("IFERROR(
 ( E1119 * INDEX(FILTER(Pricing_Rules!E:E, Pricing_Rules!A:A=A1119, Pricing_Rules!B:B=B1119, Pricing_Rules!C:C&lt;=E1119, Pricing_Rules!D:D&gt;=E1119), 1)
   + INDEX(FILTER(Pricing_Rules!F:F, Pricing_Rules!A:A=A1119, Pricing_Rules!B:B=B1119, Pricing_Ru"&amp;"les!C:C&lt;=E1119, Pricing_Rules!D:D&gt;=E1119), 1)
 )
 * (1 + IFERROR( INDEX(Config!D:D, MATCH(A1119, Config!A:A, 0)), 0 )),
"""")
"),15.34)</f>
        <v>15.34</v>
      </c>
      <c r="K1119" s="19">
        <f t="shared" si="3"/>
        <v>-92.34</v>
      </c>
      <c r="L1119" s="20" t="str">
        <f t="shared" si="4"/>
        <v/>
      </c>
    </row>
    <row r="1120" ht="15.75" customHeight="1">
      <c r="A1120" s="9" t="s">
        <v>1162</v>
      </c>
      <c r="B1120" s="12" t="str">
        <f t="array" ref="B1120">XLOOKUP(C1120, Channel_Listings!C:C, Channel_Listings!B:B)
</f>
        <v>Apparel_Tshirts</v>
      </c>
      <c r="C1120" s="23" t="s">
        <v>1715</v>
      </c>
      <c r="D1120" s="14" t="str">
        <f t="array" ref="D1120">XLOOKUP(C1120, Channel_Listings!C:C, Channel_Listings!D:D)
</f>
        <v>TSHIRT-WHITE-XXL</v>
      </c>
      <c r="E1120" s="15"/>
      <c r="F1120" s="16">
        <f t="array" ref="F1120">IFERROR(
  VALUE( INDEX(Product_Master!$I:$I,
               MATCH( INDEX(Pack_Master!$B:$B, MATCH($D1120, Pack_Master!$A:$A, 0)),
                      Product_Master!$B:$B, 0)
  )) 
  * VALUE( INDEX(Pack_Master!$C:$C, MATCH($D1120, Pack_Master!$A:$A, 0)) )
  + VALUE( INDEX(Pack_Master!$D:$D, MATCH($D1120, Pack_Master!$A:$A, 0)) ),
"")
</f>
        <v>2</v>
      </c>
      <c r="G1120" s="17">
        <f t="array" ref="G1120">IFERROR(
 ( INDEX(Pack_Master!E:E, MATCH($D1120, Pack_Master!A:A, 0))
   * INDEX(Pack_Master!F:F, MATCH($D1120, Pack_Master!A:A, 0))
   * INDEX(Pack_Master!G:G, MATCH($D1120, Pack_Master!A:A, 0))
 ) / INDEX(Config!C:C, MATCH($A1120, Config!A:A, 0)),
"")
</f>
        <v>0.375</v>
      </c>
      <c r="H1120" s="17">
        <f t="array" ref="H1120">MAX( INDEX(Pack_Master!H:H, MATCH($D1120, Pack_Master!A:A, 0)),
      IFERROR(G1120, 0) )
</f>
        <v>0.5</v>
      </c>
      <c r="I1120" s="18">
        <f>IFERROR(__xludf.DUMMYFUNCTION("IFERROR(
 INDEX(
   FILTER(Shipping_Rate_Card!B:F, Shipping_Rate_Card!A:A=$A1120),
   MATCH($H1120, FILTER(Shipping_Rate_Card!B:B, Shipping_Rate_Card!A:A=$A1120), 1),
   IF( INDEX(Config!B:B, MATCH($A1120, Config!A:A, 0))=""Local"", 2,
     IF( INDEX(Conf"&amp;"ig!B:B, MATCH($A1120, Config!A:A, 0))=""Regional"", 3, 4 )
   )
 ),
"""")
"),75.0)</f>
        <v>75</v>
      </c>
      <c r="J1120" s="16">
        <f>IFERROR(__xludf.DUMMYFUNCTION("IFERROR(
 ( E1120 * INDEX(FILTER(Pricing_Rules!E:E, Pricing_Rules!A:A=A1120, Pricing_Rules!B:B=B1120, Pricing_Rules!C:C&lt;=E1120, Pricing_Rules!D:D&gt;=E1120), 1)
   + INDEX(FILTER(Pricing_Rules!F:F, Pricing_Rules!A:A=A1120, Pricing_Rules!B:B=B1120, Pricing_Ru"&amp;"les!C:C&lt;=E1120, Pricing_Rules!D:D&gt;=E1120), 1)
 )
 * (1 + IFERROR( INDEX(Config!D:D, MATCH(A1120, Config!A:A, 0)), 0 )),
"""")
"),15.34)</f>
        <v>15.34</v>
      </c>
      <c r="K1120" s="19">
        <f t="shared" si="3"/>
        <v>-92.34</v>
      </c>
      <c r="L1120" s="20" t="str">
        <f t="shared" si="4"/>
        <v/>
      </c>
    </row>
    <row r="1121" ht="15.75" customHeight="1">
      <c r="A1121" s="9" t="s">
        <v>1717</v>
      </c>
      <c r="B1121" s="12" t="str">
        <f t="array" ref="B1121">XLOOKUP(C1121, Channel_Listings!C:C, Channel_Listings!B:B)
</f>
        <v>Apparel_Caps_Beanies</v>
      </c>
      <c r="C1121" s="25" t="s">
        <v>359</v>
      </c>
      <c r="D1121" s="14" t="str">
        <f t="array" ref="D1121">XLOOKUP(C1121, Channel_Listings!C:C, Channel_Listings!D:D)
</f>
        <v>CAP-BASEBALL-NY-BLACKBLACK</v>
      </c>
      <c r="E1121" s="15"/>
      <c r="F1121" s="16">
        <f t="array" ref="F1121">IFERROR(
  VALUE( INDEX(Product_Master!$I:$I,
               MATCH( INDEX(Pack_Master!$B:$B, MATCH($D1121, Pack_Master!$A:$A, 0)),
                      Product_Master!$B:$B, 0)
  )) 
  * VALUE( INDEX(Pack_Master!$C:$C, MATCH($D1121, Pack_Master!$A:$A, 0)) )
  + VALUE( INDEX(Pack_Master!$D:$D, MATCH($D1121, Pack_Master!$A:$A, 0)) ),
"")
</f>
        <v>2</v>
      </c>
      <c r="G1121" s="17">
        <f t="array" ref="G1121">IFERROR(
 ( INDEX(Pack_Master!E:E, MATCH($D1121, Pack_Master!A:A, 0))
   * INDEX(Pack_Master!F:F, MATCH($D1121, Pack_Master!A:A, 0))
   * INDEX(Pack_Master!G:G, MATCH($D1121, Pack_Master!A:A, 0))
 ) / INDEX(Config!C:C, MATCH($A1121, Config!A:A, 0)),
"")
</f>
        <v>0.375</v>
      </c>
      <c r="H1121" s="17">
        <f t="array" ref="H1121">MAX( INDEX(Pack_Master!H:H, MATCH($D1121, Pack_Master!A:A, 0)),
      IFERROR(G1121, 0) )
</f>
        <v>0.5</v>
      </c>
      <c r="I1121" s="18">
        <f>IFERROR(__xludf.DUMMYFUNCTION("IFERROR(
 INDEX(
   FILTER(Shipping_Rate_Card!B:F, Shipping_Rate_Card!A:A=$A1121),
   MATCH($H1121, FILTER(Shipping_Rate_Card!B:B, Shipping_Rate_Card!A:A=$A1121), 1),
   IF( INDEX(Config!B:B, MATCH($A1121, Config!A:A, 0))=""Local"", 2,
     IF( INDEX(Conf"&amp;"ig!B:B, MATCH($A1121, Config!A:A, 0))=""Regional"", 3, 4 )
   )
 ),
"""")
"),80.0)</f>
        <v>80</v>
      </c>
      <c r="J1121" s="16">
        <f>IFERROR(__xludf.DUMMYFUNCTION("IFERROR(
 ( E1121 * INDEX(FILTER(Pricing_Rules!E:E, Pricing_Rules!A:A=A1121, Pricing_Rules!B:B=B1121, Pricing_Rules!C:C&lt;=E1121, Pricing_Rules!D:D&gt;=E1121), 1)
   + INDEX(FILTER(Pricing_Rules!F:F, Pricing_Rules!A:A=A1121, Pricing_Rules!B:B=B1121, Pricing_Ru"&amp;"les!C:C&lt;=E1121, Pricing_Rules!D:D&gt;=E1121), 1)
 )
 * (1 + IFERROR( INDEX(Config!D:D, MATCH(A1121, Config!A:A, 0)), 0 )),
"""")
"),0.0)</f>
        <v>0</v>
      </c>
      <c r="K1121" s="19">
        <f t="shared" si="3"/>
        <v>-82</v>
      </c>
      <c r="L1121" s="20" t="str">
        <f t="shared" si="4"/>
        <v/>
      </c>
    </row>
    <row r="1122" ht="15.75" customHeight="1">
      <c r="A1122" s="9" t="s">
        <v>1717</v>
      </c>
      <c r="B1122" s="12" t="str">
        <f t="array" ref="B1122">XLOOKUP(C1122, Channel_Listings!C:C, Channel_Listings!B:B)
</f>
        <v>Apparel_Caps_Beanies</v>
      </c>
      <c r="C1122" s="25" t="s">
        <v>361</v>
      </c>
      <c r="D1122" s="14" t="str">
        <f t="array" ref="D1122">XLOOKUP(C1122, Channel_Listings!C:C, Channel_Listings!D:D)
</f>
        <v>CAP-BASEBALL-NY-BLACKWHITE</v>
      </c>
      <c r="E1122" s="15"/>
      <c r="F1122" s="16">
        <f t="array" ref="F1122">IFERROR(
  VALUE( INDEX(Product_Master!$I:$I,
               MATCH( INDEX(Pack_Master!$B:$B, MATCH($D1122, Pack_Master!$A:$A, 0)),
                      Product_Master!$B:$B, 0)
  )) 
  * VALUE( INDEX(Pack_Master!$C:$C, MATCH($D1122, Pack_Master!$A:$A, 0)) )
  + VALUE( INDEX(Pack_Master!$D:$D, MATCH($D1122, Pack_Master!$A:$A, 0)) ),
"")
</f>
        <v>2</v>
      </c>
      <c r="G1122" s="17">
        <f t="array" ref="G1122">IFERROR(
 ( INDEX(Pack_Master!E:E, MATCH($D1122, Pack_Master!A:A, 0))
   * INDEX(Pack_Master!F:F, MATCH($D1122, Pack_Master!A:A, 0))
   * INDEX(Pack_Master!G:G, MATCH($D1122, Pack_Master!A:A, 0))
 ) / INDEX(Config!C:C, MATCH($A1122, Config!A:A, 0)),
"")
</f>
        <v>0.375</v>
      </c>
      <c r="H1122" s="17">
        <f t="array" ref="H1122">MAX( INDEX(Pack_Master!H:H, MATCH($D1122, Pack_Master!A:A, 0)),
      IFERROR(G1122, 0) )
</f>
        <v>0.5</v>
      </c>
      <c r="I1122" s="18">
        <f>IFERROR(__xludf.DUMMYFUNCTION("IFERROR(
 INDEX(
   FILTER(Shipping_Rate_Card!B:F, Shipping_Rate_Card!A:A=$A1122),
   MATCH($H1122, FILTER(Shipping_Rate_Card!B:B, Shipping_Rate_Card!A:A=$A1122), 1),
   IF( INDEX(Config!B:B, MATCH($A1122, Config!A:A, 0))=""Local"", 2,
     IF( INDEX(Conf"&amp;"ig!B:B, MATCH($A1122, Config!A:A, 0))=""Regional"", 3, 4 )
   )
 ),
"""")
"),80.0)</f>
        <v>80</v>
      </c>
      <c r="J1122" s="16">
        <f>IFERROR(__xludf.DUMMYFUNCTION("IFERROR(
 ( E1122 * INDEX(FILTER(Pricing_Rules!E:E, Pricing_Rules!A:A=A1122, Pricing_Rules!B:B=B1122, Pricing_Rules!C:C&lt;=E1122, Pricing_Rules!D:D&gt;=E1122), 1)
   + INDEX(FILTER(Pricing_Rules!F:F, Pricing_Rules!A:A=A1122, Pricing_Rules!B:B=B1122, Pricing_Ru"&amp;"les!C:C&lt;=E1122, Pricing_Rules!D:D&gt;=E1122), 1)
 )
 * (1 + IFERROR( INDEX(Config!D:D, MATCH(A1122, Config!A:A, 0)), 0 )),
"""")
"),0.0)</f>
        <v>0</v>
      </c>
      <c r="K1122" s="19">
        <f t="shared" si="3"/>
        <v>-82</v>
      </c>
      <c r="L1122" s="20" t="str">
        <f t="shared" si="4"/>
        <v/>
      </c>
    </row>
    <row r="1123" ht="15.75" customHeight="1">
      <c r="A1123" s="9" t="s">
        <v>1717</v>
      </c>
      <c r="B1123" s="12" t="str">
        <f t="array" ref="B1123">XLOOKUP(C1123, Channel_Listings!C:C, Channel_Listings!B:B)
</f>
        <v>Apparel_Caps_Beanies</v>
      </c>
      <c r="C1123" s="25" t="s">
        <v>363</v>
      </c>
      <c r="D1123" s="14" t="str">
        <f t="array" ref="D1123">XLOOKUP(C1123, Channel_Listings!C:C, Channel_Listings!D:D)
</f>
        <v>CAP-BASEBALL-NY-CHARCOALWHITE</v>
      </c>
      <c r="E1123" s="15"/>
      <c r="F1123" s="16">
        <f t="array" ref="F1123">IFERROR(
  VALUE( INDEX(Product_Master!$I:$I,
               MATCH( INDEX(Pack_Master!$B:$B, MATCH($D1123, Pack_Master!$A:$A, 0)),
                      Product_Master!$B:$B, 0)
  )) 
  * VALUE( INDEX(Pack_Master!$C:$C, MATCH($D1123, Pack_Master!$A:$A, 0)) )
  + VALUE( INDEX(Pack_Master!$D:$D, MATCH($D1123, Pack_Master!$A:$A, 0)) ),
"")
</f>
        <v>106</v>
      </c>
      <c r="G1123" s="17">
        <f t="array" ref="G1123">IFERROR(
 ( INDEX(Pack_Master!E:E, MATCH($D1123, Pack_Master!A:A, 0))
   * INDEX(Pack_Master!F:F, MATCH($D1123, Pack_Master!A:A, 0))
   * INDEX(Pack_Master!G:G, MATCH($D1123, Pack_Master!A:A, 0))
 ) / INDEX(Config!C:C, MATCH($A1123, Config!A:A, 0)),
"")
</f>
        <v>0.375</v>
      </c>
      <c r="H1123" s="17">
        <f t="array" ref="H1123">MAX( INDEX(Pack_Master!H:H, MATCH($D1123, Pack_Master!A:A, 0)),
      IFERROR(G1123, 0) )
</f>
        <v>0.5</v>
      </c>
      <c r="I1123" s="18">
        <f>IFERROR(__xludf.DUMMYFUNCTION("IFERROR(
 INDEX(
   FILTER(Shipping_Rate_Card!B:F, Shipping_Rate_Card!A:A=$A1123),
   MATCH($H1123, FILTER(Shipping_Rate_Card!B:B, Shipping_Rate_Card!A:A=$A1123), 1),
   IF( INDEX(Config!B:B, MATCH($A1123, Config!A:A, 0))=""Local"", 2,
     IF( INDEX(Conf"&amp;"ig!B:B, MATCH($A1123, Config!A:A, 0))=""Regional"", 3, 4 )
   )
 ),
"""")
"),80.0)</f>
        <v>80</v>
      </c>
      <c r="J1123" s="16">
        <f>IFERROR(__xludf.DUMMYFUNCTION("IFERROR(
 ( E1123 * INDEX(FILTER(Pricing_Rules!E:E, Pricing_Rules!A:A=A1123, Pricing_Rules!B:B=B1123, Pricing_Rules!C:C&lt;=E1123, Pricing_Rules!D:D&gt;=E1123), 1)
   + INDEX(FILTER(Pricing_Rules!F:F, Pricing_Rules!A:A=A1123, Pricing_Rules!B:B=B1123, Pricing_Ru"&amp;"les!C:C&lt;=E1123, Pricing_Rules!D:D&gt;=E1123), 1)
 )
 * (1 + IFERROR( INDEX(Config!D:D, MATCH(A1123, Config!A:A, 0)), 0 )),
"""")
"),0.0)</f>
        <v>0</v>
      </c>
      <c r="K1123" s="19">
        <f t="shared" si="3"/>
        <v>-186</v>
      </c>
      <c r="L1123" s="20" t="str">
        <f t="shared" si="4"/>
        <v/>
      </c>
    </row>
    <row r="1124" ht="15.75" customHeight="1">
      <c r="A1124" s="9" t="s">
        <v>1717</v>
      </c>
      <c r="B1124" s="12" t="str">
        <f t="array" ref="B1124">XLOOKUP(C1124, Channel_Listings!C:C, Channel_Listings!B:B)
</f>
        <v>Apparel_Caps_Beanies</v>
      </c>
      <c r="C1124" s="25" t="s">
        <v>367</v>
      </c>
      <c r="D1124" s="14" t="str">
        <f t="array" ref="D1124">XLOOKUP(C1124, Channel_Listings!C:C, Channel_Listings!D:D)
</f>
        <v>CAP-BASEBALL-NY-NAVYWHITE</v>
      </c>
      <c r="E1124" s="15"/>
      <c r="F1124" s="16">
        <f t="array" ref="F1124">IFERROR(
  VALUE( INDEX(Product_Master!$I:$I,
               MATCH( INDEX(Pack_Master!$B:$B, MATCH($D1124, Pack_Master!$A:$A, 0)),
                      Product_Master!$B:$B, 0)
  )) 
  * VALUE( INDEX(Pack_Master!$C:$C, MATCH($D1124, Pack_Master!$A:$A, 0)) )
  + VALUE( INDEX(Pack_Master!$D:$D, MATCH($D1124, Pack_Master!$A:$A, 0)) ),
"")
</f>
        <v>2</v>
      </c>
      <c r="G1124" s="17">
        <f t="array" ref="G1124">IFERROR(
 ( INDEX(Pack_Master!E:E, MATCH($D1124, Pack_Master!A:A, 0))
   * INDEX(Pack_Master!F:F, MATCH($D1124, Pack_Master!A:A, 0))
   * INDEX(Pack_Master!G:G, MATCH($D1124, Pack_Master!A:A, 0))
 ) / INDEX(Config!C:C, MATCH($A1124, Config!A:A, 0)),
"")
</f>
        <v>0.375</v>
      </c>
      <c r="H1124" s="17">
        <f t="array" ref="H1124">MAX( INDEX(Pack_Master!H:H, MATCH($D1124, Pack_Master!A:A, 0)),
      IFERROR(G1124, 0) )
</f>
        <v>0.5</v>
      </c>
      <c r="I1124" s="18">
        <f>IFERROR(__xludf.DUMMYFUNCTION("IFERROR(
 INDEX(
   FILTER(Shipping_Rate_Card!B:F, Shipping_Rate_Card!A:A=$A1124),
   MATCH($H1124, FILTER(Shipping_Rate_Card!B:B, Shipping_Rate_Card!A:A=$A1124), 1),
   IF( INDEX(Config!B:B, MATCH($A1124, Config!A:A, 0))=""Local"", 2,
     IF( INDEX(Conf"&amp;"ig!B:B, MATCH($A1124, Config!A:A, 0))=""Regional"", 3, 4 )
   )
 ),
"""")
"),80.0)</f>
        <v>80</v>
      </c>
      <c r="J1124" s="16">
        <f>IFERROR(__xludf.DUMMYFUNCTION("IFERROR(
 ( E1124 * INDEX(FILTER(Pricing_Rules!E:E, Pricing_Rules!A:A=A1124, Pricing_Rules!B:B=B1124, Pricing_Rules!C:C&lt;=E1124, Pricing_Rules!D:D&gt;=E1124), 1)
   + INDEX(FILTER(Pricing_Rules!F:F, Pricing_Rules!A:A=A1124, Pricing_Rules!B:B=B1124, Pricing_Ru"&amp;"les!C:C&lt;=E1124, Pricing_Rules!D:D&gt;=E1124), 1)
 )
 * (1 + IFERROR( INDEX(Config!D:D, MATCH(A1124, Config!A:A, 0)), 0 )),
"""")
"),0.0)</f>
        <v>0</v>
      </c>
      <c r="K1124" s="19">
        <f t="shared" si="3"/>
        <v>-82</v>
      </c>
      <c r="L1124" s="20" t="str">
        <f t="shared" si="4"/>
        <v/>
      </c>
    </row>
    <row r="1125" ht="15.75" customHeight="1">
      <c r="A1125" s="9" t="s">
        <v>1717</v>
      </c>
      <c r="B1125" s="12" t="str">
        <f t="array" ref="B1125">XLOOKUP(C1125, Channel_Listings!C:C, Channel_Listings!B:B)
</f>
        <v>Apparel_Caps_Beanies</v>
      </c>
      <c r="C1125" s="25" t="s">
        <v>372</v>
      </c>
      <c r="D1125" s="14" t="str">
        <f t="array" ref="D1125">XLOOKUP(C1125, Channel_Listings!C:C, Channel_Listings!D:D)
</f>
        <v>CAP-BASEBALL-NY-WHITEBLACK</v>
      </c>
      <c r="E1125" s="15"/>
      <c r="F1125" s="16">
        <f t="array" ref="F1125">IFERROR(
  VALUE( INDEX(Product_Master!$I:$I,
               MATCH( INDEX(Pack_Master!$B:$B, MATCH($D1125, Pack_Master!$A:$A, 0)),
                      Product_Master!$B:$B, 0)
  )) 
  * VALUE( INDEX(Pack_Master!$C:$C, MATCH($D1125, Pack_Master!$A:$A, 0)) )
  + VALUE( INDEX(Pack_Master!$D:$D, MATCH($D1125, Pack_Master!$A:$A, 0)) ),
"")
</f>
        <v>2</v>
      </c>
      <c r="G1125" s="17">
        <f t="array" ref="G1125">IFERROR(
 ( INDEX(Pack_Master!E:E, MATCH($D1125, Pack_Master!A:A, 0))
   * INDEX(Pack_Master!F:F, MATCH($D1125, Pack_Master!A:A, 0))
   * INDEX(Pack_Master!G:G, MATCH($D1125, Pack_Master!A:A, 0))
 ) / INDEX(Config!C:C, MATCH($A1125, Config!A:A, 0)),
"")
</f>
        <v>0.375</v>
      </c>
      <c r="H1125" s="17">
        <f t="array" ref="H1125">MAX( INDEX(Pack_Master!H:H, MATCH($D1125, Pack_Master!A:A, 0)),
      IFERROR(G1125, 0) )
</f>
        <v>0.5</v>
      </c>
      <c r="I1125" s="18">
        <f>IFERROR(__xludf.DUMMYFUNCTION("IFERROR(
 INDEX(
   FILTER(Shipping_Rate_Card!B:F, Shipping_Rate_Card!A:A=$A1125),
   MATCH($H1125, FILTER(Shipping_Rate_Card!B:B, Shipping_Rate_Card!A:A=$A1125), 1),
   IF( INDEX(Config!B:B, MATCH($A1125, Config!A:A, 0))=""Local"", 2,
     IF( INDEX(Conf"&amp;"ig!B:B, MATCH($A1125, Config!A:A, 0))=""Regional"", 3, 4 )
   )
 ),
"""")
"),80.0)</f>
        <v>80</v>
      </c>
      <c r="J1125" s="16">
        <f>IFERROR(__xludf.DUMMYFUNCTION("IFERROR(
 ( E1125 * INDEX(FILTER(Pricing_Rules!E:E, Pricing_Rules!A:A=A1125, Pricing_Rules!B:B=B1125, Pricing_Rules!C:C&lt;=E1125, Pricing_Rules!D:D&gt;=E1125), 1)
   + INDEX(FILTER(Pricing_Rules!F:F, Pricing_Rules!A:A=A1125, Pricing_Rules!B:B=B1125, Pricing_Ru"&amp;"les!C:C&lt;=E1125, Pricing_Rules!D:D&gt;=E1125), 1)
 )
 * (1 + IFERROR( INDEX(Config!D:D, MATCH(A1125, Config!A:A, 0)), 0 )),
"""")
"),0.0)</f>
        <v>0</v>
      </c>
      <c r="K1125" s="19">
        <f t="shared" si="3"/>
        <v>-82</v>
      </c>
      <c r="L1125" s="20" t="str">
        <f t="shared" si="4"/>
        <v/>
      </c>
    </row>
    <row r="1126" ht="15.75" customHeight="1">
      <c r="A1126" s="9" t="s">
        <v>1717</v>
      </c>
      <c r="B1126" s="12" t="str">
        <f t="array" ref="B1126">XLOOKUP(C1126, Channel_Listings!C:C, Channel_Listings!B:B)
</f>
        <v>Apparel_Caps_Beanies</v>
      </c>
      <c r="C1126" s="25" t="s">
        <v>377</v>
      </c>
      <c r="D1126" s="14" t="str">
        <f t="array" ref="D1126">XLOOKUP(C1126, Channel_Listings!C:C, Channel_Listings!D:D)
</f>
        <v>CAP-BASEBALL-PLAIN-BEIGE</v>
      </c>
      <c r="E1126" s="15"/>
      <c r="F1126" s="16">
        <f t="array" ref="F1126">IFERROR(
  VALUE( INDEX(Product_Master!$I:$I,
               MATCH( INDEX(Pack_Master!$B:$B, MATCH($D1126, Pack_Master!$A:$A, 0)),
                      Product_Master!$B:$B, 0)
  )) 
  * VALUE( INDEX(Pack_Master!$C:$C, MATCH($D1126, Pack_Master!$A:$A, 0)) )
  + VALUE( INDEX(Pack_Master!$D:$D, MATCH($D1126, Pack_Master!$A:$A, 0)) ),
"")
</f>
        <v>89</v>
      </c>
      <c r="G1126" s="17">
        <f t="array" ref="G1126">IFERROR(
 ( INDEX(Pack_Master!E:E, MATCH($D1126, Pack_Master!A:A, 0))
   * INDEX(Pack_Master!F:F, MATCH($D1126, Pack_Master!A:A, 0))
   * INDEX(Pack_Master!G:G, MATCH($D1126, Pack_Master!A:A, 0))
 ) / INDEX(Config!C:C, MATCH($A1126, Config!A:A, 0)),
"")
</f>
        <v>0.375</v>
      </c>
      <c r="H1126" s="17">
        <f t="array" ref="H1126">MAX( INDEX(Pack_Master!H:H, MATCH($D1126, Pack_Master!A:A, 0)),
      IFERROR(G1126, 0) )
</f>
        <v>0.5</v>
      </c>
      <c r="I1126" s="18">
        <f>IFERROR(__xludf.DUMMYFUNCTION("IFERROR(
 INDEX(
   FILTER(Shipping_Rate_Card!B:F, Shipping_Rate_Card!A:A=$A1126),
   MATCH($H1126, FILTER(Shipping_Rate_Card!B:B, Shipping_Rate_Card!A:A=$A1126), 1),
   IF( INDEX(Config!B:B, MATCH($A1126, Config!A:A, 0))=""Local"", 2,
     IF( INDEX(Conf"&amp;"ig!B:B, MATCH($A1126, Config!A:A, 0))=""Regional"", 3, 4 )
   )
 ),
"""")
"),80.0)</f>
        <v>80</v>
      </c>
      <c r="J1126" s="16">
        <f>IFERROR(__xludf.DUMMYFUNCTION("IFERROR(
 ( E1126 * INDEX(FILTER(Pricing_Rules!E:E, Pricing_Rules!A:A=A1126, Pricing_Rules!B:B=B1126, Pricing_Rules!C:C&lt;=E1126, Pricing_Rules!D:D&gt;=E1126), 1)
   + INDEX(FILTER(Pricing_Rules!F:F, Pricing_Rules!A:A=A1126, Pricing_Rules!B:B=B1126, Pricing_Ru"&amp;"les!C:C&lt;=E1126, Pricing_Rules!D:D&gt;=E1126), 1)
 )
 * (1 + IFERROR( INDEX(Config!D:D, MATCH(A1126, Config!A:A, 0)), 0 )),
"""")
"),0.0)</f>
        <v>0</v>
      </c>
      <c r="K1126" s="19">
        <f t="shared" si="3"/>
        <v>-169</v>
      </c>
      <c r="L1126" s="20" t="str">
        <f t="shared" si="4"/>
        <v/>
      </c>
    </row>
    <row r="1127" ht="15.75" customHeight="1">
      <c r="A1127" s="9" t="s">
        <v>1717</v>
      </c>
      <c r="B1127" s="12" t="str">
        <f t="array" ref="B1127">XLOOKUP(C1127, Channel_Listings!C:C, Channel_Listings!B:B)
</f>
        <v>Apparel_Caps_Beanies</v>
      </c>
      <c r="C1127" s="25" t="s">
        <v>460</v>
      </c>
      <c r="D1127" s="14" t="str">
        <f t="array" ref="D1127">XLOOKUP(C1127, Channel_Listings!C:C, Channel_Listings!D:D)
</f>
        <v>CAP-BASEBALL-PLAIN-BLACK</v>
      </c>
      <c r="E1127" s="15"/>
      <c r="F1127" s="16">
        <f t="array" ref="F1127">IFERROR(
  VALUE( INDEX(Product_Master!$I:$I,
               MATCH( INDEX(Pack_Master!$B:$B, MATCH($D1127, Pack_Master!$A:$A, 0)),
                      Product_Master!$B:$B, 0)
  )) 
  * VALUE( INDEX(Pack_Master!$C:$C, MATCH($D1127, Pack_Master!$A:$A, 0)) )
  + VALUE( INDEX(Pack_Master!$D:$D, MATCH($D1127, Pack_Master!$A:$A, 0)) ),
"")
</f>
        <v>89</v>
      </c>
      <c r="G1127" s="17">
        <f t="array" ref="G1127">IFERROR(
 ( INDEX(Pack_Master!E:E, MATCH($D1127, Pack_Master!A:A, 0))
   * INDEX(Pack_Master!F:F, MATCH($D1127, Pack_Master!A:A, 0))
   * INDEX(Pack_Master!G:G, MATCH($D1127, Pack_Master!A:A, 0))
 ) / INDEX(Config!C:C, MATCH($A1127, Config!A:A, 0)),
"")
</f>
        <v>0.375</v>
      </c>
      <c r="H1127" s="17">
        <f t="array" ref="H1127">MAX( INDEX(Pack_Master!H:H, MATCH($D1127, Pack_Master!A:A, 0)),
      IFERROR(G1127, 0) )
</f>
        <v>0.5</v>
      </c>
      <c r="I1127" s="18">
        <f>IFERROR(__xludf.DUMMYFUNCTION("IFERROR(
 INDEX(
   FILTER(Shipping_Rate_Card!B:F, Shipping_Rate_Card!A:A=$A1127),
   MATCH($H1127, FILTER(Shipping_Rate_Card!B:B, Shipping_Rate_Card!A:A=$A1127), 1),
   IF( INDEX(Config!B:B, MATCH($A1127, Config!A:A, 0))=""Local"", 2,
     IF( INDEX(Conf"&amp;"ig!B:B, MATCH($A1127, Config!A:A, 0))=""Regional"", 3, 4 )
   )
 ),
"""")
"),80.0)</f>
        <v>80</v>
      </c>
      <c r="J1127" s="16">
        <f>IFERROR(__xludf.DUMMYFUNCTION("IFERROR(
 ( E1127 * INDEX(FILTER(Pricing_Rules!E:E, Pricing_Rules!A:A=A1127, Pricing_Rules!B:B=B1127, Pricing_Rules!C:C&lt;=E1127, Pricing_Rules!D:D&gt;=E1127), 1)
   + INDEX(FILTER(Pricing_Rules!F:F, Pricing_Rules!A:A=A1127, Pricing_Rules!B:B=B1127, Pricing_Ru"&amp;"les!C:C&lt;=E1127, Pricing_Rules!D:D&gt;=E1127), 1)
 )
 * (1 + IFERROR( INDEX(Config!D:D, MATCH(A1127, Config!A:A, 0)), 0 )),
"""")
"),0.0)</f>
        <v>0</v>
      </c>
      <c r="K1127" s="19">
        <f t="shared" si="3"/>
        <v>-169</v>
      </c>
      <c r="L1127" s="20" t="str">
        <f t="shared" si="4"/>
        <v/>
      </c>
    </row>
    <row r="1128" ht="15.75" customHeight="1">
      <c r="A1128" s="9" t="s">
        <v>1717</v>
      </c>
      <c r="B1128" s="12" t="str">
        <f t="array" ref="B1128">XLOOKUP(C1128, Channel_Listings!C:C, Channel_Listings!B:B)
</f>
        <v>Apparel_Caps_Beanies</v>
      </c>
      <c r="C1128" s="25" t="s">
        <v>378</v>
      </c>
      <c r="D1128" s="14" t="str">
        <f t="array" ref="D1128">XLOOKUP(C1128, Channel_Listings!C:C, Channel_Listings!D:D)
</f>
        <v>CAP-BASEBALL-PLAIN-CHARCOAL</v>
      </c>
      <c r="E1128" s="15"/>
      <c r="F1128" s="16">
        <f t="array" ref="F1128">IFERROR(
  VALUE( INDEX(Product_Master!$I:$I,
               MATCH( INDEX(Pack_Master!$B:$B, MATCH($D1128, Pack_Master!$A:$A, 0)),
                      Product_Master!$B:$B, 0)
  )) 
  * VALUE( INDEX(Pack_Master!$C:$C, MATCH($D1128, Pack_Master!$A:$A, 0)) )
  + VALUE( INDEX(Pack_Master!$D:$D, MATCH($D1128, Pack_Master!$A:$A, 0)) ),
"")
</f>
        <v>89</v>
      </c>
      <c r="G1128" s="17">
        <f t="array" ref="G1128">IFERROR(
 ( INDEX(Pack_Master!E:E, MATCH($D1128, Pack_Master!A:A, 0))
   * INDEX(Pack_Master!F:F, MATCH($D1128, Pack_Master!A:A, 0))
   * INDEX(Pack_Master!G:G, MATCH($D1128, Pack_Master!A:A, 0))
 ) / INDEX(Config!C:C, MATCH($A1128, Config!A:A, 0)),
"")
</f>
        <v>0.375</v>
      </c>
      <c r="H1128" s="17">
        <f t="array" ref="H1128">MAX( INDEX(Pack_Master!H:H, MATCH($D1128, Pack_Master!A:A, 0)),
      IFERROR(G1128, 0) )
</f>
        <v>0.5</v>
      </c>
      <c r="I1128" s="18">
        <f>IFERROR(__xludf.DUMMYFUNCTION("IFERROR(
 INDEX(
   FILTER(Shipping_Rate_Card!B:F, Shipping_Rate_Card!A:A=$A1128),
   MATCH($H1128, FILTER(Shipping_Rate_Card!B:B, Shipping_Rate_Card!A:A=$A1128), 1),
   IF( INDEX(Config!B:B, MATCH($A1128, Config!A:A, 0))=""Local"", 2,
     IF( INDEX(Conf"&amp;"ig!B:B, MATCH($A1128, Config!A:A, 0))=""Regional"", 3, 4 )
   )
 ),
"""")
"),80.0)</f>
        <v>80</v>
      </c>
      <c r="J1128" s="16">
        <f>IFERROR(__xludf.DUMMYFUNCTION("IFERROR(
 ( E1128 * INDEX(FILTER(Pricing_Rules!E:E, Pricing_Rules!A:A=A1128, Pricing_Rules!B:B=B1128, Pricing_Rules!C:C&lt;=E1128, Pricing_Rules!D:D&gt;=E1128), 1)
   + INDEX(FILTER(Pricing_Rules!F:F, Pricing_Rules!A:A=A1128, Pricing_Rules!B:B=B1128, Pricing_Ru"&amp;"les!C:C&lt;=E1128, Pricing_Rules!D:D&gt;=E1128), 1)
 )
 * (1 + IFERROR( INDEX(Config!D:D, MATCH(A1128, Config!A:A, 0)), 0 )),
"""")
"),0.0)</f>
        <v>0</v>
      </c>
      <c r="K1128" s="19">
        <f t="shared" si="3"/>
        <v>-169</v>
      </c>
      <c r="L1128" s="20" t="str">
        <f t="shared" si="4"/>
        <v/>
      </c>
    </row>
    <row r="1129" ht="15.75" customHeight="1">
      <c r="A1129" s="9" t="s">
        <v>1717</v>
      </c>
      <c r="B1129" s="12" t="str">
        <f t="array" ref="B1129">XLOOKUP(C1129, Channel_Listings!C:C, Channel_Listings!B:B)
</f>
        <v>Apparel_Caps_Beanies</v>
      </c>
      <c r="C1129" s="25" t="s">
        <v>379</v>
      </c>
      <c r="D1129" s="14" t="str">
        <f t="array" ref="D1129">XLOOKUP(C1129, Channel_Listings!C:C, Channel_Listings!D:D)
</f>
        <v>CAP-BASEBALL-PLAIN-GREY</v>
      </c>
      <c r="E1129" s="15"/>
      <c r="F1129" s="16">
        <f t="array" ref="F1129">IFERROR(
  VALUE( INDEX(Product_Master!$I:$I,
               MATCH( INDEX(Pack_Master!$B:$B, MATCH($D1129, Pack_Master!$A:$A, 0)),
                      Product_Master!$B:$B, 0)
  )) 
  * VALUE( INDEX(Pack_Master!$C:$C, MATCH($D1129, Pack_Master!$A:$A, 0)) )
  + VALUE( INDEX(Pack_Master!$D:$D, MATCH($D1129, Pack_Master!$A:$A, 0)) ),
"")
</f>
        <v>89</v>
      </c>
      <c r="G1129" s="17">
        <f t="array" ref="G1129">IFERROR(
 ( INDEX(Pack_Master!E:E, MATCH($D1129, Pack_Master!A:A, 0))
   * INDEX(Pack_Master!F:F, MATCH($D1129, Pack_Master!A:A, 0))
   * INDEX(Pack_Master!G:G, MATCH($D1129, Pack_Master!A:A, 0))
 ) / INDEX(Config!C:C, MATCH($A1129, Config!A:A, 0)),
"")
</f>
        <v>0.375</v>
      </c>
      <c r="H1129" s="17">
        <f t="array" ref="H1129">MAX( INDEX(Pack_Master!H:H, MATCH($D1129, Pack_Master!A:A, 0)),
      IFERROR(G1129, 0) )
</f>
        <v>0.5</v>
      </c>
      <c r="I1129" s="18">
        <f>IFERROR(__xludf.DUMMYFUNCTION("IFERROR(
 INDEX(
   FILTER(Shipping_Rate_Card!B:F, Shipping_Rate_Card!A:A=$A1129),
   MATCH($H1129, FILTER(Shipping_Rate_Card!B:B, Shipping_Rate_Card!A:A=$A1129), 1),
   IF( INDEX(Config!B:B, MATCH($A1129, Config!A:A, 0))=""Local"", 2,
     IF( INDEX(Conf"&amp;"ig!B:B, MATCH($A1129, Config!A:A, 0))=""Regional"", 3, 4 )
   )
 ),
"""")
"),80.0)</f>
        <v>80</v>
      </c>
      <c r="J1129" s="16">
        <f>IFERROR(__xludf.DUMMYFUNCTION("IFERROR(
 ( E1129 * INDEX(FILTER(Pricing_Rules!E:E, Pricing_Rules!A:A=A1129, Pricing_Rules!B:B=B1129, Pricing_Rules!C:C&lt;=E1129, Pricing_Rules!D:D&gt;=E1129), 1)
   + INDEX(FILTER(Pricing_Rules!F:F, Pricing_Rules!A:A=A1129, Pricing_Rules!B:B=B1129, Pricing_Ru"&amp;"les!C:C&lt;=E1129, Pricing_Rules!D:D&gt;=E1129), 1)
 )
 * (1 + IFERROR( INDEX(Config!D:D, MATCH(A1129, Config!A:A, 0)), 0 )),
"""")
"),0.0)</f>
        <v>0</v>
      </c>
      <c r="K1129" s="19">
        <f t="shared" si="3"/>
        <v>-169</v>
      </c>
      <c r="L1129" s="20" t="str">
        <f t="shared" si="4"/>
        <v/>
      </c>
    </row>
    <row r="1130" ht="15.75" customHeight="1">
      <c r="A1130" s="9" t="s">
        <v>1717</v>
      </c>
      <c r="B1130" s="12" t="str">
        <f t="array" ref="B1130">XLOOKUP(C1130, Channel_Listings!C:C, Channel_Listings!B:B)
</f>
        <v>Apparel_Caps_Beanies</v>
      </c>
      <c r="C1130" s="25" t="s">
        <v>382</v>
      </c>
      <c r="D1130" s="14" t="str">
        <f t="array" ref="D1130">XLOOKUP(C1130, Channel_Listings!C:C, Channel_Listings!D:D)
</f>
        <v>CAP-BASEBALL-PLAIN-NAVYBLUE</v>
      </c>
      <c r="E1130" s="15"/>
      <c r="F1130" s="16">
        <f t="array" ref="F1130">IFERROR(
  VALUE( INDEX(Product_Master!$I:$I,
               MATCH( INDEX(Pack_Master!$B:$B, MATCH($D1130, Pack_Master!$A:$A, 0)),
                      Product_Master!$B:$B, 0)
  )) 
  * VALUE( INDEX(Pack_Master!$C:$C, MATCH($D1130, Pack_Master!$A:$A, 0)) )
  + VALUE( INDEX(Pack_Master!$D:$D, MATCH($D1130, Pack_Master!$A:$A, 0)) ),
"")
</f>
        <v>89</v>
      </c>
      <c r="G1130" s="17">
        <f t="array" ref="G1130">IFERROR(
 ( INDEX(Pack_Master!E:E, MATCH($D1130, Pack_Master!A:A, 0))
   * INDEX(Pack_Master!F:F, MATCH($D1130, Pack_Master!A:A, 0))
   * INDEX(Pack_Master!G:G, MATCH($D1130, Pack_Master!A:A, 0))
 ) / INDEX(Config!C:C, MATCH($A1130, Config!A:A, 0)),
"")
</f>
        <v>0.375</v>
      </c>
      <c r="H1130" s="17">
        <f t="array" ref="H1130">MAX( INDEX(Pack_Master!H:H, MATCH($D1130, Pack_Master!A:A, 0)),
      IFERROR(G1130, 0) )
</f>
        <v>0.5</v>
      </c>
      <c r="I1130" s="18">
        <f>IFERROR(__xludf.DUMMYFUNCTION("IFERROR(
 INDEX(
   FILTER(Shipping_Rate_Card!B:F, Shipping_Rate_Card!A:A=$A1130),
   MATCH($H1130, FILTER(Shipping_Rate_Card!B:B, Shipping_Rate_Card!A:A=$A1130), 1),
   IF( INDEX(Config!B:B, MATCH($A1130, Config!A:A, 0))=""Local"", 2,
     IF( INDEX(Conf"&amp;"ig!B:B, MATCH($A1130, Config!A:A, 0))=""Regional"", 3, 4 )
   )
 ),
"""")
"),80.0)</f>
        <v>80</v>
      </c>
      <c r="J1130" s="16">
        <f>IFERROR(__xludf.DUMMYFUNCTION("IFERROR(
 ( E1130 * INDEX(FILTER(Pricing_Rules!E:E, Pricing_Rules!A:A=A1130, Pricing_Rules!B:B=B1130, Pricing_Rules!C:C&lt;=E1130, Pricing_Rules!D:D&gt;=E1130), 1)
   + INDEX(FILTER(Pricing_Rules!F:F, Pricing_Rules!A:A=A1130, Pricing_Rules!B:B=B1130, Pricing_Ru"&amp;"les!C:C&lt;=E1130, Pricing_Rules!D:D&gt;=E1130), 1)
 )
 * (1 + IFERROR( INDEX(Config!D:D, MATCH(A1130, Config!A:A, 0)), 0 )),
"""")
"),0.0)</f>
        <v>0</v>
      </c>
      <c r="K1130" s="19">
        <f t="shared" si="3"/>
        <v>-169</v>
      </c>
      <c r="L1130" s="20" t="str">
        <f t="shared" si="4"/>
        <v/>
      </c>
    </row>
    <row r="1131" ht="15.75" customHeight="1">
      <c r="A1131" s="9" t="s">
        <v>1717</v>
      </c>
      <c r="B1131" s="12" t="str">
        <f t="array" ref="B1131">XLOOKUP(C1131, Channel_Listings!C:C, Channel_Listings!B:B)
</f>
        <v>Apparel_Caps_Beanies</v>
      </c>
      <c r="C1131" s="25" t="s">
        <v>383</v>
      </c>
      <c r="D1131" s="14" t="str">
        <f t="array" ref="D1131">XLOOKUP(C1131, Channel_Listings!C:C, Channel_Listings!D:D)
</f>
        <v>CAP-BASEBALL-PLAIN-OLIVEGREEN</v>
      </c>
      <c r="E1131" s="15"/>
      <c r="F1131" s="16">
        <f t="array" ref="F1131">IFERROR(
  VALUE( INDEX(Product_Master!$I:$I,
               MATCH( INDEX(Pack_Master!$B:$B, MATCH($D1131, Pack_Master!$A:$A, 0)),
                      Product_Master!$B:$B, 0)
  )) 
  * VALUE( INDEX(Pack_Master!$C:$C, MATCH($D1131, Pack_Master!$A:$A, 0)) )
  + VALUE( INDEX(Pack_Master!$D:$D, MATCH($D1131, Pack_Master!$A:$A, 0)) ),
"")
</f>
        <v>89</v>
      </c>
      <c r="G1131" s="17">
        <f t="array" ref="G1131">IFERROR(
 ( INDEX(Pack_Master!E:E, MATCH($D1131, Pack_Master!A:A, 0))
   * INDEX(Pack_Master!F:F, MATCH($D1131, Pack_Master!A:A, 0))
   * INDEX(Pack_Master!G:G, MATCH($D1131, Pack_Master!A:A, 0))
 ) / INDEX(Config!C:C, MATCH($A1131, Config!A:A, 0)),
"")
</f>
        <v>0.375</v>
      </c>
      <c r="H1131" s="17">
        <f t="array" ref="H1131">MAX( INDEX(Pack_Master!H:H, MATCH($D1131, Pack_Master!A:A, 0)),
      IFERROR(G1131, 0) )
</f>
        <v>0.5</v>
      </c>
      <c r="I1131" s="18">
        <f>IFERROR(__xludf.DUMMYFUNCTION("IFERROR(
 INDEX(
   FILTER(Shipping_Rate_Card!B:F, Shipping_Rate_Card!A:A=$A1131),
   MATCH($H1131, FILTER(Shipping_Rate_Card!B:B, Shipping_Rate_Card!A:A=$A1131), 1),
   IF( INDEX(Config!B:B, MATCH($A1131, Config!A:A, 0))=""Local"", 2,
     IF( INDEX(Conf"&amp;"ig!B:B, MATCH($A1131, Config!A:A, 0))=""Regional"", 3, 4 )
   )
 ),
"""")
"),80.0)</f>
        <v>80</v>
      </c>
      <c r="J1131" s="16">
        <f>IFERROR(__xludf.DUMMYFUNCTION("IFERROR(
 ( E1131 * INDEX(FILTER(Pricing_Rules!E:E, Pricing_Rules!A:A=A1131, Pricing_Rules!B:B=B1131, Pricing_Rules!C:C&lt;=E1131, Pricing_Rules!D:D&gt;=E1131), 1)
   + INDEX(FILTER(Pricing_Rules!F:F, Pricing_Rules!A:A=A1131, Pricing_Rules!B:B=B1131, Pricing_Ru"&amp;"les!C:C&lt;=E1131, Pricing_Rules!D:D&gt;=E1131), 1)
 )
 * (1 + IFERROR( INDEX(Config!D:D, MATCH(A1131, Config!A:A, 0)), 0 )),
"""")
"),0.0)</f>
        <v>0</v>
      </c>
      <c r="K1131" s="19">
        <f t="shared" si="3"/>
        <v>-169</v>
      </c>
      <c r="L1131" s="20" t="str">
        <f t="shared" si="4"/>
        <v/>
      </c>
    </row>
    <row r="1132" ht="15.75" customHeight="1">
      <c r="A1132" s="9" t="s">
        <v>1717</v>
      </c>
      <c r="B1132" s="12" t="str">
        <f t="array" ref="B1132">XLOOKUP(C1132, Channel_Listings!C:C, Channel_Listings!B:B)
</f>
        <v>Apparel_Caps_Beanies</v>
      </c>
      <c r="C1132" s="25" t="s">
        <v>16</v>
      </c>
      <c r="D1132" s="14" t="str">
        <f t="array" ref="D1132">XLOOKUP(C1132, Channel_Listings!C:C, Channel_Listings!D:D)
</f>
        <v>CAP-BASEBALL-PLAIN-WHITE</v>
      </c>
      <c r="E1132" s="15"/>
      <c r="F1132" s="16">
        <f t="array" ref="F1132">IFERROR(
  VALUE( INDEX(Product_Master!$I:$I,
               MATCH( INDEX(Pack_Master!$B:$B, MATCH($D1132, Pack_Master!$A:$A, 0)),
                      Product_Master!$B:$B, 0)
  )) 
  * VALUE( INDEX(Pack_Master!$C:$C, MATCH($D1132, Pack_Master!$A:$A, 0)) )
  + VALUE( INDEX(Pack_Master!$D:$D, MATCH($D1132, Pack_Master!$A:$A, 0)) ),
"")
</f>
        <v>89</v>
      </c>
      <c r="G1132" s="17">
        <f t="array" ref="G1132">IFERROR(
 ( INDEX(Pack_Master!E:E, MATCH($D1132, Pack_Master!A:A, 0))
   * INDEX(Pack_Master!F:F, MATCH($D1132, Pack_Master!A:A, 0))
   * INDEX(Pack_Master!G:G, MATCH($D1132, Pack_Master!A:A, 0))
 ) / INDEX(Config!C:C, MATCH($A1132, Config!A:A, 0)),
"")
</f>
        <v>0.375</v>
      </c>
      <c r="H1132" s="17">
        <f t="array" ref="H1132">MAX( INDEX(Pack_Master!H:H, MATCH($D1132, Pack_Master!A:A, 0)),
      IFERROR(G1132, 0) )
</f>
        <v>0.5</v>
      </c>
      <c r="I1132" s="18">
        <f>IFERROR(__xludf.DUMMYFUNCTION("IFERROR(
 INDEX(
   FILTER(Shipping_Rate_Card!B:F, Shipping_Rate_Card!A:A=$A1132),
   MATCH($H1132, FILTER(Shipping_Rate_Card!B:B, Shipping_Rate_Card!A:A=$A1132), 1),
   IF( INDEX(Config!B:B, MATCH($A1132, Config!A:A, 0))=""Local"", 2,
     IF( INDEX(Conf"&amp;"ig!B:B, MATCH($A1132, Config!A:A, 0))=""Regional"", 3, 4 )
   )
 ),
"""")
"),80.0)</f>
        <v>80</v>
      </c>
      <c r="J1132" s="16">
        <f>IFERROR(__xludf.DUMMYFUNCTION("IFERROR(
 ( E1132 * INDEX(FILTER(Pricing_Rules!E:E, Pricing_Rules!A:A=A1132, Pricing_Rules!B:B=B1132, Pricing_Rules!C:C&lt;=E1132, Pricing_Rules!D:D&gt;=E1132), 1)
   + INDEX(FILTER(Pricing_Rules!F:F, Pricing_Rules!A:A=A1132, Pricing_Rules!B:B=B1132, Pricing_Ru"&amp;"les!C:C&lt;=E1132, Pricing_Rules!D:D&gt;=E1132), 1)
 )
 * (1 + IFERROR( INDEX(Config!D:D, MATCH(A1132, Config!A:A, 0)), 0 )),
"""")
"),0.0)</f>
        <v>0</v>
      </c>
      <c r="K1132" s="19">
        <f t="shared" si="3"/>
        <v>-169</v>
      </c>
      <c r="L1132" s="20" t="str">
        <f t="shared" si="4"/>
        <v/>
      </c>
    </row>
    <row r="1133" ht="15.75" customHeight="1">
      <c r="A1133" s="9" t="s">
        <v>1717</v>
      </c>
      <c r="B1133" s="12" t="str">
        <f t="array" ref="B1133">XLOOKUP(C1133, Channel_Listings!C:C, Channel_Listings!B:B)
</f>
        <v>Apparel_Caps_Beanies</v>
      </c>
      <c r="C1133" s="23" t="s">
        <v>387</v>
      </c>
      <c r="D1133" s="14" t="str">
        <f t="array" ref="D1133">XLOOKUP(C1133, Channel_Listings!C:C, Channel_Listings!D:D)
</f>
        <v>CAP-DRYFIT-BLACK</v>
      </c>
      <c r="E1133" s="15"/>
      <c r="F1133" s="16">
        <f t="array" ref="F1133">IFERROR(
  VALUE( INDEX(Product_Master!$I:$I,
               MATCH( INDEX(Pack_Master!$B:$B, MATCH($D1133, Pack_Master!$A:$A, 0)),
                      Product_Master!$B:$B, 0)
  )) 
  * VALUE( INDEX(Pack_Master!$C:$C, MATCH($D1133, Pack_Master!$A:$A, 0)) )
  + VALUE( INDEX(Pack_Master!$D:$D, MATCH($D1133, Pack_Master!$A:$A, 0)) ),
"")
</f>
        <v>2</v>
      </c>
      <c r="G1133" s="17">
        <f t="array" ref="G1133">IFERROR(
 ( INDEX(Pack_Master!E:E, MATCH($D1133, Pack_Master!A:A, 0))
   * INDEX(Pack_Master!F:F, MATCH($D1133, Pack_Master!A:A, 0))
   * INDEX(Pack_Master!G:G, MATCH($D1133, Pack_Master!A:A, 0))
 ) / INDEX(Config!C:C, MATCH($A1133, Config!A:A, 0)),
"")
</f>
        <v>0.375</v>
      </c>
      <c r="H1133" s="17">
        <f t="array" ref="H1133">MAX( INDEX(Pack_Master!H:H, MATCH($D1133, Pack_Master!A:A, 0)),
      IFERROR(G1133, 0) )
</f>
        <v>0.5</v>
      </c>
      <c r="I1133" s="18">
        <f>IFERROR(__xludf.DUMMYFUNCTION("IFERROR(
 INDEX(
   FILTER(Shipping_Rate_Card!B:F, Shipping_Rate_Card!A:A=$A1133),
   MATCH($H1133, FILTER(Shipping_Rate_Card!B:B, Shipping_Rate_Card!A:A=$A1133), 1),
   IF( INDEX(Config!B:B, MATCH($A1133, Config!A:A, 0))=""Local"", 2,
     IF( INDEX(Conf"&amp;"ig!B:B, MATCH($A1133, Config!A:A, 0))=""Regional"", 3, 4 )
   )
 ),
"""")
"),80.0)</f>
        <v>80</v>
      </c>
      <c r="J1133" s="16">
        <f>IFERROR(__xludf.DUMMYFUNCTION("IFERROR(
 ( E1133 * INDEX(FILTER(Pricing_Rules!E:E, Pricing_Rules!A:A=A1133, Pricing_Rules!B:B=B1133, Pricing_Rules!C:C&lt;=E1133, Pricing_Rules!D:D&gt;=E1133), 1)
   + INDEX(FILTER(Pricing_Rules!F:F, Pricing_Rules!A:A=A1133, Pricing_Rules!B:B=B1133, Pricing_Ru"&amp;"les!C:C&lt;=E1133, Pricing_Rules!D:D&gt;=E1133), 1)
 )
 * (1 + IFERROR( INDEX(Config!D:D, MATCH(A1133, Config!A:A, 0)), 0 )),
"""")
"),0.0)</f>
        <v>0</v>
      </c>
      <c r="K1133" s="19">
        <f t="shared" si="3"/>
        <v>-82</v>
      </c>
      <c r="L1133" s="20" t="str">
        <f t="shared" si="4"/>
        <v/>
      </c>
    </row>
    <row r="1134" ht="15.75" customHeight="1">
      <c r="A1134" s="9" t="s">
        <v>1717</v>
      </c>
      <c r="B1134" s="12" t="str">
        <f t="array" ref="B1134">XLOOKUP(C1134, Channel_Listings!C:C, Channel_Listings!B:B)
</f>
        <v>Apparel_Caps_Beanies</v>
      </c>
      <c r="C1134" s="23" t="s">
        <v>389</v>
      </c>
      <c r="D1134" s="14" t="str">
        <f t="array" ref="D1134">XLOOKUP(C1134, Channel_Listings!C:C, Channel_Listings!D:D)
</f>
        <v>CAP-DRYFIT-NAVYBLUE</v>
      </c>
      <c r="E1134" s="15"/>
      <c r="F1134" s="16">
        <f t="array" ref="F1134">IFERROR(
  VALUE( INDEX(Product_Master!$I:$I,
               MATCH( INDEX(Pack_Master!$B:$B, MATCH($D1134, Pack_Master!$A:$A, 0)),
                      Product_Master!$B:$B, 0)
  )) 
  * VALUE( INDEX(Pack_Master!$C:$C, MATCH($D1134, Pack_Master!$A:$A, 0)) )
  + VALUE( INDEX(Pack_Master!$D:$D, MATCH($D1134, Pack_Master!$A:$A, 0)) ),
"")
</f>
        <v>2</v>
      </c>
      <c r="G1134" s="17">
        <f t="array" ref="G1134">IFERROR(
 ( INDEX(Pack_Master!E:E, MATCH($D1134, Pack_Master!A:A, 0))
   * INDEX(Pack_Master!F:F, MATCH($D1134, Pack_Master!A:A, 0))
   * INDEX(Pack_Master!G:G, MATCH($D1134, Pack_Master!A:A, 0))
 ) / INDEX(Config!C:C, MATCH($A1134, Config!A:A, 0)),
"")
</f>
        <v>0.375</v>
      </c>
      <c r="H1134" s="17">
        <f t="array" ref="H1134">MAX( INDEX(Pack_Master!H:H, MATCH($D1134, Pack_Master!A:A, 0)),
      IFERROR(G1134, 0) )
</f>
        <v>0.5</v>
      </c>
      <c r="I1134" s="18">
        <f>IFERROR(__xludf.DUMMYFUNCTION("IFERROR(
 INDEX(
   FILTER(Shipping_Rate_Card!B:F, Shipping_Rate_Card!A:A=$A1134),
   MATCH($H1134, FILTER(Shipping_Rate_Card!B:B, Shipping_Rate_Card!A:A=$A1134), 1),
   IF( INDEX(Config!B:B, MATCH($A1134, Config!A:A, 0))=""Local"", 2,
     IF( INDEX(Conf"&amp;"ig!B:B, MATCH($A1134, Config!A:A, 0))=""Regional"", 3, 4 )
   )
 ),
"""")
"),80.0)</f>
        <v>80</v>
      </c>
      <c r="J1134" s="16">
        <f>IFERROR(__xludf.DUMMYFUNCTION("IFERROR(
 ( E1134 * INDEX(FILTER(Pricing_Rules!E:E, Pricing_Rules!A:A=A1134, Pricing_Rules!B:B=B1134, Pricing_Rules!C:C&lt;=E1134, Pricing_Rules!D:D&gt;=E1134), 1)
   + INDEX(FILTER(Pricing_Rules!F:F, Pricing_Rules!A:A=A1134, Pricing_Rules!B:B=B1134, Pricing_Ru"&amp;"les!C:C&lt;=E1134, Pricing_Rules!D:D&gt;=E1134), 1)
 )
 * (1 + IFERROR( INDEX(Config!D:D, MATCH(A1134, Config!A:A, 0)), 0 )),
"""")
"),0.0)</f>
        <v>0</v>
      </c>
      <c r="K1134" s="19">
        <f t="shared" si="3"/>
        <v>-82</v>
      </c>
      <c r="L1134" s="20" t="str">
        <f t="shared" si="4"/>
        <v/>
      </c>
    </row>
    <row r="1135" ht="15.75" customHeight="1">
      <c r="A1135" s="9" t="s">
        <v>1717</v>
      </c>
      <c r="B1135" s="12" t="str">
        <f t="array" ref="B1135">XLOOKUP(C1135, Channel_Listings!C:C, Channel_Listings!B:B)
</f>
        <v>Apparel_Caps_Beanies</v>
      </c>
      <c r="C1135" s="23" t="s">
        <v>600</v>
      </c>
      <c r="D1135" s="14" t="str">
        <f t="array" ref="D1135">XLOOKUP(C1135, Channel_Listings!C:C, Channel_Listings!D:D)
</f>
        <v>CAP-RAIN-BASEBALL-BLACK</v>
      </c>
      <c r="E1135" s="15"/>
      <c r="F1135" s="16">
        <f t="array" ref="F1135">IFERROR(
  VALUE( INDEX(Product_Master!$I:$I,
               MATCH( INDEX(Pack_Master!$B:$B, MATCH($D1135, Pack_Master!$A:$A, 0)),
                      Product_Master!$B:$B, 0)
  )) 
  * VALUE( INDEX(Pack_Master!$C:$C, MATCH($D1135, Pack_Master!$A:$A, 0)) )
  + VALUE( INDEX(Pack_Master!$D:$D, MATCH($D1135, Pack_Master!$A:$A, 0)) ),
"")
</f>
        <v>2</v>
      </c>
      <c r="G1135" s="17">
        <f t="array" ref="G1135">IFERROR(
 ( INDEX(Pack_Master!E:E, MATCH($D1135, Pack_Master!A:A, 0))
   * INDEX(Pack_Master!F:F, MATCH($D1135, Pack_Master!A:A, 0))
   * INDEX(Pack_Master!G:G, MATCH($D1135, Pack_Master!A:A, 0))
 ) / INDEX(Config!C:C, MATCH($A1135, Config!A:A, 0)),
"")
</f>
        <v>0.375</v>
      </c>
      <c r="H1135" s="17">
        <f t="array" ref="H1135">MAX( INDEX(Pack_Master!H:H, MATCH($D1135, Pack_Master!A:A, 0)),
      IFERROR(G1135, 0) )
</f>
        <v>0.5</v>
      </c>
      <c r="I1135" s="18">
        <f>IFERROR(__xludf.DUMMYFUNCTION("IFERROR(
 INDEX(
   FILTER(Shipping_Rate_Card!B:F, Shipping_Rate_Card!A:A=$A1135),
   MATCH($H1135, FILTER(Shipping_Rate_Card!B:B, Shipping_Rate_Card!A:A=$A1135), 1),
   IF( INDEX(Config!B:B, MATCH($A1135, Config!A:A, 0))=""Local"", 2,
     IF( INDEX(Conf"&amp;"ig!B:B, MATCH($A1135, Config!A:A, 0))=""Regional"", 3, 4 )
   )
 ),
"""")
"),80.0)</f>
        <v>80</v>
      </c>
      <c r="J1135" s="16">
        <f>IFERROR(__xludf.DUMMYFUNCTION("IFERROR(
 ( E1135 * INDEX(FILTER(Pricing_Rules!E:E, Pricing_Rules!A:A=A1135, Pricing_Rules!B:B=B1135, Pricing_Rules!C:C&lt;=E1135, Pricing_Rules!D:D&gt;=E1135), 1)
   + INDEX(FILTER(Pricing_Rules!F:F, Pricing_Rules!A:A=A1135, Pricing_Rules!B:B=B1135, Pricing_Ru"&amp;"les!C:C&lt;=E1135, Pricing_Rules!D:D&gt;=E1135), 1)
 )
 * (1 + IFERROR( INDEX(Config!D:D, MATCH(A1135, Config!A:A, 0)), 0 )),
"""")
"),0.0)</f>
        <v>0</v>
      </c>
      <c r="K1135" s="19">
        <f t="shared" si="3"/>
        <v>-82</v>
      </c>
      <c r="L1135" s="20" t="str">
        <f t="shared" si="4"/>
        <v/>
      </c>
    </row>
    <row r="1136" ht="15.75" customHeight="1">
      <c r="A1136" s="9" t="s">
        <v>1717</v>
      </c>
      <c r="B1136" s="12" t="str">
        <f t="array" ref="B1136">XLOOKUP(C1136, Channel_Listings!C:C, Channel_Listings!B:B)
</f>
        <v>Apparel_Caps_Beanies</v>
      </c>
      <c r="C1136" s="23" t="s">
        <v>602</v>
      </c>
      <c r="D1136" s="14" t="str">
        <f t="array" ref="D1136">XLOOKUP(C1136, Channel_Listings!C:C, Channel_Listings!D:D)
</f>
        <v>CAP-RAIN-BASEBALL-GREY</v>
      </c>
      <c r="E1136" s="15"/>
      <c r="F1136" s="16">
        <f t="array" ref="F1136">IFERROR(
  VALUE( INDEX(Product_Master!$I:$I,
               MATCH( INDEX(Pack_Master!$B:$B, MATCH($D1136, Pack_Master!$A:$A, 0)),
                      Product_Master!$B:$B, 0)
  )) 
  * VALUE( INDEX(Pack_Master!$C:$C, MATCH($D1136, Pack_Master!$A:$A, 0)) )
  + VALUE( INDEX(Pack_Master!$D:$D, MATCH($D1136, Pack_Master!$A:$A, 0)) ),
"")
</f>
        <v>2</v>
      </c>
      <c r="G1136" s="17">
        <f t="array" ref="G1136">IFERROR(
 ( INDEX(Pack_Master!E:E, MATCH($D1136, Pack_Master!A:A, 0))
   * INDEX(Pack_Master!F:F, MATCH($D1136, Pack_Master!A:A, 0))
   * INDEX(Pack_Master!G:G, MATCH($D1136, Pack_Master!A:A, 0))
 ) / INDEX(Config!C:C, MATCH($A1136, Config!A:A, 0)),
"")
</f>
        <v>0.375</v>
      </c>
      <c r="H1136" s="17">
        <f t="array" ref="H1136">MAX( INDEX(Pack_Master!H:H, MATCH($D1136, Pack_Master!A:A, 0)),
      IFERROR(G1136, 0) )
</f>
        <v>0.5</v>
      </c>
      <c r="I1136" s="18">
        <f>IFERROR(__xludf.DUMMYFUNCTION("IFERROR(
 INDEX(
   FILTER(Shipping_Rate_Card!B:F, Shipping_Rate_Card!A:A=$A1136),
   MATCH($H1136, FILTER(Shipping_Rate_Card!B:B, Shipping_Rate_Card!A:A=$A1136), 1),
   IF( INDEX(Config!B:B, MATCH($A1136, Config!A:A, 0))=""Local"", 2,
     IF( INDEX(Conf"&amp;"ig!B:B, MATCH($A1136, Config!A:A, 0))=""Regional"", 3, 4 )
   )
 ),
"""")
"),80.0)</f>
        <v>80</v>
      </c>
      <c r="J1136" s="16">
        <f>IFERROR(__xludf.DUMMYFUNCTION("IFERROR(
 ( E1136 * INDEX(FILTER(Pricing_Rules!E:E, Pricing_Rules!A:A=A1136, Pricing_Rules!B:B=B1136, Pricing_Rules!C:C&lt;=E1136, Pricing_Rules!D:D&gt;=E1136), 1)
   + INDEX(FILTER(Pricing_Rules!F:F, Pricing_Rules!A:A=A1136, Pricing_Rules!B:B=B1136, Pricing_Ru"&amp;"les!C:C&lt;=E1136, Pricing_Rules!D:D&gt;=E1136), 1)
 )
 * (1 + IFERROR( INDEX(Config!D:D, MATCH(A1136, Config!A:A, 0)), 0 )),
"""")
"),0.0)</f>
        <v>0</v>
      </c>
      <c r="K1136" s="19">
        <f t="shared" si="3"/>
        <v>-82</v>
      </c>
      <c r="L1136" s="20" t="str">
        <f t="shared" si="4"/>
        <v/>
      </c>
    </row>
    <row r="1137" ht="15.75" customHeight="1">
      <c r="A1137" s="9" t="s">
        <v>1717</v>
      </c>
      <c r="B1137" s="12" t="str">
        <f t="array" ref="B1137">XLOOKUP(C1137, Channel_Listings!C:C, Channel_Listings!B:B)
</f>
        <v>Apparel_Caps_Beanies</v>
      </c>
      <c r="C1137" s="23" t="s">
        <v>605</v>
      </c>
      <c r="D1137" s="14" t="str">
        <f t="array" ref="D1137">XLOOKUP(C1137, Channel_Listings!C:C, Channel_Listings!D:D)
</f>
        <v>CAP-RAIN-BASEBALL-NAVYBLUE</v>
      </c>
      <c r="E1137" s="15"/>
      <c r="F1137" s="16">
        <f t="array" ref="F1137">IFERROR(
  VALUE( INDEX(Product_Master!$I:$I,
               MATCH( INDEX(Pack_Master!$B:$B, MATCH($D1137, Pack_Master!$A:$A, 0)),
                      Product_Master!$B:$B, 0)
  )) 
  * VALUE( INDEX(Pack_Master!$C:$C, MATCH($D1137, Pack_Master!$A:$A, 0)) )
  + VALUE( INDEX(Pack_Master!$D:$D, MATCH($D1137, Pack_Master!$A:$A, 0)) ),
"")
</f>
        <v>2</v>
      </c>
      <c r="G1137" s="17">
        <f t="array" ref="G1137">IFERROR(
 ( INDEX(Pack_Master!E:E, MATCH($D1137, Pack_Master!A:A, 0))
   * INDEX(Pack_Master!F:F, MATCH($D1137, Pack_Master!A:A, 0))
   * INDEX(Pack_Master!G:G, MATCH($D1137, Pack_Master!A:A, 0))
 ) / INDEX(Config!C:C, MATCH($A1137, Config!A:A, 0)),
"")
</f>
        <v>0.375</v>
      </c>
      <c r="H1137" s="17">
        <f t="array" ref="H1137">MAX( INDEX(Pack_Master!H:H, MATCH($D1137, Pack_Master!A:A, 0)),
      IFERROR(G1137, 0) )
</f>
        <v>0.5</v>
      </c>
      <c r="I1137" s="18">
        <f>IFERROR(__xludf.DUMMYFUNCTION("IFERROR(
 INDEX(
   FILTER(Shipping_Rate_Card!B:F, Shipping_Rate_Card!A:A=$A1137),
   MATCH($H1137, FILTER(Shipping_Rate_Card!B:B, Shipping_Rate_Card!A:A=$A1137), 1),
   IF( INDEX(Config!B:B, MATCH($A1137, Config!A:A, 0))=""Local"", 2,
     IF( INDEX(Conf"&amp;"ig!B:B, MATCH($A1137, Config!A:A, 0))=""Regional"", 3, 4 )
   )
 ),
"""")
"),80.0)</f>
        <v>80</v>
      </c>
      <c r="J1137" s="16">
        <f>IFERROR(__xludf.DUMMYFUNCTION("IFERROR(
 ( E1137 * INDEX(FILTER(Pricing_Rules!E:E, Pricing_Rules!A:A=A1137, Pricing_Rules!B:B=B1137, Pricing_Rules!C:C&lt;=E1137, Pricing_Rules!D:D&gt;=E1137), 1)
   + INDEX(FILTER(Pricing_Rules!F:F, Pricing_Rules!A:A=A1137, Pricing_Rules!B:B=B1137, Pricing_Ru"&amp;"les!C:C&lt;=E1137, Pricing_Rules!D:D&gt;=E1137), 1)
 )
 * (1 + IFERROR( INDEX(Config!D:D, MATCH(A1137, Config!A:A, 0)), 0 )),
"""")
"),0.0)</f>
        <v>0</v>
      </c>
      <c r="K1137" s="19">
        <f t="shared" si="3"/>
        <v>-82</v>
      </c>
      <c r="L1137" s="20" t="str">
        <f t="shared" si="4"/>
        <v/>
      </c>
    </row>
    <row r="1138" ht="15.75" customHeight="1">
      <c r="A1138" s="9" t="s">
        <v>1717</v>
      </c>
      <c r="B1138" s="12" t="str">
        <f t="array" ref="B1138">XLOOKUP(C1138, Channel_Listings!C:C, Channel_Listings!B:B)
</f>
        <v>Apparel_Caps_Beanies</v>
      </c>
      <c r="C1138" s="22" t="s">
        <v>607</v>
      </c>
      <c r="D1138" s="14" t="str">
        <f t="array" ref="D1138">XLOOKUP(C1138, Channel_Listings!C:C, Channel_Listings!D:D)
</f>
        <v>CAP-RAIN-MILITARY-BLACK</v>
      </c>
      <c r="E1138" s="15"/>
      <c r="F1138" s="16">
        <f t="array" ref="F1138">IFERROR(
  VALUE( INDEX(Product_Master!$I:$I,
               MATCH( INDEX(Pack_Master!$B:$B, MATCH($D1138, Pack_Master!$A:$A, 0)),
                      Product_Master!$B:$B, 0)
  )) 
  * VALUE( INDEX(Pack_Master!$C:$C, MATCH($D1138, Pack_Master!$A:$A, 0)) )
  + VALUE( INDEX(Pack_Master!$D:$D, MATCH($D1138, Pack_Master!$A:$A, 0)) ),
"")
</f>
        <v>2</v>
      </c>
      <c r="G1138" s="17">
        <f t="array" ref="G1138">IFERROR(
 ( INDEX(Pack_Master!E:E, MATCH($D1138, Pack_Master!A:A, 0))
   * INDEX(Pack_Master!F:F, MATCH($D1138, Pack_Master!A:A, 0))
   * INDEX(Pack_Master!G:G, MATCH($D1138, Pack_Master!A:A, 0))
 ) / INDEX(Config!C:C, MATCH($A1138, Config!A:A, 0)),
"")
</f>
        <v>0.375</v>
      </c>
      <c r="H1138" s="17">
        <f t="array" ref="H1138">MAX( INDEX(Pack_Master!H:H, MATCH($D1138, Pack_Master!A:A, 0)),
      IFERROR(G1138, 0) )
</f>
        <v>0.5</v>
      </c>
      <c r="I1138" s="18">
        <f>IFERROR(__xludf.DUMMYFUNCTION("IFERROR(
 INDEX(
   FILTER(Shipping_Rate_Card!B:F, Shipping_Rate_Card!A:A=$A1138),
   MATCH($H1138, FILTER(Shipping_Rate_Card!B:B, Shipping_Rate_Card!A:A=$A1138), 1),
   IF( INDEX(Config!B:B, MATCH($A1138, Config!A:A, 0))=""Local"", 2,
     IF( INDEX(Conf"&amp;"ig!B:B, MATCH($A1138, Config!A:A, 0))=""Regional"", 3, 4 )
   )
 ),
"""")
"),80.0)</f>
        <v>80</v>
      </c>
      <c r="J1138" s="16">
        <f>IFERROR(__xludf.DUMMYFUNCTION("IFERROR(
 ( E1138 * INDEX(FILTER(Pricing_Rules!E:E, Pricing_Rules!A:A=A1138, Pricing_Rules!B:B=B1138, Pricing_Rules!C:C&lt;=E1138, Pricing_Rules!D:D&gt;=E1138), 1)
   + INDEX(FILTER(Pricing_Rules!F:F, Pricing_Rules!A:A=A1138, Pricing_Rules!B:B=B1138, Pricing_Ru"&amp;"les!C:C&lt;=E1138, Pricing_Rules!D:D&gt;=E1138), 1)
 )
 * (1 + IFERROR( INDEX(Config!D:D, MATCH(A1138, Config!A:A, 0)), 0 )),
"""")
"),0.0)</f>
        <v>0</v>
      </c>
      <c r="K1138" s="19">
        <f t="shared" si="3"/>
        <v>-82</v>
      </c>
      <c r="L1138" s="20" t="str">
        <f t="shared" si="4"/>
        <v/>
      </c>
    </row>
    <row r="1139" ht="15.75" customHeight="1">
      <c r="A1139" s="9" t="s">
        <v>1717</v>
      </c>
      <c r="B1139" s="12" t="str">
        <f t="array" ref="B1139">XLOOKUP(C1139, Channel_Listings!C:C, Channel_Listings!B:B)
</f>
        <v>Apparel_Caps_Beanies</v>
      </c>
      <c r="C1139" s="22" t="s">
        <v>613</v>
      </c>
      <c r="D1139" s="14" t="str">
        <f t="array" ref="D1139">XLOOKUP(C1139, Channel_Listings!C:C, Channel_Listings!D:D)
</f>
        <v>CAP-RAIN-MILITARY-NAVY</v>
      </c>
      <c r="E1139" s="15"/>
      <c r="F1139" s="16">
        <f t="array" ref="F1139">IFERROR(
  VALUE( INDEX(Product_Master!$I:$I,
               MATCH( INDEX(Pack_Master!$B:$B, MATCH($D1139, Pack_Master!$A:$A, 0)),
                      Product_Master!$B:$B, 0)
  )) 
  * VALUE( INDEX(Pack_Master!$C:$C, MATCH($D1139, Pack_Master!$A:$A, 0)) )
  + VALUE( INDEX(Pack_Master!$D:$D, MATCH($D1139, Pack_Master!$A:$A, 0)) ),
"")
</f>
        <v>2</v>
      </c>
      <c r="G1139" s="17">
        <f t="array" ref="G1139">IFERROR(
 ( INDEX(Pack_Master!E:E, MATCH($D1139, Pack_Master!A:A, 0))
   * INDEX(Pack_Master!F:F, MATCH($D1139, Pack_Master!A:A, 0))
   * INDEX(Pack_Master!G:G, MATCH($D1139, Pack_Master!A:A, 0))
 ) / INDEX(Config!C:C, MATCH($A1139, Config!A:A, 0)),
"")
</f>
        <v>0.375</v>
      </c>
      <c r="H1139" s="17">
        <f t="array" ref="H1139">MAX( INDEX(Pack_Master!H:H, MATCH($D1139, Pack_Master!A:A, 0)),
      IFERROR(G1139, 0) )
</f>
        <v>0.5</v>
      </c>
      <c r="I1139" s="18">
        <f>IFERROR(__xludf.DUMMYFUNCTION("IFERROR(
 INDEX(
   FILTER(Shipping_Rate_Card!B:F, Shipping_Rate_Card!A:A=$A1139),
   MATCH($H1139, FILTER(Shipping_Rate_Card!B:B, Shipping_Rate_Card!A:A=$A1139), 1),
   IF( INDEX(Config!B:B, MATCH($A1139, Config!A:A, 0))=""Local"", 2,
     IF( INDEX(Conf"&amp;"ig!B:B, MATCH($A1139, Config!A:A, 0))=""Regional"", 3, 4 )
   )
 ),
"""")
"),80.0)</f>
        <v>80</v>
      </c>
      <c r="J1139" s="16">
        <f>IFERROR(__xludf.DUMMYFUNCTION("IFERROR(
 ( E1139 * INDEX(FILTER(Pricing_Rules!E:E, Pricing_Rules!A:A=A1139, Pricing_Rules!B:B=B1139, Pricing_Rules!C:C&lt;=E1139, Pricing_Rules!D:D&gt;=E1139), 1)
   + INDEX(FILTER(Pricing_Rules!F:F, Pricing_Rules!A:A=A1139, Pricing_Rules!B:B=B1139, Pricing_Ru"&amp;"les!C:C&lt;=E1139, Pricing_Rules!D:D&gt;=E1139), 1)
 )
 * (1 + IFERROR( INDEX(Config!D:D, MATCH(A1139, Config!A:A, 0)), 0 )),
"""")
"),0.0)</f>
        <v>0</v>
      </c>
      <c r="K1139" s="19">
        <f t="shared" si="3"/>
        <v>-82</v>
      </c>
      <c r="L1139" s="20" t="str">
        <f t="shared" si="4"/>
        <v/>
      </c>
    </row>
    <row r="1140" ht="15.75" customHeight="1">
      <c r="A1140" s="9" t="s">
        <v>1717</v>
      </c>
      <c r="B1140" s="12" t="str">
        <f t="array" ref="B1140">XLOOKUP(C1140, Channel_Listings!C:C, Channel_Listings!B:B)
</f>
        <v>Apparel_Caps_Beanies</v>
      </c>
      <c r="C1140" s="23" t="s">
        <v>392</v>
      </c>
      <c r="D1140" s="14" t="str">
        <f t="array" ref="D1140">XLOOKUP(C1140, Channel_Listings!C:C, Channel_Listings!D:D)
</f>
        <v>CAP-PARA-BLACK</v>
      </c>
      <c r="E1140" s="15"/>
      <c r="F1140" s="16">
        <f t="array" ref="F1140">IFERROR(
  VALUE( INDEX(Product_Master!$I:$I,
               MATCH( INDEX(Pack_Master!$B:$B, MATCH($D1140, Pack_Master!$A:$A, 0)),
                      Product_Master!$B:$B, 0)
  )) 
  * VALUE( INDEX(Pack_Master!$C:$C, MATCH($D1140, Pack_Master!$A:$A, 0)) )
  + VALUE( INDEX(Pack_Master!$D:$D, MATCH($D1140, Pack_Master!$A:$A, 0)) ),
"")
</f>
        <v>2</v>
      </c>
      <c r="G1140" s="17">
        <f t="array" ref="G1140">IFERROR(
 ( INDEX(Pack_Master!E:E, MATCH($D1140, Pack_Master!A:A, 0))
   * INDEX(Pack_Master!F:F, MATCH($D1140, Pack_Master!A:A, 0))
   * INDEX(Pack_Master!G:G, MATCH($D1140, Pack_Master!A:A, 0))
 ) / INDEX(Config!C:C, MATCH($A1140, Config!A:A, 0)),
"")
</f>
        <v>0.375</v>
      </c>
      <c r="H1140" s="17">
        <f t="array" ref="H1140">MAX( INDEX(Pack_Master!H:H, MATCH($D1140, Pack_Master!A:A, 0)),
      IFERROR(G1140, 0) )
</f>
        <v>0.5</v>
      </c>
      <c r="I1140" s="18">
        <f>IFERROR(__xludf.DUMMYFUNCTION("IFERROR(
 INDEX(
   FILTER(Shipping_Rate_Card!B:F, Shipping_Rate_Card!A:A=$A1140),
   MATCH($H1140, FILTER(Shipping_Rate_Card!B:B, Shipping_Rate_Card!A:A=$A1140), 1),
   IF( INDEX(Config!B:B, MATCH($A1140, Config!A:A, 0))=""Local"", 2,
     IF( INDEX(Conf"&amp;"ig!B:B, MATCH($A1140, Config!A:A, 0))=""Regional"", 3, 4 )
   )
 ),
"""")
"),80.0)</f>
        <v>80</v>
      </c>
      <c r="J1140" s="16">
        <f>IFERROR(__xludf.DUMMYFUNCTION("IFERROR(
 ( E1140 * INDEX(FILTER(Pricing_Rules!E:E, Pricing_Rules!A:A=A1140, Pricing_Rules!B:B=B1140, Pricing_Rules!C:C&lt;=E1140, Pricing_Rules!D:D&gt;=E1140), 1)
   + INDEX(FILTER(Pricing_Rules!F:F, Pricing_Rules!A:A=A1140, Pricing_Rules!B:B=B1140, Pricing_Ru"&amp;"les!C:C&lt;=E1140, Pricing_Rules!D:D&gt;=E1140), 1)
 )
 * (1 + IFERROR( INDEX(Config!D:D, MATCH(A1140, Config!A:A, 0)), 0 )),
"""")
"),0.0)</f>
        <v>0</v>
      </c>
      <c r="K1140" s="19">
        <f t="shared" si="3"/>
        <v>-82</v>
      </c>
      <c r="L1140" s="20" t="str">
        <f t="shared" si="4"/>
        <v/>
      </c>
    </row>
    <row r="1141" ht="15.75" customHeight="1">
      <c r="A1141" s="9" t="s">
        <v>1717</v>
      </c>
      <c r="B1141" s="12" t="str">
        <f t="array" ref="B1141">XLOOKUP(C1141, Channel_Listings!C:C, Channel_Listings!B:B)
</f>
        <v>Apparel_Caps_Beanies</v>
      </c>
      <c r="C1141" s="23" t="s">
        <v>395</v>
      </c>
      <c r="D1141" s="14" t="str">
        <f t="array" ref="D1141">XLOOKUP(C1141, Channel_Listings!C:C, Channel_Listings!D:D)
</f>
        <v>CAP-PARA-CHARCOAL</v>
      </c>
      <c r="E1141" s="15"/>
      <c r="F1141" s="16">
        <f t="array" ref="F1141">IFERROR(
  VALUE( INDEX(Product_Master!$I:$I,
               MATCH( INDEX(Pack_Master!$B:$B, MATCH($D1141, Pack_Master!$A:$A, 0)),
                      Product_Master!$B:$B, 0)
  )) 
  * VALUE( INDEX(Pack_Master!$C:$C, MATCH($D1141, Pack_Master!$A:$A, 0)) )
  + VALUE( INDEX(Pack_Master!$D:$D, MATCH($D1141, Pack_Master!$A:$A, 0)) ),
"")
</f>
        <v>2</v>
      </c>
      <c r="G1141" s="17">
        <f t="array" ref="G1141">IFERROR(
 ( INDEX(Pack_Master!E:E, MATCH($D1141, Pack_Master!A:A, 0))
   * INDEX(Pack_Master!F:F, MATCH($D1141, Pack_Master!A:A, 0))
   * INDEX(Pack_Master!G:G, MATCH($D1141, Pack_Master!A:A, 0))
 ) / INDEX(Config!C:C, MATCH($A1141, Config!A:A, 0)),
"")
</f>
        <v>0.375</v>
      </c>
      <c r="H1141" s="17">
        <f t="array" ref="H1141">MAX( INDEX(Pack_Master!H:H, MATCH($D1141, Pack_Master!A:A, 0)),
      IFERROR(G1141, 0) )
</f>
        <v>0.5</v>
      </c>
      <c r="I1141" s="18">
        <f>IFERROR(__xludf.DUMMYFUNCTION("IFERROR(
 INDEX(
   FILTER(Shipping_Rate_Card!B:F, Shipping_Rate_Card!A:A=$A1141),
   MATCH($H1141, FILTER(Shipping_Rate_Card!B:B, Shipping_Rate_Card!A:A=$A1141), 1),
   IF( INDEX(Config!B:B, MATCH($A1141, Config!A:A, 0))=""Local"", 2,
     IF( INDEX(Conf"&amp;"ig!B:B, MATCH($A1141, Config!A:A, 0))=""Regional"", 3, 4 )
   )
 ),
"""")
"),80.0)</f>
        <v>80</v>
      </c>
      <c r="J1141" s="16">
        <f>IFERROR(__xludf.DUMMYFUNCTION("IFERROR(
 ( E1141 * INDEX(FILTER(Pricing_Rules!E:E, Pricing_Rules!A:A=A1141, Pricing_Rules!B:B=B1141, Pricing_Rules!C:C&lt;=E1141, Pricing_Rules!D:D&gt;=E1141), 1)
   + INDEX(FILTER(Pricing_Rules!F:F, Pricing_Rules!A:A=A1141, Pricing_Rules!B:B=B1141, Pricing_Ru"&amp;"les!C:C&lt;=E1141, Pricing_Rules!D:D&gt;=E1141), 1)
 )
 * (1 + IFERROR( INDEX(Config!D:D, MATCH(A1141, Config!A:A, 0)), 0 )),
"""")
"),0.0)</f>
        <v>0</v>
      </c>
      <c r="K1141" s="19">
        <f t="shared" si="3"/>
        <v>-82</v>
      </c>
      <c r="L1141" s="20" t="str">
        <f t="shared" si="4"/>
        <v/>
      </c>
    </row>
    <row r="1142" ht="15.75" customHeight="1">
      <c r="A1142" s="9" t="s">
        <v>1717</v>
      </c>
      <c r="B1142" s="12" t="str">
        <f t="array" ref="B1142">XLOOKUP(C1142, Channel_Listings!C:C, Channel_Listings!B:B)
</f>
        <v>Apparel_Caps_Beanies</v>
      </c>
      <c r="C1142" s="23" t="s">
        <v>399</v>
      </c>
      <c r="D1142" s="14" t="str">
        <f t="array" ref="D1142">XLOOKUP(C1142, Channel_Listings!C:C, Channel_Listings!D:D)
</f>
        <v>CAP-PARA-NAVYBLUE</v>
      </c>
      <c r="E1142" s="15"/>
      <c r="F1142" s="16">
        <f t="array" ref="F1142">IFERROR(
  VALUE( INDEX(Product_Master!$I:$I,
               MATCH( INDEX(Pack_Master!$B:$B, MATCH($D1142, Pack_Master!$A:$A, 0)),
                      Product_Master!$B:$B, 0)
  )) 
  * VALUE( INDEX(Pack_Master!$C:$C, MATCH($D1142, Pack_Master!$A:$A, 0)) )
  + VALUE( INDEX(Pack_Master!$D:$D, MATCH($D1142, Pack_Master!$A:$A, 0)) ),
"")
</f>
        <v>2</v>
      </c>
      <c r="G1142" s="17">
        <f t="array" ref="G1142">IFERROR(
 ( INDEX(Pack_Master!E:E, MATCH($D1142, Pack_Master!A:A, 0))
   * INDEX(Pack_Master!F:F, MATCH($D1142, Pack_Master!A:A, 0))
   * INDEX(Pack_Master!G:G, MATCH($D1142, Pack_Master!A:A, 0))
 ) / INDEX(Config!C:C, MATCH($A1142, Config!A:A, 0)),
"")
</f>
        <v>0.375</v>
      </c>
      <c r="H1142" s="17">
        <f t="array" ref="H1142">MAX( INDEX(Pack_Master!H:H, MATCH($D1142, Pack_Master!A:A, 0)),
      IFERROR(G1142, 0) )
</f>
        <v>0.5</v>
      </c>
      <c r="I1142" s="18">
        <f>IFERROR(__xludf.DUMMYFUNCTION("IFERROR(
 INDEX(
   FILTER(Shipping_Rate_Card!B:F, Shipping_Rate_Card!A:A=$A1142),
   MATCH($H1142, FILTER(Shipping_Rate_Card!B:B, Shipping_Rate_Card!A:A=$A1142), 1),
   IF( INDEX(Config!B:B, MATCH($A1142, Config!A:A, 0))=""Local"", 2,
     IF( INDEX(Conf"&amp;"ig!B:B, MATCH($A1142, Config!A:A, 0))=""Regional"", 3, 4 )
   )
 ),
"""")
"),80.0)</f>
        <v>80</v>
      </c>
      <c r="J1142" s="16">
        <f>IFERROR(__xludf.DUMMYFUNCTION("IFERROR(
 ( E1142 * INDEX(FILTER(Pricing_Rules!E:E, Pricing_Rules!A:A=A1142, Pricing_Rules!B:B=B1142, Pricing_Rules!C:C&lt;=E1142, Pricing_Rules!D:D&gt;=E1142), 1)
   + INDEX(FILTER(Pricing_Rules!F:F, Pricing_Rules!A:A=A1142, Pricing_Rules!B:B=B1142, Pricing_Ru"&amp;"les!C:C&lt;=E1142, Pricing_Rules!D:D&gt;=E1142), 1)
 )
 * (1 + IFERROR( INDEX(Config!D:D, MATCH(A1142, Config!A:A, 0)), 0 )),
"""")
"),0.0)</f>
        <v>0</v>
      </c>
      <c r="K1142" s="19">
        <f t="shared" si="3"/>
        <v>-82</v>
      </c>
      <c r="L1142" s="20" t="str">
        <f t="shared" si="4"/>
        <v/>
      </c>
    </row>
    <row r="1143" ht="15.75" customHeight="1">
      <c r="A1143" s="9" t="s">
        <v>1717</v>
      </c>
      <c r="B1143" s="12" t="str">
        <f t="array" ref="B1143">XLOOKUP(C1143, Channel_Listings!C:C, Channel_Listings!B:B)
</f>
        <v>Apparel_Caps_Beanies</v>
      </c>
      <c r="C1143" s="23" t="s">
        <v>402</v>
      </c>
      <c r="D1143" s="14" t="str">
        <f t="array" ref="D1143">XLOOKUP(C1143, Channel_Listings!C:C, Channel_Listings!D:D)
</f>
        <v>CAP-PARA-WHITE</v>
      </c>
      <c r="E1143" s="15"/>
      <c r="F1143" s="16">
        <f t="array" ref="F1143">IFERROR(
  VALUE( INDEX(Product_Master!$I:$I,
               MATCH( INDEX(Pack_Master!$B:$B, MATCH($D1143, Pack_Master!$A:$A, 0)),
                      Product_Master!$B:$B, 0)
  )) 
  * VALUE( INDEX(Pack_Master!$C:$C, MATCH($D1143, Pack_Master!$A:$A, 0)) )
  + VALUE( INDEX(Pack_Master!$D:$D, MATCH($D1143, Pack_Master!$A:$A, 0)) ),
"")
</f>
        <v>2</v>
      </c>
      <c r="G1143" s="17">
        <f t="array" ref="G1143">IFERROR(
 ( INDEX(Pack_Master!E:E, MATCH($D1143, Pack_Master!A:A, 0))
   * INDEX(Pack_Master!F:F, MATCH($D1143, Pack_Master!A:A, 0))
   * INDEX(Pack_Master!G:G, MATCH($D1143, Pack_Master!A:A, 0))
 ) / INDEX(Config!C:C, MATCH($A1143, Config!A:A, 0)),
"")
</f>
        <v>0.375</v>
      </c>
      <c r="H1143" s="17">
        <f t="array" ref="H1143">MAX( INDEX(Pack_Master!H:H, MATCH($D1143, Pack_Master!A:A, 0)),
      IFERROR(G1143, 0) )
</f>
        <v>0.5</v>
      </c>
      <c r="I1143" s="18">
        <f>IFERROR(__xludf.DUMMYFUNCTION("IFERROR(
 INDEX(
   FILTER(Shipping_Rate_Card!B:F, Shipping_Rate_Card!A:A=$A1143),
   MATCH($H1143, FILTER(Shipping_Rate_Card!B:B, Shipping_Rate_Card!A:A=$A1143), 1),
   IF( INDEX(Config!B:B, MATCH($A1143, Config!A:A, 0))=""Local"", 2,
     IF( INDEX(Conf"&amp;"ig!B:B, MATCH($A1143, Config!A:A, 0))=""Regional"", 3, 4 )
   )
 ),
"""")
"),80.0)</f>
        <v>80</v>
      </c>
      <c r="J1143" s="16">
        <f>IFERROR(__xludf.DUMMYFUNCTION("IFERROR(
 ( E1143 * INDEX(FILTER(Pricing_Rules!E:E, Pricing_Rules!A:A=A1143, Pricing_Rules!B:B=B1143, Pricing_Rules!C:C&lt;=E1143, Pricing_Rules!D:D&gt;=E1143), 1)
   + INDEX(FILTER(Pricing_Rules!F:F, Pricing_Rules!A:A=A1143, Pricing_Rules!B:B=B1143, Pricing_Ru"&amp;"les!C:C&lt;=E1143, Pricing_Rules!D:D&gt;=E1143), 1)
 )
 * (1 + IFERROR( INDEX(Config!D:D, MATCH(A1143, Config!A:A, 0)), 0 )),
"""")
"),0.0)</f>
        <v>0</v>
      </c>
      <c r="K1143" s="19">
        <f t="shared" si="3"/>
        <v>-82</v>
      </c>
      <c r="L1143" s="20" t="str">
        <f t="shared" si="4"/>
        <v/>
      </c>
    </row>
    <row r="1144" ht="15.75" customHeight="1">
      <c r="A1144" s="9" t="s">
        <v>1717</v>
      </c>
      <c r="B1144" s="12" t="str">
        <f t="array" ref="B1144">XLOOKUP(C1144, Channel_Listings!C:C, Channel_Listings!B:B)
</f>
        <v>Kitchen_Containers</v>
      </c>
      <c r="C1144" s="25" t="s">
        <v>419</v>
      </c>
      <c r="D1144" s="14" t="str">
        <f t="array" ref="D1144">XLOOKUP(C1144, Channel_Listings!C:C, Channel_Listings!D:D)
</f>
        <v>CONTAINER-DELUXE333-PK6</v>
      </c>
      <c r="E1144" s="15"/>
      <c r="F1144" s="16">
        <f t="array" ref="F1144">IFERROR(
  VALUE( INDEX(Product_Master!$I:$I,
               MATCH( INDEX(Pack_Master!$B:$B, MATCH($D1144, Pack_Master!$A:$A, 0)),
                      Product_Master!$B:$B, 0)
  )) 
  * VALUE( INDEX(Pack_Master!$C:$C, MATCH($D1144, Pack_Master!$A:$A, 0)) )
  + VALUE( INDEX(Pack_Master!$D:$D, MATCH($D1144, Pack_Master!$A:$A, 0)) ),
"")
</f>
        <v>193</v>
      </c>
      <c r="G1144" s="17">
        <f t="array" ref="G1144">IFERROR(
 ( INDEX(Pack_Master!E:E, MATCH($D1144, Pack_Master!A:A, 0))
   * INDEX(Pack_Master!F:F, MATCH($D1144, Pack_Master!A:A, 0))
   * INDEX(Pack_Master!G:G, MATCH($D1144, Pack_Master!A:A, 0))
 ) / INDEX(Config!C:C, MATCH($A1144, Config!A:A, 0)),
"")
</f>
        <v>1.6</v>
      </c>
      <c r="H1144" s="17">
        <f t="array" ref="H1144">MAX( INDEX(Pack_Master!H:H, MATCH($D1144, Pack_Master!A:A, 0)),
      IFERROR(G1144, 0) )
</f>
        <v>1.6</v>
      </c>
      <c r="I1144" s="18">
        <f>IFERROR(__xludf.DUMMYFUNCTION("IFERROR(
 INDEX(
   FILTER(Shipping_Rate_Card!B:F, Shipping_Rate_Card!A:A=$A1144),
   MATCH($H1144, FILTER(Shipping_Rate_Card!B:B, Shipping_Rate_Card!A:A=$A1144), 1),
   IF( INDEX(Config!B:B, MATCH($A1144, Config!A:A, 0))=""Local"", 2,
     IF( INDEX(Conf"&amp;"ig!B:B, MATCH($A1144, Config!A:A, 0))=""Regional"", 3, 4 )
   )
 ),
"""")
"),115.0)</f>
        <v>115</v>
      </c>
      <c r="J1144" s="16">
        <f>IFERROR(__xludf.DUMMYFUNCTION("IFERROR(
 ( E1144 * INDEX(FILTER(Pricing_Rules!E:E, Pricing_Rules!A:A=A1144, Pricing_Rules!B:B=B1144, Pricing_Rules!C:C&lt;=E1144, Pricing_Rules!D:D&gt;=E1144), 1)
   + INDEX(FILTER(Pricing_Rules!F:F, Pricing_Rules!A:A=A1144, Pricing_Rules!B:B=B1144, Pricing_Ru"&amp;"les!C:C&lt;=E1144, Pricing_Rules!D:D&gt;=E1144), 1)
 )
 * (1 + IFERROR( INDEX(Config!D:D, MATCH(A1144, Config!A:A, 0)), 0 )),
"""")
"),0.0)</f>
        <v>0</v>
      </c>
      <c r="K1144" s="19">
        <f t="shared" si="3"/>
        <v>-308</v>
      </c>
      <c r="L1144" s="20" t="str">
        <f t="shared" si="4"/>
        <v/>
      </c>
    </row>
    <row r="1145" ht="15.75" customHeight="1">
      <c r="A1145" s="9" t="s">
        <v>1717</v>
      </c>
      <c r="B1145" s="12" t="str">
        <f t="array" ref="B1145">XLOOKUP(C1145, Channel_Listings!C:C, Channel_Listings!B:B)
</f>
        <v>Kitchen_Containers</v>
      </c>
      <c r="C1145" s="25" t="s">
        <v>425</v>
      </c>
      <c r="D1145" s="14" t="str">
        <f t="array" ref="D1145">XLOOKUP(C1145, Channel_Listings!C:C, Channel_Listings!D:D)
</f>
        <v>CONTAINER-DELUXE444-PK6</v>
      </c>
      <c r="E1145" s="15"/>
      <c r="F1145" s="16">
        <f t="array" ref="F1145">IFERROR(
  VALUE( INDEX(Product_Master!$I:$I,
               MATCH( INDEX(Pack_Master!$B:$B, MATCH($D1145, Pack_Master!$A:$A, 0)),
                      Product_Master!$B:$B, 0)
  )) 
  * VALUE( INDEX(Pack_Master!$C:$C, MATCH($D1145, Pack_Master!$A:$A, 0)) )
  + VALUE( INDEX(Pack_Master!$D:$D, MATCH($D1145, Pack_Master!$A:$A, 0)) ),
"")
</f>
        <v>217</v>
      </c>
      <c r="G1145" s="17">
        <f t="array" ref="G1145">IFERROR(
 ( INDEX(Pack_Master!E:E, MATCH($D1145, Pack_Master!A:A, 0))
   * INDEX(Pack_Master!F:F, MATCH($D1145, Pack_Master!A:A, 0))
   * INDEX(Pack_Master!G:G, MATCH($D1145, Pack_Master!A:A, 0))
 ) / INDEX(Config!C:C, MATCH($A1145, Config!A:A, 0)),
"")
</f>
        <v>1.6</v>
      </c>
      <c r="H1145" s="17">
        <f t="array" ref="H1145">MAX( INDEX(Pack_Master!H:H, MATCH($D1145, Pack_Master!A:A, 0)),
      IFERROR(G1145, 0) )
</f>
        <v>1.6</v>
      </c>
      <c r="I1145" s="18">
        <f>IFERROR(__xludf.DUMMYFUNCTION("IFERROR(
 INDEX(
   FILTER(Shipping_Rate_Card!B:F, Shipping_Rate_Card!A:A=$A1145),
   MATCH($H1145, FILTER(Shipping_Rate_Card!B:B, Shipping_Rate_Card!A:A=$A1145), 1),
   IF( INDEX(Config!B:B, MATCH($A1145, Config!A:A, 0))=""Local"", 2,
     IF( INDEX(Conf"&amp;"ig!B:B, MATCH($A1145, Config!A:A, 0))=""Regional"", 3, 4 )
   )
 ),
"""")
"),115.0)</f>
        <v>115</v>
      </c>
      <c r="J1145" s="16">
        <f>IFERROR(__xludf.DUMMYFUNCTION("IFERROR(
 ( E1145 * INDEX(FILTER(Pricing_Rules!E:E, Pricing_Rules!A:A=A1145, Pricing_Rules!B:B=B1145, Pricing_Rules!C:C&lt;=E1145, Pricing_Rules!D:D&gt;=E1145), 1)
   + INDEX(FILTER(Pricing_Rules!F:F, Pricing_Rules!A:A=A1145, Pricing_Rules!B:B=B1145, Pricing_Ru"&amp;"les!C:C&lt;=E1145, Pricing_Rules!D:D&gt;=E1145), 1)
 )
 * (1 + IFERROR( INDEX(Config!D:D, MATCH(A1145, Config!A:A, 0)), 0 )),
"""")
"),0.0)</f>
        <v>0</v>
      </c>
      <c r="K1145" s="19">
        <f t="shared" si="3"/>
        <v>-332</v>
      </c>
      <c r="L1145" s="20" t="str">
        <f t="shared" si="4"/>
        <v/>
      </c>
    </row>
    <row r="1146" ht="15.75" customHeight="1">
      <c r="A1146" s="9" t="s">
        <v>1717</v>
      </c>
      <c r="B1146" s="12" t="str">
        <f t="array" ref="B1146">XLOOKUP(C1146, Channel_Listings!C:C, Channel_Listings!B:B)
</f>
        <v>Kitchen_Containers</v>
      </c>
      <c r="C1146" s="25" t="s">
        <v>431</v>
      </c>
      <c r="D1146" s="14" t="str">
        <f t="array" ref="D1146">XLOOKUP(C1146, Channel_Listings!C:C, Channel_Listings!D:D)
</f>
        <v>CONTAINER-DELUXE555-PK6</v>
      </c>
      <c r="E1146" s="15"/>
      <c r="F1146" s="16">
        <f t="array" ref="F1146">IFERROR(
  VALUE( INDEX(Product_Master!$I:$I,
               MATCH( INDEX(Pack_Master!$B:$B, MATCH($D1146, Pack_Master!$A:$A, 0)),
                      Product_Master!$B:$B, 0)
  )) 
  * VALUE( INDEX(Pack_Master!$C:$C, MATCH($D1146, Pack_Master!$A:$A, 0)) )
  + VALUE( INDEX(Pack_Master!$D:$D, MATCH($D1146, Pack_Master!$A:$A, 0)) ),
"")
</f>
        <v>277</v>
      </c>
      <c r="G1146" s="17">
        <f t="array" ref="G1146">IFERROR(
 ( INDEX(Pack_Master!E:E, MATCH($D1146, Pack_Master!A:A, 0))
   * INDEX(Pack_Master!F:F, MATCH($D1146, Pack_Master!A:A, 0))
   * INDEX(Pack_Master!G:G, MATCH($D1146, Pack_Master!A:A, 0))
 ) / INDEX(Config!C:C, MATCH($A1146, Config!A:A, 0)),
"")
</f>
        <v>1.6</v>
      </c>
      <c r="H1146" s="17">
        <f t="array" ref="H1146">MAX( INDEX(Pack_Master!H:H, MATCH($D1146, Pack_Master!A:A, 0)),
      IFERROR(G1146, 0) )
</f>
        <v>1.6</v>
      </c>
      <c r="I1146" s="18">
        <f>IFERROR(__xludf.DUMMYFUNCTION("IFERROR(
 INDEX(
   FILTER(Shipping_Rate_Card!B:F, Shipping_Rate_Card!A:A=$A1146),
   MATCH($H1146, FILTER(Shipping_Rate_Card!B:B, Shipping_Rate_Card!A:A=$A1146), 1),
   IF( INDEX(Config!B:B, MATCH($A1146, Config!A:A, 0))=""Local"", 2,
     IF( INDEX(Conf"&amp;"ig!B:B, MATCH($A1146, Config!A:A, 0))=""Regional"", 3, 4 )
   )
 ),
"""")
"),115.0)</f>
        <v>115</v>
      </c>
      <c r="J1146" s="16">
        <f>IFERROR(__xludf.DUMMYFUNCTION("IFERROR(
 ( E1146 * INDEX(FILTER(Pricing_Rules!E:E, Pricing_Rules!A:A=A1146, Pricing_Rules!B:B=B1146, Pricing_Rules!C:C&lt;=E1146, Pricing_Rules!D:D&gt;=E1146), 1)
   + INDEX(FILTER(Pricing_Rules!F:F, Pricing_Rules!A:A=A1146, Pricing_Rules!B:B=B1146, Pricing_Ru"&amp;"les!C:C&lt;=E1146, Pricing_Rules!D:D&gt;=E1146), 1)
 )
 * (1 + IFERROR( INDEX(Config!D:D, MATCH(A1146, Config!A:A, 0)), 0 )),
"""")
"),0.0)</f>
        <v>0</v>
      </c>
      <c r="K1146" s="19">
        <f t="shared" si="3"/>
        <v>-392</v>
      </c>
      <c r="L1146" s="20" t="str">
        <f t="shared" si="4"/>
        <v/>
      </c>
    </row>
    <row r="1147" ht="15.75" customHeight="1">
      <c r="A1147" s="9" t="s">
        <v>1717</v>
      </c>
      <c r="B1147" s="12" t="str">
        <f t="array" ref="B1147">XLOOKUP(C1147, Channel_Listings!C:C, Channel_Listings!B:B)
</f>
        <v>Kitchen_Containers</v>
      </c>
      <c r="C1147" s="25" t="s">
        <v>437</v>
      </c>
      <c r="D1147" s="14" t="str">
        <f t="array" ref="D1147">XLOOKUP(C1147, Channel_Listings!C:C, Channel_Listings!D:D)
</f>
        <v>CONTAINER-DELUXE666-PK6</v>
      </c>
      <c r="E1147" s="15"/>
      <c r="F1147" s="16">
        <f t="array" ref="F1147">IFERROR(
  VALUE( INDEX(Product_Master!$I:$I,
               MATCH( INDEX(Pack_Master!$B:$B, MATCH($D1147, Pack_Master!$A:$A, 0)),
                      Product_Master!$B:$B, 0)
  )) 
  * VALUE( INDEX(Pack_Master!$C:$C, MATCH($D1147, Pack_Master!$A:$A, 0)) )
  + VALUE( INDEX(Pack_Master!$D:$D, MATCH($D1147, Pack_Master!$A:$A, 0)) ),
"")
</f>
        <v>361</v>
      </c>
      <c r="G1147" s="17">
        <f t="array" ref="G1147">IFERROR(
 ( INDEX(Pack_Master!E:E, MATCH($D1147, Pack_Master!A:A, 0))
   * INDEX(Pack_Master!F:F, MATCH($D1147, Pack_Master!A:A, 0))
   * INDEX(Pack_Master!G:G, MATCH($D1147, Pack_Master!A:A, 0))
 ) / INDEX(Config!C:C, MATCH($A1147, Config!A:A, 0)),
"")
</f>
        <v>1.6</v>
      </c>
      <c r="H1147" s="17">
        <f t="array" ref="H1147">MAX( INDEX(Pack_Master!H:H, MATCH($D1147, Pack_Master!A:A, 0)),
      IFERROR(G1147, 0) )
</f>
        <v>1.6</v>
      </c>
      <c r="I1147" s="18">
        <f>IFERROR(__xludf.DUMMYFUNCTION("IFERROR(
 INDEX(
   FILTER(Shipping_Rate_Card!B:F, Shipping_Rate_Card!A:A=$A1147),
   MATCH($H1147, FILTER(Shipping_Rate_Card!B:B, Shipping_Rate_Card!A:A=$A1147), 1),
   IF( INDEX(Config!B:B, MATCH($A1147, Config!A:A, 0))=""Local"", 2,
     IF( INDEX(Conf"&amp;"ig!B:B, MATCH($A1147, Config!A:A, 0))=""Regional"", 3, 4 )
   )
 ),
"""")
"),115.0)</f>
        <v>115</v>
      </c>
      <c r="J1147" s="16">
        <f>IFERROR(__xludf.DUMMYFUNCTION("IFERROR(
 ( E1147 * INDEX(FILTER(Pricing_Rules!E:E, Pricing_Rules!A:A=A1147, Pricing_Rules!B:B=B1147, Pricing_Rules!C:C&lt;=E1147, Pricing_Rules!D:D&gt;=E1147), 1)
   + INDEX(FILTER(Pricing_Rules!F:F, Pricing_Rules!A:A=A1147, Pricing_Rules!B:B=B1147, Pricing_Ru"&amp;"les!C:C&lt;=E1147, Pricing_Rules!D:D&gt;=E1147), 1)
 )
 * (1 + IFERROR( INDEX(Config!D:D, MATCH(A1147, Config!A:A, 0)), 0 )),
"""")
"),0.0)</f>
        <v>0</v>
      </c>
      <c r="K1147" s="19">
        <f t="shared" si="3"/>
        <v>-476</v>
      </c>
      <c r="L1147" s="20" t="str">
        <f t="shared" si="4"/>
        <v/>
      </c>
    </row>
    <row r="1148" ht="15.75" customHeight="1">
      <c r="A1148" s="9" t="s">
        <v>1717</v>
      </c>
      <c r="B1148" s="12" t="str">
        <f t="array" ref="B1148">XLOOKUP(C1148, Channel_Listings!C:C, Channel_Listings!B:B)
</f>
        <v>Kitchen_Containers</v>
      </c>
      <c r="C1148" s="25" t="s">
        <v>443</v>
      </c>
      <c r="D1148" s="14" t="str">
        <f t="array" ref="D1148">XLOOKUP(C1148, Channel_Listings!C:C, Channel_Listings!D:D)
</f>
        <v>CONTAINER-DELUXE777-PK6</v>
      </c>
      <c r="E1148" s="15"/>
      <c r="F1148" s="16">
        <f t="array" ref="F1148">IFERROR(
  VALUE( INDEX(Product_Master!$I:$I,
               MATCH( INDEX(Pack_Master!$B:$B, MATCH($D1148, Pack_Master!$A:$A, 0)),
                      Product_Master!$B:$B, 0)
  )) 
  * VALUE( INDEX(Pack_Master!$C:$C, MATCH($D1148, Pack_Master!$A:$A, 0)) )
  + VALUE( INDEX(Pack_Master!$D:$D, MATCH($D1148, Pack_Master!$A:$A, 0)) ),
"")
</f>
        <v>487</v>
      </c>
      <c r="G1148" s="17">
        <f t="array" ref="G1148">IFERROR(
 ( INDEX(Pack_Master!E:E, MATCH($D1148, Pack_Master!A:A, 0))
   * INDEX(Pack_Master!F:F, MATCH($D1148, Pack_Master!A:A, 0))
   * INDEX(Pack_Master!G:G, MATCH($D1148, Pack_Master!A:A, 0))
 ) / INDEX(Config!C:C, MATCH($A1148, Config!A:A, 0)),
"")
</f>
        <v>1.6</v>
      </c>
      <c r="H1148" s="17">
        <f t="array" ref="H1148">MAX( INDEX(Pack_Master!H:H, MATCH($D1148, Pack_Master!A:A, 0)),
      IFERROR(G1148, 0) )
</f>
        <v>1.6</v>
      </c>
      <c r="I1148" s="18">
        <f>IFERROR(__xludf.DUMMYFUNCTION("IFERROR(
 INDEX(
   FILTER(Shipping_Rate_Card!B:F, Shipping_Rate_Card!A:A=$A1148),
   MATCH($H1148, FILTER(Shipping_Rate_Card!B:B, Shipping_Rate_Card!A:A=$A1148), 1),
   IF( INDEX(Config!B:B, MATCH($A1148, Config!A:A, 0))=""Local"", 2,
     IF( INDEX(Conf"&amp;"ig!B:B, MATCH($A1148, Config!A:A, 0))=""Regional"", 3, 4 )
   )
 ),
"""")
"),115.0)</f>
        <v>115</v>
      </c>
      <c r="J1148" s="16">
        <f>IFERROR(__xludf.DUMMYFUNCTION("IFERROR(
 ( E1148 * INDEX(FILTER(Pricing_Rules!E:E, Pricing_Rules!A:A=A1148, Pricing_Rules!B:B=B1148, Pricing_Rules!C:C&lt;=E1148, Pricing_Rules!D:D&gt;=E1148), 1)
   + INDEX(FILTER(Pricing_Rules!F:F, Pricing_Rules!A:A=A1148, Pricing_Rules!B:B=B1148, Pricing_Ru"&amp;"les!C:C&lt;=E1148, Pricing_Rules!D:D&gt;=E1148), 1)
 )
 * (1 + IFERROR( INDEX(Config!D:D, MATCH(A1148, Config!A:A, 0)), 0 )),
"""")
"),0.0)</f>
        <v>0</v>
      </c>
      <c r="K1148" s="19">
        <f t="shared" si="3"/>
        <v>-602</v>
      </c>
      <c r="L1148" s="20" t="str">
        <f t="shared" si="4"/>
        <v/>
      </c>
    </row>
    <row r="1149" ht="15.75" customHeight="1">
      <c r="A1149" s="9" t="s">
        <v>1717</v>
      </c>
      <c r="B1149" s="12" t="str">
        <f t="array" ref="B1149">XLOOKUP(C1149, Channel_Listings!C:C, Channel_Listings!B:B)
</f>
        <v>Kitchen_Containers</v>
      </c>
      <c r="C1149" s="25" t="s">
        <v>449</v>
      </c>
      <c r="D1149" s="14" t="str">
        <f t="array" ref="D1149">XLOOKUP(C1149, Channel_Listings!C:C, Channel_Listings!D:D)
</f>
        <v>CONTAINER-DELUXE888-PK6</v>
      </c>
      <c r="E1149" s="15"/>
      <c r="F1149" s="16">
        <f t="array" ref="F1149">IFERROR(
  VALUE( INDEX(Product_Master!$I:$I,
               MATCH( INDEX(Pack_Master!$B:$B, MATCH($D1149, Pack_Master!$A:$A, 0)),
                      Product_Master!$B:$B, 0)
  )) 
  * VALUE( INDEX(Pack_Master!$C:$C, MATCH($D1149, Pack_Master!$A:$A, 0)) )
  + VALUE( INDEX(Pack_Master!$D:$D, MATCH($D1149, Pack_Master!$A:$A, 0)) ),
"")
</f>
        <v>709</v>
      </c>
      <c r="G1149" s="17">
        <f t="array" ref="G1149">IFERROR(
 ( INDEX(Pack_Master!E:E, MATCH($D1149, Pack_Master!A:A, 0))
   * INDEX(Pack_Master!F:F, MATCH($D1149, Pack_Master!A:A, 0))
   * INDEX(Pack_Master!G:G, MATCH($D1149, Pack_Master!A:A, 0))
 ) / INDEX(Config!C:C, MATCH($A1149, Config!A:A, 0)),
"")
</f>
        <v>1.6</v>
      </c>
      <c r="H1149" s="17">
        <f t="array" ref="H1149">MAX( INDEX(Pack_Master!H:H, MATCH($D1149, Pack_Master!A:A, 0)),
      IFERROR(G1149, 0) )
</f>
        <v>1.6</v>
      </c>
      <c r="I1149" s="18">
        <f>IFERROR(__xludf.DUMMYFUNCTION("IFERROR(
 INDEX(
   FILTER(Shipping_Rate_Card!B:F, Shipping_Rate_Card!A:A=$A1149),
   MATCH($H1149, FILTER(Shipping_Rate_Card!B:B, Shipping_Rate_Card!A:A=$A1149), 1),
   IF( INDEX(Config!B:B, MATCH($A1149, Config!A:A, 0))=""Local"", 2,
     IF( INDEX(Conf"&amp;"ig!B:B, MATCH($A1149, Config!A:A, 0))=""Regional"", 3, 4 )
   )
 ),
"""")
"),115.0)</f>
        <v>115</v>
      </c>
      <c r="J1149" s="16">
        <f>IFERROR(__xludf.DUMMYFUNCTION("IFERROR(
 ( E1149 * INDEX(FILTER(Pricing_Rules!E:E, Pricing_Rules!A:A=A1149, Pricing_Rules!B:B=B1149, Pricing_Rules!C:C&lt;=E1149, Pricing_Rules!D:D&gt;=E1149), 1)
   + INDEX(FILTER(Pricing_Rules!F:F, Pricing_Rules!A:A=A1149, Pricing_Rules!B:B=B1149, Pricing_Ru"&amp;"les!C:C&lt;=E1149, Pricing_Rules!D:D&gt;=E1149), 1)
 )
 * (1 + IFERROR( INDEX(Config!D:D, MATCH(A1149, Config!A:A, 0)), 0 )),
"""")
"),0.0)</f>
        <v>0</v>
      </c>
      <c r="K1149" s="19">
        <f t="shared" si="3"/>
        <v>-824</v>
      </c>
      <c r="L1149" s="20" t="str">
        <f t="shared" si="4"/>
        <v/>
      </c>
    </row>
    <row r="1150" ht="15.75" customHeight="1">
      <c r="A1150" s="9" t="s">
        <v>1717</v>
      </c>
      <c r="B1150" s="12" t="str">
        <f t="array" ref="B1150">XLOOKUP(C1150, Channel_Listings!C:C, Channel_Listings!B:B)
</f>
        <v>Garden_Planters</v>
      </c>
      <c r="C1150" s="22" t="s">
        <v>902</v>
      </c>
      <c r="D1150" s="14" t="str">
        <f t="array" ref="D1150">XLOOKUP(C1150, Channel_Listings!C:C, Channel_Listings!D:D)
</f>
        <v>PLANTER-BROWN-SQUARE-ORCHID10-PK2</v>
      </c>
      <c r="E1150" s="15"/>
      <c r="F1150" s="16">
        <f t="array" ref="F1150">IFERROR(
  VALUE( INDEX(Product_Master!$I:$I,
               MATCH( INDEX(Pack_Master!$B:$B, MATCH($D1150, Pack_Master!$A:$A, 0)),
                      Product_Master!$B:$B, 0)
  )) 
  * VALUE( INDEX(Pack_Master!$C:$C, MATCH($D1150, Pack_Master!$A:$A, 0)) )
  + VALUE( INDEX(Pack_Master!$D:$D, MATCH($D1150, Pack_Master!$A:$A, 0)) ),
"")
</f>
        <v>165</v>
      </c>
      <c r="G1150" s="17">
        <f t="array" ref="G1150">IFERROR(
 ( INDEX(Pack_Master!E:E, MATCH($D1150, Pack_Master!A:A, 0))
   * INDEX(Pack_Master!F:F, MATCH($D1150, Pack_Master!A:A, 0))
   * INDEX(Pack_Master!G:G, MATCH($D1150, Pack_Master!A:A, 0))
 ) / INDEX(Config!C:C, MATCH($A1150, Config!A:A, 0)),
"")
</f>
        <v>3.125</v>
      </c>
      <c r="H1150" s="17">
        <f t="array" ref="H1150">MAX( INDEX(Pack_Master!H:H, MATCH($D1150, Pack_Master!A:A, 0)),
      IFERROR(G1150, 0) )
</f>
        <v>3.125</v>
      </c>
      <c r="I1150" s="18">
        <f>IFERROR(__xludf.DUMMYFUNCTION("IFERROR(
 INDEX(
   FILTER(Shipping_Rate_Card!B:F, Shipping_Rate_Card!A:A=$A1150),
   MATCH($H1150, FILTER(Shipping_Rate_Card!B:B, Shipping_Rate_Card!A:A=$A1150), 1),
   IF( INDEX(Config!B:B, MATCH($A1150, Config!A:A, 0))=""Local"", 2,
     IF( INDEX(Conf"&amp;"ig!B:B, MATCH($A1150, Config!A:A, 0))=""Regional"", 3, 4 )
   )
 ),
"""")
"),160.0)</f>
        <v>160</v>
      </c>
      <c r="J1150" s="16">
        <f>IFERROR(__xludf.DUMMYFUNCTION("IFERROR(
 ( E1150 * INDEX(FILTER(Pricing_Rules!E:E, Pricing_Rules!A:A=A1150, Pricing_Rules!B:B=B1150, Pricing_Rules!C:C&lt;=E1150, Pricing_Rules!D:D&gt;=E1150), 1)
   + INDEX(FILTER(Pricing_Rules!F:F, Pricing_Rules!A:A=A1150, Pricing_Rules!B:B=B1150, Pricing_Ru"&amp;"les!C:C&lt;=E1150, Pricing_Rules!D:D&gt;=E1150), 1)
 )
 * (1 + IFERROR( INDEX(Config!D:D, MATCH(A1150, Config!A:A, 0)), 0 )),
"""")
"),0.0)</f>
        <v>0</v>
      </c>
      <c r="K1150" s="19">
        <f t="shared" si="3"/>
        <v>-325</v>
      </c>
      <c r="L1150" s="20" t="str">
        <f t="shared" si="4"/>
        <v/>
      </c>
    </row>
    <row r="1151" ht="15.75" customHeight="1">
      <c r="A1151" s="9" t="s">
        <v>1717</v>
      </c>
      <c r="B1151" s="12" t="str">
        <f t="array" ref="B1151">XLOOKUP(C1151, Channel_Listings!C:C, Channel_Listings!B:B)
</f>
        <v>Garden_Planters</v>
      </c>
      <c r="C1151" s="22" t="s">
        <v>905</v>
      </c>
      <c r="D1151" s="14" t="str">
        <f t="array" ref="D1151">XLOOKUP(C1151, Channel_Listings!C:C, Channel_Listings!D:D)
</f>
        <v>PLANTER-BROWN-SQUARE-ORCHID10-PK4</v>
      </c>
      <c r="E1151" s="15"/>
      <c r="F1151" s="16">
        <f t="array" ref="F1151">IFERROR(
  VALUE( INDEX(Product_Master!$I:$I,
               MATCH( INDEX(Pack_Master!$B:$B, MATCH($D1151, Pack_Master!$A:$A, 0)),
                      Product_Master!$B:$B, 0)
  )) 
  * VALUE( INDEX(Pack_Master!$C:$C, MATCH($D1151, Pack_Master!$A:$A, 0)) )
  + VALUE( INDEX(Pack_Master!$D:$D, MATCH($D1151, Pack_Master!$A:$A, 0)) ),
"")
</f>
        <v>280</v>
      </c>
      <c r="G1151" s="17">
        <f t="array" ref="G1151">IFERROR(
 ( INDEX(Pack_Master!E:E, MATCH($D1151, Pack_Master!A:A, 0))
   * INDEX(Pack_Master!F:F, MATCH($D1151, Pack_Master!A:A, 0))
   * INDEX(Pack_Master!G:G, MATCH($D1151, Pack_Master!A:A, 0))
 ) / INDEX(Config!C:C, MATCH($A1151, Config!A:A, 0)),
"")
</f>
        <v>3.75</v>
      </c>
      <c r="H1151" s="17">
        <f t="array" ref="H1151">MAX( INDEX(Pack_Master!H:H, MATCH($D1151, Pack_Master!A:A, 0)),
      IFERROR(G1151, 0) )
</f>
        <v>3.75</v>
      </c>
      <c r="I1151" s="18">
        <f>IFERROR(__xludf.DUMMYFUNCTION("IFERROR(
 INDEX(
   FILTER(Shipping_Rate_Card!B:F, Shipping_Rate_Card!A:A=$A1151),
   MATCH($H1151, FILTER(Shipping_Rate_Card!B:B, Shipping_Rate_Card!A:A=$A1151), 1),
   IF( INDEX(Config!B:B, MATCH($A1151, Config!A:A, 0))=""Local"", 2,
     IF( INDEX(Conf"&amp;"ig!B:B, MATCH($A1151, Config!A:A, 0))=""Regional"", 3, 4 )
   )
 ),
"""")
"),160.0)</f>
        <v>160</v>
      </c>
      <c r="J1151" s="16">
        <f>IFERROR(__xludf.DUMMYFUNCTION("IFERROR(
 ( E1151 * INDEX(FILTER(Pricing_Rules!E:E, Pricing_Rules!A:A=A1151, Pricing_Rules!B:B=B1151, Pricing_Rules!C:C&lt;=E1151, Pricing_Rules!D:D&gt;=E1151), 1)
   + INDEX(FILTER(Pricing_Rules!F:F, Pricing_Rules!A:A=A1151, Pricing_Rules!B:B=B1151, Pricing_Ru"&amp;"les!C:C&lt;=E1151, Pricing_Rules!D:D&gt;=E1151), 1)
 )
 * (1 + IFERROR( INDEX(Config!D:D, MATCH(A1151, Config!A:A, 0)), 0 )),
"""")
"),0.0)</f>
        <v>0</v>
      </c>
      <c r="K1151" s="19">
        <f t="shared" si="3"/>
        <v>-440</v>
      </c>
      <c r="L1151" s="20" t="str">
        <f t="shared" si="4"/>
        <v/>
      </c>
    </row>
    <row r="1152" ht="15.75" customHeight="1">
      <c r="A1152" s="9" t="s">
        <v>1717</v>
      </c>
      <c r="B1152" s="12" t="str">
        <f t="array" ref="B1152">XLOOKUP(C1152, Channel_Listings!C:C, Channel_Listings!B:B)
</f>
        <v>Garden_Planters</v>
      </c>
      <c r="C1152" s="22" t="s">
        <v>908</v>
      </c>
      <c r="D1152" s="14" t="str">
        <f t="array" ref="D1152">XLOOKUP(C1152, Channel_Listings!C:C, Channel_Listings!D:D)
</f>
        <v>PLANTER-BROWN-SQUARE-ORCHID10-PK8</v>
      </c>
      <c r="E1152" s="15"/>
      <c r="F1152" s="16">
        <f t="array" ref="F1152">IFERROR(
  VALUE( INDEX(Product_Master!$I:$I,
               MATCH( INDEX(Pack_Master!$B:$B, MATCH($D1152, Pack_Master!$A:$A, 0)),
                      Product_Master!$B:$B, 0)
  )) 
  * VALUE( INDEX(Pack_Master!$C:$C, MATCH($D1152, Pack_Master!$A:$A, 0)) )
  + VALUE( INDEX(Pack_Master!$D:$D, MATCH($D1152, Pack_Master!$A:$A, 0)) ),
"")
</f>
        <v>510</v>
      </c>
      <c r="G1152" s="17">
        <f t="array" ref="G1152">IFERROR(
 ( INDEX(Pack_Master!E:E, MATCH($D1152, Pack_Master!A:A, 0))
   * INDEX(Pack_Master!F:F, MATCH($D1152, Pack_Master!A:A, 0))
   * INDEX(Pack_Master!G:G, MATCH($D1152, Pack_Master!A:A, 0))
 ) / INDEX(Config!C:C, MATCH($A1152, Config!A:A, 0)),
"")
</f>
        <v>5.625</v>
      </c>
      <c r="H1152" s="17">
        <f t="array" ref="H1152">MAX( INDEX(Pack_Master!H:H, MATCH($D1152, Pack_Master!A:A, 0)),
      IFERROR(G1152, 0) )
</f>
        <v>5.625</v>
      </c>
      <c r="I1152" s="18">
        <f>IFERROR(__xludf.DUMMYFUNCTION("IFERROR(
 INDEX(
   FILTER(Shipping_Rate_Card!B:F, Shipping_Rate_Card!A:A=$A1152),
   MATCH($H1152, FILTER(Shipping_Rate_Card!B:B, Shipping_Rate_Card!A:A=$A1152), 1),
   IF( INDEX(Config!B:B, MATCH($A1152, Config!A:A, 0))=""Local"", 2,
     IF( INDEX(Conf"&amp;"ig!B:B, MATCH($A1152, Config!A:A, 0))=""Regional"", 3, 4 )
   )
 ),
"""")
"),210.0)</f>
        <v>210</v>
      </c>
      <c r="J1152" s="16">
        <f>IFERROR(__xludf.DUMMYFUNCTION("IFERROR(
 ( E1152 * INDEX(FILTER(Pricing_Rules!E:E, Pricing_Rules!A:A=A1152, Pricing_Rules!B:B=B1152, Pricing_Rules!C:C&lt;=E1152, Pricing_Rules!D:D&gt;=E1152), 1)
   + INDEX(FILTER(Pricing_Rules!F:F, Pricing_Rules!A:A=A1152, Pricing_Rules!B:B=B1152, Pricing_Ru"&amp;"les!C:C&lt;=E1152, Pricing_Rules!D:D&gt;=E1152), 1)
 )
 * (1 + IFERROR( INDEX(Config!D:D, MATCH(A1152, Config!A:A, 0)), 0 )),
"""")
"),0.0)</f>
        <v>0</v>
      </c>
      <c r="K1152" s="19">
        <f t="shared" si="3"/>
        <v>-720</v>
      </c>
      <c r="L1152" s="20" t="str">
        <f t="shared" si="4"/>
        <v/>
      </c>
    </row>
    <row r="1153" ht="15.75" customHeight="1">
      <c r="A1153" s="9" t="s">
        <v>1717</v>
      </c>
      <c r="B1153" s="12" t="str">
        <f t="array" ref="B1153">XLOOKUP(C1153, Channel_Listings!C:C, Channel_Listings!B:B)
</f>
        <v>Garden_Planters</v>
      </c>
      <c r="C1153" s="22" t="s">
        <v>913</v>
      </c>
      <c r="D1153" s="14" t="str">
        <f t="array" ref="D1153">XLOOKUP(C1153, Channel_Listings!C:C, Channel_Listings!D:D)
</f>
        <v>PLANTER-BROWN-SQUARE-ORCHID12-PK2</v>
      </c>
      <c r="E1153" s="15"/>
      <c r="F1153" s="16">
        <f t="array" ref="F1153">IFERROR(
  VALUE( INDEX(Product_Master!$I:$I,
               MATCH( INDEX(Pack_Master!$B:$B, MATCH($D1153, Pack_Master!$A:$A, 0)),
                      Product_Master!$B:$B, 0)
  )) 
  * VALUE( INDEX(Pack_Master!$C:$C, MATCH($D1153, Pack_Master!$A:$A, 0)) )
  + VALUE( INDEX(Pack_Master!$D:$D, MATCH($D1153, Pack_Master!$A:$A, 0)) ),
"")
</f>
        <v>226</v>
      </c>
      <c r="G1153" s="17">
        <f t="array" ref="G1153">IFERROR(
 ( INDEX(Pack_Master!E:E, MATCH($D1153, Pack_Master!A:A, 0))
   * INDEX(Pack_Master!F:F, MATCH($D1153, Pack_Master!A:A, 0))
   * INDEX(Pack_Master!G:G, MATCH($D1153, Pack_Master!A:A, 0))
 ) / INDEX(Config!C:C, MATCH($A1153, Config!A:A, 0)),
"")
</f>
        <v>5.9582</v>
      </c>
      <c r="H1153" s="17">
        <f t="array" ref="H1153">MAX( INDEX(Pack_Master!H:H, MATCH($D1153, Pack_Master!A:A, 0)),
      IFERROR(G1153, 0) )
</f>
        <v>5.9582</v>
      </c>
      <c r="I1153" s="18">
        <f>IFERROR(__xludf.DUMMYFUNCTION("IFERROR(
 INDEX(
   FILTER(Shipping_Rate_Card!B:F, Shipping_Rate_Card!A:A=$A1153),
   MATCH($H1153, FILTER(Shipping_Rate_Card!B:B, Shipping_Rate_Card!A:A=$A1153), 1),
   IF( INDEX(Config!B:B, MATCH($A1153, Config!A:A, 0))=""Local"", 2,
     IF( INDEX(Conf"&amp;"ig!B:B, MATCH($A1153, Config!A:A, 0))=""Regional"", 3, 4 )
   )
 ),
"""")
"),210.0)</f>
        <v>210</v>
      </c>
      <c r="J1153" s="16">
        <f>IFERROR(__xludf.DUMMYFUNCTION("IFERROR(
 ( E1153 * INDEX(FILTER(Pricing_Rules!E:E, Pricing_Rules!A:A=A1153, Pricing_Rules!B:B=B1153, Pricing_Rules!C:C&lt;=E1153, Pricing_Rules!D:D&gt;=E1153), 1)
   + INDEX(FILTER(Pricing_Rules!F:F, Pricing_Rules!A:A=A1153, Pricing_Rules!B:B=B1153, Pricing_Ru"&amp;"les!C:C&lt;=E1153, Pricing_Rules!D:D&gt;=E1153), 1)
 )
 * (1 + IFERROR( INDEX(Config!D:D, MATCH(A1153, Config!A:A, 0)), 0 )),
"""")
"),0.0)</f>
        <v>0</v>
      </c>
      <c r="K1153" s="19">
        <f t="shared" si="3"/>
        <v>-436</v>
      </c>
      <c r="L1153" s="20" t="str">
        <f t="shared" si="4"/>
        <v/>
      </c>
    </row>
    <row r="1154" ht="15.75" customHeight="1">
      <c r="A1154" s="9" t="s">
        <v>1717</v>
      </c>
      <c r="B1154" s="12" t="str">
        <f t="array" ref="B1154">XLOOKUP(C1154, Channel_Listings!C:C, Channel_Listings!B:B)
</f>
        <v>Garden_Planters</v>
      </c>
      <c r="C1154" s="22" t="s">
        <v>916</v>
      </c>
      <c r="D1154" s="14" t="str">
        <f t="array" ref="D1154">XLOOKUP(C1154, Channel_Listings!C:C, Channel_Listings!D:D)
</f>
        <v>PLANTER-BROWN-SQUARE-ORCHID12-PK4</v>
      </c>
      <c r="E1154" s="15"/>
      <c r="F1154" s="16">
        <f t="array" ref="F1154">IFERROR(
  VALUE( INDEX(Product_Master!$I:$I,
               MATCH( INDEX(Pack_Master!$B:$B, MATCH($D1154, Pack_Master!$A:$A, 0)),
                      Product_Master!$B:$B, 0)
  )) 
  * VALUE( INDEX(Pack_Master!$C:$C, MATCH($D1154, Pack_Master!$A:$A, 0)) )
  + VALUE( INDEX(Pack_Master!$D:$D, MATCH($D1154, Pack_Master!$A:$A, 0)) ),
"")
</f>
        <v>402</v>
      </c>
      <c r="G1154" s="17">
        <f t="array" ref="G1154">IFERROR(
 ( INDEX(Pack_Master!E:E, MATCH($D1154, Pack_Master!A:A, 0))
   * INDEX(Pack_Master!F:F, MATCH($D1154, Pack_Master!A:A, 0))
   * INDEX(Pack_Master!G:G, MATCH($D1154, Pack_Master!A:A, 0))
 ) / INDEX(Config!C:C, MATCH($A1154, Config!A:A, 0)),
"")
</f>
        <v>7.1114</v>
      </c>
      <c r="H1154" s="17">
        <f t="array" ref="H1154">MAX( INDEX(Pack_Master!H:H, MATCH($D1154, Pack_Master!A:A, 0)),
      IFERROR(G1154, 0) )
</f>
        <v>7.1114</v>
      </c>
      <c r="I1154" s="18">
        <f>IFERROR(__xludf.DUMMYFUNCTION("IFERROR(
 INDEX(
   FILTER(Shipping_Rate_Card!B:F, Shipping_Rate_Card!A:A=$A1154),
   MATCH($H1154, FILTER(Shipping_Rate_Card!B:B, Shipping_Rate_Card!A:A=$A1154), 1),
   IF( INDEX(Config!B:B, MATCH($A1154, Config!A:A, 0))=""Local"", 2,
     IF( INDEX(Conf"&amp;"ig!B:B, MATCH($A1154, Config!A:A, 0))=""Regional"", 3, 4 )
   )
 ),
"""")
"),210.0)</f>
        <v>210</v>
      </c>
      <c r="J1154" s="16">
        <f>IFERROR(__xludf.DUMMYFUNCTION("IFERROR(
 ( E1154 * INDEX(FILTER(Pricing_Rules!E:E, Pricing_Rules!A:A=A1154, Pricing_Rules!B:B=B1154, Pricing_Rules!C:C&lt;=E1154, Pricing_Rules!D:D&gt;=E1154), 1)
   + INDEX(FILTER(Pricing_Rules!F:F, Pricing_Rules!A:A=A1154, Pricing_Rules!B:B=B1154, Pricing_Ru"&amp;"les!C:C&lt;=E1154, Pricing_Rules!D:D&gt;=E1154), 1)
 )
 * (1 + IFERROR( INDEX(Config!D:D, MATCH(A1154, Config!A:A, 0)), 0 )),
"""")
"),0.0)</f>
        <v>0</v>
      </c>
      <c r="K1154" s="19">
        <f t="shared" si="3"/>
        <v>-612</v>
      </c>
      <c r="L1154" s="20" t="str">
        <f t="shared" si="4"/>
        <v/>
      </c>
    </row>
    <row r="1155" ht="15.75" customHeight="1">
      <c r="A1155" s="9" t="s">
        <v>1717</v>
      </c>
      <c r="B1155" s="12" t="str">
        <f t="array" ref="B1155">XLOOKUP(C1155, Channel_Listings!C:C, Channel_Listings!B:B)
</f>
        <v>Garden_Planters</v>
      </c>
      <c r="C1155" s="22" t="s">
        <v>919</v>
      </c>
      <c r="D1155" s="14" t="str">
        <f t="array" ref="D1155">XLOOKUP(C1155, Channel_Listings!C:C, Channel_Listings!D:D)
</f>
        <v>PLANTER-BROWN-SQUARE-ORCHID12-PK8</v>
      </c>
      <c r="E1155" s="15"/>
      <c r="F1155" s="16">
        <f t="array" ref="F1155">IFERROR(
  VALUE( INDEX(Product_Master!$I:$I,
               MATCH( INDEX(Pack_Master!$B:$B, MATCH($D1155, Pack_Master!$A:$A, 0)),
                      Product_Master!$B:$B, 0)
  )) 
  * VALUE( INDEX(Pack_Master!$C:$C, MATCH($D1155, Pack_Master!$A:$A, 0)) )
  + VALUE( INDEX(Pack_Master!$D:$D, MATCH($D1155, Pack_Master!$A:$A, 0)) ),
"")
</f>
        <v>754</v>
      </c>
      <c r="G1155" s="17">
        <f t="array" ref="G1155">IFERROR(
 ( INDEX(Pack_Master!E:E, MATCH($D1155, Pack_Master!A:A, 0))
   * INDEX(Pack_Master!F:F, MATCH($D1155, Pack_Master!A:A, 0))
   * INDEX(Pack_Master!G:G, MATCH($D1155, Pack_Master!A:A, 0))
 ) / INDEX(Config!C:C, MATCH($A1155, Config!A:A, 0)),
"")
</f>
        <v>9.4178</v>
      </c>
      <c r="H1155" s="17">
        <f t="array" ref="H1155">MAX( INDEX(Pack_Master!H:H, MATCH($D1155, Pack_Master!A:A, 0)),
      IFERROR(G1155, 0) )
</f>
        <v>9.4178</v>
      </c>
      <c r="I1155" s="18">
        <f>IFERROR(__xludf.DUMMYFUNCTION("IFERROR(
 INDEX(
   FILTER(Shipping_Rate_Card!B:F, Shipping_Rate_Card!A:A=$A1155),
   MATCH($H1155, FILTER(Shipping_Rate_Card!B:B, Shipping_Rate_Card!A:A=$A1155), 1),
   IF( INDEX(Config!B:B, MATCH($A1155, Config!A:A, 0))=""Local"", 2,
     IF( INDEX(Conf"&amp;"ig!B:B, MATCH($A1155, Config!A:A, 0))=""Regional"", 3, 4 )
   )
 ),
"""")
"),210.0)</f>
        <v>210</v>
      </c>
      <c r="J1155" s="16">
        <f>IFERROR(__xludf.DUMMYFUNCTION("IFERROR(
 ( E1155 * INDEX(FILTER(Pricing_Rules!E:E, Pricing_Rules!A:A=A1155, Pricing_Rules!B:B=B1155, Pricing_Rules!C:C&lt;=E1155, Pricing_Rules!D:D&gt;=E1155), 1)
   + INDEX(FILTER(Pricing_Rules!F:F, Pricing_Rules!A:A=A1155, Pricing_Rules!B:B=B1155, Pricing_Ru"&amp;"les!C:C&lt;=E1155, Pricing_Rules!D:D&gt;=E1155), 1)
 )
 * (1 + IFERROR( INDEX(Config!D:D, MATCH(A1155, Config!A:A, 0)), 0 )),
"""")
"),0.0)</f>
        <v>0</v>
      </c>
      <c r="K1155" s="19">
        <f t="shared" si="3"/>
        <v>-964</v>
      </c>
      <c r="L1155" s="20" t="str">
        <f t="shared" si="4"/>
        <v/>
      </c>
    </row>
    <row r="1156" ht="15.75" customHeight="1">
      <c r="A1156" s="9" t="s">
        <v>1717</v>
      </c>
      <c r="B1156" s="12" t="str">
        <f t="array" ref="B1156">XLOOKUP(C1156, Channel_Listings!C:C, Channel_Listings!B:B)
</f>
        <v>Garden_Planters</v>
      </c>
      <c r="C1156" s="22" t="s">
        <v>924</v>
      </c>
      <c r="D1156" s="14" t="str">
        <f t="array" ref="D1156">XLOOKUP(C1156, Channel_Listings!C:C, Channel_Listings!D:D)
</f>
        <v>PLANTER-BROWN-SQUARE-ORCHID8-PK2</v>
      </c>
      <c r="E1156" s="15"/>
      <c r="F1156" s="16">
        <f t="array" ref="F1156">IFERROR(
  VALUE( INDEX(Product_Master!$I:$I,
               MATCH( INDEX(Pack_Master!$B:$B, MATCH($D1156, Pack_Master!$A:$A, 0)),
                      Product_Master!$B:$B, 0)
  )) 
  * VALUE( INDEX(Pack_Master!$C:$C, MATCH($D1156, Pack_Master!$A:$A, 0)) )
  + VALUE( INDEX(Pack_Master!$D:$D, MATCH($D1156, Pack_Master!$A:$A, 0)) ),
"")
</f>
        <v>107</v>
      </c>
      <c r="G1156" s="17">
        <f t="array" ref="G1156">IFERROR(
 ( INDEX(Pack_Master!E:E, MATCH($D1156, Pack_Master!A:A, 0))
   * INDEX(Pack_Master!F:F, MATCH($D1156, Pack_Master!A:A, 0))
   * INDEX(Pack_Master!G:G, MATCH($D1156, Pack_Master!A:A, 0))
 ) / INDEX(Config!C:C, MATCH($A1156, Config!A:A, 0)),
"")
</f>
        <v>1.6</v>
      </c>
      <c r="H1156" s="17">
        <f t="array" ref="H1156">MAX( INDEX(Pack_Master!H:H, MATCH($D1156, Pack_Master!A:A, 0)),
      IFERROR(G1156, 0) )
</f>
        <v>1.6</v>
      </c>
      <c r="I1156" s="18">
        <f>IFERROR(__xludf.DUMMYFUNCTION("IFERROR(
 INDEX(
   FILTER(Shipping_Rate_Card!B:F, Shipping_Rate_Card!A:A=$A1156),
   MATCH($H1156, FILTER(Shipping_Rate_Card!B:B, Shipping_Rate_Card!A:A=$A1156), 1),
   IF( INDEX(Config!B:B, MATCH($A1156, Config!A:A, 0))=""Local"", 2,
     IF( INDEX(Conf"&amp;"ig!B:B, MATCH($A1156, Config!A:A, 0))=""Regional"", 3, 4 )
   )
 ),
"""")
"),115.0)</f>
        <v>115</v>
      </c>
      <c r="J1156" s="16">
        <f>IFERROR(__xludf.DUMMYFUNCTION("IFERROR(
 ( E1156 * INDEX(FILTER(Pricing_Rules!E:E, Pricing_Rules!A:A=A1156, Pricing_Rules!B:B=B1156, Pricing_Rules!C:C&lt;=E1156, Pricing_Rules!D:D&gt;=E1156), 1)
   + INDEX(FILTER(Pricing_Rules!F:F, Pricing_Rules!A:A=A1156, Pricing_Rules!B:B=B1156, Pricing_Ru"&amp;"les!C:C&lt;=E1156, Pricing_Rules!D:D&gt;=E1156), 1)
 )
 * (1 + IFERROR( INDEX(Config!D:D, MATCH(A1156, Config!A:A, 0)), 0 )),
"""")
"),0.0)</f>
        <v>0</v>
      </c>
      <c r="K1156" s="19">
        <f t="shared" si="3"/>
        <v>-222</v>
      </c>
      <c r="L1156" s="20" t="str">
        <f t="shared" si="4"/>
        <v/>
      </c>
    </row>
    <row r="1157" ht="15.75" customHeight="1">
      <c r="A1157" s="9" t="s">
        <v>1717</v>
      </c>
      <c r="B1157" s="12" t="str">
        <f t="array" ref="B1157">XLOOKUP(C1157, Channel_Listings!C:C, Channel_Listings!B:B)
</f>
        <v>Garden_Planters</v>
      </c>
      <c r="C1157" s="22" t="s">
        <v>927</v>
      </c>
      <c r="D1157" s="14" t="str">
        <f t="array" ref="D1157">XLOOKUP(C1157, Channel_Listings!C:C, Channel_Listings!D:D)
</f>
        <v>PLANTER-BROWN-SQUARE-ORCHID8-PK4</v>
      </c>
      <c r="E1157" s="15"/>
      <c r="F1157" s="16">
        <f t="array" ref="F1157">IFERROR(
  VALUE( INDEX(Product_Master!$I:$I,
               MATCH( INDEX(Pack_Master!$B:$B, MATCH($D1157, Pack_Master!$A:$A, 0)),
                      Product_Master!$B:$B, 0)
  )) 
  * VALUE( INDEX(Pack_Master!$C:$C, MATCH($D1157, Pack_Master!$A:$A, 0)) )
  + VALUE( INDEX(Pack_Master!$D:$D, MATCH($D1157, Pack_Master!$A:$A, 0)) ),
"")
</f>
        <v>164</v>
      </c>
      <c r="G1157" s="17">
        <f t="array" ref="G1157">IFERROR(
 ( INDEX(Pack_Master!E:E, MATCH($D1157, Pack_Master!A:A, 0))
   * INDEX(Pack_Master!F:F, MATCH($D1157, Pack_Master!A:A, 0))
   * INDEX(Pack_Master!G:G, MATCH($D1157, Pack_Master!A:A, 0))
 ) / INDEX(Config!C:C, MATCH($A1157, Config!A:A, 0)),
"")
</f>
        <v>1.92</v>
      </c>
      <c r="H1157" s="17">
        <f t="array" ref="H1157">MAX( INDEX(Pack_Master!H:H, MATCH($D1157, Pack_Master!A:A, 0)),
      IFERROR(G1157, 0) )
</f>
        <v>1.92</v>
      </c>
      <c r="I1157" s="18">
        <f>IFERROR(__xludf.DUMMYFUNCTION("IFERROR(
 INDEX(
   FILTER(Shipping_Rate_Card!B:F, Shipping_Rate_Card!A:A=$A1157),
   MATCH($H1157, FILTER(Shipping_Rate_Card!B:B, Shipping_Rate_Card!A:A=$A1157), 1),
   IF( INDEX(Config!B:B, MATCH($A1157, Config!A:A, 0))=""Local"", 2,
     IF( INDEX(Conf"&amp;"ig!B:B, MATCH($A1157, Config!A:A, 0))=""Regional"", 3, 4 )
   )
 ),
"""")
"),115.0)</f>
        <v>115</v>
      </c>
      <c r="J1157" s="16">
        <f>IFERROR(__xludf.DUMMYFUNCTION("IFERROR(
 ( E1157 * INDEX(FILTER(Pricing_Rules!E:E, Pricing_Rules!A:A=A1157, Pricing_Rules!B:B=B1157, Pricing_Rules!C:C&lt;=E1157, Pricing_Rules!D:D&gt;=E1157), 1)
   + INDEX(FILTER(Pricing_Rules!F:F, Pricing_Rules!A:A=A1157, Pricing_Rules!B:B=B1157, Pricing_Ru"&amp;"les!C:C&lt;=E1157, Pricing_Rules!D:D&gt;=E1157), 1)
 )
 * (1 + IFERROR( INDEX(Config!D:D, MATCH(A1157, Config!A:A, 0)), 0 )),
"""")
"),0.0)</f>
        <v>0</v>
      </c>
      <c r="K1157" s="19">
        <f t="shared" si="3"/>
        <v>-279</v>
      </c>
      <c r="L1157" s="20" t="str">
        <f t="shared" si="4"/>
        <v/>
      </c>
    </row>
    <row r="1158" ht="15.75" customHeight="1">
      <c r="A1158" s="9" t="s">
        <v>1717</v>
      </c>
      <c r="B1158" s="12" t="str">
        <f t="array" ref="B1158">XLOOKUP(C1158, Channel_Listings!C:C, Channel_Listings!B:B)
</f>
        <v>Garden_Planters</v>
      </c>
      <c r="C1158" s="22" t="s">
        <v>930</v>
      </c>
      <c r="D1158" s="14" t="str">
        <f t="array" ref="D1158">XLOOKUP(C1158, Channel_Listings!C:C, Channel_Listings!D:D)
</f>
        <v>PLANTER-BROWN-SQUARE-ORCHID8-PK8</v>
      </c>
      <c r="E1158" s="15"/>
      <c r="F1158" s="16">
        <f t="array" ref="F1158">IFERROR(
  VALUE( INDEX(Product_Master!$I:$I,
               MATCH( INDEX(Pack_Master!$B:$B, MATCH($D1158, Pack_Master!$A:$A, 0)),
                      Product_Master!$B:$B, 0)
  )) 
  * VALUE( INDEX(Pack_Master!$C:$C, MATCH($D1158, Pack_Master!$A:$A, 0)) )
  + VALUE( INDEX(Pack_Master!$D:$D, MATCH($D1158, Pack_Master!$A:$A, 0)) ),
"")
</f>
        <v>278</v>
      </c>
      <c r="G1158" s="17">
        <f t="array" ref="G1158">IFERROR(
 ( INDEX(Pack_Master!E:E, MATCH($D1158, Pack_Master!A:A, 0))
   * INDEX(Pack_Master!F:F, MATCH($D1158, Pack_Master!A:A, 0))
   * INDEX(Pack_Master!G:G, MATCH($D1158, Pack_Master!A:A, 0))
 ) / INDEX(Config!C:C, MATCH($A1158, Config!A:A, 0)),
"")
</f>
        <v>2.56</v>
      </c>
      <c r="H1158" s="17">
        <f t="array" ref="H1158">MAX( INDEX(Pack_Master!H:H, MATCH($D1158, Pack_Master!A:A, 0)),
      IFERROR(G1158, 0) )
</f>
        <v>2.56</v>
      </c>
      <c r="I1158" s="18">
        <f>IFERROR(__xludf.DUMMYFUNCTION("IFERROR(
 INDEX(
   FILTER(Shipping_Rate_Card!B:F, Shipping_Rate_Card!A:A=$A1158),
   MATCH($H1158, FILTER(Shipping_Rate_Card!B:B, Shipping_Rate_Card!A:A=$A1158), 1),
   IF( INDEX(Config!B:B, MATCH($A1158, Config!A:A, 0))=""Local"", 2,
     IF( INDEX(Conf"&amp;"ig!B:B, MATCH($A1158, Config!A:A, 0))=""Regional"", 3, 4 )
   )
 ),
"""")
"),130.0)</f>
        <v>130</v>
      </c>
      <c r="J1158" s="16">
        <f>IFERROR(__xludf.DUMMYFUNCTION("IFERROR(
 ( E1158 * INDEX(FILTER(Pricing_Rules!E:E, Pricing_Rules!A:A=A1158, Pricing_Rules!B:B=B1158, Pricing_Rules!C:C&lt;=E1158, Pricing_Rules!D:D&gt;=E1158), 1)
   + INDEX(FILTER(Pricing_Rules!F:F, Pricing_Rules!A:A=A1158, Pricing_Rules!B:B=B1158, Pricing_Ru"&amp;"les!C:C&lt;=E1158, Pricing_Rules!D:D&gt;=E1158), 1)
 )
 * (1 + IFERROR( INDEX(Config!D:D, MATCH(A1158, Config!A:A, 0)), 0 )),
"""")
"),0.0)</f>
        <v>0</v>
      </c>
      <c r="K1158" s="19">
        <f t="shared" si="3"/>
        <v>-408</v>
      </c>
      <c r="L1158" s="20" t="str">
        <f t="shared" si="4"/>
        <v/>
      </c>
    </row>
    <row r="1159" ht="15.75" customHeight="1">
      <c r="A1159" s="9" t="s">
        <v>1717</v>
      </c>
      <c r="B1159" s="12" t="str">
        <f t="array" ref="B1159">XLOOKUP(C1159, Channel_Listings!C:C, Channel_Listings!B:B)
</f>
        <v>Garden_Planters</v>
      </c>
      <c r="C1159" s="22" t="s">
        <v>962</v>
      </c>
      <c r="D1159" s="14" t="str">
        <f t="array" ref="D1159">XLOOKUP(C1159, Channel_Listings!C:C, Channel_Listings!D:D)
</f>
        <v>PLANTER-COLOUR-HOOK-RAJ6-PK2</v>
      </c>
      <c r="E1159" s="15"/>
      <c r="F1159" s="16">
        <f t="array" ref="F1159">IFERROR(
  VALUE( INDEX(Product_Master!$I:$I,
               MATCH( INDEX(Pack_Master!$B:$B, MATCH($D1159, Pack_Master!$A:$A, 0)),
                      Product_Master!$B:$B, 0)
  )) 
  * VALUE( INDEX(Pack_Master!$C:$C, MATCH($D1159, Pack_Master!$A:$A, 0)) )
  + VALUE( INDEX(Pack_Master!$D:$D, MATCH($D1159, Pack_Master!$A:$A, 0)) ),
"")
</f>
        <v>51.96</v>
      </c>
      <c r="G1159" s="17">
        <f t="array" ref="G1159">IFERROR(
 ( INDEX(Pack_Master!E:E, MATCH($D1159, Pack_Master!A:A, 0))
   * INDEX(Pack_Master!F:F, MATCH($D1159, Pack_Master!A:A, 0))
   * INDEX(Pack_Master!G:G, MATCH($D1159, Pack_Master!A:A, 0))
 ) / INDEX(Config!C:C, MATCH($A1159, Config!A:A, 0)),
"")
</f>
        <v>0</v>
      </c>
      <c r="H1159" s="17">
        <f t="array" ref="H1159">MAX( INDEX(Pack_Master!H:H, MATCH($D1159, Pack_Master!A:A, 0)),
      IFERROR(G1159, 0) )
</f>
        <v>0</v>
      </c>
      <c r="I1159" s="18" t="str">
        <f>IFERROR(__xludf.DUMMYFUNCTION("IFERROR(
 INDEX(
   FILTER(Shipping_Rate_Card!B:F, Shipping_Rate_Card!A:A=$A1159),
   MATCH($H1159, FILTER(Shipping_Rate_Card!B:B, Shipping_Rate_Card!A:A=$A1159), 1),
   IF( INDEX(Config!B:B, MATCH($A1159, Config!A:A, 0))=""Local"", 2,
     IF( INDEX(Conf"&amp;"ig!B:B, MATCH($A1159, Config!A:A, 0))=""Regional"", 3, 4 )
   )
 ),
"""")
"),"")</f>
        <v/>
      </c>
      <c r="J1159" s="16">
        <f>IFERROR(__xludf.DUMMYFUNCTION("IFERROR(
 ( E1159 * INDEX(FILTER(Pricing_Rules!E:E, Pricing_Rules!A:A=A1159, Pricing_Rules!B:B=B1159, Pricing_Rules!C:C&lt;=E1159, Pricing_Rules!D:D&gt;=E1159), 1)
   + INDEX(FILTER(Pricing_Rules!F:F, Pricing_Rules!A:A=A1159, Pricing_Rules!B:B=B1159, Pricing_Ru"&amp;"les!C:C&lt;=E1159, Pricing_Rules!D:D&gt;=E1159), 1)
 )
 * (1 + IFERROR( INDEX(Config!D:D, MATCH(A1159, Config!A:A, 0)), 0 )),
"""")
"),0.0)</f>
        <v>0</v>
      </c>
      <c r="K1159" s="19">
        <f t="shared" si="3"/>
        <v>-51.96</v>
      </c>
      <c r="L1159" s="20" t="str">
        <f t="shared" si="4"/>
        <v/>
      </c>
    </row>
    <row r="1160" ht="15.75" customHeight="1">
      <c r="A1160" s="9" t="s">
        <v>1717</v>
      </c>
      <c r="B1160" s="12" t="str">
        <f t="array" ref="B1160">XLOOKUP(C1160, Channel_Listings!C:C, Channel_Listings!B:B)
</f>
        <v>Garden_Planters</v>
      </c>
      <c r="C1160" s="22" t="s">
        <v>963</v>
      </c>
      <c r="D1160" s="14" t="str">
        <f t="array" ref="D1160">XLOOKUP(C1160, Channel_Listings!C:C, Channel_Listings!D:D)
</f>
        <v>PLANTER-COLOUR-HOOK-RAJ6-PK4</v>
      </c>
      <c r="E1160" s="15"/>
      <c r="F1160" s="16">
        <f t="array" ref="F1160">IFERROR(
  VALUE( INDEX(Product_Master!$I:$I,
               MATCH( INDEX(Pack_Master!$B:$B, MATCH($D1160, Pack_Master!$A:$A, 0)),
                      Product_Master!$B:$B, 0)
  )) 
  * VALUE( INDEX(Pack_Master!$C:$C, MATCH($D1160, Pack_Master!$A:$A, 0)) )
  + VALUE( INDEX(Pack_Master!$D:$D, MATCH($D1160, Pack_Master!$A:$A, 0)) ),
"")
</f>
        <v>83.92</v>
      </c>
      <c r="G1160" s="17">
        <f t="array" ref="G1160">IFERROR(
 ( INDEX(Pack_Master!E:E, MATCH($D1160, Pack_Master!A:A, 0))
   * INDEX(Pack_Master!F:F, MATCH($D1160, Pack_Master!A:A, 0))
   * INDEX(Pack_Master!G:G, MATCH($D1160, Pack_Master!A:A, 0))
 ) / INDEX(Config!C:C, MATCH($A1160, Config!A:A, 0)),
"")
</f>
        <v>0</v>
      </c>
      <c r="H1160" s="17">
        <f t="array" ref="H1160">MAX( INDEX(Pack_Master!H:H, MATCH($D1160, Pack_Master!A:A, 0)),
      IFERROR(G1160, 0) )
</f>
        <v>0</v>
      </c>
      <c r="I1160" s="18" t="str">
        <f>IFERROR(__xludf.DUMMYFUNCTION("IFERROR(
 INDEX(
   FILTER(Shipping_Rate_Card!B:F, Shipping_Rate_Card!A:A=$A1160),
   MATCH($H1160, FILTER(Shipping_Rate_Card!B:B, Shipping_Rate_Card!A:A=$A1160), 1),
   IF( INDEX(Config!B:B, MATCH($A1160, Config!A:A, 0))=""Local"", 2,
     IF( INDEX(Conf"&amp;"ig!B:B, MATCH($A1160, Config!A:A, 0))=""Regional"", 3, 4 )
   )
 ),
"""")
"),"")</f>
        <v/>
      </c>
      <c r="J1160" s="16">
        <f>IFERROR(__xludf.DUMMYFUNCTION("IFERROR(
 ( E1160 * INDEX(FILTER(Pricing_Rules!E:E, Pricing_Rules!A:A=A1160, Pricing_Rules!B:B=B1160, Pricing_Rules!C:C&lt;=E1160, Pricing_Rules!D:D&gt;=E1160), 1)
   + INDEX(FILTER(Pricing_Rules!F:F, Pricing_Rules!A:A=A1160, Pricing_Rules!B:B=B1160, Pricing_Ru"&amp;"les!C:C&lt;=E1160, Pricing_Rules!D:D&gt;=E1160), 1)
 )
 * (1 + IFERROR( INDEX(Config!D:D, MATCH(A1160, Config!A:A, 0)), 0 )),
"""")
"),0.0)</f>
        <v>0</v>
      </c>
      <c r="K1160" s="19">
        <f t="shared" si="3"/>
        <v>-83.92</v>
      </c>
      <c r="L1160" s="20" t="str">
        <f t="shared" si="4"/>
        <v/>
      </c>
    </row>
    <row r="1161" ht="15.75" customHeight="1">
      <c r="A1161" s="9" t="s">
        <v>1717</v>
      </c>
      <c r="B1161" s="12" t="str">
        <f t="array" ref="B1161">XLOOKUP(C1161, Channel_Listings!C:C, Channel_Listings!B:B)
</f>
        <v>Garden_Planters</v>
      </c>
      <c r="C1161" s="22" t="s">
        <v>1723</v>
      </c>
      <c r="D1161" s="14" t="str">
        <f t="array" ref="D1161">XLOOKUP(C1161, Channel_Listings!C:C, Channel_Listings!D:D)
</f>
        <v>PLANTER-COLOUR-HOOK-RAJ6-PK6</v>
      </c>
      <c r="E1161" s="15"/>
      <c r="F1161" s="16">
        <f t="array" ref="F1161">IFERROR(
  VALUE( INDEX(Product_Master!$I:$I,
               MATCH( INDEX(Pack_Master!$B:$B, MATCH($D1161, Pack_Master!$A:$A, 0)),
                      Product_Master!$B:$B, 0)
  )) 
  * VALUE( INDEX(Pack_Master!$C:$C, MATCH($D1161, Pack_Master!$A:$A, 0)) )
  + VALUE( INDEX(Pack_Master!$D:$D, MATCH($D1161, Pack_Master!$A:$A, 0)) ),
"")
</f>
        <v>115.88</v>
      </c>
      <c r="G1161" s="17">
        <f t="array" ref="G1161">IFERROR(
 ( INDEX(Pack_Master!E:E, MATCH($D1161, Pack_Master!A:A, 0))
   * INDEX(Pack_Master!F:F, MATCH($D1161, Pack_Master!A:A, 0))
   * INDEX(Pack_Master!G:G, MATCH($D1161, Pack_Master!A:A, 0))
 ) / INDEX(Config!C:C, MATCH($A1161, Config!A:A, 0)),
"")
</f>
        <v>0</v>
      </c>
      <c r="H1161" s="17">
        <f t="array" ref="H1161">MAX( INDEX(Pack_Master!H:H, MATCH($D1161, Pack_Master!A:A, 0)),
      IFERROR(G1161, 0) )
</f>
        <v>0</v>
      </c>
      <c r="I1161" s="18" t="str">
        <f>IFERROR(__xludf.DUMMYFUNCTION("IFERROR(
 INDEX(
   FILTER(Shipping_Rate_Card!B:F, Shipping_Rate_Card!A:A=$A1161),
   MATCH($H1161, FILTER(Shipping_Rate_Card!B:B, Shipping_Rate_Card!A:A=$A1161), 1),
   IF( INDEX(Config!B:B, MATCH($A1161, Config!A:A, 0))=""Local"", 2,
     IF( INDEX(Conf"&amp;"ig!B:B, MATCH($A1161, Config!A:A, 0))=""Regional"", 3, 4 )
   )
 ),
"""")
"),"")</f>
        <v/>
      </c>
      <c r="J1161" s="16">
        <f>IFERROR(__xludf.DUMMYFUNCTION("IFERROR(
 ( E1161 * INDEX(FILTER(Pricing_Rules!E:E, Pricing_Rules!A:A=A1161, Pricing_Rules!B:B=B1161, Pricing_Rules!C:C&lt;=E1161, Pricing_Rules!D:D&gt;=E1161), 1)
   + INDEX(FILTER(Pricing_Rules!F:F, Pricing_Rules!A:A=A1161, Pricing_Rules!B:B=B1161, Pricing_Ru"&amp;"les!C:C&lt;=E1161, Pricing_Rules!D:D&gt;=E1161), 1)
 )
 * (1 + IFERROR( INDEX(Config!D:D, MATCH(A1161, Config!A:A, 0)), 0 )),
"""")
"),0.0)</f>
        <v>0</v>
      </c>
      <c r="K1161" s="19">
        <f t="shared" si="3"/>
        <v>-115.88</v>
      </c>
      <c r="L1161" s="20" t="str">
        <f t="shared" si="4"/>
        <v/>
      </c>
    </row>
    <row r="1162" ht="15.75" customHeight="1">
      <c r="A1162" s="9" t="s">
        <v>1717</v>
      </c>
      <c r="B1162" s="12" t="str">
        <f t="array" ref="B1162">XLOOKUP(C1162, Channel_Listings!C:C, Channel_Listings!B:B)
</f>
        <v>Garden_Planters</v>
      </c>
      <c r="C1162" s="22" t="s">
        <v>966</v>
      </c>
      <c r="D1162" s="14" t="str">
        <f t="array" ref="D1162">XLOOKUP(C1162, Channel_Listings!C:C, Channel_Listings!D:D)
</f>
        <v>PLANTER-COLOUR-HOOK-RAJ7-PK2</v>
      </c>
      <c r="E1162" s="15"/>
      <c r="F1162" s="16">
        <f t="array" ref="F1162">IFERROR(
  VALUE( INDEX(Product_Master!$I:$I,
               MATCH( INDEX(Pack_Master!$B:$B, MATCH($D1162, Pack_Master!$A:$A, 0)),
                      Product_Master!$B:$B, 0)
  )) 
  * VALUE( INDEX(Pack_Master!$C:$C, MATCH($D1162, Pack_Master!$A:$A, 0)) )
  + VALUE( INDEX(Pack_Master!$D:$D, MATCH($D1162, Pack_Master!$A:$A, 0)) ),
"")
</f>
        <v>68.48</v>
      </c>
      <c r="G1162" s="17">
        <f t="array" ref="G1162">IFERROR(
 ( INDEX(Pack_Master!E:E, MATCH($D1162, Pack_Master!A:A, 0))
   * INDEX(Pack_Master!F:F, MATCH($D1162, Pack_Master!A:A, 0))
   * INDEX(Pack_Master!G:G, MATCH($D1162, Pack_Master!A:A, 0))
 ) / INDEX(Config!C:C, MATCH($A1162, Config!A:A, 0)),
"")
</f>
        <v>0</v>
      </c>
      <c r="H1162" s="17">
        <f t="array" ref="H1162">MAX( INDEX(Pack_Master!H:H, MATCH($D1162, Pack_Master!A:A, 0)),
      IFERROR(G1162, 0) )
</f>
        <v>0</v>
      </c>
      <c r="I1162" s="18" t="str">
        <f>IFERROR(__xludf.DUMMYFUNCTION("IFERROR(
 INDEX(
   FILTER(Shipping_Rate_Card!B:F, Shipping_Rate_Card!A:A=$A1162),
   MATCH($H1162, FILTER(Shipping_Rate_Card!B:B, Shipping_Rate_Card!A:A=$A1162), 1),
   IF( INDEX(Config!B:B, MATCH($A1162, Config!A:A, 0))=""Local"", 2,
     IF( INDEX(Conf"&amp;"ig!B:B, MATCH($A1162, Config!A:A, 0))=""Regional"", 3, 4 )
   )
 ),
"""")
"),"")</f>
        <v/>
      </c>
      <c r="J1162" s="16">
        <f>IFERROR(__xludf.DUMMYFUNCTION("IFERROR(
 ( E1162 * INDEX(FILTER(Pricing_Rules!E:E, Pricing_Rules!A:A=A1162, Pricing_Rules!B:B=B1162, Pricing_Rules!C:C&lt;=E1162, Pricing_Rules!D:D&gt;=E1162), 1)
   + INDEX(FILTER(Pricing_Rules!F:F, Pricing_Rules!A:A=A1162, Pricing_Rules!B:B=B1162, Pricing_Ru"&amp;"les!C:C&lt;=E1162, Pricing_Rules!D:D&gt;=E1162), 1)
 )
 * (1 + IFERROR( INDEX(Config!D:D, MATCH(A1162, Config!A:A, 0)), 0 )),
"""")
"),0.0)</f>
        <v>0</v>
      </c>
      <c r="K1162" s="19">
        <f t="shared" si="3"/>
        <v>-68.48</v>
      </c>
      <c r="L1162" s="20" t="str">
        <f t="shared" si="4"/>
        <v/>
      </c>
    </row>
    <row r="1163" ht="15.75" customHeight="1">
      <c r="A1163" s="9" t="s">
        <v>1717</v>
      </c>
      <c r="B1163" s="12" t="str">
        <f t="array" ref="B1163">XLOOKUP(C1163, Channel_Listings!C:C, Channel_Listings!B:B)
</f>
        <v>Garden_Planters</v>
      </c>
      <c r="C1163" s="22" t="s">
        <v>967</v>
      </c>
      <c r="D1163" s="14" t="str">
        <f t="array" ref="D1163">XLOOKUP(C1163, Channel_Listings!C:C, Channel_Listings!D:D)
</f>
        <v>PLANTER-COLOUR-HOOK-RAJ7-PK4</v>
      </c>
      <c r="E1163" s="15"/>
      <c r="F1163" s="16">
        <f t="array" ref="F1163">IFERROR(
  VALUE( INDEX(Product_Master!$I:$I,
               MATCH( INDEX(Pack_Master!$B:$B, MATCH($D1163, Pack_Master!$A:$A, 0)),
                      Product_Master!$B:$B, 0)
  )) 
  * VALUE( INDEX(Pack_Master!$C:$C, MATCH($D1163, Pack_Master!$A:$A, 0)) )
  + VALUE( INDEX(Pack_Master!$D:$D, MATCH($D1163, Pack_Master!$A:$A, 0)) ),
"")
</f>
        <v>116.96</v>
      </c>
      <c r="G1163" s="17">
        <f t="array" ref="G1163">IFERROR(
 ( INDEX(Pack_Master!E:E, MATCH($D1163, Pack_Master!A:A, 0))
   * INDEX(Pack_Master!F:F, MATCH($D1163, Pack_Master!A:A, 0))
   * INDEX(Pack_Master!G:G, MATCH($D1163, Pack_Master!A:A, 0))
 ) / INDEX(Config!C:C, MATCH($A1163, Config!A:A, 0)),
"")
</f>
        <v>0</v>
      </c>
      <c r="H1163" s="17">
        <f t="array" ref="H1163">MAX( INDEX(Pack_Master!H:H, MATCH($D1163, Pack_Master!A:A, 0)),
      IFERROR(G1163, 0) )
</f>
        <v>0</v>
      </c>
      <c r="I1163" s="18" t="str">
        <f>IFERROR(__xludf.DUMMYFUNCTION("IFERROR(
 INDEX(
   FILTER(Shipping_Rate_Card!B:F, Shipping_Rate_Card!A:A=$A1163),
   MATCH($H1163, FILTER(Shipping_Rate_Card!B:B, Shipping_Rate_Card!A:A=$A1163), 1),
   IF( INDEX(Config!B:B, MATCH($A1163, Config!A:A, 0))=""Local"", 2,
     IF( INDEX(Conf"&amp;"ig!B:B, MATCH($A1163, Config!A:A, 0))=""Regional"", 3, 4 )
   )
 ),
"""")
"),"")</f>
        <v/>
      </c>
      <c r="J1163" s="16">
        <f>IFERROR(__xludf.DUMMYFUNCTION("IFERROR(
 ( E1163 * INDEX(FILTER(Pricing_Rules!E:E, Pricing_Rules!A:A=A1163, Pricing_Rules!B:B=B1163, Pricing_Rules!C:C&lt;=E1163, Pricing_Rules!D:D&gt;=E1163), 1)
   + INDEX(FILTER(Pricing_Rules!F:F, Pricing_Rules!A:A=A1163, Pricing_Rules!B:B=B1163, Pricing_Ru"&amp;"les!C:C&lt;=E1163, Pricing_Rules!D:D&gt;=E1163), 1)
 )
 * (1 + IFERROR( INDEX(Config!D:D, MATCH(A1163, Config!A:A, 0)), 0 )),
"""")
"),0.0)</f>
        <v>0</v>
      </c>
      <c r="K1163" s="19">
        <f t="shared" si="3"/>
        <v>-116.96</v>
      </c>
      <c r="L1163" s="20" t="str">
        <f t="shared" si="4"/>
        <v/>
      </c>
    </row>
    <row r="1164" ht="15.75" customHeight="1">
      <c r="A1164" s="9" t="s">
        <v>1717</v>
      </c>
      <c r="B1164" s="12" t="str">
        <f t="array" ref="B1164">XLOOKUP(C1164, Channel_Listings!C:C, Channel_Listings!B:B)
</f>
        <v>Garden_Planters</v>
      </c>
      <c r="C1164" s="22" t="s">
        <v>1563</v>
      </c>
      <c r="D1164" s="14" t="str">
        <f t="array" ref="D1164">XLOOKUP(C1164, Channel_Listings!C:C, Channel_Listings!D:D)
</f>
        <v>PLANTER-COLOUR-HOOK-RAJ7-PK6</v>
      </c>
      <c r="E1164" s="15"/>
      <c r="F1164" s="16">
        <f t="array" ref="F1164">IFERROR(
  VALUE( INDEX(Product_Master!$I:$I,
               MATCH( INDEX(Pack_Master!$B:$B, MATCH($D1164, Pack_Master!$A:$A, 0)),
                      Product_Master!$B:$B, 0)
  )) 
  * VALUE( INDEX(Pack_Master!$C:$C, MATCH($D1164, Pack_Master!$A:$A, 0)) )
  + VALUE( INDEX(Pack_Master!$D:$D, MATCH($D1164, Pack_Master!$A:$A, 0)) ),
"")
</f>
        <v>165.44</v>
      </c>
      <c r="G1164" s="17">
        <f t="array" ref="G1164">IFERROR(
 ( INDEX(Pack_Master!E:E, MATCH($D1164, Pack_Master!A:A, 0))
   * INDEX(Pack_Master!F:F, MATCH($D1164, Pack_Master!A:A, 0))
   * INDEX(Pack_Master!G:G, MATCH($D1164, Pack_Master!A:A, 0))
 ) / INDEX(Config!C:C, MATCH($A1164, Config!A:A, 0)),
"")
</f>
        <v>0</v>
      </c>
      <c r="H1164" s="17">
        <f t="array" ref="H1164">MAX( INDEX(Pack_Master!H:H, MATCH($D1164, Pack_Master!A:A, 0)),
      IFERROR(G1164, 0) )
</f>
        <v>0</v>
      </c>
      <c r="I1164" s="18" t="str">
        <f>IFERROR(__xludf.DUMMYFUNCTION("IFERROR(
 INDEX(
   FILTER(Shipping_Rate_Card!B:F, Shipping_Rate_Card!A:A=$A1164),
   MATCH($H1164, FILTER(Shipping_Rate_Card!B:B, Shipping_Rate_Card!A:A=$A1164), 1),
   IF( INDEX(Config!B:B, MATCH($A1164, Config!A:A, 0))=""Local"", 2,
     IF( INDEX(Conf"&amp;"ig!B:B, MATCH($A1164, Config!A:A, 0))=""Regional"", 3, 4 )
   )
 ),
"""")
"),"")</f>
        <v/>
      </c>
      <c r="J1164" s="16">
        <f>IFERROR(__xludf.DUMMYFUNCTION("IFERROR(
 ( E1164 * INDEX(FILTER(Pricing_Rules!E:E, Pricing_Rules!A:A=A1164, Pricing_Rules!B:B=B1164, Pricing_Rules!C:C&lt;=E1164, Pricing_Rules!D:D&gt;=E1164), 1)
   + INDEX(FILTER(Pricing_Rules!F:F, Pricing_Rules!A:A=A1164, Pricing_Rules!B:B=B1164, Pricing_Ru"&amp;"les!C:C&lt;=E1164, Pricing_Rules!D:D&gt;=E1164), 1)
 )
 * (1 + IFERROR( INDEX(Config!D:D, MATCH(A1164, Config!A:A, 0)), 0 )),
"""")
"),0.0)</f>
        <v>0</v>
      </c>
      <c r="K1164" s="19">
        <f t="shared" si="3"/>
        <v>-165.44</v>
      </c>
      <c r="L1164" s="20" t="str">
        <f t="shared" si="4"/>
        <v/>
      </c>
    </row>
    <row r="1165" ht="15.75" customHeight="1">
      <c r="A1165" s="9" t="s">
        <v>1717</v>
      </c>
      <c r="B1165" s="12" t="str">
        <f t="array" ref="B1165">XLOOKUP(C1165, Channel_Listings!C:C, Channel_Listings!B:B)
</f>
        <v>Garden_Planters</v>
      </c>
      <c r="C1165" s="22" t="s">
        <v>970</v>
      </c>
      <c r="D1165" s="14" t="str">
        <f t="array" ref="D1165">XLOOKUP(C1165, Channel_Listings!C:C, Channel_Listings!D:D)
</f>
        <v>PLANTER-COLOUR-HOOK-RAJ9-PK2</v>
      </c>
      <c r="E1165" s="15"/>
      <c r="F1165" s="16">
        <f t="array" ref="F1165">IFERROR(
  VALUE( INDEX(Product_Master!$I:$I,
               MATCH( INDEX(Pack_Master!$B:$B, MATCH($D1165, Pack_Master!$A:$A, 0)),
                      Product_Master!$B:$B, 0)
  )) 
  * VALUE( INDEX(Pack_Master!$C:$C, MATCH($D1165, Pack_Master!$A:$A, 0)) )
  + VALUE( INDEX(Pack_Master!$D:$D, MATCH($D1165, Pack_Master!$A:$A, 0)) ),
"")
</f>
        <v>110.96</v>
      </c>
      <c r="G1165" s="17">
        <f t="array" ref="G1165">IFERROR(
 ( INDEX(Pack_Master!E:E, MATCH($D1165, Pack_Master!A:A, 0))
   * INDEX(Pack_Master!F:F, MATCH($D1165, Pack_Master!A:A, 0))
   * INDEX(Pack_Master!G:G, MATCH($D1165, Pack_Master!A:A, 0))
 ) / INDEX(Config!C:C, MATCH($A1165, Config!A:A, 0)),
"")
</f>
        <v>0</v>
      </c>
      <c r="H1165" s="17">
        <f t="array" ref="H1165">MAX( INDEX(Pack_Master!H:H, MATCH($D1165, Pack_Master!A:A, 0)),
      IFERROR(G1165, 0) )
</f>
        <v>0</v>
      </c>
      <c r="I1165" s="18" t="str">
        <f>IFERROR(__xludf.DUMMYFUNCTION("IFERROR(
 INDEX(
   FILTER(Shipping_Rate_Card!B:F, Shipping_Rate_Card!A:A=$A1165),
   MATCH($H1165, FILTER(Shipping_Rate_Card!B:B, Shipping_Rate_Card!A:A=$A1165), 1),
   IF( INDEX(Config!B:B, MATCH($A1165, Config!A:A, 0))=""Local"", 2,
     IF( INDEX(Conf"&amp;"ig!B:B, MATCH($A1165, Config!A:A, 0))=""Regional"", 3, 4 )
   )
 ),
"""")
"),"")</f>
        <v/>
      </c>
      <c r="J1165" s="16">
        <f>IFERROR(__xludf.DUMMYFUNCTION("IFERROR(
 ( E1165 * INDEX(FILTER(Pricing_Rules!E:E, Pricing_Rules!A:A=A1165, Pricing_Rules!B:B=B1165, Pricing_Rules!C:C&lt;=E1165, Pricing_Rules!D:D&gt;=E1165), 1)
   + INDEX(FILTER(Pricing_Rules!F:F, Pricing_Rules!A:A=A1165, Pricing_Rules!B:B=B1165, Pricing_Ru"&amp;"les!C:C&lt;=E1165, Pricing_Rules!D:D&gt;=E1165), 1)
 )
 * (1 + IFERROR( INDEX(Config!D:D, MATCH(A1165, Config!A:A, 0)), 0 )),
"""")
"),0.0)</f>
        <v>0</v>
      </c>
      <c r="K1165" s="19">
        <f t="shared" si="3"/>
        <v>-110.96</v>
      </c>
      <c r="L1165" s="20" t="str">
        <f t="shared" si="4"/>
        <v/>
      </c>
    </row>
    <row r="1166" ht="15.75" customHeight="1">
      <c r="A1166" s="9" t="s">
        <v>1717</v>
      </c>
      <c r="B1166" s="12" t="str">
        <f t="array" ref="B1166">XLOOKUP(C1166, Channel_Listings!C:C, Channel_Listings!B:B)
</f>
        <v>Garden_Planters</v>
      </c>
      <c r="C1166" s="22" t="s">
        <v>971</v>
      </c>
      <c r="D1166" s="14" t="str">
        <f t="array" ref="D1166">XLOOKUP(C1166, Channel_Listings!C:C, Channel_Listings!D:D)
</f>
        <v>PLANTER-COLOUR-HOOK-RAJ9-PK4</v>
      </c>
      <c r="E1166" s="15"/>
      <c r="F1166" s="16">
        <f t="array" ref="F1166">IFERROR(
  VALUE( INDEX(Product_Master!$I:$I,
               MATCH( INDEX(Pack_Master!$B:$B, MATCH($D1166, Pack_Master!$A:$A, 0)),
                      Product_Master!$B:$B, 0)
  )) 
  * VALUE( INDEX(Pack_Master!$C:$C, MATCH($D1166, Pack_Master!$A:$A, 0)) )
  + VALUE( INDEX(Pack_Master!$D:$D, MATCH($D1166, Pack_Master!$A:$A, 0)) ),
"")
</f>
        <v>201.92</v>
      </c>
      <c r="G1166" s="17">
        <f t="array" ref="G1166">IFERROR(
 ( INDEX(Pack_Master!E:E, MATCH($D1166, Pack_Master!A:A, 0))
   * INDEX(Pack_Master!F:F, MATCH($D1166, Pack_Master!A:A, 0))
   * INDEX(Pack_Master!G:G, MATCH($D1166, Pack_Master!A:A, 0))
 ) / INDEX(Config!C:C, MATCH($A1166, Config!A:A, 0)),
"")
</f>
        <v>0</v>
      </c>
      <c r="H1166" s="17">
        <f t="array" ref="H1166">MAX( INDEX(Pack_Master!H:H, MATCH($D1166, Pack_Master!A:A, 0)),
      IFERROR(G1166, 0) )
</f>
        <v>0</v>
      </c>
      <c r="I1166" s="18" t="str">
        <f>IFERROR(__xludf.DUMMYFUNCTION("IFERROR(
 INDEX(
   FILTER(Shipping_Rate_Card!B:F, Shipping_Rate_Card!A:A=$A1166),
   MATCH($H1166, FILTER(Shipping_Rate_Card!B:B, Shipping_Rate_Card!A:A=$A1166), 1),
   IF( INDEX(Config!B:B, MATCH($A1166, Config!A:A, 0))=""Local"", 2,
     IF( INDEX(Conf"&amp;"ig!B:B, MATCH($A1166, Config!A:A, 0))=""Regional"", 3, 4 )
   )
 ),
"""")
"),"")</f>
        <v/>
      </c>
      <c r="J1166" s="16">
        <f>IFERROR(__xludf.DUMMYFUNCTION("IFERROR(
 ( E1166 * INDEX(FILTER(Pricing_Rules!E:E, Pricing_Rules!A:A=A1166, Pricing_Rules!B:B=B1166, Pricing_Rules!C:C&lt;=E1166, Pricing_Rules!D:D&gt;=E1166), 1)
   + INDEX(FILTER(Pricing_Rules!F:F, Pricing_Rules!A:A=A1166, Pricing_Rules!B:B=B1166, Pricing_Ru"&amp;"les!C:C&lt;=E1166, Pricing_Rules!D:D&gt;=E1166), 1)
 )
 * (1 + IFERROR( INDEX(Config!D:D, MATCH(A1166, Config!A:A, 0)), 0 )),
"""")
"),0.0)</f>
        <v>0</v>
      </c>
      <c r="K1166" s="19">
        <f t="shared" si="3"/>
        <v>-201.92</v>
      </c>
      <c r="L1166" s="20" t="str">
        <f t="shared" si="4"/>
        <v/>
      </c>
    </row>
    <row r="1167" ht="15.75" customHeight="1">
      <c r="A1167" s="9" t="s">
        <v>1717</v>
      </c>
      <c r="B1167" s="12" t="str">
        <f t="array" ref="B1167">XLOOKUP(C1167, Channel_Listings!C:C, Channel_Listings!B:B)
</f>
        <v>Garden_Planters</v>
      </c>
      <c r="C1167" s="22" t="s">
        <v>1724</v>
      </c>
      <c r="D1167" s="14" t="str">
        <f t="array" ref="D1167">XLOOKUP(C1167, Channel_Listings!C:C, Channel_Listings!D:D)
</f>
        <v>PLANTER-COLOUR-HOOK-RAJ9-PK6</v>
      </c>
      <c r="E1167" s="15"/>
      <c r="F1167" s="16">
        <f t="array" ref="F1167">IFERROR(
  VALUE( INDEX(Product_Master!$I:$I,
               MATCH( INDEX(Pack_Master!$B:$B, MATCH($D1167, Pack_Master!$A:$A, 0)),
                      Product_Master!$B:$B, 0)
  )) 
  * VALUE( INDEX(Pack_Master!$C:$C, MATCH($D1167, Pack_Master!$A:$A, 0)) )
  + VALUE( INDEX(Pack_Master!$D:$D, MATCH($D1167, Pack_Master!$A:$A, 0)) ),
"")
</f>
        <v>292.88</v>
      </c>
      <c r="G1167" s="17">
        <f t="array" ref="G1167">IFERROR(
 ( INDEX(Pack_Master!E:E, MATCH($D1167, Pack_Master!A:A, 0))
   * INDEX(Pack_Master!F:F, MATCH($D1167, Pack_Master!A:A, 0))
   * INDEX(Pack_Master!G:G, MATCH($D1167, Pack_Master!A:A, 0))
 ) / INDEX(Config!C:C, MATCH($A1167, Config!A:A, 0)),
"")
</f>
        <v>0</v>
      </c>
      <c r="H1167" s="17">
        <f t="array" ref="H1167">MAX( INDEX(Pack_Master!H:H, MATCH($D1167, Pack_Master!A:A, 0)),
      IFERROR(G1167, 0) )
</f>
        <v>0</v>
      </c>
      <c r="I1167" s="18" t="str">
        <f>IFERROR(__xludf.DUMMYFUNCTION("IFERROR(
 INDEX(
   FILTER(Shipping_Rate_Card!B:F, Shipping_Rate_Card!A:A=$A1167),
   MATCH($H1167, FILTER(Shipping_Rate_Card!B:B, Shipping_Rate_Card!A:A=$A1167), 1),
   IF( INDEX(Config!B:B, MATCH($A1167, Config!A:A, 0))=""Local"", 2,
     IF( INDEX(Conf"&amp;"ig!B:B, MATCH($A1167, Config!A:A, 0))=""Regional"", 3, 4 )
   )
 ),
"""")
"),"")</f>
        <v/>
      </c>
      <c r="J1167" s="16">
        <f>IFERROR(__xludf.DUMMYFUNCTION("IFERROR(
 ( E1167 * INDEX(FILTER(Pricing_Rules!E:E, Pricing_Rules!A:A=A1167, Pricing_Rules!B:B=B1167, Pricing_Rules!C:C&lt;=E1167, Pricing_Rules!D:D&gt;=E1167), 1)
   + INDEX(FILTER(Pricing_Rules!F:F, Pricing_Rules!A:A=A1167, Pricing_Rules!B:B=B1167, Pricing_Ru"&amp;"les!C:C&lt;=E1167, Pricing_Rules!D:D&gt;=E1167), 1)
 )
 * (1 + IFERROR( INDEX(Config!D:D, MATCH(A1167, Config!A:A, 0)), 0 )),
"""")
"),0.0)</f>
        <v>0</v>
      </c>
      <c r="K1167" s="19">
        <f t="shared" si="3"/>
        <v>-292.88</v>
      </c>
      <c r="L1167" s="20" t="str">
        <f t="shared" si="4"/>
        <v/>
      </c>
    </row>
    <row r="1168" ht="15.75" customHeight="1">
      <c r="A1168" s="9" t="s">
        <v>1717</v>
      </c>
      <c r="B1168" s="12" t="str">
        <f t="array" ref="B1168">XLOOKUP(C1168, Channel_Listings!C:C, Channel_Listings!B:B)
</f>
        <v>Garden_Planters</v>
      </c>
      <c r="C1168" s="24" t="s">
        <v>1002</v>
      </c>
      <c r="D1168" s="14" t="str">
        <f t="array" ref="D1168">XLOOKUP(C1168, Channel_Listings!C:C, Channel_Listings!D:D)
</f>
        <v>PLANTER-ROUNDORCHID-SAUCER10-PK12</v>
      </c>
      <c r="E1168" s="15"/>
      <c r="F1168" s="16">
        <f t="array" ref="F1168">IFERROR(
  VALUE( INDEX(Product_Master!$I:$I,
               MATCH( INDEX(Pack_Master!$B:$B, MATCH($D1168, Pack_Master!$A:$A, 0)),
                      Product_Master!$B:$B, 0)
  )) 
  * VALUE( INDEX(Pack_Master!$C:$C, MATCH($D1168, Pack_Master!$A:$A, 0)) )
  + VALUE( INDEX(Pack_Master!$D:$D, MATCH($D1168, Pack_Master!$A:$A, 0)) ),
"")
</f>
        <v>488</v>
      </c>
      <c r="G1168" s="17">
        <f t="array" ref="G1168">IFERROR(
 ( INDEX(Pack_Master!E:E, MATCH($D1168, Pack_Master!A:A, 0))
   * INDEX(Pack_Master!F:F, MATCH($D1168, Pack_Master!A:A, 0))
   * INDEX(Pack_Master!G:G, MATCH($D1168, Pack_Master!A:A, 0))
 ) / INDEX(Config!C:C, MATCH($A1168, Config!A:A, 0)),
"")
</f>
        <v>6.2192</v>
      </c>
      <c r="H1168" s="17">
        <f t="array" ref="H1168">MAX( INDEX(Pack_Master!H:H, MATCH($D1168, Pack_Master!A:A, 0)),
      IFERROR(G1168, 0) )
</f>
        <v>6.2192</v>
      </c>
      <c r="I1168" s="18">
        <f>IFERROR(__xludf.DUMMYFUNCTION("IFERROR(
 INDEX(
   FILTER(Shipping_Rate_Card!B:F, Shipping_Rate_Card!A:A=$A1168),
   MATCH($H1168, FILTER(Shipping_Rate_Card!B:B, Shipping_Rate_Card!A:A=$A1168), 1),
   IF( INDEX(Config!B:B, MATCH($A1168, Config!A:A, 0))=""Local"", 2,
     IF( INDEX(Conf"&amp;"ig!B:B, MATCH($A1168, Config!A:A, 0))=""Regional"", 3, 4 )
   )
 ),
"""")
"),210.0)</f>
        <v>210</v>
      </c>
      <c r="J1168" s="16">
        <f>IFERROR(__xludf.DUMMYFUNCTION("IFERROR(
 ( E1168 * INDEX(FILTER(Pricing_Rules!E:E, Pricing_Rules!A:A=A1168, Pricing_Rules!B:B=B1168, Pricing_Rules!C:C&lt;=E1168, Pricing_Rules!D:D&gt;=E1168), 1)
   + INDEX(FILTER(Pricing_Rules!F:F, Pricing_Rules!A:A=A1168, Pricing_Rules!B:B=B1168, Pricing_Ru"&amp;"les!C:C&lt;=E1168, Pricing_Rules!D:D&gt;=E1168), 1)
 )
 * (1 + IFERROR( INDEX(Config!D:D, MATCH(A1168, Config!A:A, 0)), 0 )),
"""")
"),0.0)</f>
        <v>0</v>
      </c>
      <c r="K1168" s="19">
        <f t="shared" si="3"/>
        <v>-698</v>
      </c>
      <c r="L1168" s="20" t="str">
        <f t="shared" si="4"/>
        <v/>
      </c>
    </row>
    <row r="1169" ht="15.75" customHeight="1">
      <c r="A1169" s="9" t="s">
        <v>1717</v>
      </c>
      <c r="B1169" s="12" t="str">
        <f t="array" ref="B1169">XLOOKUP(C1169, Channel_Listings!C:C, Channel_Listings!B:B)
</f>
        <v>Garden_Planters</v>
      </c>
      <c r="C1169" s="24" t="s">
        <v>998</v>
      </c>
      <c r="D1169" s="14" t="str">
        <f t="array" ref="D1169">XLOOKUP(C1169, Channel_Listings!C:C, Channel_Listings!D:D)
</f>
        <v>PLANTER-ROUNDORCHID-SAUCER10-PK3</v>
      </c>
      <c r="E1169" s="15"/>
      <c r="F1169" s="16">
        <f t="array" ref="F1169">IFERROR(
  VALUE( INDEX(Product_Master!$I:$I,
               MATCH( INDEX(Pack_Master!$B:$B, MATCH($D1169, Pack_Master!$A:$A, 0)),
                      Product_Master!$B:$B, 0)
  )) 
  * VALUE( INDEX(Pack_Master!$C:$C, MATCH($D1169, Pack_Master!$A:$A, 0)) )
  + VALUE( INDEX(Pack_Master!$D:$D, MATCH($D1169, Pack_Master!$A:$A, 0)) ),
"")
</f>
        <v>159.5</v>
      </c>
      <c r="G1169" s="17">
        <f t="array" ref="G1169">IFERROR(
 ( INDEX(Pack_Master!E:E, MATCH($D1169, Pack_Master!A:A, 0))
   * INDEX(Pack_Master!F:F, MATCH($D1169, Pack_Master!A:A, 0))
   * INDEX(Pack_Master!G:G, MATCH($D1169, Pack_Master!A:A, 0))
 ) / INDEX(Config!C:C, MATCH($A1169, Config!A:A, 0)),
"")
</f>
        <v>3.5152</v>
      </c>
      <c r="H1169" s="17">
        <f t="array" ref="H1169">MAX( INDEX(Pack_Master!H:H, MATCH($D1169, Pack_Master!A:A, 0)),
      IFERROR(G1169, 0) )
</f>
        <v>3.5152</v>
      </c>
      <c r="I1169" s="18">
        <f>IFERROR(__xludf.DUMMYFUNCTION("IFERROR(
 INDEX(
   FILTER(Shipping_Rate_Card!B:F, Shipping_Rate_Card!A:A=$A1169),
   MATCH($H1169, FILTER(Shipping_Rate_Card!B:B, Shipping_Rate_Card!A:A=$A1169), 1),
   IF( INDEX(Config!B:B, MATCH($A1169, Config!A:A, 0))=""Local"", 2,
     IF( INDEX(Conf"&amp;"ig!B:B, MATCH($A1169, Config!A:A, 0))=""Regional"", 3, 4 )
   )
 ),
"""")
"),160.0)</f>
        <v>160</v>
      </c>
      <c r="J1169" s="16">
        <f>IFERROR(__xludf.DUMMYFUNCTION("IFERROR(
 ( E1169 * INDEX(FILTER(Pricing_Rules!E:E, Pricing_Rules!A:A=A1169, Pricing_Rules!B:B=B1169, Pricing_Rules!C:C&lt;=E1169, Pricing_Rules!D:D&gt;=E1169), 1)
   + INDEX(FILTER(Pricing_Rules!F:F, Pricing_Rules!A:A=A1169, Pricing_Rules!B:B=B1169, Pricing_Ru"&amp;"les!C:C&lt;=E1169, Pricing_Rules!D:D&gt;=E1169), 1)
 )
 * (1 + IFERROR( INDEX(Config!D:D, MATCH(A1169, Config!A:A, 0)), 0 )),
"""")
"),0.0)</f>
        <v>0</v>
      </c>
      <c r="K1169" s="19">
        <f t="shared" si="3"/>
        <v>-319.5</v>
      </c>
      <c r="L1169" s="20" t="str">
        <f t="shared" si="4"/>
        <v/>
      </c>
    </row>
    <row r="1170" ht="15.75" customHeight="1">
      <c r="A1170" s="9" t="s">
        <v>1717</v>
      </c>
      <c r="B1170" s="12" t="str">
        <f t="array" ref="B1170">XLOOKUP(C1170, Channel_Listings!C:C, Channel_Listings!B:B)
</f>
        <v>Garden_Planters</v>
      </c>
      <c r="C1170" s="24" t="s">
        <v>1000</v>
      </c>
      <c r="D1170" s="14" t="str">
        <f t="array" ref="D1170">XLOOKUP(C1170, Channel_Listings!C:C, Channel_Listings!D:D)
</f>
        <v>PLANTER-ROUNDORCHID-SAUCER10-PK6</v>
      </c>
      <c r="E1170" s="15"/>
      <c r="F1170" s="16">
        <f t="array" ref="F1170">IFERROR(
  VALUE( INDEX(Product_Master!$I:$I,
               MATCH( INDEX(Pack_Master!$B:$B, MATCH($D1170, Pack_Master!$A:$A, 0)),
                      Product_Master!$B:$B, 0)
  )) 
  * VALUE( INDEX(Pack_Master!$C:$C, MATCH($D1170, Pack_Master!$A:$A, 0)) )
  + VALUE( INDEX(Pack_Master!$D:$D, MATCH($D1170, Pack_Master!$A:$A, 0)) ),
"")
</f>
        <v>269</v>
      </c>
      <c r="G1170" s="17">
        <f t="array" ref="G1170">IFERROR(
 ( INDEX(Pack_Master!E:E, MATCH($D1170, Pack_Master!A:A, 0))
   * INDEX(Pack_Master!F:F, MATCH($D1170, Pack_Master!A:A, 0))
   * INDEX(Pack_Master!G:G, MATCH($D1170, Pack_Master!A:A, 0))
 ) / INDEX(Config!C:C, MATCH($A1170, Config!A:A, 0)),
"")
</f>
        <v>4.3264</v>
      </c>
      <c r="H1170" s="17">
        <f t="array" ref="H1170">MAX( INDEX(Pack_Master!H:H, MATCH($D1170, Pack_Master!A:A, 0)),
      IFERROR(G1170, 0) )
</f>
        <v>4.3264</v>
      </c>
      <c r="I1170" s="18">
        <f>IFERROR(__xludf.DUMMYFUNCTION("IFERROR(
 INDEX(
   FILTER(Shipping_Rate_Card!B:F, Shipping_Rate_Card!A:A=$A1170),
   MATCH($H1170, FILTER(Shipping_Rate_Card!B:B, Shipping_Rate_Card!A:A=$A1170), 1),
   IF( INDEX(Config!B:B, MATCH($A1170, Config!A:A, 0))=""Local"", 2,
     IF( INDEX(Conf"&amp;"ig!B:B, MATCH($A1170, Config!A:A, 0))=""Regional"", 3, 4 )
   )
 ),
"""")
"),160.0)</f>
        <v>160</v>
      </c>
      <c r="J1170" s="16">
        <f>IFERROR(__xludf.DUMMYFUNCTION("IFERROR(
 ( E1170 * INDEX(FILTER(Pricing_Rules!E:E, Pricing_Rules!A:A=A1170, Pricing_Rules!B:B=B1170, Pricing_Rules!C:C&lt;=E1170, Pricing_Rules!D:D&gt;=E1170), 1)
   + INDEX(FILTER(Pricing_Rules!F:F, Pricing_Rules!A:A=A1170, Pricing_Rules!B:B=B1170, Pricing_Ru"&amp;"les!C:C&lt;=E1170, Pricing_Rules!D:D&gt;=E1170), 1)
 )
 * (1 + IFERROR( INDEX(Config!D:D, MATCH(A1170, Config!A:A, 0)), 0 )),
"""")
"),0.0)</f>
        <v>0</v>
      </c>
      <c r="K1170" s="19">
        <f t="shared" si="3"/>
        <v>-429</v>
      </c>
      <c r="L1170" s="20" t="str">
        <f t="shared" si="4"/>
        <v/>
      </c>
    </row>
    <row r="1171" ht="15.75" customHeight="1">
      <c r="A1171" s="9" t="s">
        <v>1717</v>
      </c>
      <c r="B1171" s="12" t="str">
        <f t="array" ref="B1171">XLOOKUP(C1171, Channel_Listings!C:C, Channel_Listings!B:B)
</f>
        <v>Garden_Planters</v>
      </c>
      <c r="C1171" s="24" t="s">
        <v>1004</v>
      </c>
      <c r="D1171" s="14" t="str">
        <f t="array" ref="D1171">XLOOKUP(C1171, Channel_Listings!C:C, Channel_Listings!D:D)
</f>
        <v>PLANTER-ROUNDORCHID-SAUCER12-PK3</v>
      </c>
      <c r="E1171" s="15"/>
      <c r="F1171" s="16">
        <f t="array" ref="F1171">IFERROR(
  VALUE( INDEX(Product_Master!$I:$I,
               MATCH( INDEX(Pack_Master!$B:$B, MATCH($D1171, Pack_Master!$A:$A, 0)),
                      Product_Master!$B:$B, 0)
  )) 
  * VALUE( INDEX(Pack_Master!$C:$C, MATCH($D1171, Pack_Master!$A:$A, 0)) )
  + VALUE( INDEX(Pack_Master!$D:$D, MATCH($D1171, Pack_Master!$A:$A, 0)) ),
"")
</f>
        <v>230.5</v>
      </c>
      <c r="G1171" s="17">
        <f t="array" ref="G1171">IFERROR(
 ( INDEX(Pack_Master!E:E, MATCH($D1171, Pack_Master!A:A, 0))
   * INDEX(Pack_Master!F:F, MATCH($D1171, Pack_Master!A:A, 0))
   * INDEX(Pack_Master!G:G, MATCH($D1171, Pack_Master!A:A, 0))
 ) / INDEX(Config!C:C, MATCH($A1171, Config!A:A, 0)),
"")
</f>
        <v>5.766</v>
      </c>
      <c r="H1171" s="17">
        <f t="array" ref="H1171">MAX( INDEX(Pack_Master!H:H, MATCH($D1171, Pack_Master!A:A, 0)),
      IFERROR(G1171, 0) )
</f>
        <v>5.766</v>
      </c>
      <c r="I1171" s="18">
        <f>IFERROR(__xludf.DUMMYFUNCTION("IFERROR(
 INDEX(
   FILTER(Shipping_Rate_Card!B:F, Shipping_Rate_Card!A:A=$A1171),
   MATCH($H1171, FILTER(Shipping_Rate_Card!B:B, Shipping_Rate_Card!A:A=$A1171), 1),
   IF( INDEX(Config!B:B, MATCH($A1171, Config!A:A, 0))=""Local"", 2,
     IF( INDEX(Conf"&amp;"ig!B:B, MATCH($A1171, Config!A:A, 0))=""Regional"", 3, 4 )
   )
 ),
"""")
"),210.0)</f>
        <v>210</v>
      </c>
      <c r="J1171" s="16">
        <f>IFERROR(__xludf.DUMMYFUNCTION("IFERROR(
 ( E1171 * INDEX(FILTER(Pricing_Rules!E:E, Pricing_Rules!A:A=A1171, Pricing_Rules!B:B=B1171, Pricing_Rules!C:C&lt;=E1171, Pricing_Rules!D:D&gt;=E1171), 1)
   + INDEX(FILTER(Pricing_Rules!F:F, Pricing_Rules!A:A=A1171, Pricing_Rules!B:B=B1171, Pricing_Ru"&amp;"les!C:C&lt;=E1171, Pricing_Rules!D:D&gt;=E1171), 1)
 )
 * (1 + IFERROR( INDEX(Config!D:D, MATCH(A1171, Config!A:A, 0)), 0 )),
"""")
"),0.0)</f>
        <v>0</v>
      </c>
      <c r="K1171" s="19">
        <f t="shared" si="3"/>
        <v>-440.5</v>
      </c>
      <c r="L1171" s="20" t="str">
        <f t="shared" si="4"/>
        <v/>
      </c>
    </row>
    <row r="1172" ht="15.75" customHeight="1">
      <c r="A1172" s="9" t="s">
        <v>1717</v>
      </c>
      <c r="B1172" s="12" t="str">
        <f t="array" ref="B1172">XLOOKUP(C1172, Channel_Listings!C:C, Channel_Listings!B:B)
</f>
        <v>Garden_Planters</v>
      </c>
      <c r="C1172" s="24" t="s">
        <v>1006</v>
      </c>
      <c r="D1172" s="14" t="str">
        <f t="array" ref="D1172">XLOOKUP(C1172, Channel_Listings!C:C, Channel_Listings!D:D)
</f>
        <v>PLANTER-ROUNDORCHID-SAUCER12-PK6</v>
      </c>
      <c r="E1172" s="15"/>
      <c r="F1172" s="16">
        <f t="array" ref="F1172">IFERROR(
  VALUE( INDEX(Product_Master!$I:$I,
               MATCH( INDEX(Pack_Master!$B:$B, MATCH($D1172, Pack_Master!$A:$A, 0)),
                      Product_Master!$B:$B, 0)
  )) 
  * VALUE( INDEX(Pack_Master!$C:$C, MATCH($D1172, Pack_Master!$A:$A, 0)) )
  + VALUE( INDEX(Pack_Master!$D:$D, MATCH($D1172, Pack_Master!$A:$A, 0)) ),
"")
</f>
        <v>391</v>
      </c>
      <c r="G1172" s="17">
        <f t="array" ref="G1172">IFERROR(
 ( INDEX(Pack_Master!E:E, MATCH($D1172, Pack_Master!A:A, 0))
   * INDEX(Pack_Master!F:F, MATCH($D1172, Pack_Master!A:A, 0))
   * INDEX(Pack_Master!G:G, MATCH($D1172, Pack_Master!A:A, 0))
 ) / INDEX(Config!C:C, MATCH($A1172, Config!A:A, 0)),
"")
</f>
        <v>7.3036</v>
      </c>
      <c r="H1172" s="17">
        <f t="array" ref="H1172">MAX( INDEX(Pack_Master!H:H, MATCH($D1172, Pack_Master!A:A, 0)),
      IFERROR(G1172, 0) )
</f>
        <v>7.3036</v>
      </c>
      <c r="I1172" s="18">
        <f>IFERROR(__xludf.DUMMYFUNCTION("IFERROR(
 INDEX(
   FILTER(Shipping_Rate_Card!B:F, Shipping_Rate_Card!A:A=$A1172),
   MATCH($H1172, FILTER(Shipping_Rate_Card!B:B, Shipping_Rate_Card!A:A=$A1172), 1),
   IF( INDEX(Config!B:B, MATCH($A1172, Config!A:A, 0))=""Local"", 2,
     IF( INDEX(Conf"&amp;"ig!B:B, MATCH($A1172, Config!A:A, 0))=""Regional"", 3, 4 )
   )
 ),
"""")
"),210.0)</f>
        <v>210</v>
      </c>
      <c r="J1172" s="16">
        <f>IFERROR(__xludf.DUMMYFUNCTION("IFERROR(
 ( E1172 * INDEX(FILTER(Pricing_Rules!E:E, Pricing_Rules!A:A=A1172, Pricing_Rules!B:B=B1172, Pricing_Rules!C:C&lt;=E1172, Pricing_Rules!D:D&gt;=E1172), 1)
   + INDEX(FILTER(Pricing_Rules!F:F, Pricing_Rules!A:A=A1172, Pricing_Rules!B:B=B1172, Pricing_Ru"&amp;"les!C:C&lt;=E1172, Pricing_Rules!D:D&gt;=E1172), 1)
 )
 * (1 + IFERROR( INDEX(Config!D:D, MATCH(A1172, Config!A:A, 0)), 0 )),
"""")
"),0.0)</f>
        <v>0</v>
      </c>
      <c r="K1172" s="19">
        <f t="shared" si="3"/>
        <v>-601</v>
      </c>
      <c r="L1172" s="20" t="str">
        <f t="shared" si="4"/>
        <v/>
      </c>
    </row>
    <row r="1173" ht="15.75" customHeight="1">
      <c r="A1173" s="9" t="s">
        <v>1717</v>
      </c>
      <c r="B1173" s="12" t="str">
        <f t="array" ref="B1173">XLOOKUP(C1173, Channel_Listings!C:C, Channel_Listings!B:B)
</f>
        <v>Garden_Planters</v>
      </c>
      <c r="C1173" s="24" t="s">
        <v>1008</v>
      </c>
      <c r="D1173" s="14" t="str">
        <f t="array" ref="D1173">XLOOKUP(C1173, Channel_Listings!C:C, Channel_Listings!D:D)
</f>
        <v>PLANTER-ROUNDORCHID-SAUCER12-PK12</v>
      </c>
      <c r="E1173" s="15"/>
      <c r="F1173" s="16">
        <f t="array" ref="F1173">IFERROR(
  VALUE( INDEX(Product_Master!$I:$I,
               MATCH( INDEX(Pack_Master!$B:$B, MATCH($D1173, Pack_Master!$A:$A, 0)),
                      Product_Master!$B:$B, 0)
  )) 
  * VALUE( INDEX(Pack_Master!$C:$C, MATCH($D1173, Pack_Master!$A:$A, 0)) )
  + VALUE( INDEX(Pack_Master!$D:$D, MATCH($D1173, Pack_Master!$A:$A, 0)) ),
"")
</f>
        <v>712</v>
      </c>
      <c r="G1173" s="17">
        <f t="array" ref="G1173">IFERROR(
 ( INDEX(Pack_Master!E:E, MATCH($D1173, Pack_Master!A:A, 0))
   * INDEX(Pack_Master!F:F, MATCH($D1173, Pack_Master!A:A, 0))
   * INDEX(Pack_Master!G:G, MATCH($D1173, Pack_Master!A:A, 0))
 ) / INDEX(Config!C:C, MATCH($A1173, Config!A:A, 0)),
"")
</f>
        <v>10.1866</v>
      </c>
      <c r="H1173" s="17">
        <f t="array" ref="H1173">MAX( INDEX(Pack_Master!H:H, MATCH($D1173, Pack_Master!A:A, 0)),
      IFERROR(G1173, 0) )
</f>
        <v>10.1866</v>
      </c>
      <c r="I1173" s="18">
        <f>IFERROR(__xludf.DUMMYFUNCTION("IFERROR(
 INDEX(
   FILTER(Shipping_Rate_Card!B:F, Shipping_Rate_Card!A:A=$A1173),
   MATCH($H1173, FILTER(Shipping_Rate_Card!B:B, Shipping_Rate_Card!A:A=$A1173), 1),
   IF( INDEX(Config!B:B, MATCH($A1173, Config!A:A, 0))=""Local"", 2,
     IF( INDEX(Conf"&amp;"ig!B:B, MATCH($A1173, Config!A:A, 0))=""Regional"", 3, 4 )
   )
 ),
"""")
"),210.0)</f>
        <v>210</v>
      </c>
      <c r="J1173" s="16">
        <f>IFERROR(__xludf.DUMMYFUNCTION("IFERROR(
 ( E1173 * INDEX(FILTER(Pricing_Rules!E:E, Pricing_Rules!A:A=A1173, Pricing_Rules!B:B=B1173, Pricing_Rules!C:C&lt;=E1173, Pricing_Rules!D:D&gt;=E1173), 1)
   + INDEX(FILTER(Pricing_Rules!F:F, Pricing_Rules!A:A=A1173, Pricing_Rules!B:B=B1173, Pricing_Ru"&amp;"les!C:C&lt;=E1173, Pricing_Rules!D:D&gt;=E1173), 1)
 )
 * (1 + IFERROR( INDEX(Config!D:D, MATCH(A1173, Config!A:A, 0)), 0 )),
"""")
"),0.0)</f>
        <v>0</v>
      </c>
      <c r="K1173" s="19">
        <f t="shared" si="3"/>
        <v>-922</v>
      </c>
      <c r="L1173" s="20" t="str">
        <f t="shared" si="4"/>
        <v/>
      </c>
    </row>
    <row r="1174" ht="15.75" customHeight="1">
      <c r="A1174" s="9" t="s">
        <v>1717</v>
      </c>
      <c r="B1174" s="12" t="str">
        <f t="array" ref="B1174">XLOOKUP(C1174, Channel_Listings!C:C, Channel_Listings!B:B)
</f>
        <v>Garden_Planters</v>
      </c>
      <c r="C1174" s="24" t="s">
        <v>1012</v>
      </c>
      <c r="D1174" s="14" t="str">
        <f t="array" ref="D1174">XLOOKUP(C1174, Channel_Listings!C:C, Channel_Listings!D:D)
</f>
        <v>PLANTER-ROUNDORCHID-SAUCER14-PK3</v>
      </c>
      <c r="E1174" s="15"/>
      <c r="F1174" s="16">
        <f t="array" ref="F1174">IFERROR(
  VALUE( INDEX(Product_Master!$I:$I,
               MATCH( INDEX(Pack_Master!$B:$B, MATCH($D1174, Pack_Master!$A:$A, 0)),
                      Product_Master!$B:$B, 0)
  )) 
  * VALUE( INDEX(Pack_Master!$C:$C, MATCH($D1174, Pack_Master!$A:$A, 0)) )
  + VALUE( INDEX(Pack_Master!$D:$D, MATCH($D1174, Pack_Master!$A:$A, 0)) ),
"")
</f>
        <v>353.5</v>
      </c>
      <c r="G1174" s="17">
        <f t="array" ref="G1174">IFERROR(
 ( INDEX(Pack_Master!E:E, MATCH($D1174, Pack_Master!A:A, 0))
   * INDEX(Pack_Master!F:F, MATCH($D1174, Pack_Master!A:A, 0))
   * INDEX(Pack_Master!G:G, MATCH($D1174, Pack_Master!A:A, 0))
 ) / INDEX(Config!C:C, MATCH($A1174, Config!A:A, 0)),
"")
</f>
        <v>9.8568</v>
      </c>
      <c r="H1174" s="17">
        <f t="array" ref="H1174">MAX( INDEX(Pack_Master!H:H, MATCH($D1174, Pack_Master!A:A, 0)),
      IFERROR(G1174, 0) )
</f>
        <v>9.8568</v>
      </c>
      <c r="I1174" s="18">
        <f>IFERROR(__xludf.DUMMYFUNCTION("IFERROR(
 INDEX(
   FILTER(Shipping_Rate_Card!B:F, Shipping_Rate_Card!A:A=$A1174),
   MATCH($H1174, FILTER(Shipping_Rate_Card!B:B, Shipping_Rate_Card!A:A=$A1174), 1),
   IF( INDEX(Config!B:B, MATCH($A1174, Config!A:A, 0))=""Local"", 2,
     IF( INDEX(Conf"&amp;"ig!B:B, MATCH($A1174, Config!A:A, 0))=""Regional"", 3, 4 )
   )
 ),
"""")
"),210.0)</f>
        <v>210</v>
      </c>
      <c r="J1174" s="16">
        <f>IFERROR(__xludf.DUMMYFUNCTION("IFERROR(
 ( E1174 * INDEX(FILTER(Pricing_Rules!E:E, Pricing_Rules!A:A=A1174, Pricing_Rules!B:B=B1174, Pricing_Rules!C:C&lt;=E1174, Pricing_Rules!D:D&gt;=E1174), 1)
   + INDEX(FILTER(Pricing_Rules!F:F, Pricing_Rules!A:A=A1174, Pricing_Rules!B:B=B1174, Pricing_Ru"&amp;"les!C:C&lt;=E1174, Pricing_Rules!D:D&gt;=E1174), 1)
 )
 * (1 + IFERROR( INDEX(Config!D:D, MATCH(A1174, Config!A:A, 0)), 0 )),
"""")
"),0.0)</f>
        <v>0</v>
      </c>
      <c r="K1174" s="19">
        <f t="shared" si="3"/>
        <v>-563.5</v>
      </c>
      <c r="L1174" s="20" t="str">
        <f t="shared" si="4"/>
        <v/>
      </c>
    </row>
    <row r="1175" ht="15.75" customHeight="1">
      <c r="A1175" s="9" t="s">
        <v>1717</v>
      </c>
      <c r="B1175" s="12" t="str">
        <f t="array" ref="B1175">XLOOKUP(C1175, Channel_Listings!C:C, Channel_Listings!B:B)
</f>
        <v>Garden_Planters</v>
      </c>
      <c r="C1175" s="24" t="s">
        <v>1014</v>
      </c>
      <c r="D1175" s="14" t="str">
        <f t="array" ref="D1175">XLOOKUP(C1175, Channel_Listings!C:C, Channel_Listings!D:D)
</f>
        <v>PLANTER-ROUNDORCHID-SAUCER14-PK6</v>
      </c>
      <c r="E1175" s="15"/>
      <c r="F1175" s="16">
        <f t="array" ref="F1175">IFERROR(
  VALUE( INDEX(Product_Master!$I:$I,
               MATCH( INDEX(Pack_Master!$B:$B, MATCH($D1175, Pack_Master!$A:$A, 0)),
                      Product_Master!$B:$B, 0)
  )) 
  * VALUE( INDEX(Pack_Master!$C:$C, MATCH($D1175, Pack_Master!$A:$A, 0)) )
  + VALUE( INDEX(Pack_Master!$D:$D, MATCH($D1175, Pack_Master!$A:$A, 0)) ),
"")
</f>
        <v>607</v>
      </c>
      <c r="G1175" s="17">
        <f t="array" ref="G1175">IFERROR(
 ( INDEX(Pack_Master!E:E, MATCH($D1175, Pack_Master!A:A, 0))
   * INDEX(Pack_Master!F:F, MATCH($D1175, Pack_Master!A:A, 0))
   * INDEX(Pack_Master!G:G, MATCH($D1175, Pack_Master!A:A, 0))
 ) / INDEX(Config!C:C, MATCH($A1175, Config!A:A, 0)),
"")
</f>
        <v>12.321</v>
      </c>
      <c r="H1175" s="17">
        <f t="array" ref="H1175">MAX( INDEX(Pack_Master!H:H, MATCH($D1175, Pack_Master!A:A, 0)),
      IFERROR(G1175, 0) )
</f>
        <v>12.321</v>
      </c>
      <c r="I1175" s="18">
        <f>IFERROR(__xludf.DUMMYFUNCTION("IFERROR(
 INDEX(
   FILTER(Shipping_Rate_Card!B:F, Shipping_Rate_Card!A:A=$A1175),
   MATCH($H1175, FILTER(Shipping_Rate_Card!B:B, Shipping_Rate_Card!A:A=$A1175), 1),
   IF( INDEX(Config!B:B, MATCH($A1175, Config!A:A, 0))=""Local"", 2,
     IF( INDEX(Conf"&amp;"ig!B:B, MATCH($A1175, Config!A:A, 0))=""Regional"", 3, 4 )
   )
 ),
"""")
"),210.0)</f>
        <v>210</v>
      </c>
      <c r="J1175" s="16">
        <f>IFERROR(__xludf.DUMMYFUNCTION("IFERROR(
 ( E1175 * INDEX(FILTER(Pricing_Rules!E:E, Pricing_Rules!A:A=A1175, Pricing_Rules!B:B=B1175, Pricing_Rules!C:C&lt;=E1175, Pricing_Rules!D:D&gt;=E1175), 1)
   + INDEX(FILTER(Pricing_Rules!F:F, Pricing_Rules!A:A=A1175, Pricing_Rules!B:B=B1175, Pricing_Ru"&amp;"les!C:C&lt;=E1175, Pricing_Rules!D:D&gt;=E1175), 1)
 )
 * (1 + IFERROR( INDEX(Config!D:D, MATCH(A1175, Config!A:A, 0)), 0 )),
"""")
"),0.0)</f>
        <v>0</v>
      </c>
      <c r="K1175" s="19">
        <f t="shared" si="3"/>
        <v>-817</v>
      </c>
      <c r="L1175" s="20" t="str">
        <f t="shared" si="4"/>
        <v/>
      </c>
    </row>
    <row r="1176" ht="15.75" customHeight="1">
      <c r="A1176" s="9" t="s">
        <v>1717</v>
      </c>
      <c r="B1176" s="12" t="str">
        <f t="array" ref="B1176">XLOOKUP(C1176, Channel_Listings!C:C, Channel_Listings!B:B)
</f>
        <v>Garden_Planters</v>
      </c>
      <c r="C1176" s="24" t="s">
        <v>1016</v>
      </c>
      <c r="D1176" s="14" t="str">
        <f t="array" ref="D1176">XLOOKUP(C1176, Channel_Listings!C:C, Channel_Listings!D:D)
</f>
        <v>PLANTER-ROUNDORCHID-SAUCER14-PK12</v>
      </c>
      <c r="E1176" s="15"/>
      <c r="F1176" s="16">
        <f t="array" ref="F1176">IFERROR(
  VALUE( INDEX(Product_Master!$I:$I,
               MATCH( INDEX(Pack_Master!$B:$B, MATCH($D1176, Pack_Master!$A:$A, 0)),
                      Product_Master!$B:$B, 0)
  )) 
  * VALUE( INDEX(Pack_Master!$C:$C, MATCH($D1176, Pack_Master!$A:$A, 0)) )
  + VALUE( INDEX(Pack_Master!$D:$D, MATCH($D1176, Pack_Master!$A:$A, 0)) ),
"")
</f>
        <v>1114</v>
      </c>
      <c r="G1176" s="17">
        <f t="array" ref="G1176">IFERROR(
 ( INDEX(Pack_Master!E:E, MATCH($D1176, Pack_Master!A:A, 0))
   * INDEX(Pack_Master!F:F, MATCH($D1176, Pack_Master!A:A, 0))
   * INDEX(Pack_Master!G:G, MATCH($D1176, Pack_Master!A:A, 0))
 ) / INDEX(Config!C:C, MATCH($A1176, Config!A:A, 0)),
"")
</f>
        <v>17.2494</v>
      </c>
      <c r="H1176" s="17">
        <f t="array" ref="H1176">MAX( INDEX(Pack_Master!H:H, MATCH($D1176, Pack_Master!A:A, 0)),
      IFERROR(G1176, 0) )
</f>
        <v>17.2494</v>
      </c>
      <c r="I1176" s="18">
        <f>IFERROR(__xludf.DUMMYFUNCTION("IFERROR(
 INDEX(
   FILTER(Shipping_Rate_Card!B:F, Shipping_Rate_Card!A:A=$A1176),
   MATCH($H1176, FILTER(Shipping_Rate_Card!B:B, Shipping_Rate_Card!A:A=$A1176), 1),
   IF( INDEX(Config!B:B, MATCH($A1176, Config!A:A, 0))=""Local"", 2,
     IF( INDEX(Conf"&amp;"ig!B:B, MATCH($A1176, Config!A:A, 0))=""Regional"", 3, 4 )
   )
 ),
"""")
"),210.0)</f>
        <v>210</v>
      </c>
      <c r="J1176" s="16">
        <f>IFERROR(__xludf.DUMMYFUNCTION("IFERROR(
 ( E1176 * INDEX(FILTER(Pricing_Rules!E:E, Pricing_Rules!A:A=A1176, Pricing_Rules!B:B=B1176, Pricing_Rules!C:C&lt;=E1176, Pricing_Rules!D:D&gt;=E1176), 1)
   + INDEX(FILTER(Pricing_Rules!F:F, Pricing_Rules!A:A=A1176, Pricing_Rules!B:B=B1176, Pricing_Ru"&amp;"les!C:C&lt;=E1176, Pricing_Rules!D:D&gt;=E1176), 1)
 )
 * (1 + IFERROR( INDEX(Config!D:D, MATCH(A1176, Config!A:A, 0)), 0 )),
"""")
"),0.0)</f>
        <v>0</v>
      </c>
      <c r="K1176" s="19">
        <f t="shared" si="3"/>
        <v>-1324</v>
      </c>
      <c r="L1176" s="20" t="str">
        <f t="shared" si="4"/>
        <v/>
      </c>
    </row>
    <row r="1177" ht="15.75" customHeight="1">
      <c r="A1177" s="9" t="s">
        <v>1717</v>
      </c>
      <c r="B1177" s="12" t="str">
        <f t="array" ref="B1177">XLOOKUP(C1177, Channel_Listings!C:C, Channel_Listings!B:B)
</f>
        <v>Garden_Planters</v>
      </c>
      <c r="C1177" s="24" t="s">
        <v>1019</v>
      </c>
      <c r="D1177" s="14" t="str">
        <f t="array" ref="D1177">XLOOKUP(C1177, Channel_Listings!C:C, Channel_Listings!D:D)
</f>
        <v>PLANTER-ROUNDORCHID-SAUCER8-PK3</v>
      </c>
      <c r="E1177" s="15"/>
      <c r="F1177" s="16">
        <f t="array" ref="F1177">IFERROR(
  VALUE( INDEX(Product_Master!$I:$I,
               MATCH( INDEX(Pack_Master!$B:$B, MATCH($D1177, Pack_Master!$A:$A, 0)),
                      Product_Master!$B:$B, 0)
  )) 
  * VALUE( INDEX(Pack_Master!$C:$C, MATCH($D1177, Pack_Master!$A:$A, 0)) )
  + VALUE( INDEX(Pack_Master!$D:$D, MATCH($D1177, Pack_Master!$A:$A, 0)) ),
"")
</f>
        <v>100.5</v>
      </c>
      <c r="G1177" s="17">
        <f t="array" ref="G1177">IFERROR(
 ( INDEX(Pack_Master!E:E, MATCH($D1177, Pack_Master!A:A, 0))
   * INDEX(Pack_Master!F:F, MATCH($D1177, Pack_Master!A:A, 0))
   * INDEX(Pack_Master!G:G, MATCH($D1177, Pack_Master!A:A, 0))
 ) / INDEX(Config!C:C, MATCH($A1177, Config!A:A, 0)),
"")
</f>
        <v>2.0102</v>
      </c>
      <c r="H1177" s="17">
        <f t="array" ref="H1177">MAX( INDEX(Pack_Master!H:H, MATCH($D1177, Pack_Master!A:A, 0)),
      IFERROR(G1177, 0) )
</f>
        <v>2.0102</v>
      </c>
      <c r="I1177" s="18">
        <f>IFERROR(__xludf.DUMMYFUNCTION("IFERROR(
 INDEX(
   FILTER(Shipping_Rate_Card!B:F, Shipping_Rate_Card!A:A=$A1177),
   MATCH($H1177, FILTER(Shipping_Rate_Card!B:B, Shipping_Rate_Card!A:A=$A1177), 1),
   IF( INDEX(Config!B:B, MATCH($A1177, Config!A:A, 0))=""Local"", 2,
     IF( INDEX(Conf"&amp;"ig!B:B, MATCH($A1177, Config!A:A, 0))=""Regional"", 3, 4 )
   )
 ),
"""")
"),130.0)</f>
        <v>130</v>
      </c>
      <c r="J1177" s="16">
        <f>IFERROR(__xludf.DUMMYFUNCTION("IFERROR(
 ( E1177 * INDEX(FILTER(Pricing_Rules!E:E, Pricing_Rules!A:A=A1177, Pricing_Rules!B:B=B1177, Pricing_Rules!C:C&lt;=E1177, Pricing_Rules!D:D&gt;=E1177), 1)
   + INDEX(FILTER(Pricing_Rules!F:F, Pricing_Rules!A:A=A1177, Pricing_Rules!B:B=B1177, Pricing_Ru"&amp;"les!C:C&lt;=E1177, Pricing_Rules!D:D&gt;=E1177), 1)
 )
 * (1 + IFERROR( INDEX(Config!D:D, MATCH(A1177, Config!A:A, 0)), 0 )),
"""")
"),0.0)</f>
        <v>0</v>
      </c>
      <c r="K1177" s="19">
        <f t="shared" si="3"/>
        <v>-230.5</v>
      </c>
      <c r="L1177" s="20" t="str">
        <f t="shared" si="4"/>
        <v/>
      </c>
    </row>
    <row r="1178" ht="15.75" customHeight="1">
      <c r="A1178" s="9" t="s">
        <v>1717</v>
      </c>
      <c r="B1178" s="12" t="str">
        <f t="array" ref="B1178">XLOOKUP(C1178, Channel_Listings!C:C, Channel_Listings!B:B)
</f>
        <v>Garden_Planters</v>
      </c>
      <c r="C1178" s="24" t="s">
        <v>1021</v>
      </c>
      <c r="D1178" s="14" t="str">
        <f t="array" ref="D1178">XLOOKUP(C1178, Channel_Listings!C:C, Channel_Listings!D:D)
</f>
        <v>PLANTER-ROUNDORCHID-SAUCER8-PK6</v>
      </c>
      <c r="E1178" s="15"/>
      <c r="F1178" s="16">
        <f t="array" ref="F1178">IFERROR(
  VALUE( INDEX(Product_Master!$I:$I,
               MATCH( INDEX(Pack_Master!$B:$B, MATCH($D1178, Pack_Master!$A:$A, 0)),
                      Product_Master!$B:$B, 0)
  )) 
  * VALUE( INDEX(Pack_Master!$C:$C, MATCH($D1178, Pack_Master!$A:$A, 0)) )
  + VALUE( INDEX(Pack_Master!$D:$D, MATCH($D1178, Pack_Master!$A:$A, 0)) ),
"")
</f>
        <v>171</v>
      </c>
      <c r="G1178" s="17">
        <f t="array" ref="G1178">IFERROR(
 ( INDEX(Pack_Master!E:E, MATCH($D1178, Pack_Master!A:A, 0))
   * INDEX(Pack_Master!F:F, MATCH($D1178, Pack_Master!A:A, 0))
   * INDEX(Pack_Master!G:G, MATCH($D1178, Pack_Master!A:A, 0))
 ) / INDEX(Config!C:C, MATCH($A1178, Config!A:A, 0)),
"")
</f>
        <v>2.5392</v>
      </c>
      <c r="H1178" s="17">
        <f t="array" ref="H1178">MAX( INDEX(Pack_Master!H:H, MATCH($D1178, Pack_Master!A:A, 0)),
      IFERROR(G1178, 0) )
</f>
        <v>2.5392</v>
      </c>
      <c r="I1178" s="18">
        <f>IFERROR(__xludf.DUMMYFUNCTION("IFERROR(
 INDEX(
   FILTER(Shipping_Rate_Card!B:F, Shipping_Rate_Card!A:A=$A1178),
   MATCH($H1178, FILTER(Shipping_Rate_Card!B:B, Shipping_Rate_Card!A:A=$A1178), 1),
   IF( INDEX(Config!B:B, MATCH($A1178, Config!A:A, 0))=""Local"", 2,
     IF( INDEX(Conf"&amp;"ig!B:B, MATCH($A1178, Config!A:A, 0))=""Regional"", 3, 4 )
   )
 ),
"""")
"),130.0)</f>
        <v>130</v>
      </c>
      <c r="J1178" s="16">
        <f>IFERROR(__xludf.DUMMYFUNCTION("IFERROR(
 ( E1178 * INDEX(FILTER(Pricing_Rules!E:E, Pricing_Rules!A:A=A1178, Pricing_Rules!B:B=B1178, Pricing_Rules!C:C&lt;=E1178, Pricing_Rules!D:D&gt;=E1178), 1)
   + INDEX(FILTER(Pricing_Rules!F:F, Pricing_Rules!A:A=A1178, Pricing_Rules!B:B=B1178, Pricing_Ru"&amp;"les!C:C&lt;=E1178, Pricing_Rules!D:D&gt;=E1178), 1)
 )
 * (1 + IFERROR( INDEX(Config!D:D, MATCH(A1178, Config!A:A, 0)), 0 )),
"""")
"),0.0)</f>
        <v>0</v>
      </c>
      <c r="K1178" s="19">
        <f t="shared" si="3"/>
        <v>-301</v>
      </c>
      <c r="L1178" s="20" t="str">
        <f t="shared" si="4"/>
        <v/>
      </c>
    </row>
    <row r="1179" ht="15.75" customHeight="1">
      <c r="A1179" s="9" t="s">
        <v>1717</v>
      </c>
      <c r="B1179" s="12" t="str">
        <f t="array" ref="B1179">XLOOKUP(C1179, Channel_Listings!C:C, Channel_Listings!B:B)
</f>
        <v>Garden_Planters</v>
      </c>
      <c r="C1179" s="24" t="s">
        <v>1023</v>
      </c>
      <c r="D1179" s="14" t="str">
        <f t="array" ref="D1179">XLOOKUP(C1179, Channel_Listings!C:C, Channel_Listings!D:D)
</f>
        <v>PLANTER-ROUNDORCHID-SAUCER8-PK12</v>
      </c>
      <c r="E1179" s="15"/>
      <c r="F1179" s="16">
        <f t="array" ref="F1179">IFERROR(
  VALUE( INDEX(Product_Master!$I:$I,
               MATCH( INDEX(Pack_Master!$B:$B, MATCH($D1179, Pack_Master!$A:$A, 0)),
                      Product_Master!$B:$B, 0)
  )) 
  * VALUE( INDEX(Pack_Master!$C:$C, MATCH($D1179, Pack_Master!$A:$A, 0)) )
  + VALUE( INDEX(Pack_Master!$D:$D, MATCH($D1179, Pack_Master!$A:$A, 0)) ),
"")
</f>
        <v>312</v>
      </c>
      <c r="G1179" s="17">
        <f t="array" ref="G1179">IFERROR(
 ( INDEX(Pack_Master!E:E, MATCH($D1179, Pack_Master!A:A, 0))
   * INDEX(Pack_Master!F:F, MATCH($D1179, Pack_Master!A:A, 0))
   * INDEX(Pack_Master!G:G, MATCH($D1179, Pack_Master!A:A, 0))
 ) / INDEX(Config!C:C, MATCH($A1179, Config!A:A, 0)),
"")
</f>
        <v>3.3856</v>
      </c>
      <c r="H1179" s="17">
        <f t="array" ref="H1179">MAX( INDEX(Pack_Master!H:H, MATCH($D1179, Pack_Master!A:A, 0)),
      IFERROR(G1179, 0) )
</f>
        <v>3.3856</v>
      </c>
      <c r="I1179" s="18">
        <f>IFERROR(__xludf.DUMMYFUNCTION("IFERROR(
 INDEX(
   FILTER(Shipping_Rate_Card!B:F, Shipping_Rate_Card!A:A=$A1179),
   MATCH($H1179, FILTER(Shipping_Rate_Card!B:B, Shipping_Rate_Card!A:A=$A1179), 1),
   IF( INDEX(Config!B:B, MATCH($A1179, Config!A:A, 0))=""Local"", 2,
     IF( INDEX(Conf"&amp;"ig!B:B, MATCH($A1179, Config!A:A, 0))=""Regional"", 3, 4 )
   )
 ),
"""")
"),160.0)</f>
        <v>160</v>
      </c>
      <c r="J1179" s="16">
        <f>IFERROR(__xludf.DUMMYFUNCTION("IFERROR(
 ( E1179 * INDEX(FILTER(Pricing_Rules!E:E, Pricing_Rules!A:A=A1179, Pricing_Rules!B:B=B1179, Pricing_Rules!C:C&lt;=E1179, Pricing_Rules!D:D&gt;=E1179), 1)
   + INDEX(FILTER(Pricing_Rules!F:F, Pricing_Rules!A:A=A1179, Pricing_Rules!B:B=B1179, Pricing_Ru"&amp;"les!C:C&lt;=E1179, Pricing_Rules!D:D&gt;=E1179), 1)
 )
 * (1 + IFERROR( INDEX(Config!D:D, MATCH(A1179, Config!A:A, 0)), 0 )),
"""")
"),0.0)</f>
        <v>0</v>
      </c>
      <c r="K1179" s="19">
        <f t="shared" si="3"/>
        <v>-472</v>
      </c>
      <c r="L1179" s="20" t="str">
        <f t="shared" si="4"/>
        <v/>
      </c>
    </row>
    <row r="1180" ht="15.75" customHeight="1">
      <c r="A1180" s="9"/>
      <c r="B1180" s="12" t="str">
        <f t="array" ref="B1180">XLOOKUP(C1180, Channel_Listings!C:C, Channel_Listings!B:B)
</f>
        <v>#N/A</v>
      </c>
      <c r="C1180" s="24"/>
      <c r="D1180" s="14" t="str">
        <f t="array" ref="D1180">XLOOKUP(C1180, Channel_Listings!C:C, Channel_Listings!D:D)
</f>
        <v>#N/A</v>
      </c>
      <c r="E1180" s="15"/>
      <c r="F1180" s="16" t="str">
        <f t="array" ref="F1180">IFERROR(
  VALUE( INDEX(Product_Master!$I:$I,
               MATCH( INDEX(Pack_Master!$B:$B, MATCH($D1180, Pack_Master!$A:$A, 0)),
                      Product_Master!$B:$B, 0)
  )) 
  * VALUE( INDEX(Pack_Master!$C:$C, MATCH($D1180, Pack_Master!$A:$A, 0)) )
  + VALUE( INDEX(Pack_Master!$D:$D, MATCH($D1180, Pack_Master!$A:$A, 0)) ),
"")
</f>
        <v/>
      </c>
      <c r="G1180" s="17" t="str">
        <f t="array" ref="G1180">IFERROR(
 ( INDEX(Pack_Master!E:E, MATCH($D1180, Pack_Master!A:A, 0))
   * INDEX(Pack_Master!F:F, MATCH($D1180, Pack_Master!A:A, 0))
   * INDEX(Pack_Master!G:G, MATCH($D1180, Pack_Master!A:A, 0))
 ) / INDEX(Config!C:C, MATCH($A1180, Config!A:A, 0)),
"")
</f>
        <v/>
      </c>
      <c r="H1180" s="17" t="str">
        <f t="array" ref="H1180">MAX( INDEX(Pack_Master!H:H, MATCH($D1180, Pack_Master!A:A, 0)),
      IFERROR(G1180, 0) )
</f>
        <v>#N/A</v>
      </c>
      <c r="I1180" s="18" t="str">
        <f>IFERROR(__xludf.DUMMYFUNCTION("IFERROR(
 INDEX(
   FILTER(Shipping_Rate_Card!B:F, Shipping_Rate_Card!A:A=$A1180),
   MATCH($H1180, FILTER(Shipping_Rate_Card!B:B, Shipping_Rate_Card!A:A=$A1180), 1),
   IF( INDEX(Config!B:B, MATCH($A1180, Config!A:A, 0))=""Local"", 2,
     IF( INDEX(Conf"&amp;"ig!B:B, MATCH($A1180, Config!A:A, 0))=""Regional"", 3, 4 )
   )
 ),
"""")
"),"")</f>
        <v/>
      </c>
      <c r="J1180" s="16" t="str">
        <f>IFERROR(__xludf.DUMMYFUNCTION("IFERROR(
 ( E1180 * INDEX(FILTER(Pricing_Rules!E:E, Pricing_Rules!A:A=A1180, Pricing_Rules!B:B=B1180, Pricing_Rules!C:C&lt;=E1180, Pricing_Rules!D:D&gt;=E1180), 1)
   + INDEX(FILTER(Pricing_Rules!F:F, Pricing_Rules!A:A=A1180, Pricing_Rules!B:B=B1180, Pricing_Ru"&amp;"les!C:C&lt;=E1180, Pricing_Rules!D:D&gt;=E1180), 1)
 )
 * (1 + IFERROR( INDEX(Config!D:D, MATCH(A1180, Config!A:A, 0)), 0 )),
"""")
"),"")</f>
        <v/>
      </c>
      <c r="K1180" s="19">
        <f t="shared" si="3"/>
        <v>0</v>
      </c>
      <c r="L1180" s="20" t="str">
        <f t="shared" si="4"/>
        <v/>
      </c>
    </row>
    <row r="1181" ht="15.75" customHeight="1">
      <c r="A1181" s="9"/>
      <c r="B1181" s="26"/>
      <c r="C1181" s="24"/>
      <c r="D1181" s="14" t="str">
        <f t="array" ref="D1181">XLOOKUP(C1181, Channel_Listings!C:C, Channel_Listings!D:D)
</f>
        <v>#N/A</v>
      </c>
      <c r="E1181" s="15"/>
      <c r="F1181" s="16"/>
      <c r="G1181" s="17"/>
      <c r="H1181" s="17"/>
      <c r="I1181" s="18"/>
      <c r="J1181" s="16"/>
      <c r="K1181" s="19"/>
      <c r="L1181" s="20" t="str">
        <f t="shared" si="4"/>
        <v/>
      </c>
    </row>
    <row r="1182" ht="15.75" customHeight="1">
      <c r="A1182" s="9"/>
      <c r="B1182" s="26"/>
      <c r="C1182" s="24"/>
      <c r="D1182" s="14" t="str">
        <f t="array" ref="D1182">XLOOKUP(C1182, Channel_Listings!C:C, Channel_Listings!D:D)
</f>
        <v>#N/A</v>
      </c>
      <c r="E1182" s="15"/>
      <c r="F1182" s="16"/>
      <c r="G1182" s="17"/>
      <c r="H1182" s="17"/>
      <c r="I1182" s="18"/>
      <c r="J1182" s="16"/>
      <c r="K1182" s="19"/>
      <c r="L1182" s="20" t="str">
        <f t="shared" si="4"/>
        <v/>
      </c>
    </row>
    <row r="1183" ht="15.75" customHeight="1">
      <c r="A1183" s="9"/>
      <c r="B1183" s="26"/>
      <c r="C1183" s="24"/>
      <c r="D1183" s="14" t="str">
        <f t="array" ref="D1183">XLOOKUP(C1183, Channel_Listings!C:C, Channel_Listings!D:D)
</f>
        <v>#N/A</v>
      </c>
      <c r="E1183" s="15"/>
      <c r="F1183" s="16"/>
      <c r="G1183" s="17"/>
      <c r="H1183" s="17"/>
      <c r="I1183" s="18"/>
      <c r="J1183" s="16"/>
      <c r="K1183" s="19"/>
      <c r="L1183" s="20"/>
    </row>
    <row r="1184" ht="15.75" customHeight="1">
      <c r="A1184" s="9"/>
      <c r="B1184" s="26"/>
      <c r="C1184" s="24"/>
      <c r="D1184" s="14" t="str">
        <f t="array" ref="D1184">XLOOKUP(C1184, Channel_Listings!C:C, Channel_Listings!D:D)
</f>
        <v>#N/A</v>
      </c>
      <c r="E1184" s="15"/>
      <c r="F1184" s="16"/>
      <c r="G1184" s="17"/>
      <c r="H1184" s="17"/>
      <c r="I1184" s="18"/>
      <c r="J1184" s="16"/>
      <c r="K1184" s="19"/>
      <c r="L1184" s="20"/>
    </row>
    <row r="1185" ht="15.75" customHeight="1">
      <c r="A1185" s="9"/>
      <c r="B1185" s="26"/>
      <c r="C1185" s="24"/>
      <c r="D1185" s="14" t="str">
        <f t="array" ref="D1185">XLOOKUP(C1185, Channel_Listings!C:C, Channel_Listings!D:D)
</f>
        <v>#N/A</v>
      </c>
      <c r="E1185" s="15"/>
      <c r="F1185" s="16"/>
      <c r="G1185" s="17"/>
      <c r="H1185" s="17"/>
      <c r="I1185" s="18"/>
      <c r="J1185" s="16"/>
      <c r="K1185" s="19"/>
      <c r="L1185" s="20"/>
    </row>
    <row r="1186" ht="15.75" customHeight="1">
      <c r="A1186" s="9"/>
      <c r="B1186" s="26"/>
      <c r="C1186" s="24"/>
      <c r="D1186" s="14" t="str">
        <f t="array" ref="D1186">XLOOKUP(C1186, Channel_Listings!C:C, Channel_Listings!D:D)
</f>
        <v>#N/A</v>
      </c>
      <c r="E1186" s="15"/>
      <c r="F1186" s="16"/>
      <c r="G1186" s="17"/>
      <c r="H1186" s="17"/>
      <c r="I1186" s="18"/>
      <c r="J1186" s="16"/>
      <c r="K1186" s="19"/>
      <c r="L1186" s="20"/>
    </row>
    <row r="1187" ht="15.75" customHeight="1">
      <c r="A1187" s="9"/>
      <c r="B1187" s="26"/>
      <c r="C1187" s="24"/>
      <c r="D1187" s="14" t="str">
        <f t="array" ref="D1187">XLOOKUP(C1187, Channel_Listings!C:C, Channel_Listings!D:D)
</f>
        <v>#N/A</v>
      </c>
      <c r="E1187" s="15"/>
      <c r="F1187" s="16"/>
      <c r="G1187" s="17"/>
      <c r="H1187" s="17"/>
      <c r="I1187" s="18"/>
      <c r="J1187" s="16"/>
      <c r="K1187" s="19"/>
      <c r="L1187" s="20"/>
    </row>
    <row r="1188" ht="15.75" customHeight="1">
      <c r="A1188" s="9"/>
      <c r="B1188" s="26"/>
      <c r="C1188" s="24"/>
      <c r="D1188" s="14" t="str">
        <f t="array" ref="D1188">XLOOKUP(C1188, Channel_Listings!C:C, Channel_Listings!D:D)
</f>
        <v>#N/A</v>
      </c>
      <c r="E1188" s="15"/>
      <c r="F1188" s="16"/>
      <c r="G1188" s="17"/>
      <c r="H1188" s="17"/>
      <c r="I1188" s="18"/>
      <c r="J1188" s="16"/>
      <c r="K1188" s="19"/>
      <c r="L1188" s="20"/>
    </row>
    <row r="1189" ht="15.75" customHeight="1">
      <c r="A1189" s="9"/>
      <c r="B1189" s="26"/>
      <c r="C1189" s="24"/>
      <c r="D1189" s="14" t="str">
        <f t="array" ref="D1189">XLOOKUP(C1189, Channel_Listings!C:C, Channel_Listings!D:D)
</f>
        <v>#N/A</v>
      </c>
      <c r="E1189" s="15"/>
      <c r="F1189" s="16"/>
      <c r="G1189" s="17"/>
      <c r="H1189" s="17"/>
      <c r="I1189" s="18"/>
      <c r="J1189" s="16"/>
      <c r="K1189" s="19"/>
      <c r="L1189" s="20"/>
    </row>
    <row r="1190" ht="15.75" customHeight="1">
      <c r="A1190" s="9"/>
      <c r="B1190" s="26"/>
      <c r="C1190" s="24"/>
      <c r="D1190" s="14" t="str">
        <f t="array" ref="D1190">XLOOKUP(C1190, Channel_Listings!C:C, Channel_Listings!D:D)
</f>
        <v>#N/A</v>
      </c>
      <c r="E1190" s="15"/>
      <c r="F1190" s="16"/>
      <c r="G1190" s="17"/>
      <c r="H1190" s="17"/>
      <c r="I1190" s="18"/>
      <c r="J1190" s="16"/>
      <c r="K1190" s="19"/>
      <c r="L1190" s="20"/>
    </row>
    <row r="1191" ht="15.75" customHeight="1">
      <c r="A1191" s="9"/>
      <c r="B1191" s="26"/>
      <c r="C1191" s="24"/>
      <c r="D1191" s="14" t="str">
        <f t="array" ref="D1191">XLOOKUP(C1191, Channel_Listings!C:C, Channel_Listings!D:D)
</f>
        <v>#N/A</v>
      </c>
      <c r="E1191" s="15"/>
      <c r="F1191" s="16"/>
      <c r="G1191" s="17"/>
      <c r="H1191" s="17"/>
      <c r="I1191" s="18"/>
      <c r="J1191" s="16"/>
      <c r="K1191" s="19"/>
      <c r="L1191" s="20"/>
    </row>
    <row r="1192" ht="15.75" customHeight="1">
      <c r="A1192" s="9"/>
      <c r="B1192" s="26"/>
      <c r="C1192" s="24"/>
      <c r="D1192" s="14" t="str">
        <f t="array" ref="D1192">XLOOKUP(C1192, Channel_Listings!C:C, Channel_Listings!D:D)
</f>
        <v>#N/A</v>
      </c>
      <c r="E1192" s="15"/>
      <c r="F1192" s="16"/>
      <c r="G1192" s="17"/>
      <c r="H1192" s="17"/>
      <c r="I1192" s="18"/>
      <c r="J1192" s="16"/>
      <c r="K1192" s="19"/>
      <c r="L1192" s="20"/>
    </row>
    <row r="1193" ht="15.75" customHeight="1">
      <c r="A1193" s="9"/>
      <c r="B1193" s="26"/>
      <c r="C1193" s="24"/>
      <c r="D1193" s="14" t="str">
        <f t="array" ref="D1193">XLOOKUP(C1193, Channel_Listings!C:C, Channel_Listings!D:D)
</f>
        <v>#N/A</v>
      </c>
      <c r="E1193" s="15"/>
      <c r="F1193" s="16"/>
      <c r="G1193" s="17"/>
      <c r="H1193" s="17"/>
      <c r="I1193" s="18"/>
      <c r="J1193" s="16"/>
      <c r="K1193" s="19"/>
      <c r="L1193" s="20"/>
    </row>
    <row r="1194" ht="15.75" customHeight="1">
      <c r="A1194" s="9"/>
      <c r="B1194" s="26"/>
      <c r="C1194" s="24"/>
      <c r="D1194" s="14" t="str">
        <f t="array" ref="D1194">XLOOKUP(C1194, Channel_Listings!C:C, Channel_Listings!D:D)
</f>
        <v>#N/A</v>
      </c>
      <c r="E1194" s="15"/>
      <c r="F1194" s="16"/>
      <c r="G1194" s="17"/>
      <c r="H1194" s="17"/>
      <c r="I1194" s="18"/>
      <c r="J1194" s="16"/>
      <c r="K1194" s="19"/>
      <c r="L1194" s="20"/>
    </row>
    <row r="1195" ht="15.75" customHeight="1">
      <c r="A1195" s="9"/>
      <c r="B1195" s="26"/>
      <c r="C1195" s="24"/>
      <c r="D1195" s="14" t="str">
        <f t="array" ref="D1195">XLOOKUP(C1195, Channel_Listings!C:C, Channel_Listings!D:D)
</f>
        <v>#N/A</v>
      </c>
      <c r="E1195" s="15"/>
      <c r="F1195" s="16"/>
      <c r="G1195" s="17"/>
      <c r="H1195" s="17"/>
      <c r="I1195" s="18"/>
      <c r="J1195" s="16"/>
      <c r="K1195" s="19"/>
      <c r="L1195" s="20"/>
    </row>
    <row r="1196" ht="15.75" customHeight="1">
      <c r="A1196" s="9"/>
      <c r="B1196" s="26"/>
      <c r="C1196" s="24"/>
      <c r="D1196" s="14" t="str">
        <f t="array" ref="D1196">XLOOKUP(C1196, Channel_Listings!C:C, Channel_Listings!D:D)
</f>
        <v>#N/A</v>
      </c>
      <c r="E1196" s="15"/>
      <c r="F1196" s="16"/>
      <c r="G1196" s="17"/>
      <c r="H1196" s="17"/>
      <c r="I1196" s="18"/>
      <c r="J1196" s="16"/>
      <c r="K1196" s="19"/>
      <c r="L1196" s="20"/>
    </row>
    <row r="1197" ht="15.75" customHeight="1">
      <c r="A1197" s="9"/>
      <c r="B1197" s="26"/>
      <c r="C1197" s="24"/>
      <c r="D1197" s="14" t="str">
        <f t="array" ref="D1197">XLOOKUP(C1197, Channel_Listings!C:C, Channel_Listings!D:D)
</f>
        <v>#N/A</v>
      </c>
      <c r="E1197" s="15"/>
      <c r="F1197" s="16"/>
      <c r="G1197" s="17"/>
      <c r="H1197" s="17"/>
      <c r="I1197" s="18"/>
      <c r="J1197" s="16"/>
      <c r="K1197" s="19"/>
      <c r="L1197" s="20"/>
    </row>
    <row r="1198" ht="15.75" customHeight="1">
      <c r="A1198" s="9"/>
      <c r="B1198" s="26"/>
      <c r="C1198" s="24"/>
      <c r="D1198" s="14" t="str">
        <f t="array" ref="D1198">XLOOKUP(C1198, Channel_Listings!C:C, Channel_Listings!D:D)
</f>
        <v>#N/A</v>
      </c>
      <c r="E1198" s="15"/>
      <c r="F1198" s="16"/>
      <c r="G1198" s="17"/>
      <c r="H1198" s="17"/>
      <c r="I1198" s="18"/>
      <c r="J1198" s="16"/>
      <c r="K1198" s="19"/>
      <c r="L1198" s="20"/>
    </row>
    <row r="1199" ht="15.75" customHeight="1">
      <c r="A1199" s="9"/>
      <c r="B1199" s="26"/>
      <c r="C1199" s="24"/>
      <c r="D1199" s="14" t="str">
        <f t="array" ref="D1199">XLOOKUP(C1199, Channel_Listings!C:C, Channel_Listings!D:D)
</f>
        <v>#N/A</v>
      </c>
      <c r="E1199" s="15"/>
      <c r="F1199" s="16"/>
      <c r="G1199" s="17"/>
      <c r="H1199" s="17"/>
      <c r="I1199" s="18"/>
      <c r="J1199" s="16"/>
      <c r="K1199" s="19"/>
      <c r="L1199" s="20"/>
    </row>
    <row r="1200" ht="15.75" customHeight="1">
      <c r="A1200" s="9"/>
      <c r="B1200" s="26"/>
      <c r="C1200" s="24"/>
      <c r="D1200" s="14" t="str">
        <f t="array" ref="D1200">XLOOKUP(C1200, Channel_Listings!C:C, Channel_Listings!D:D)
</f>
        <v>#N/A</v>
      </c>
      <c r="E1200" s="15"/>
      <c r="F1200" s="16"/>
      <c r="G1200" s="17"/>
      <c r="H1200" s="17"/>
      <c r="I1200" s="18"/>
      <c r="J1200" s="16"/>
      <c r="K1200" s="19"/>
      <c r="L1200" s="20"/>
    </row>
    <row r="1201" ht="15.75" customHeight="1">
      <c r="A1201" s="9"/>
      <c r="B1201" s="26"/>
      <c r="C1201" s="24"/>
      <c r="D1201" s="14" t="str">
        <f t="array" ref="D1201">XLOOKUP(C1201, Channel_Listings!C:C, Channel_Listings!D:D)
</f>
        <v>#N/A</v>
      </c>
      <c r="E1201" s="15"/>
      <c r="F1201" s="16"/>
      <c r="G1201" s="17"/>
      <c r="H1201" s="17"/>
      <c r="I1201" s="18"/>
      <c r="J1201" s="16"/>
      <c r="K1201" s="19"/>
      <c r="L1201" s="20"/>
    </row>
    <row r="1202" ht="15.75" customHeight="1">
      <c r="A1202" s="9"/>
      <c r="B1202" s="26"/>
      <c r="C1202" s="24"/>
      <c r="D1202" s="14" t="str">
        <f t="array" ref="D1202">XLOOKUP(C1202, Channel_Listings!C:C, Channel_Listings!D:D)
</f>
        <v>#N/A</v>
      </c>
      <c r="E1202" s="15"/>
      <c r="F1202" s="16"/>
      <c r="G1202" s="17"/>
      <c r="H1202" s="17"/>
      <c r="I1202" s="18"/>
      <c r="J1202" s="16"/>
      <c r="K1202" s="19"/>
      <c r="L1202" s="20"/>
    </row>
    <row r="1203" ht="15.75" customHeight="1">
      <c r="A1203" s="9"/>
      <c r="B1203" s="26"/>
      <c r="C1203" s="24"/>
      <c r="D1203" s="14" t="str">
        <f t="array" ref="D1203">XLOOKUP(C1203, Channel_Listings!C:C, Channel_Listings!D:D)
</f>
        <v>#N/A</v>
      </c>
      <c r="E1203" s="15"/>
      <c r="F1203" s="16"/>
      <c r="G1203" s="17"/>
      <c r="H1203" s="17"/>
      <c r="I1203" s="18"/>
      <c r="J1203" s="16"/>
      <c r="K1203" s="19"/>
      <c r="L1203" s="20"/>
    </row>
    <row r="1204" ht="15.75" customHeight="1">
      <c r="A1204" s="9"/>
      <c r="B1204" s="26"/>
      <c r="C1204" s="24"/>
      <c r="D1204" s="14" t="str">
        <f t="array" ref="D1204">XLOOKUP(C1204, Channel_Listings!C:C, Channel_Listings!D:D)
</f>
        <v>#N/A</v>
      </c>
      <c r="E1204" s="15"/>
      <c r="F1204" s="16"/>
      <c r="G1204" s="17"/>
      <c r="H1204" s="17"/>
      <c r="I1204" s="18"/>
      <c r="J1204" s="16"/>
      <c r="K1204" s="19"/>
      <c r="L1204" s="20"/>
    </row>
    <row r="1205" ht="15.75" customHeight="1">
      <c r="A1205" s="9"/>
      <c r="B1205" s="26"/>
      <c r="C1205" s="24"/>
      <c r="D1205" s="14" t="str">
        <f t="array" ref="D1205">XLOOKUP(C1205, Channel_Listings!C:C, Channel_Listings!D:D)
</f>
        <v>#N/A</v>
      </c>
      <c r="E1205" s="15"/>
      <c r="F1205" s="16"/>
      <c r="G1205" s="17"/>
      <c r="H1205" s="17"/>
      <c r="I1205" s="18"/>
      <c r="J1205" s="16"/>
      <c r="K1205" s="19"/>
      <c r="L1205" s="20"/>
    </row>
    <row r="1206" ht="15.75" customHeight="1">
      <c r="A1206" s="9"/>
      <c r="B1206" s="26"/>
      <c r="C1206" s="24"/>
      <c r="D1206" s="14" t="str">
        <f t="array" ref="D1206">XLOOKUP(C1206, Channel_Listings!C:C, Channel_Listings!D:D)
</f>
        <v>#N/A</v>
      </c>
      <c r="E1206" s="15"/>
      <c r="F1206" s="16"/>
      <c r="G1206" s="17"/>
      <c r="H1206" s="17"/>
      <c r="I1206" s="18"/>
      <c r="J1206" s="16"/>
      <c r="K1206" s="19"/>
      <c r="L1206" s="20"/>
    </row>
    <row r="1207" ht="15.75" customHeight="1">
      <c r="A1207" s="9"/>
      <c r="B1207" s="26"/>
      <c r="C1207" s="24"/>
      <c r="D1207" s="14" t="str">
        <f t="array" ref="D1207">XLOOKUP(C1207, Channel_Listings!C:C, Channel_Listings!D:D)
</f>
        <v>#N/A</v>
      </c>
      <c r="E1207" s="15"/>
      <c r="F1207" s="16"/>
      <c r="G1207" s="17"/>
      <c r="H1207" s="17"/>
      <c r="I1207" s="18"/>
      <c r="J1207" s="16"/>
      <c r="K1207" s="19"/>
      <c r="L1207" s="20"/>
    </row>
    <row r="1208" ht="15.75" customHeight="1">
      <c r="A1208" s="9"/>
      <c r="B1208" s="26"/>
      <c r="C1208" s="24"/>
      <c r="D1208" s="14" t="str">
        <f t="array" ref="D1208">XLOOKUP(C1208, Channel_Listings!C:C, Channel_Listings!D:D)
</f>
        <v>#N/A</v>
      </c>
      <c r="E1208" s="15"/>
      <c r="F1208" s="16"/>
      <c r="G1208" s="17"/>
      <c r="H1208" s="17"/>
      <c r="I1208" s="18"/>
      <c r="J1208" s="16"/>
      <c r="K1208" s="19"/>
      <c r="L1208" s="20"/>
    </row>
    <row r="1209" ht="15.75" customHeight="1">
      <c r="A1209" s="9"/>
      <c r="B1209" s="26"/>
      <c r="C1209" s="24"/>
      <c r="D1209" s="14" t="str">
        <f t="array" ref="D1209">XLOOKUP(C1209, Channel_Listings!C:C, Channel_Listings!D:D)
</f>
        <v>#N/A</v>
      </c>
      <c r="E1209" s="15"/>
      <c r="F1209" s="16"/>
      <c r="G1209" s="17"/>
      <c r="H1209" s="17"/>
      <c r="I1209" s="18"/>
      <c r="J1209" s="16"/>
      <c r="K1209" s="19"/>
      <c r="L1209" s="20"/>
    </row>
    <row r="1210" ht="15.75" customHeight="1">
      <c r="A1210" s="9"/>
      <c r="B1210" s="26"/>
      <c r="C1210" s="24"/>
      <c r="D1210" s="14" t="str">
        <f t="array" ref="D1210">XLOOKUP(C1210, Channel_Listings!C:C, Channel_Listings!D:D)
</f>
        <v>#N/A</v>
      </c>
      <c r="E1210" s="15"/>
      <c r="F1210" s="16"/>
      <c r="G1210" s="17"/>
      <c r="H1210" s="17"/>
      <c r="I1210" s="18"/>
      <c r="J1210" s="16"/>
      <c r="K1210" s="19"/>
      <c r="L1210" s="20"/>
    </row>
    <row r="1211" ht="15.75" customHeight="1">
      <c r="A1211" s="9"/>
      <c r="B1211" s="26"/>
      <c r="C1211" s="24"/>
      <c r="D1211" s="14" t="str">
        <f t="array" ref="D1211">XLOOKUP(C1211, Channel_Listings!C:C, Channel_Listings!D:D)
</f>
        <v>#N/A</v>
      </c>
      <c r="E1211" s="15"/>
      <c r="F1211" s="16"/>
      <c r="G1211" s="17"/>
      <c r="H1211" s="17"/>
      <c r="I1211" s="18"/>
      <c r="J1211" s="16"/>
      <c r="K1211" s="19"/>
      <c r="L1211" s="20"/>
    </row>
    <row r="1212" ht="15.75" customHeight="1">
      <c r="A1212" s="9"/>
      <c r="B1212" s="26"/>
      <c r="C1212" s="24"/>
      <c r="D1212" s="14" t="str">
        <f t="array" ref="D1212">XLOOKUP(C1212, Channel_Listings!C:C, Channel_Listings!D:D)
</f>
        <v>#N/A</v>
      </c>
      <c r="E1212" s="15"/>
      <c r="F1212" s="16"/>
      <c r="G1212" s="17"/>
      <c r="H1212" s="17"/>
      <c r="I1212" s="18"/>
      <c r="J1212" s="16"/>
      <c r="K1212" s="19"/>
      <c r="L1212" s="20"/>
    </row>
    <row r="1213" ht="15.75" customHeight="1">
      <c r="A1213" s="9"/>
      <c r="B1213" s="26"/>
      <c r="C1213" s="24"/>
      <c r="D1213" s="14" t="str">
        <f t="array" ref="D1213">XLOOKUP(C1213, Channel_Listings!C:C, Channel_Listings!D:D)
</f>
        <v>#N/A</v>
      </c>
      <c r="E1213" s="15"/>
      <c r="F1213" s="16"/>
      <c r="G1213" s="17"/>
      <c r="H1213" s="17"/>
      <c r="I1213" s="18"/>
      <c r="J1213" s="16"/>
      <c r="K1213" s="19"/>
      <c r="L1213" s="20"/>
    </row>
    <row r="1214" ht="15.75" customHeight="1">
      <c r="A1214" s="9"/>
      <c r="B1214" s="26"/>
      <c r="C1214" s="24"/>
      <c r="D1214" s="14" t="str">
        <f t="array" ref="D1214">XLOOKUP(C1214, Channel_Listings!C:C, Channel_Listings!D:D)
</f>
        <v>#N/A</v>
      </c>
      <c r="E1214" s="15"/>
      <c r="F1214" s="16"/>
      <c r="G1214" s="17"/>
      <c r="H1214" s="17"/>
      <c r="I1214" s="18"/>
      <c r="J1214" s="16"/>
      <c r="K1214" s="19"/>
      <c r="L1214" s="20"/>
    </row>
    <row r="1215" ht="15.75" customHeight="1">
      <c r="A1215" s="9"/>
      <c r="B1215" s="26"/>
      <c r="C1215" s="24"/>
      <c r="D1215" s="14" t="str">
        <f t="array" ref="D1215">XLOOKUP(C1215, Channel_Listings!C:C, Channel_Listings!D:D)
</f>
        <v>#N/A</v>
      </c>
      <c r="E1215" s="15"/>
      <c r="F1215" s="16"/>
      <c r="G1215" s="17"/>
      <c r="H1215" s="17"/>
      <c r="I1215" s="18"/>
      <c r="J1215" s="16"/>
      <c r="K1215" s="19"/>
      <c r="L1215" s="20"/>
    </row>
    <row r="1216" ht="15.75" customHeight="1">
      <c r="A1216" s="9"/>
      <c r="B1216" s="26"/>
      <c r="C1216" s="24"/>
      <c r="D1216" s="14" t="str">
        <f t="array" ref="D1216">XLOOKUP(C1216, Channel_Listings!C:C, Channel_Listings!D:D)
</f>
        <v>#N/A</v>
      </c>
      <c r="E1216" s="15"/>
      <c r="F1216" s="16"/>
      <c r="G1216" s="17"/>
      <c r="H1216" s="17"/>
      <c r="I1216" s="18"/>
      <c r="J1216" s="16"/>
      <c r="K1216" s="19"/>
      <c r="L1216" s="20"/>
    </row>
    <row r="1217" ht="15.75" customHeight="1">
      <c r="A1217" s="9"/>
      <c r="B1217" s="26"/>
      <c r="C1217" s="24"/>
      <c r="D1217" s="14" t="str">
        <f t="array" ref="D1217">XLOOKUP(C1217, Channel_Listings!C:C, Channel_Listings!D:D)
</f>
        <v>#N/A</v>
      </c>
      <c r="E1217" s="15"/>
      <c r="F1217" s="16"/>
      <c r="G1217" s="17"/>
      <c r="H1217" s="17"/>
      <c r="I1217" s="18"/>
      <c r="J1217" s="16"/>
      <c r="K1217" s="19"/>
      <c r="L1217" s="20"/>
    </row>
    <row r="1218" ht="15.75" customHeight="1">
      <c r="A1218" s="9"/>
      <c r="B1218" s="26"/>
      <c r="C1218" s="24"/>
      <c r="D1218" s="14" t="str">
        <f t="array" ref="D1218">XLOOKUP(C1218, Channel_Listings!C:C, Channel_Listings!D:D)
</f>
        <v>#N/A</v>
      </c>
      <c r="E1218" s="15"/>
      <c r="F1218" s="16"/>
      <c r="G1218" s="17"/>
      <c r="H1218" s="17"/>
      <c r="I1218" s="18"/>
      <c r="J1218" s="16"/>
      <c r="K1218" s="19"/>
      <c r="L1218" s="20"/>
    </row>
    <row r="1219" ht="15.75" customHeight="1">
      <c r="A1219" s="9"/>
      <c r="B1219" s="26"/>
      <c r="C1219" s="24"/>
      <c r="D1219" s="14" t="str">
        <f t="array" ref="D1219">XLOOKUP(C1219, Channel_Listings!C:C, Channel_Listings!D:D)
</f>
        <v>#N/A</v>
      </c>
      <c r="E1219" s="15"/>
      <c r="F1219" s="16"/>
      <c r="G1219" s="17"/>
      <c r="H1219" s="17"/>
      <c r="I1219" s="18"/>
      <c r="J1219" s="16"/>
      <c r="K1219" s="19"/>
      <c r="L1219" s="20"/>
    </row>
    <row r="1220" ht="15.75" customHeight="1">
      <c r="A1220" s="9"/>
      <c r="B1220" s="26"/>
      <c r="C1220" s="24"/>
      <c r="D1220" s="14" t="str">
        <f t="array" ref="D1220">XLOOKUP(C1220, Channel_Listings!C:C, Channel_Listings!D:D)
</f>
        <v>#N/A</v>
      </c>
      <c r="E1220" s="15"/>
      <c r="F1220" s="16"/>
      <c r="G1220" s="17"/>
      <c r="H1220" s="17"/>
      <c r="I1220" s="18"/>
      <c r="J1220" s="16"/>
      <c r="K1220" s="19"/>
      <c r="L1220" s="20"/>
    </row>
    <row r="1221" ht="15.75" customHeight="1">
      <c r="A1221" s="9"/>
      <c r="B1221" s="26"/>
      <c r="C1221" s="24"/>
      <c r="D1221" s="14" t="str">
        <f t="array" ref="D1221">XLOOKUP(C1221, Channel_Listings!C:C, Channel_Listings!D:D)
</f>
        <v>#N/A</v>
      </c>
      <c r="E1221" s="15"/>
      <c r="F1221" s="16"/>
      <c r="G1221" s="17"/>
      <c r="H1221" s="17"/>
      <c r="I1221" s="18"/>
      <c r="J1221" s="16"/>
      <c r="K1221" s="19"/>
      <c r="L1221" s="20"/>
    </row>
    <row r="1222" ht="15.75" customHeight="1">
      <c r="A1222" s="9"/>
      <c r="B1222" s="26"/>
      <c r="C1222" s="24"/>
      <c r="D1222" s="14" t="str">
        <f t="array" ref="D1222">XLOOKUP(C1222, Channel_Listings!C:C, Channel_Listings!D:D)
</f>
        <v>#N/A</v>
      </c>
      <c r="E1222" s="15"/>
      <c r="F1222" s="16"/>
      <c r="G1222" s="17"/>
      <c r="H1222" s="17"/>
      <c r="I1222" s="18"/>
      <c r="J1222" s="16"/>
      <c r="K1222" s="19"/>
      <c r="L1222" s="20"/>
    </row>
    <row r="1223" ht="15.75" customHeight="1">
      <c r="A1223" s="9"/>
      <c r="B1223" s="26"/>
      <c r="C1223" s="24"/>
      <c r="D1223" s="14" t="str">
        <f t="array" ref="D1223">XLOOKUP(C1223, Channel_Listings!C:C, Channel_Listings!D:D)
</f>
        <v>#N/A</v>
      </c>
      <c r="E1223" s="15"/>
      <c r="F1223" s="16"/>
      <c r="G1223" s="17"/>
      <c r="H1223" s="17"/>
      <c r="I1223" s="18"/>
      <c r="J1223" s="16"/>
      <c r="K1223" s="19"/>
      <c r="L1223" s="20"/>
    </row>
    <row r="1224" ht="15.75" customHeight="1">
      <c r="A1224" s="9"/>
      <c r="B1224" s="26"/>
      <c r="C1224" s="24"/>
      <c r="D1224" s="14" t="str">
        <f t="array" ref="D1224">XLOOKUP(C1224, Channel_Listings!C:C, Channel_Listings!D:D)
</f>
        <v>#N/A</v>
      </c>
      <c r="E1224" s="15"/>
      <c r="F1224" s="16"/>
      <c r="G1224" s="17"/>
      <c r="H1224" s="17"/>
      <c r="I1224" s="18"/>
      <c r="J1224" s="16"/>
      <c r="K1224" s="19"/>
      <c r="L1224" s="20"/>
    </row>
    <row r="1225" ht="15.75" customHeight="1">
      <c r="A1225" s="9"/>
      <c r="B1225" s="26"/>
      <c r="C1225" s="24"/>
      <c r="D1225" s="14" t="str">
        <f t="array" ref="D1225">XLOOKUP(C1225, Channel_Listings!C:C, Channel_Listings!D:D)
</f>
        <v>#N/A</v>
      </c>
      <c r="E1225" s="15"/>
      <c r="F1225" s="16"/>
      <c r="G1225" s="17"/>
      <c r="H1225" s="17"/>
      <c r="I1225" s="18"/>
      <c r="J1225" s="16"/>
      <c r="K1225" s="19"/>
      <c r="L1225" s="20"/>
    </row>
    <row r="1226" ht="15.75" customHeight="1">
      <c r="A1226" s="9"/>
      <c r="B1226" s="26"/>
      <c r="C1226" s="24"/>
      <c r="D1226" s="14" t="str">
        <f t="array" ref="D1226">XLOOKUP(C1226, Channel_Listings!C:C, Channel_Listings!D:D)
</f>
        <v>#N/A</v>
      </c>
      <c r="E1226" s="15"/>
      <c r="F1226" s="16"/>
      <c r="G1226" s="17"/>
      <c r="H1226" s="17"/>
      <c r="I1226" s="18"/>
      <c r="J1226" s="16"/>
      <c r="K1226" s="19"/>
      <c r="L1226" s="20"/>
    </row>
    <row r="1227" ht="15.75" customHeight="1">
      <c r="A1227" s="9"/>
      <c r="B1227" s="26"/>
      <c r="C1227" s="24"/>
      <c r="D1227" s="14" t="str">
        <f t="array" ref="D1227">XLOOKUP(C1227, Channel_Listings!C:C, Channel_Listings!D:D)
</f>
        <v>#N/A</v>
      </c>
      <c r="E1227" s="15"/>
      <c r="F1227" s="16"/>
      <c r="G1227" s="17"/>
      <c r="H1227" s="17"/>
      <c r="I1227" s="18"/>
      <c r="J1227" s="16"/>
      <c r="K1227" s="19"/>
      <c r="L1227" s="20"/>
    </row>
    <row r="1228" ht="15.75" customHeight="1">
      <c r="A1228" s="9"/>
      <c r="B1228" s="26"/>
      <c r="C1228" s="24"/>
      <c r="D1228" s="14" t="str">
        <f t="array" ref="D1228">XLOOKUP(C1228, Channel_Listings!C:C, Channel_Listings!D:D)
</f>
        <v>#N/A</v>
      </c>
      <c r="E1228" s="15"/>
      <c r="F1228" s="16"/>
      <c r="G1228" s="17"/>
      <c r="H1228" s="17"/>
      <c r="I1228" s="18"/>
      <c r="J1228" s="16"/>
      <c r="K1228" s="19"/>
      <c r="L1228" s="20"/>
    </row>
    <row r="1229" ht="15.75" customHeight="1">
      <c r="A1229" s="9"/>
      <c r="B1229" s="26"/>
      <c r="C1229" s="24"/>
      <c r="D1229" s="14" t="str">
        <f t="array" ref="D1229">XLOOKUP(C1229, Channel_Listings!C:C, Channel_Listings!D:D)
</f>
        <v>#N/A</v>
      </c>
      <c r="E1229" s="15"/>
      <c r="F1229" s="16"/>
      <c r="G1229" s="17"/>
      <c r="H1229" s="17"/>
      <c r="I1229" s="18"/>
      <c r="J1229" s="16"/>
      <c r="K1229" s="19"/>
      <c r="L1229" s="20"/>
    </row>
    <row r="1230" ht="15.75" customHeight="1">
      <c r="A1230" s="9"/>
      <c r="B1230" s="26"/>
      <c r="C1230" s="24"/>
      <c r="D1230" s="14" t="str">
        <f t="array" ref="D1230">XLOOKUP(C1230, Channel_Listings!C:C, Channel_Listings!D:D)
</f>
        <v>#N/A</v>
      </c>
      <c r="E1230" s="15"/>
      <c r="F1230" s="16"/>
      <c r="G1230" s="17"/>
      <c r="H1230" s="17"/>
      <c r="I1230" s="18"/>
      <c r="J1230" s="16"/>
      <c r="K1230" s="19"/>
      <c r="L1230" s="20"/>
    </row>
    <row r="1231" ht="15.75" customHeight="1">
      <c r="A1231" s="9"/>
      <c r="B1231" s="26"/>
      <c r="C1231" s="24"/>
      <c r="D1231" s="14" t="str">
        <f t="array" ref="D1231">XLOOKUP(C1231, Channel_Listings!C:C, Channel_Listings!D:D)
</f>
        <v>#N/A</v>
      </c>
      <c r="E1231" s="15"/>
      <c r="F1231" s="16"/>
      <c r="G1231" s="17"/>
      <c r="H1231" s="17"/>
      <c r="I1231" s="18"/>
      <c r="J1231" s="16"/>
      <c r="K1231" s="19"/>
      <c r="L1231" s="20"/>
    </row>
    <row r="1232" ht="15.75" customHeight="1">
      <c r="A1232" s="9"/>
      <c r="B1232" s="26"/>
      <c r="C1232" s="24"/>
      <c r="D1232" s="14" t="str">
        <f t="array" ref="D1232">XLOOKUP(C1232, Channel_Listings!C:C, Channel_Listings!D:D)
</f>
        <v>#N/A</v>
      </c>
      <c r="E1232" s="15"/>
      <c r="F1232" s="16"/>
      <c r="G1232" s="17"/>
      <c r="H1232" s="17"/>
      <c r="I1232" s="18"/>
      <c r="J1232" s="16"/>
      <c r="K1232" s="19"/>
      <c r="L1232" s="20"/>
    </row>
    <row r="1233" ht="15.75" customHeight="1">
      <c r="A1233" s="9"/>
      <c r="B1233" s="26"/>
      <c r="C1233" s="24"/>
      <c r="D1233" s="14" t="str">
        <f t="array" ref="D1233">XLOOKUP(C1233, Channel_Listings!C:C, Channel_Listings!D:D)
</f>
        <v>#N/A</v>
      </c>
      <c r="E1233" s="15"/>
      <c r="F1233" s="16"/>
      <c r="G1233" s="17"/>
      <c r="H1233" s="17"/>
      <c r="I1233" s="18"/>
      <c r="J1233" s="16"/>
      <c r="K1233" s="19"/>
      <c r="L1233" s="20"/>
    </row>
    <row r="1234" ht="15.75" customHeight="1">
      <c r="A1234" s="9"/>
      <c r="B1234" s="26"/>
      <c r="C1234" s="24"/>
      <c r="D1234" s="14" t="str">
        <f t="array" ref="D1234">XLOOKUP(C1234, Channel_Listings!C:C, Channel_Listings!D:D)
</f>
        <v>#N/A</v>
      </c>
      <c r="E1234" s="15"/>
      <c r="F1234" s="16"/>
      <c r="G1234" s="17"/>
      <c r="H1234" s="17"/>
      <c r="I1234" s="18"/>
      <c r="J1234" s="16"/>
      <c r="K1234" s="19"/>
      <c r="L1234" s="20"/>
    </row>
    <row r="1235" ht="15.75" customHeight="1">
      <c r="A1235" s="9"/>
      <c r="B1235" s="26"/>
      <c r="C1235" s="24"/>
      <c r="D1235" s="14" t="str">
        <f t="array" ref="D1235">XLOOKUP(C1235, Channel_Listings!C:C, Channel_Listings!D:D)
</f>
        <v>#N/A</v>
      </c>
      <c r="E1235" s="15"/>
      <c r="F1235" s="16"/>
      <c r="G1235" s="17"/>
      <c r="H1235" s="17"/>
      <c r="I1235" s="18"/>
      <c r="J1235" s="16"/>
      <c r="K1235" s="19"/>
      <c r="L1235" s="20"/>
    </row>
    <row r="1236" ht="15.75" customHeight="1">
      <c r="A1236" s="9"/>
      <c r="B1236" s="26"/>
      <c r="C1236" s="24"/>
      <c r="D1236" s="14" t="str">
        <f t="array" ref="D1236">XLOOKUP(C1236, Channel_Listings!C:C, Channel_Listings!D:D)
</f>
        <v>#N/A</v>
      </c>
      <c r="E1236" s="15"/>
      <c r="F1236" s="16"/>
      <c r="G1236" s="17"/>
      <c r="H1236" s="17"/>
      <c r="I1236" s="18"/>
      <c r="J1236" s="16"/>
      <c r="K1236" s="19"/>
      <c r="L1236" s="20"/>
    </row>
    <row r="1237" ht="15.75" customHeight="1">
      <c r="A1237" s="9"/>
      <c r="B1237" s="26"/>
      <c r="C1237" s="24"/>
      <c r="D1237" s="14" t="str">
        <f t="array" ref="D1237">XLOOKUP(C1237, Channel_Listings!C:C, Channel_Listings!D:D)
</f>
        <v>#N/A</v>
      </c>
      <c r="E1237" s="15"/>
      <c r="F1237" s="16"/>
      <c r="G1237" s="17"/>
      <c r="H1237" s="17"/>
      <c r="I1237" s="18"/>
      <c r="J1237" s="16"/>
      <c r="K1237" s="19"/>
      <c r="L1237" s="20"/>
    </row>
    <row r="1238" ht="15.75" customHeight="1">
      <c r="A1238" s="9"/>
      <c r="B1238" s="26"/>
      <c r="C1238" s="24"/>
      <c r="D1238" s="14" t="str">
        <f t="array" ref="D1238">XLOOKUP(C1238, Channel_Listings!C:C, Channel_Listings!D:D)
</f>
        <v>#N/A</v>
      </c>
      <c r="E1238" s="15"/>
      <c r="F1238" s="16"/>
      <c r="G1238" s="17"/>
      <c r="H1238" s="17"/>
      <c r="I1238" s="18"/>
      <c r="J1238" s="16"/>
      <c r="K1238" s="19"/>
      <c r="L1238" s="20"/>
    </row>
    <row r="1239" ht="15.75" customHeight="1">
      <c r="A1239" s="9"/>
      <c r="B1239" s="26"/>
      <c r="C1239" s="24"/>
      <c r="D1239" s="14" t="str">
        <f t="array" ref="D1239">XLOOKUP(C1239, Channel_Listings!C:C, Channel_Listings!D:D)
</f>
        <v>#N/A</v>
      </c>
      <c r="E1239" s="15"/>
      <c r="F1239" s="16"/>
      <c r="G1239" s="17"/>
      <c r="H1239" s="17"/>
      <c r="I1239" s="18"/>
      <c r="J1239" s="16"/>
      <c r="K1239" s="19"/>
      <c r="L1239" s="20"/>
    </row>
    <row r="1240" ht="15.75" customHeight="1">
      <c r="A1240" s="9"/>
      <c r="B1240" s="26"/>
      <c r="C1240" s="24"/>
      <c r="D1240" s="14" t="str">
        <f t="array" ref="D1240">XLOOKUP(C1240, Channel_Listings!C:C, Channel_Listings!D:D)
</f>
        <v>#N/A</v>
      </c>
      <c r="E1240" s="15"/>
      <c r="F1240" s="16"/>
      <c r="G1240" s="17"/>
      <c r="H1240" s="17"/>
      <c r="I1240" s="18"/>
      <c r="J1240" s="16"/>
      <c r="K1240" s="19"/>
      <c r="L1240" s="20"/>
    </row>
    <row r="1241" ht="15.75" customHeight="1">
      <c r="A1241" s="9"/>
      <c r="B1241" s="26"/>
      <c r="C1241" s="24"/>
      <c r="D1241" s="14" t="str">
        <f t="array" ref="D1241">XLOOKUP(C1241, Channel_Listings!C:C, Channel_Listings!D:D)
</f>
        <v>#N/A</v>
      </c>
      <c r="E1241" s="15"/>
      <c r="F1241" s="16"/>
      <c r="G1241" s="17"/>
      <c r="H1241" s="17"/>
      <c r="I1241" s="18"/>
      <c r="J1241" s="16"/>
      <c r="K1241" s="19"/>
      <c r="L1241" s="20"/>
    </row>
    <row r="1242" ht="15.75" customHeight="1">
      <c r="A1242" s="9"/>
      <c r="B1242" s="26"/>
      <c r="C1242" s="24"/>
      <c r="D1242" s="14" t="str">
        <f t="array" ref="D1242">XLOOKUP(C1242, Channel_Listings!C:C, Channel_Listings!D:D)
</f>
        <v>#N/A</v>
      </c>
      <c r="E1242" s="15"/>
      <c r="F1242" s="16"/>
      <c r="G1242" s="17"/>
      <c r="H1242" s="17"/>
      <c r="I1242" s="18"/>
      <c r="J1242" s="16"/>
      <c r="K1242" s="19"/>
      <c r="L1242" s="20"/>
    </row>
    <row r="1243" ht="15.75" customHeight="1">
      <c r="A1243" s="9"/>
      <c r="B1243" s="26"/>
      <c r="C1243" s="24"/>
      <c r="D1243" s="14" t="str">
        <f t="array" ref="D1243">XLOOKUP(C1243, Channel_Listings!C:C, Channel_Listings!D:D)
</f>
        <v>#N/A</v>
      </c>
      <c r="E1243" s="15"/>
      <c r="F1243" s="16"/>
      <c r="G1243" s="17"/>
      <c r="H1243" s="17"/>
      <c r="I1243" s="18"/>
      <c r="J1243" s="16"/>
      <c r="K1243" s="19"/>
      <c r="L1243" s="20"/>
    </row>
    <row r="1244" ht="15.75" customHeight="1">
      <c r="A1244" s="9"/>
      <c r="B1244" s="26"/>
      <c r="C1244" s="24"/>
      <c r="D1244" s="14" t="str">
        <f t="array" ref="D1244">XLOOKUP(C1244, Channel_Listings!C:C, Channel_Listings!D:D)
</f>
        <v>#N/A</v>
      </c>
      <c r="E1244" s="15"/>
      <c r="F1244" s="16"/>
      <c r="G1244" s="17"/>
      <c r="H1244" s="17"/>
      <c r="I1244" s="18"/>
      <c r="J1244" s="16"/>
      <c r="K1244" s="19"/>
      <c r="L1244" s="20"/>
    </row>
    <row r="1245" ht="15.75" customHeight="1">
      <c r="A1245" s="9"/>
      <c r="B1245" s="26"/>
      <c r="C1245" s="24"/>
      <c r="D1245" s="14" t="str">
        <f t="array" ref="D1245">XLOOKUP(C1245, Channel_Listings!C:C, Channel_Listings!D:D)
</f>
        <v>#N/A</v>
      </c>
      <c r="E1245" s="15"/>
      <c r="F1245" s="16"/>
      <c r="G1245" s="17"/>
      <c r="H1245" s="17"/>
      <c r="I1245" s="18"/>
      <c r="J1245" s="16"/>
      <c r="K1245" s="19"/>
      <c r="L1245" s="20"/>
    </row>
    <row r="1246" ht="15.75" customHeight="1">
      <c r="A1246" s="9"/>
      <c r="B1246" s="26"/>
      <c r="C1246" s="24"/>
      <c r="D1246" s="14" t="str">
        <f t="array" ref="D1246">XLOOKUP(C1246, Channel_Listings!C:C, Channel_Listings!D:D)
</f>
        <v>#N/A</v>
      </c>
      <c r="E1246" s="15"/>
      <c r="F1246" s="16"/>
      <c r="G1246" s="17"/>
      <c r="H1246" s="17"/>
      <c r="I1246" s="18"/>
      <c r="J1246" s="16"/>
      <c r="K1246" s="19"/>
      <c r="L1246" s="20"/>
    </row>
    <row r="1247" ht="15.75" customHeight="1">
      <c r="A1247" s="9"/>
      <c r="B1247" s="26"/>
      <c r="C1247" s="24"/>
      <c r="D1247" s="14" t="str">
        <f t="array" ref="D1247">XLOOKUP(C1247, Channel_Listings!C:C, Channel_Listings!D:D)
</f>
        <v>#N/A</v>
      </c>
      <c r="E1247" s="15"/>
      <c r="F1247" s="16"/>
      <c r="G1247" s="17"/>
      <c r="H1247" s="17"/>
      <c r="I1247" s="18"/>
      <c r="J1247" s="16"/>
      <c r="K1247" s="19"/>
      <c r="L1247" s="20"/>
    </row>
    <row r="1248" ht="15.75" customHeight="1">
      <c r="A1248" s="9"/>
      <c r="B1248" s="26"/>
      <c r="C1248" s="24"/>
      <c r="D1248" s="14" t="str">
        <f t="array" ref="D1248">XLOOKUP(C1248, Channel_Listings!C:C, Channel_Listings!D:D)
</f>
        <v>#N/A</v>
      </c>
      <c r="E1248" s="15"/>
      <c r="F1248" s="16"/>
      <c r="G1248" s="17"/>
      <c r="H1248" s="17"/>
      <c r="I1248" s="18"/>
      <c r="J1248" s="16"/>
      <c r="K1248" s="19"/>
      <c r="L1248" s="20"/>
    </row>
    <row r="1249" ht="15.75" customHeight="1">
      <c r="A1249" s="9"/>
      <c r="B1249" s="26"/>
      <c r="C1249" s="24"/>
      <c r="D1249" s="14" t="str">
        <f t="array" ref="D1249">XLOOKUP(C1249, Channel_Listings!C:C, Channel_Listings!D:D)
</f>
        <v>#N/A</v>
      </c>
      <c r="E1249" s="15"/>
      <c r="F1249" s="16"/>
      <c r="G1249" s="17"/>
      <c r="H1249" s="17"/>
      <c r="I1249" s="18"/>
      <c r="J1249" s="16"/>
      <c r="K1249" s="19"/>
      <c r="L1249" s="20"/>
    </row>
    <row r="1250" ht="15.75" customHeight="1">
      <c r="A1250" s="9"/>
      <c r="B1250" s="26"/>
      <c r="C1250" s="24"/>
      <c r="D1250" s="14" t="str">
        <f t="array" ref="D1250">XLOOKUP(C1250, Channel_Listings!C:C, Channel_Listings!D:D)
</f>
        <v>#N/A</v>
      </c>
      <c r="E1250" s="15"/>
      <c r="F1250" s="16"/>
      <c r="G1250" s="17"/>
      <c r="H1250" s="17"/>
      <c r="I1250" s="18"/>
      <c r="J1250" s="16"/>
      <c r="K1250" s="19"/>
      <c r="L1250" s="20"/>
    </row>
    <row r="1251" ht="15.75" customHeight="1">
      <c r="A1251" s="9"/>
      <c r="B1251" s="26"/>
      <c r="C1251" s="24"/>
      <c r="D1251" s="14" t="str">
        <f t="array" ref="D1251">XLOOKUP(C1251, Channel_Listings!C:C, Channel_Listings!D:D)
</f>
        <v>#N/A</v>
      </c>
      <c r="E1251" s="15"/>
      <c r="F1251" s="16"/>
      <c r="G1251" s="17"/>
      <c r="H1251" s="17"/>
      <c r="I1251" s="18"/>
      <c r="J1251" s="16"/>
      <c r="K1251" s="19"/>
      <c r="L1251" s="20"/>
    </row>
    <row r="1252" ht="15.75" customHeight="1">
      <c r="A1252" s="9"/>
      <c r="B1252" s="26"/>
      <c r="C1252" s="24"/>
      <c r="D1252" s="14"/>
      <c r="E1252" s="15"/>
      <c r="F1252" s="16"/>
      <c r="G1252" s="17"/>
      <c r="H1252" s="17"/>
      <c r="I1252" s="18"/>
      <c r="J1252" s="16"/>
      <c r="K1252" s="19"/>
      <c r="L1252" s="20"/>
    </row>
    <row r="1253" ht="15.75" customHeight="1">
      <c r="A1253" s="9"/>
      <c r="B1253" s="26"/>
      <c r="C1253" s="24"/>
      <c r="D1253" s="14"/>
      <c r="E1253" s="15"/>
      <c r="F1253" s="16"/>
      <c r="G1253" s="17"/>
      <c r="H1253" s="17"/>
      <c r="I1253" s="18"/>
      <c r="J1253" s="16"/>
      <c r="K1253" s="19"/>
      <c r="L1253" s="20"/>
    </row>
    <row r="1254" ht="15.75" customHeight="1">
      <c r="A1254" s="9"/>
      <c r="B1254" s="26"/>
      <c r="C1254" s="24"/>
      <c r="D1254" s="14"/>
      <c r="E1254" s="15"/>
      <c r="F1254" s="16"/>
      <c r="G1254" s="17"/>
      <c r="H1254" s="17"/>
      <c r="I1254" s="18"/>
      <c r="J1254" s="16"/>
      <c r="K1254" s="19"/>
      <c r="L1254" s="20"/>
    </row>
    <row r="1255" ht="15.75" customHeight="1">
      <c r="A1255" s="9"/>
      <c r="B1255" s="26"/>
      <c r="C1255" s="24"/>
      <c r="D1255" s="14"/>
      <c r="E1255" s="15"/>
      <c r="F1255" s="16"/>
      <c r="G1255" s="17"/>
      <c r="H1255" s="17"/>
      <c r="I1255" s="18"/>
      <c r="J1255" s="16"/>
      <c r="K1255" s="19"/>
      <c r="L1255" s="20"/>
    </row>
    <row r="1256" ht="15.75" customHeight="1">
      <c r="A1256" s="9"/>
      <c r="B1256" s="26"/>
      <c r="C1256" s="24"/>
      <c r="D1256" s="14"/>
      <c r="E1256" s="15"/>
      <c r="F1256" s="16"/>
      <c r="G1256" s="17"/>
      <c r="H1256" s="17"/>
      <c r="I1256" s="18"/>
      <c r="J1256" s="16"/>
      <c r="K1256" s="19"/>
      <c r="L1256" s="20"/>
    </row>
    <row r="1257" ht="15.75" customHeight="1">
      <c r="A1257" s="9"/>
      <c r="B1257" s="26"/>
      <c r="C1257" s="24"/>
      <c r="D1257" s="14"/>
      <c r="E1257" s="15"/>
      <c r="F1257" s="16"/>
      <c r="G1257" s="17"/>
      <c r="H1257" s="17"/>
      <c r="I1257" s="18"/>
      <c r="J1257" s="16"/>
      <c r="K1257" s="19"/>
      <c r="L1257" s="20"/>
    </row>
    <row r="1258" ht="15.75" customHeight="1">
      <c r="A1258" s="9"/>
      <c r="B1258" s="26"/>
      <c r="C1258" s="24"/>
      <c r="D1258" s="14"/>
      <c r="E1258" s="15"/>
      <c r="F1258" s="16"/>
      <c r="G1258" s="17"/>
      <c r="H1258" s="17"/>
      <c r="I1258" s="18"/>
      <c r="J1258" s="16"/>
      <c r="K1258" s="19"/>
      <c r="L1258" s="20"/>
    </row>
    <row r="1259" ht="15.75" customHeight="1">
      <c r="A1259" s="9"/>
      <c r="B1259" s="26"/>
      <c r="C1259" s="24"/>
      <c r="D1259" s="14"/>
      <c r="E1259" s="15"/>
      <c r="F1259" s="16"/>
      <c r="G1259" s="17"/>
      <c r="H1259" s="17"/>
      <c r="I1259" s="18"/>
      <c r="J1259" s="16"/>
      <c r="K1259" s="19"/>
      <c r="L1259" s="20"/>
    </row>
    <row r="1260" ht="15.75" customHeight="1">
      <c r="A1260" s="9"/>
      <c r="B1260" s="26"/>
      <c r="C1260" s="24"/>
      <c r="D1260" s="14"/>
      <c r="E1260" s="15"/>
      <c r="F1260" s="16"/>
      <c r="G1260" s="17"/>
      <c r="H1260" s="17"/>
      <c r="I1260" s="18"/>
      <c r="J1260" s="16"/>
      <c r="K1260" s="19"/>
      <c r="L1260" s="20"/>
    </row>
    <row r="1261" ht="15.75" customHeight="1">
      <c r="A1261" s="9"/>
      <c r="B1261" s="26"/>
      <c r="C1261" s="24"/>
      <c r="D1261" s="14"/>
      <c r="E1261" s="15"/>
      <c r="F1261" s="16"/>
      <c r="G1261" s="17"/>
      <c r="H1261" s="17"/>
      <c r="I1261" s="18"/>
      <c r="J1261" s="16"/>
      <c r="K1261" s="19"/>
      <c r="L1261" s="20"/>
    </row>
    <row r="1262" ht="15.75" customHeight="1">
      <c r="A1262" s="9"/>
      <c r="B1262" s="26"/>
      <c r="C1262" s="24"/>
      <c r="D1262" s="14"/>
      <c r="E1262" s="15"/>
      <c r="F1262" s="16"/>
      <c r="G1262" s="17"/>
      <c r="H1262" s="17"/>
      <c r="I1262" s="18"/>
      <c r="J1262" s="16"/>
      <c r="K1262" s="19"/>
      <c r="L1262" s="20"/>
    </row>
    <row r="1263" ht="15.75" customHeight="1">
      <c r="A1263" s="9"/>
      <c r="B1263" s="26"/>
      <c r="C1263" s="24"/>
      <c r="D1263" s="14"/>
      <c r="E1263" s="15"/>
      <c r="F1263" s="16"/>
      <c r="G1263" s="17"/>
      <c r="H1263" s="17"/>
      <c r="I1263" s="18"/>
      <c r="J1263" s="16"/>
      <c r="K1263" s="19"/>
      <c r="L1263" s="20"/>
    </row>
    <row r="1264" ht="15.75" customHeight="1">
      <c r="A1264" s="9"/>
      <c r="B1264" s="26"/>
      <c r="C1264" s="24"/>
      <c r="D1264" s="14"/>
      <c r="E1264" s="15"/>
      <c r="F1264" s="16"/>
      <c r="G1264" s="17"/>
      <c r="H1264" s="17"/>
      <c r="I1264" s="18"/>
      <c r="J1264" s="16"/>
      <c r="K1264" s="19"/>
      <c r="L1264" s="20"/>
    </row>
    <row r="1265" ht="15.75" customHeight="1">
      <c r="A1265" s="9"/>
      <c r="B1265" s="26"/>
      <c r="C1265" s="24"/>
      <c r="D1265" s="14"/>
      <c r="E1265" s="15"/>
      <c r="F1265" s="16"/>
      <c r="G1265" s="17"/>
      <c r="H1265" s="17"/>
      <c r="I1265" s="18"/>
      <c r="J1265" s="16"/>
      <c r="K1265" s="19"/>
      <c r="L1265" s="20"/>
    </row>
    <row r="1266" ht="15.75" customHeight="1">
      <c r="A1266" s="9"/>
      <c r="B1266" s="26"/>
      <c r="C1266" s="24"/>
      <c r="D1266" s="14"/>
      <c r="E1266" s="15"/>
      <c r="F1266" s="16"/>
      <c r="G1266" s="17"/>
      <c r="H1266" s="17"/>
      <c r="I1266" s="18"/>
      <c r="J1266" s="16"/>
      <c r="K1266" s="19"/>
      <c r="L1266" s="20"/>
    </row>
    <row r="1267" ht="15.75" customHeight="1">
      <c r="A1267" s="9"/>
      <c r="B1267" s="26"/>
      <c r="C1267" s="24"/>
      <c r="D1267" s="14"/>
      <c r="E1267" s="15"/>
      <c r="F1267" s="16"/>
      <c r="G1267" s="17"/>
      <c r="H1267" s="17"/>
      <c r="I1267" s="18"/>
      <c r="J1267" s="16"/>
      <c r="K1267" s="19"/>
      <c r="L1267" s="20"/>
    </row>
    <row r="1268" ht="15.75" customHeight="1">
      <c r="A1268" s="9"/>
      <c r="B1268" s="26"/>
      <c r="C1268" s="24"/>
      <c r="D1268" s="14"/>
      <c r="E1268" s="15"/>
      <c r="F1268" s="16"/>
      <c r="G1268" s="17"/>
      <c r="H1268" s="17"/>
      <c r="I1268" s="18"/>
      <c r="J1268" s="16"/>
      <c r="K1268" s="19"/>
      <c r="L1268" s="20"/>
    </row>
    <row r="1269" ht="15.75" customHeight="1">
      <c r="A1269" s="9"/>
      <c r="B1269" s="26"/>
      <c r="C1269" s="24"/>
      <c r="D1269" s="14"/>
      <c r="E1269" s="15"/>
      <c r="F1269" s="16"/>
      <c r="G1269" s="17"/>
      <c r="H1269" s="17"/>
      <c r="I1269" s="18"/>
      <c r="J1269" s="16"/>
      <c r="K1269" s="19"/>
      <c r="L1269" s="20"/>
    </row>
    <row r="1270" ht="15.75" customHeight="1">
      <c r="A1270" s="9"/>
      <c r="B1270" s="26"/>
      <c r="C1270" s="24"/>
      <c r="D1270" s="14"/>
      <c r="E1270" s="15"/>
      <c r="F1270" s="16"/>
      <c r="G1270" s="17"/>
      <c r="H1270" s="17"/>
      <c r="I1270" s="18"/>
      <c r="J1270" s="16"/>
      <c r="K1270" s="19"/>
      <c r="L1270" s="20"/>
    </row>
    <row r="1271" ht="15.75" customHeight="1">
      <c r="A1271" s="9"/>
      <c r="B1271" s="26"/>
      <c r="C1271" s="24"/>
      <c r="D1271" s="14"/>
      <c r="E1271" s="15"/>
      <c r="F1271" s="16"/>
      <c r="G1271" s="17"/>
      <c r="H1271" s="17"/>
      <c r="I1271" s="18"/>
      <c r="J1271" s="16"/>
      <c r="K1271" s="19"/>
      <c r="L1271" s="20"/>
    </row>
    <row r="1272" ht="15.75" customHeight="1">
      <c r="A1272" s="9"/>
      <c r="B1272" s="26"/>
      <c r="C1272" s="24"/>
      <c r="D1272" s="14"/>
      <c r="E1272" s="15"/>
      <c r="F1272" s="16"/>
      <c r="G1272" s="17"/>
      <c r="H1272" s="17"/>
      <c r="I1272" s="18"/>
      <c r="J1272" s="16"/>
      <c r="K1272" s="19"/>
      <c r="L1272" s="20"/>
    </row>
    <row r="1273" ht="15.75" customHeight="1">
      <c r="A1273" s="9"/>
      <c r="B1273" s="26"/>
      <c r="C1273" s="24"/>
      <c r="D1273" s="14"/>
      <c r="E1273" s="15"/>
      <c r="F1273" s="16"/>
      <c r="G1273" s="17"/>
      <c r="H1273" s="17"/>
      <c r="I1273" s="18"/>
      <c r="J1273" s="16"/>
      <c r="K1273" s="19"/>
      <c r="L1273" s="20"/>
    </row>
    <row r="1274" ht="15.75" customHeight="1">
      <c r="A1274" s="9"/>
      <c r="B1274" s="26"/>
      <c r="C1274" s="24"/>
      <c r="D1274" s="14"/>
      <c r="E1274" s="15"/>
      <c r="F1274" s="16"/>
      <c r="G1274" s="17"/>
      <c r="H1274" s="17"/>
      <c r="I1274" s="18"/>
      <c r="J1274" s="16"/>
      <c r="K1274" s="19"/>
      <c r="L1274" s="20"/>
    </row>
    <row r="1275" ht="15.75" customHeight="1">
      <c r="A1275" s="9"/>
      <c r="B1275" s="26"/>
      <c r="C1275" s="24"/>
      <c r="D1275" s="14"/>
      <c r="E1275" s="15"/>
      <c r="F1275" s="16"/>
      <c r="G1275" s="17"/>
      <c r="H1275" s="17"/>
      <c r="I1275" s="18"/>
      <c r="J1275" s="16"/>
      <c r="K1275" s="19"/>
      <c r="L1275" s="20"/>
    </row>
    <row r="1276" ht="15.75" customHeight="1">
      <c r="A1276" s="9"/>
      <c r="B1276" s="26"/>
      <c r="C1276" s="24"/>
      <c r="D1276" s="14"/>
      <c r="E1276" s="15"/>
      <c r="F1276" s="16"/>
      <c r="G1276" s="17"/>
      <c r="H1276" s="17"/>
      <c r="I1276" s="18"/>
      <c r="J1276" s="16"/>
      <c r="K1276" s="19"/>
      <c r="L1276" s="20"/>
    </row>
    <row r="1277" ht="15.75" customHeight="1">
      <c r="A1277" s="9"/>
      <c r="B1277" s="26"/>
      <c r="C1277" s="24"/>
      <c r="D1277" s="14"/>
      <c r="E1277" s="15"/>
      <c r="F1277" s="16"/>
      <c r="G1277" s="17"/>
      <c r="H1277" s="17"/>
      <c r="I1277" s="18"/>
      <c r="J1277" s="16"/>
      <c r="K1277" s="19"/>
      <c r="L1277" s="20"/>
    </row>
    <row r="1278" ht="15.75" customHeight="1">
      <c r="A1278" s="9"/>
      <c r="B1278" s="26"/>
      <c r="C1278" s="24"/>
      <c r="D1278" s="14"/>
      <c r="E1278" s="15"/>
      <c r="F1278" s="16"/>
      <c r="G1278" s="17"/>
      <c r="H1278" s="17"/>
      <c r="I1278" s="18"/>
      <c r="J1278" s="16"/>
      <c r="K1278" s="19"/>
      <c r="L1278" s="20"/>
    </row>
    <row r="1279" ht="15.75" customHeight="1">
      <c r="A1279" s="9"/>
      <c r="B1279" s="26"/>
      <c r="C1279" s="24"/>
      <c r="D1279" s="14"/>
      <c r="E1279" s="15"/>
      <c r="F1279" s="16"/>
      <c r="G1279" s="17"/>
      <c r="H1279" s="17"/>
      <c r="I1279" s="18"/>
      <c r="J1279" s="16"/>
      <c r="K1279" s="19"/>
      <c r="L1279" s="20"/>
    </row>
    <row r="1280" ht="15.75" customHeight="1">
      <c r="A1280" s="9"/>
      <c r="B1280" s="26"/>
      <c r="C1280" s="24"/>
      <c r="D1280" s="14"/>
      <c r="E1280" s="15"/>
      <c r="F1280" s="16"/>
      <c r="G1280" s="17"/>
      <c r="H1280" s="17"/>
      <c r="I1280" s="18"/>
      <c r="J1280" s="16"/>
      <c r="K1280" s="19"/>
      <c r="L1280" s="20"/>
    </row>
    <row r="1281" ht="15.75" customHeight="1">
      <c r="A1281" s="9"/>
      <c r="B1281" s="26"/>
      <c r="C1281" s="24"/>
      <c r="D1281" s="14"/>
      <c r="E1281" s="15"/>
      <c r="F1281" s="16"/>
      <c r="G1281" s="17"/>
      <c r="H1281" s="17"/>
      <c r="I1281" s="18"/>
      <c r="J1281" s="16"/>
      <c r="K1281" s="19"/>
      <c r="L1281" s="20"/>
    </row>
    <row r="1282" ht="15.75" customHeight="1">
      <c r="A1282" s="9"/>
      <c r="B1282" s="26"/>
      <c r="C1282" s="24"/>
      <c r="D1282" s="14"/>
      <c r="E1282" s="15"/>
      <c r="F1282" s="16"/>
      <c r="G1282" s="17"/>
      <c r="H1282" s="17"/>
      <c r="I1282" s="18"/>
      <c r="J1282" s="16"/>
      <c r="K1282" s="19"/>
      <c r="L1282" s="20"/>
    </row>
    <row r="1283" ht="15.75" customHeight="1">
      <c r="A1283" s="9"/>
      <c r="B1283" s="26"/>
      <c r="C1283" s="24"/>
      <c r="D1283" s="14"/>
      <c r="E1283" s="15"/>
      <c r="F1283" s="16"/>
      <c r="G1283" s="17"/>
      <c r="H1283" s="17"/>
      <c r="I1283" s="18"/>
      <c r="J1283" s="16"/>
      <c r="K1283" s="19"/>
      <c r="L1283" s="20"/>
    </row>
    <row r="1284" ht="15.75" customHeight="1">
      <c r="A1284" s="9"/>
      <c r="B1284" s="26"/>
      <c r="C1284" s="24"/>
      <c r="D1284" s="14"/>
      <c r="E1284" s="15"/>
      <c r="F1284" s="16"/>
      <c r="G1284" s="17"/>
      <c r="H1284" s="17"/>
      <c r="I1284" s="18"/>
      <c r="J1284" s="16"/>
      <c r="K1284" s="19"/>
      <c r="L1284" s="20"/>
    </row>
    <row r="1285" ht="15.75" customHeight="1">
      <c r="A1285" s="9"/>
      <c r="B1285" s="26"/>
      <c r="C1285" s="24"/>
      <c r="D1285" s="14"/>
      <c r="E1285" s="15"/>
      <c r="F1285" s="16"/>
      <c r="G1285" s="17"/>
      <c r="H1285" s="17"/>
      <c r="I1285" s="18"/>
      <c r="J1285" s="16"/>
      <c r="K1285" s="19"/>
      <c r="L1285" s="20"/>
    </row>
    <row r="1286" ht="15.75" customHeight="1">
      <c r="A1286" s="9"/>
      <c r="B1286" s="26"/>
      <c r="C1286" s="24"/>
      <c r="D1286" s="14"/>
      <c r="E1286" s="15"/>
      <c r="F1286" s="16"/>
      <c r="G1286" s="17"/>
      <c r="H1286" s="17"/>
      <c r="I1286" s="18"/>
      <c r="J1286" s="16"/>
      <c r="K1286" s="19"/>
      <c r="L1286" s="20"/>
    </row>
    <row r="1287" ht="15.75" customHeight="1">
      <c r="A1287" s="9"/>
      <c r="B1287" s="26"/>
      <c r="C1287" s="24"/>
      <c r="D1287" s="14"/>
      <c r="E1287" s="15"/>
      <c r="F1287" s="16"/>
      <c r="G1287" s="17"/>
      <c r="H1287" s="17"/>
      <c r="I1287" s="18"/>
      <c r="J1287" s="16"/>
      <c r="K1287" s="19"/>
      <c r="L1287" s="20"/>
    </row>
    <row r="1288" ht="15.75" customHeight="1">
      <c r="A1288" s="9"/>
      <c r="B1288" s="26"/>
      <c r="C1288" s="24"/>
      <c r="D1288" s="14"/>
      <c r="E1288" s="15"/>
      <c r="F1288" s="16"/>
      <c r="G1288" s="17"/>
      <c r="H1288" s="17"/>
      <c r="I1288" s="18"/>
      <c r="J1288" s="16"/>
      <c r="K1288" s="19"/>
      <c r="L1288" s="20"/>
    </row>
    <row r="1289" ht="15.75" customHeight="1">
      <c r="A1289" s="9"/>
      <c r="B1289" s="26"/>
      <c r="C1289" s="24"/>
      <c r="D1289" s="14"/>
      <c r="E1289" s="15"/>
      <c r="F1289" s="16"/>
      <c r="G1289" s="17"/>
      <c r="H1289" s="17"/>
      <c r="I1289" s="18"/>
      <c r="J1289" s="16"/>
      <c r="K1289" s="19"/>
      <c r="L1289" s="20"/>
    </row>
    <row r="1290" ht="15.75" customHeight="1">
      <c r="A1290" s="9"/>
      <c r="B1290" s="26"/>
      <c r="C1290" s="24"/>
      <c r="D1290" s="14"/>
      <c r="E1290" s="15"/>
      <c r="F1290" s="16"/>
      <c r="G1290" s="17"/>
      <c r="H1290" s="17"/>
      <c r="I1290" s="18"/>
      <c r="J1290" s="16"/>
      <c r="K1290" s="19"/>
      <c r="L1290" s="20"/>
    </row>
    <row r="1291" ht="15.75" customHeight="1">
      <c r="A1291" s="9"/>
      <c r="B1291" s="26"/>
      <c r="C1291" s="24"/>
      <c r="D1291" s="14"/>
      <c r="E1291" s="15"/>
      <c r="F1291" s="16"/>
      <c r="G1291" s="17"/>
      <c r="H1291" s="17"/>
      <c r="I1291" s="18"/>
      <c r="J1291" s="16"/>
      <c r="K1291" s="19"/>
      <c r="L1291" s="20"/>
    </row>
    <row r="1292" ht="15.75" customHeight="1">
      <c r="A1292" s="9"/>
      <c r="B1292" s="26"/>
      <c r="C1292" s="24"/>
      <c r="D1292" s="14"/>
      <c r="E1292" s="15"/>
      <c r="F1292" s="16"/>
      <c r="G1292" s="17"/>
      <c r="H1292" s="17"/>
      <c r="I1292" s="18"/>
      <c r="J1292" s="16"/>
      <c r="K1292" s="19"/>
      <c r="L1292" s="20"/>
    </row>
    <row r="1293" ht="15.75" customHeight="1">
      <c r="A1293" s="9"/>
      <c r="B1293" s="26"/>
      <c r="C1293" s="24"/>
      <c r="D1293" s="14"/>
      <c r="E1293" s="15"/>
      <c r="F1293" s="16"/>
      <c r="G1293" s="17"/>
      <c r="H1293" s="17"/>
      <c r="I1293" s="18"/>
      <c r="J1293" s="16"/>
      <c r="K1293" s="19"/>
      <c r="L1293" s="20"/>
    </row>
    <row r="1294" ht="15.75" customHeight="1">
      <c r="A1294" s="9"/>
      <c r="B1294" s="26"/>
      <c r="C1294" s="24"/>
      <c r="D1294" s="14"/>
      <c r="E1294" s="15"/>
      <c r="F1294" s="16"/>
      <c r="G1294" s="17"/>
      <c r="H1294" s="17"/>
      <c r="I1294" s="18"/>
      <c r="J1294" s="16"/>
      <c r="K1294" s="19"/>
      <c r="L1294" s="20"/>
    </row>
    <row r="1295" ht="15.75" customHeight="1">
      <c r="A1295" s="9"/>
      <c r="B1295" s="26"/>
      <c r="C1295" s="24"/>
      <c r="D1295" s="14"/>
      <c r="E1295" s="15"/>
      <c r="F1295" s="16"/>
      <c r="G1295" s="17"/>
      <c r="H1295" s="17"/>
      <c r="I1295" s="18"/>
      <c r="J1295" s="16"/>
      <c r="K1295" s="19"/>
      <c r="L1295" s="20"/>
    </row>
    <row r="1296" ht="15.75" customHeight="1">
      <c r="A1296" s="9"/>
      <c r="B1296" s="26"/>
      <c r="C1296" s="24"/>
      <c r="D1296" s="14"/>
      <c r="E1296" s="15"/>
      <c r="F1296" s="16"/>
      <c r="G1296" s="17"/>
      <c r="H1296" s="17"/>
      <c r="I1296" s="18"/>
      <c r="J1296" s="16"/>
      <c r="K1296" s="19"/>
      <c r="L1296" s="20"/>
    </row>
    <row r="1297" ht="15.75" customHeight="1">
      <c r="A1297" s="9"/>
      <c r="B1297" s="26"/>
      <c r="C1297" s="24"/>
      <c r="D1297" s="14"/>
      <c r="E1297" s="15"/>
      <c r="F1297" s="16"/>
      <c r="G1297" s="17"/>
      <c r="H1297" s="17"/>
      <c r="I1297" s="18"/>
      <c r="J1297" s="16"/>
      <c r="K1297" s="19"/>
      <c r="L1297" s="20"/>
    </row>
    <row r="1298" ht="15.75" customHeight="1">
      <c r="A1298" s="9"/>
      <c r="B1298" s="26"/>
      <c r="C1298" s="24"/>
      <c r="D1298" s="14"/>
      <c r="E1298" s="15"/>
      <c r="F1298" s="16"/>
      <c r="G1298" s="17"/>
      <c r="H1298" s="17"/>
      <c r="I1298" s="18"/>
      <c r="J1298" s="16"/>
      <c r="K1298" s="19"/>
      <c r="L1298" s="20"/>
    </row>
    <row r="1299" ht="15.75" customHeight="1">
      <c r="A1299" s="9"/>
      <c r="B1299" s="26"/>
      <c r="C1299" s="24"/>
      <c r="D1299" s="14"/>
      <c r="E1299" s="15"/>
      <c r="F1299" s="16"/>
      <c r="G1299" s="17"/>
      <c r="H1299" s="17"/>
      <c r="I1299" s="18"/>
      <c r="J1299" s="16"/>
      <c r="K1299" s="19"/>
      <c r="L1299" s="20"/>
    </row>
    <row r="1300" ht="15.75" customHeight="1">
      <c r="A1300" s="9"/>
      <c r="B1300" s="26"/>
      <c r="C1300" s="24"/>
      <c r="D1300" s="14"/>
      <c r="E1300" s="15"/>
      <c r="F1300" s="16"/>
      <c r="G1300" s="17"/>
      <c r="H1300" s="17"/>
      <c r="I1300" s="18"/>
      <c r="J1300" s="16"/>
      <c r="K1300" s="19"/>
      <c r="L1300" s="20"/>
    </row>
    <row r="1301" ht="15.75" customHeight="1">
      <c r="A1301" s="9"/>
      <c r="B1301" s="26"/>
      <c r="C1301" s="24"/>
      <c r="D1301" s="14"/>
      <c r="E1301" s="15"/>
      <c r="F1301" s="16"/>
      <c r="G1301" s="17"/>
      <c r="H1301" s="17"/>
      <c r="I1301" s="18"/>
      <c r="J1301" s="16"/>
      <c r="K1301" s="19"/>
      <c r="L1301" s="20"/>
    </row>
    <row r="1302" ht="15.75" customHeight="1">
      <c r="A1302" s="9"/>
      <c r="B1302" s="26"/>
      <c r="C1302" s="24"/>
      <c r="D1302" s="14"/>
      <c r="E1302" s="15"/>
      <c r="F1302" s="16"/>
      <c r="G1302" s="17"/>
      <c r="H1302" s="17"/>
      <c r="I1302" s="18"/>
      <c r="J1302" s="16"/>
      <c r="K1302" s="19"/>
      <c r="L1302" s="20"/>
    </row>
    <row r="1303" ht="15.75" customHeight="1">
      <c r="A1303" s="9"/>
      <c r="B1303" s="26"/>
      <c r="C1303" s="24"/>
      <c r="D1303" s="14"/>
      <c r="E1303" s="15"/>
      <c r="F1303" s="16"/>
      <c r="G1303" s="17"/>
      <c r="H1303" s="17"/>
      <c r="I1303" s="18"/>
      <c r="J1303" s="16"/>
      <c r="K1303" s="19"/>
      <c r="L1303" s="20"/>
    </row>
    <row r="1304" ht="15.75" customHeight="1">
      <c r="A1304" s="9"/>
      <c r="B1304" s="26"/>
      <c r="C1304" s="24"/>
      <c r="D1304" s="14"/>
      <c r="E1304" s="15"/>
      <c r="F1304" s="16"/>
      <c r="G1304" s="17"/>
      <c r="H1304" s="17"/>
      <c r="I1304" s="18"/>
      <c r="J1304" s="16"/>
      <c r="K1304" s="19"/>
      <c r="L1304" s="20"/>
    </row>
    <row r="1305" ht="15.75" customHeight="1">
      <c r="A1305" s="9"/>
      <c r="B1305" s="26"/>
      <c r="C1305" s="24"/>
      <c r="D1305" s="14"/>
      <c r="E1305" s="15"/>
      <c r="F1305" s="16"/>
      <c r="G1305" s="17"/>
      <c r="H1305" s="17"/>
      <c r="I1305" s="18"/>
      <c r="J1305" s="16"/>
      <c r="K1305" s="19"/>
      <c r="L1305" s="20"/>
    </row>
    <row r="1306" ht="15.75" customHeight="1">
      <c r="A1306" s="9"/>
      <c r="B1306" s="26"/>
      <c r="C1306" s="24"/>
      <c r="D1306" s="14"/>
      <c r="E1306" s="15"/>
      <c r="F1306" s="16"/>
      <c r="G1306" s="17"/>
      <c r="H1306" s="17"/>
      <c r="I1306" s="18"/>
      <c r="J1306" s="16"/>
      <c r="K1306" s="19"/>
      <c r="L1306" s="20"/>
    </row>
    <row r="1307" ht="15.75" customHeight="1">
      <c r="A1307" s="9"/>
      <c r="B1307" s="26"/>
      <c r="C1307" s="24"/>
      <c r="D1307" s="14"/>
      <c r="E1307" s="15"/>
      <c r="F1307" s="16"/>
      <c r="G1307" s="17"/>
      <c r="H1307" s="17"/>
      <c r="I1307" s="18"/>
      <c r="J1307" s="16"/>
      <c r="K1307" s="19"/>
      <c r="L1307" s="20"/>
    </row>
    <row r="1308" ht="15.75" customHeight="1">
      <c r="A1308" s="9"/>
      <c r="B1308" s="26"/>
      <c r="C1308" s="24"/>
      <c r="D1308" s="14"/>
      <c r="E1308" s="15"/>
      <c r="F1308" s="16"/>
      <c r="G1308" s="17"/>
      <c r="H1308" s="17"/>
      <c r="I1308" s="18"/>
      <c r="J1308" s="16"/>
      <c r="K1308" s="19"/>
      <c r="L1308" s="20"/>
    </row>
    <row r="1309" ht="15.75" customHeight="1">
      <c r="A1309" s="9"/>
      <c r="B1309" s="26"/>
      <c r="C1309" s="24"/>
      <c r="D1309" s="14"/>
      <c r="E1309" s="15"/>
      <c r="F1309" s="16"/>
      <c r="G1309" s="17"/>
      <c r="H1309" s="17"/>
      <c r="I1309" s="18"/>
      <c r="J1309" s="16"/>
      <c r="K1309" s="19"/>
      <c r="L1309" s="20"/>
    </row>
    <row r="1310" ht="15.75" customHeight="1">
      <c r="A1310" s="9"/>
      <c r="B1310" s="26"/>
      <c r="C1310" s="24"/>
      <c r="D1310" s="14"/>
      <c r="E1310" s="15"/>
      <c r="F1310" s="16"/>
      <c r="G1310" s="17"/>
      <c r="H1310" s="17"/>
      <c r="I1310" s="18"/>
      <c r="J1310" s="16"/>
      <c r="K1310" s="19"/>
      <c r="L1310" s="20"/>
    </row>
    <row r="1311" ht="15.75" customHeight="1">
      <c r="A1311" s="9"/>
      <c r="B1311" s="26"/>
      <c r="C1311" s="24"/>
      <c r="D1311" s="14"/>
      <c r="E1311" s="15"/>
      <c r="F1311" s="16"/>
      <c r="G1311" s="17"/>
      <c r="H1311" s="17"/>
      <c r="I1311" s="18"/>
      <c r="J1311" s="16"/>
      <c r="K1311" s="19"/>
      <c r="L1311" s="20"/>
    </row>
    <row r="1312" ht="15.75" customHeight="1">
      <c r="A1312" s="9"/>
      <c r="B1312" s="26"/>
      <c r="C1312" s="24"/>
      <c r="D1312" s="14"/>
      <c r="E1312" s="15"/>
      <c r="F1312" s="16"/>
      <c r="G1312" s="17"/>
      <c r="H1312" s="17"/>
      <c r="I1312" s="18"/>
      <c r="J1312" s="16"/>
      <c r="K1312" s="19"/>
      <c r="L1312" s="20"/>
    </row>
    <row r="1313" ht="15.75" customHeight="1">
      <c r="A1313" s="9"/>
      <c r="B1313" s="26"/>
      <c r="C1313" s="24"/>
      <c r="D1313" s="14"/>
      <c r="E1313" s="15"/>
      <c r="F1313" s="16"/>
      <c r="G1313" s="17"/>
      <c r="H1313" s="17"/>
      <c r="I1313" s="18"/>
      <c r="J1313" s="16"/>
      <c r="K1313" s="19"/>
      <c r="L1313" s="20"/>
    </row>
    <row r="1314" ht="15.75" customHeight="1">
      <c r="A1314" s="9"/>
      <c r="B1314" s="26"/>
      <c r="C1314" s="24"/>
      <c r="D1314" s="14"/>
      <c r="E1314" s="15"/>
      <c r="F1314" s="16"/>
      <c r="G1314" s="17"/>
      <c r="H1314" s="17"/>
      <c r="I1314" s="18"/>
      <c r="J1314" s="16"/>
      <c r="K1314" s="19"/>
      <c r="L1314" s="20"/>
    </row>
    <row r="1315" ht="15.75" customHeight="1">
      <c r="A1315" s="9"/>
      <c r="B1315" s="26"/>
      <c r="C1315" s="24"/>
      <c r="D1315" s="14"/>
      <c r="E1315" s="15"/>
      <c r="F1315" s="16"/>
      <c r="G1315" s="17"/>
      <c r="H1315" s="17"/>
      <c r="I1315" s="18"/>
      <c r="J1315" s="16"/>
      <c r="K1315" s="19"/>
      <c r="L1315" s="20"/>
    </row>
    <row r="1316" ht="15.75" customHeight="1">
      <c r="A1316" s="9"/>
      <c r="B1316" s="26"/>
      <c r="C1316" s="24"/>
      <c r="D1316" s="14"/>
      <c r="E1316" s="15"/>
      <c r="F1316" s="16"/>
      <c r="G1316" s="17"/>
      <c r="H1316" s="17"/>
      <c r="I1316" s="18"/>
      <c r="J1316" s="16"/>
      <c r="K1316" s="19"/>
      <c r="L1316" s="20"/>
    </row>
    <row r="1317" ht="15.75" customHeight="1">
      <c r="A1317" s="9"/>
      <c r="B1317" s="26"/>
      <c r="C1317" s="24"/>
      <c r="D1317" s="14"/>
      <c r="E1317" s="15"/>
      <c r="F1317" s="16"/>
      <c r="G1317" s="17"/>
      <c r="H1317" s="17"/>
      <c r="I1317" s="18"/>
      <c r="J1317" s="16"/>
      <c r="K1317" s="19"/>
      <c r="L1317" s="20"/>
    </row>
    <row r="1318" ht="15.75" customHeight="1">
      <c r="A1318" s="9"/>
      <c r="B1318" s="26"/>
      <c r="C1318" s="24"/>
      <c r="D1318" s="14"/>
      <c r="E1318" s="15"/>
      <c r="F1318" s="16"/>
      <c r="G1318" s="17"/>
      <c r="H1318" s="17"/>
      <c r="I1318" s="18"/>
      <c r="J1318" s="16"/>
      <c r="K1318" s="19"/>
      <c r="L1318" s="20"/>
    </row>
    <row r="1319" ht="15.75" customHeight="1">
      <c r="A1319" s="9"/>
      <c r="B1319" s="26"/>
      <c r="C1319" s="24"/>
      <c r="D1319" s="14"/>
      <c r="E1319" s="15"/>
      <c r="F1319" s="16"/>
      <c r="G1319" s="17"/>
      <c r="H1319" s="17"/>
      <c r="I1319" s="18"/>
      <c r="J1319" s="16"/>
      <c r="K1319" s="19"/>
      <c r="L1319" s="20"/>
    </row>
    <row r="1320" ht="15.75" customHeight="1">
      <c r="A1320" s="9"/>
      <c r="B1320" s="26"/>
      <c r="C1320" s="24"/>
      <c r="D1320" s="14"/>
      <c r="E1320" s="15"/>
      <c r="F1320" s="16"/>
      <c r="G1320" s="17"/>
      <c r="H1320" s="17"/>
      <c r="I1320" s="18"/>
      <c r="J1320" s="16"/>
      <c r="K1320" s="19"/>
      <c r="L1320" s="20"/>
    </row>
    <row r="1321" ht="15.75" customHeight="1">
      <c r="A1321" s="9"/>
      <c r="B1321" s="26"/>
      <c r="C1321" s="24"/>
      <c r="D1321" s="14"/>
      <c r="E1321" s="15"/>
      <c r="F1321" s="16"/>
      <c r="G1321" s="17"/>
      <c r="H1321" s="17"/>
      <c r="I1321" s="18"/>
      <c r="J1321" s="16"/>
      <c r="K1321" s="19"/>
      <c r="L1321" s="20"/>
    </row>
    <row r="1322" ht="15.75" customHeight="1">
      <c r="A1322" s="9"/>
      <c r="B1322" s="26"/>
      <c r="C1322" s="24"/>
      <c r="D1322" s="14"/>
      <c r="E1322" s="15"/>
      <c r="F1322" s="16"/>
      <c r="G1322" s="17"/>
      <c r="H1322" s="17"/>
      <c r="I1322" s="18"/>
      <c r="J1322" s="16"/>
      <c r="K1322" s="19"/>
      <c r="L1322" s="20"/>
    </row>
    <row r="1323" ht="15.75" customHeight="1">
      <c r="A1323" s="9"/>
      <c r="B1323" s="26"/>
      <c r="C1323" s="24"/>
      <c r="D1323" s="14"/>
      <c r="E1323" s="15"/>
      <c r="F1323" s="16"/>
      <c r="G1323" s="17"/>
      <c r="H1323" s="17"/>
      <c r="I1323" s="18"/>
      <c r="J1323" s="16"/>
      <c r="K1323" s="19"/>
      <c r="L1323" s="20"/>
    </row>
    <row r="1324" ht="15.75" customHeight="1">
      <c r="A1324" s="9"/>
      <c r="B1324" s="26"/>
      <c r="C1324" s="24"/>
      <c r="D1324" s="14"/>
      <c r="E1324" s="15"/>
      <c r="F1324" s="16"/>
      <c r="G1324" s="17"/>
      <c r="H1324" s="17"/>
      <c r="I1324" s="18"/>
      <c r="J1324" s="16"/>
      <c r="K1324" s="19"/>
      <c r="L1324" s="20"/>
    </row>
    <row r="1325" ht="15.75" customHeight="1">
      <c r="A1325" s="9"/>
      <c r="B1325" s="26"/>
      <c r="C1325" s="24"/>
      <c r="D1325" s="14"/>
      <c r="E1325" s="15"/>
      <c r="F1325" s="16"/>
      <c r="G1325" s="17"/>
      <c r="H1325" s="17"/>
      <c r="I1325" s="18"/>
      <c r="J1325" s="16"/>
      <c r="K1325" s="19"/>
      <c r="L1325" s="20"/>
    </row>
    <row r="1326" ht="15.75" customHeight="1">
      <c r="A1326" s="9"/>
      <c r="B1326" s="26"/>
      <c r="C1326" s="24"/>
      <c r="D1326" s="14"/>
      <c r="E1326" s="15"/>
      <c r="F1326" s="16"/>
      <c r="G1326" s="17"/>
      <c r="H1326" s="17"/>
      <c r="I1326" s="18"/>
      <c r="J1326" s="16"/>
      <c r="K1326" s="19"/>
      <c r="L1326" s="20"/>
    </row>
    <row r="1327" ht="15.75" customHeight="1">
      <c r="A1327" s="9"/>
      <c r="B1327" s="26"/>
      <c r="C1327" s="24"/>
      <c r="D1327" s="14"/>
      <c r="E1327" s="15"/>
      <c r="F1327" s="16"/>
      <c r="G1327" s="17"/>
      <c r="H1327" s="17"/>
      <c r="I1327" s="18"/>
      <c r="J1327" s="16"/>
      <c r="K1327" s="19"/>
      <c r="L1327" s="20"/>
    </row>
    <row r="1328" ht="15.75" customHeight="1">
      <c r="A1328" s="9"/>
      <c r="B1328" s="26"/>
      <c r="C1328" s="24"/>
      <c r="D1328" s="14"/>
      <c r="E1328" s="15"/>
      <c r="F1328" s="16"/>
      <c r="G1328" s="17"/>
      <c r="H1328" s="17"/>
      <c r="I1328" s="18"/>
      <c r="J1328" s="16"/>
      <c r="K1328" s="19"/>
      <c r="L1328" s="20"/>
    </row>
    <row r="1329" ht="15.75" customHeight="1">
      <c r="A1329" s="9"/>
      <c r="B1329" s="26"/>
      <c r="C1329" s="24"/>
      <c r="D1329" s="14"/>
      <c r="E1329" s="15"/>
      <c r="F1329" s="16"/>
      <c r="G1329" s="17"/>
      <c r="H1329" s="17"/>
      <c r="I1329" s="18"/>
      <c r="J1329" s="16"/>
      <c r="K1329" s="19"/>
      <c r="L1329" s="20"/>
    </row>
    <row r="1330" ht="15.75" customHeight="1">
      <c r="A1330" s="9"/>
      <c r="B1330" s="26"/>
      <c r="C1330" s="24"/>
      <c r="D1330" s="14"/>
      <c r="E1330" s="15"/>
      <c r="F1330" s="16"/>
      <c r="G1330" s="17"/>
      <c r="H1330" s="17"/>
      <c r="I1330" s="18"/>
      <c r="J1330" s="16"/>
      <c r="K1330" s="19"/>
      <c r="L1330" s="20"/>
    </row>
    <row r="1331" ht="15.75" customHeight="1">
      <c r="A1331" s="9"/>
      <c r="B1331" s="26"/>
      <c r="C1331" s="24"/>
      <c r="D1331" s="14"/>
      <c r="E1331" s="15"/>
      <c r="F1331" s="16"/>
      <c r="G1331" s="17"/>
      <c r="H1331" s="17"/>
      <c r="I1331" s="18"/>
      <c r="J1331" s="16"/>
      <c r="K1331" s="19"/>
      <c r="L1331" s="20"/>
    </row>
    <row r="1332" ht="15.75" customHeight="1">
      <c r="A1332" s="9"/>
      <c r="B1332" s="26"/>
      <c r="C1332" s="24"/>
      <c r="D1332" s="14"/>
      <c r="E1332" s="15"/>
      <c r="F1332" s="16"/>
      <c r="G1332" s="17"/>
      <c r="H1332" s="17"/>
      <c r="I1332" s="18"/>
      <c r="J1332" s="16"/>
      <c r="K1332" s="19"/>
      <c r="L1332" s="20"/>
    </row>
    <row r="1333" ht="15.75" customHeight="1">
      <c r="A1333" s="9"/>
      <c r="B1333" s="26"/>
      <c r="C1333" s="24"/>
      <c r="D1333" s="14"/>
      <c r="E1333" s="15"/>
      <c r="F1333" s="16"/>
      <c r="G1333" s="17"/>
      <c r="H1333" s="17"/>
      <c r="I1333" s="18"/>
      <c r="J1333" s="16"/>
      <c r="K1333" s="19"/>
      <c r="L1333" s="20"/>
    </row>
    <row r="1334" ht="15.75" customHeight="1">
      <c r="A1334" s="9"/>
      <c r="B1334" s="26"/>
      <c r="C1334" s="24"/>
      <c r="D1334" s="14"/>
      <c r="E1334" s="15"/>
      <c r="F1334" s="16"/>
      <c r="G1334" s="17"/>
      <c r="H1334" s="17"/>
      <c r="I1334" s="18"/>
      <c r="J1334" s="16"/>
      <c r="K1334" s="19"/>
      <c r="L1334" s="20"/>
    </row>
    <row r="1335" ht="15.75" customHeight="1">
      <c r="A1335" s="9"/>
      <c r="B1335" s="26"/>
      <c r="C1335" s="24"/>
      <c r="D1335" s="14"/>
      <c r="E1335" s="15"/>
      <c r="F1335" s="16"/>
      <c r="G1335" s="17"/>
      <c r="H1335" s="17"/>
      <c r="I1335" s="18"/>
      <c r="J1335" s="16"/>
      <c r="K1335" s="19"/>
      <c r="L1335" s="20"/>
    </row>
    <row r="1336" ht="15.75" customHeight="1">
      <c r="A1336" s="9"/>
      <c r="B1336" s="26"/>
      <c r="C1336" s="24"/>
      <c r="D1336" s="14"/>
      <c r="E1336" s="15"/>
      <c r="F1336" s="16"/>
      <c r="G1336" s="17"/>
      <c r="H1336" s="17"/>
      <c r="I1336" s="18"/>
      <c r="J1336" s="16"/>
      <c r="K1336" s="19"/>
      <c r="L1336" s="20"/>
    </row>
    <row r="1337" ht="15.75" customHeight="1">
      <c r="A1337" s="9"/>
      <c r="B1337" s="26"/>
      <c r="C1337" s="24"/>
      <c r="D1337" s="14"/>
      <c r="E1337" s="15"/>
      <c r="F1337" s="16"/>
      <c r="G1337" s="17"/>
      <c r="H1337" s="17"/>
      <c r="I1337" s="18"/>
      <c r="J1337" s="16"/>
      <c r="K1337" s="19"/>
      <c r="L1337" s="20"/>
    </row>
    <row r="1338" ht="15.75" customHeight="1">
      <c r="A1338" s="9"/>
      <c r="B1338" s="26"/>
      <c r="C1338" s="24"/>
      <c r="D1338" s="14"/>
      <c r="E1338" s="15"/>
      <c r="F1338" s="16"/>
      <c r="G1338" s="17"/>
      <c r="H1338" s="17"/>
      <c r="I1338" s="18"/>
      <c r="J1338" s="16"/>
      <c r="K1338" s="19"/>
      <c r="L1338" s="20"/>
    </row>
    <row r="1339" ht="15.75" customHeight="1">
      <c r="A1339" s="9"/>
      <c r="B1339" s="26"/>
      <c r="C1339" s="24"/>
      <c r="D1339" s="14"/>
      <c r="E1339" s="15"/>
      <c r="F1339" s="16"/>
      <c r="G1339" s="17"/>
      <c r="H1339" s="17"/>
      <c r="I1339" s="18"/>
      <c r="J1339" s="16"/>
      <c r="K1339" s="19"/>
      <c r="L1339" s="20"/>
    </row>
    <row r="1340" ht="15.75" customHeight="1">
      <c r="A1340" s="9"/>
      <c r="B1340" s="26"/>
      <c r="C1340" s="24"/>
      <c r="D1340" s="14"/>
      <c r="E1340" s="15"/>
      <c r="F1340" s="16"/>
      <c r="G1340" s="17"/>
      <c r="H1340" s="17"/>
      <c r="I1340" s="18"/>
      <c r="J1340" s="16"/>
      <c r="K1340" s="19"/>
      <c r="L1340" s="20"/>
    </row>
    <row r="1341" ht="15.75" customHeight="1">
      <c r="A1341" s="9"/>
      <c r="B1341" s="26"/>
      <c r="C1341" s="24"/>
      <c r="D1341" s="14"/>
      <c r="E1341" s="15"/>
      <c r="F1341" s="16"/>
      <c r="G1341" s="17"/>
      <c r="H1341" s="17"/>
      <c r="I1341" s="18"/>
      <c r="J1341" s="16"/>
      <c r="K1341" s="19"/>
      <c r="L1341" s="20"/>
    </row>
    <row r="1342" ht="15.75" customHeight="1">
      <c r="A1342" s="9"/>
      <c r="B1342" s="26"/>
      <c r="C1342" s="24"/>
      <c r="D1342" s="14"/>
      <c r="E1342" s="15"/>
      <c r="F1342" s="16"/>
      <c r="G1342" s="17"/>
      <c r="H1342" s="17"/>
      <c r="I1342" s="18"/>
      <c r="J1342" s="16"/>
      <c r="K1342" s="19"/>
      <c r="L1342" s="20"/>
    </row>
    <row r="1343" ht="15.75" customHeight="1">
      <c r="A1343" s="9"/>
      <c r="B1343" s="26"/>
      <c r="C1343" s="24"/>
      <c r="D1343" s="14"/>
      <c r="E1343" s="15"/>
      <c r="F1343" s="16"/>
      <c r="G1343" s="17"/>
      <c r="H1343" s="17"/>
      <c r="I1343" s="18"/>
      <c r="J1343" s="16"/>
      <c r="K1343" s="19"/>
      <c r="L1343" s="20"/>
    </row>
    <row r="1344" ht="15.75" customHeight="1">
      <c r="A1344" s="9"/>
      <c r="B1344" s="26"/>
      <c r="C1344" s="24"/>
      <c r="D1344" s="14"/>
      <c r="E1344" s="15"/>
      <c r="F1344" s="16"/>
      <c r="G1344" s="17"/>
      <c r="H1344" s="17"/>
      <c r="I1344" s="18"/>
      <c r="J1344" s="16"/>
      <c r="K1344" s="19"/>
      <c r="L1344" s="20"/>
    </row>
    <row r="1345" ht="15.75" customHeight="1">
      <c r="A1345" s="9"/>
      <c r="B1345" s="26"/>
      <c r="C1345" s="24"/>
      <c r="D1345" s="14"/>
      <c r="E1345" s="15"/>
      <c r="F1345" s="16"/>
      <c r="G1345" s="17"/>
      <c r="H1345" s="17"/>
      <c r="I1345" s="18"/>
      <c r="J1345" s="16"/>
      <c r="K1345" s="19"/>
      <c r="L1345" s="20"/>
    </row>
    <row r="1346" ht="15.75" customHeight="1">
      <c r="A1346" s="9"/>
      <c r="B1346" s="26"/>
      <c r="C1346" s="24"/>
      <c r="D1346" s="14"/>
      <c r="E1346" s="15"/>
      <c r="F1346" s="16"/>
      <c r="G1346" s="17"/>
      <c r="H1346" s="17"/>
      <c r="I1346" s="18"/>
      <c r="J1346" s="16"/>
      <c r="K1346" s="19"/>
      <c r="L1346" s="20"/>
    </row>
    <row r="1347" ht="15.75" customHeight="1">
      <c r="A1347" s="9"/>
      <c r="B1347" s="26"/>
      <c r="C1347" s="24"/>
      <c r="D1347" s="14"/>
      <c r="E1347" s="15"/>
      <c r="F1347" s="16"/>
      <c r="G1347" s="17"/>
      <c r="H1347" s="17"/>
      <c r="I1347" s="18"/>
      <c r="J1347" s="16"/>
      <c r="K1347" s="19"/>
      <c r="L1347" s="20"/>
    </row>
    <row r="1348" ht="15.75" customHeight="1">
      <c r="A1348" s="9"/>
      <c r="B1348" s="26"/>
      <c r="C1348" s="24"/>
      <c r="D1348" s="14"/>
      <c r="E1348" s="15"/>
      <c r="F1348" s="16"/>
      <c r="G1348" s="17"/>
      <c r="H1348" s="17"/>
      <c r="I1348" s="18"/>
      <c r="J1348" s="16"/>
      <c r="K1348" s="19"/>
      <c r="L1348" s="20"/>
    </row>
    <row r="1349" ht="15.75" customHeight="1">
      <c r="A1349" s="9"/>
      <c r="B1349" s="26"/>
      <c r="C1349" s="24"/>
      <c r="D1349" s="14"/>
      <c r="E1349" s="15"/>
      <c r="F1349" s="16"/>
      <c r="G1349" s="17"/>
      <c r="H1349" s="17"/>
      <c r="I1349" s="18"/>
      <c r="J1349" s="16"/>
      <c r="K1349" s="19"/>
      <c r="L1349" s="20"/>
    </row>
    <row r="1350" ht="15.75" customHeight="1">
      <c r="A1350" s="9"/>
      <c r="B1350" s="26"/>
      <c r="C1350" s="24"/>
      <c r="D1350" s="14"/>
      <c r="E1350" s="15"/>
      <c r="F1350" s="16"/>
      <c r="G1350" s="17"/>
      <c r="H1350" s="17"/>
      <c r="I1350" s="18"/>
      <c r="J1350" s="16"/>
      <c r="K1350" s="19"/>
      <c r="L1350" s="20"/>
    </row>
    <row r="1351" ht="15.75" customHeight="1">
      <c r="A1351" s="9"/>
      <c r="B1351" s="26"/>
      <c r="C1351" s="24"/>
      <c r="D1351" s="14"/>
      <c r="E1351" s="15"/>
      <c r="F1351" s="16"/>
      <c r="G1351" s="17"/>
      <c r="H1351" s="17"/>
      <c r="I1351" s="18"/>
      <c r="J1351" s="16"/>
      <c r="K1351" s="19"/>
      <c r="L1351" s="20"/>
    </row>
    <row r="1352" ht="15.75" customHeight="1">
      <c r="A1352" s="9"/>
      <c r="B1352" s="26"/>
      <c r="C1352" s="24"/>
      <c r="D1352" s="14"/>
      <c r="E1352" s="15"/>
      <c r="F1352" s="16"/>
      <c r="G1352" s="17"/>
      <c r="H1352" s="17"/>
      <c r="I1352" s="18"/>
      <c r="J1352" s="16"/>
      <c r="K1352" s="19"/>
      <c r="L1352" s="20"/>
    </row>
    <row r="1353" ht="15.75" customHeight="1">
      <c r="A1353" s="9"/>
      <c r="B1353" s="26"/>
      <c r="C1353" s="24"/>
      <c r="D1353" s="14"/>
      <c r="E1353" s="15"/>
      <c r="F1353" s="16"/>
      <c r="G1353" s="17"/>
      <c r="H1353" s="17"/>
      <c r="I1353" s="18"/>
      <c r="J1353" s="16"/>
      <c r="K1353" s="19"/>
      <c r="L1353" s="20"/>
    </row>
    <row r="1354" ht="15.75" customHeight="1">
      <c r="A1354" s="9"/>
      <c r="B1354" s="26"/>
      <c r="C1354" s="24"/>
      <c r="D1354" s="14"/>
      <c r="E1354" s="15"/>
      <c r="F1354" s="16"/>
      <c r="G1354" s="17"/>
      <c r="H1354" s="17"/>
      <c r="I1354" s="18"/>
      <c r="J1354" s="16"/>
      <c r="K1354" s="19"/>
      <c r="L1354" s="20"/>
    </row>
    <row r="1355" ht="15.75" customHeight="1">
      <c r="A1355" s="9"/>
      <c r="B1355" s="26"/>
      <c r="C1355" s="24"/>
      <c r="D1355" s="14"/>
      <c r="E1355" s="15"/>
      <c r="F1355" s="16"/>
      <c r="G1355" s="17"/>
      <c r="H1355" s="17"/>
      <c r="I1355" s="18"/>
      <c r="J1355" s="16"/>
      <c r="K1355" s="19"/>
      <c r="L1355" s="20"/>
    </row>
    <row r="1356" ht="15.75" customHeight="1">
      <c r="A1356" s="9"/>
      <c r="B1356" s="26"/>
      <c r="C1356" s="24"/>
      <c r="D1356" s="14"/>
      <c r="E1356" s="15"/>
      <c r="F1356" s="16"/>
      <c r="G1356" s="17"/>
      <c r="H1356" s="17"/>
      <c r="I1356" s="18"/>
      <c r="J1356" s="16"/>
      <c r="K1356" s="19"/>
      <c r="L1356" s="20"/>
    </row>
    <row r="1357" ht="15.75" customHeight="1">
      <c r="A1357" s="9"/>
      <c r="B1357" s="26"/>
      <c r="C1357" s="24"/>
      <c r="D1357" s="14"/>
      <c r="E1357" s="15"/>
      <c r="F1357" s="16"/>
      <c r="G1357" s="17"/>
      <c r="H1357" s="17"/>
      <c r="I1357" s="18"/>
      <c r="J1357" s="16"/>
      <c r="K1357" s="19"/>
      <c r="L1357" s="20"/>
    </row>
    <row r="1358" ht="15.75" customHeight="1">
      <c r="A1358" s="9"/>
      <c r="B1358" s="26"/>
      <c r="C1358" s="24"/>
      <c r="D1358" s="14"/>
      <c r="E1358" s="15"/>
      <c r="F1358" s="16"/>
      <c r="G1358" s="17"/>
      <c r="H1358" s="17"/>
      <c r="I1358" s="18"/>
      <c r="J1358" s="16"/>
      <c r="K1358" s="19"/>
      <c r="L1358" s="20"/>
    </row>
    <row r="1359" ht="15.75" customHeight="1">
      <c r="A1359" s="9"/>
      <c r="B1359" s="26"/>
      <c r="C1359" s="24"/>
      <c r="D1359" s="14"/>
      <c r="E1359" s="15"/>
      <c r="F1359" s="16"/>
      <c r="G1359" s="17"/>
      <c r="H1359" s="17"/>
      <c r="I1359" s="18"/>
      <c r="J1359" s="16"/>
      <c r="K1359" s="19"/>
      <c r="L1359" s="20"/>
    </row>
    <row r="1360" ht="15.75" customHeight="1">
      <c r="A1360" s="9"/>
      <c r="B1360" s="26"/>
      <c r="C1360" s="24"/>
      <c r="D1360" s="14"/>
      <c r="E1360" s="15"/>
      <c r="F1360" s="16"/>
      <c r="G1360" s="17"/>
      <c r="H1360" s="17"/>
      <c r="I1360" s="18"/>
      <c r="J1360" s="16"/>
      <c r="K1360" s="19"/>
      <c r="L1360" s="20"/>
    </row>
    <row r="1361" ht="15.75" customHeight="1">
      <c r="A1361" s="9"/>
      <c r="B1361" s="26"/>
      <c r="C1361" s="24"/>
      <c r="D1361" s="14"/>
      <c r="E1361" s="15"/>
      <c r="F1361" s="16"/>
      <c r="G1361" s="17"/>
      <c r="H1361" s="17"/>
      <c r="I1361" s="18"/>
      <c r="J1361" s="16"/>
      <c r="K1361" s="19"/>
      <c r="L1361" s="20"/>
    </row>
    <row r="1362" ht="15.75" customHeight="1">
      <c r="A1362" s="9"/>
      <c r="B1362" s="26"/>
      <c r="C1362" s="24"/>
      <c r="D1362" s="14"/>
      <c r="E1362" s="15"/>
      <c r="F1362" s="16"/>
      <c r="G1362" s="17"/>
      <c r="H1362" s="17"/>
      <c r="I1362" s="18"/>
      <c r="J1362" s="16"/>
      <c r="K1362" s="19"/>
      <c r="L1362" s="20"/>
    </row>
    <row r="1363" ht="15.75" customHeight="1">
      <c r="A1363" s="9"/>
      <c r="B1363" s="26"/>
      <c r="C1363" s="24"/>
      <c r="D1363" s="14"/>
      <c r="E1363" s="15"/>
      <c r="F1363" s="16"/>
      <c r="G1363" s="17"/>
      <c r="H1363" s="17"/>
      <c r="I1363" s="18"/>
      <c r="J1363" s="16"/>
      <c r="K1363" s="19"/>
      <c r="L1363" s="20"/>
    </row>
    <row r="1364" ht="15.75" customHeight="1">
      <c r="A1364" s="9"/>
      <c r="B1364" s="26"/>
      <c r="C1364" s="24"/>
      <c r="D1364" s="14"/>
      <c r="E1364" s="15"/>
      <c r="F1364" s="16"/>
      <c r="G1364" s="17"/>
      <c r="H1364" s="17"/>
      <c r="I1364" s="18"/>
      <c r="J1364" s="16"/>
      <c r="K1364" s="19"/>
      <c r="L1364" s="20"/>
    </row>
    <row r="1365" ht="15.75" customHeight="1">
      <c r="A1365" s="9"/>
      <c r="B1365" s="26"/>
      <c r="C1365" s="24"/>
      <c r="D1365" s="14"/>
      <c r="E1365" s="15"/>
      <c r="F1365" s="16"/>
      <c r="G1365" s="17"/>
      <c r="H1365" s="17"/>
      <c r="I1365" s="18"/>
      <c r="J1365" s="16"/>
      <c r="K1365" s="19"/>
      <c r="L1365" s="20"/>
    </row>
    <row r="1366" ht="15.75" customHeight="1">
      <c r="A1366" s="9"/>
      <c r="B1366" s="26"/>
      <c r="C1366" s="24"/>
      <c r="D1366" s="14"/>
      <c r="E1366" s="15"/>
      <c r="F1366" s="16"/>
      <c r="G1366" s="17"/>
      <c r="H1366" s="17"/>
      <c r="I1366" s="18"/>
      <c r="J1366" s="16"/>
      <c r="K1366" s="19"/>
      <c r="L1366" s="20"/>
    </row>
    <row r="1367" ht="15.75" customHeight="1">
      <c r="A1367" s="9"/>
      <c r="B1367" s="26"/>
      <c r="C1367" s="24"/>
      <c r="D1367" s="14"/>
      <c r="E1367" s="15"/>
      <c r="F1367" s="16"/>
      <c r="G1367" s="17"/>
      <c r="H1367" s="17"/>
      <c r="I1367" s="18"/>
      <c r="J1367" s="16"/>
      <c r="K1367" s="19"/>
      <c r="L1367" s="20"/>
    </row>
    <row r="1368" ht="15.75" customHeight="1">
      <c r="A1368" s="9"/>
      <c r="B1368" s="26"/>
      <c r="C1368" s="24"/>
      <c r="D1368" s="14"/>
      <c r="E1368" s="15"/>
      <c r="F1368" s="16"/>
      <c r="G1368" s="17"/>
      <c r="H1368" s="17"/>
      <c r="I1368" s="18"/>
      <c r="J1368" s="16"/>
      <c r="K1368" s="19"/>
      <c r="L1368" s="20"/>
    </row>
    <row r="1369" ht="15.75" customHeight="1">
      <c r="A1369" s="9"/>
      <c r="B1369" s="26"/>
      <c r="C1369" s="24"/>
      <c r="D1369" s="14"/>
      <c r="E1369" s="15"/>
      <c r="F1369" s="16"/>
      <c r="G1369" s="17"/>
      <c r="H1369" s="17"/>
      <c r="I1369" s="18"/>
      <c r="J1369" s="16"/>
      <c r="K1369" s="19"/>
      <c r="L1369" s="20"/>
    </row>
    <row r="1370" ht="15.75" customHeight="1">
      <c r="A1370" s="9"/>
      <c r="B1370" s="26"/>
      <c r="C1370" s="24"/>
      <c r="D1370" s="14"/>
      <c r="E1370" s="15"/>
      <c r="F1370" s="16"/>
      <c r="G1370" s="17"/>
      <c r="H1370" s="17"/>
      <c r="I1370" s="18"/>
      <c r="J1370" s="16"/>
      <c r="K1370" s="19"/>
      <c r="L1370" s="20"/>
    </row>
    <row r="1371" ht="15.75" customHeight="1">
      <c r="A1371" s="9"/>
      <c r="B1371" s="26"/>
      <c r="C1371" s="24"/>
      <c r="D1371" s="14"/>
      <c r="E1371" s="15"/>
      <c r="F1371" s="16"/>
      <c r="G1371" s="17"/>
      <c r="H1371" s="17"/>
      <c r="I1371" s="18"/>
      <c r="J1371" s="16"/>
      <c r="K1371" s="19"/>
      <c r="L1371" s="20"/>
    </row>
    <row r="1372" ht="15.75" customHeight="1">
      <c r="A1372" s="9"/>
      <c r="B1372" s="26"/>
      <c r="C1372" s="24"/>
      <c r="D1372" s="14"/>
      <c r="E1372" s="15"/>
      <c r="F1372" s="16"/>
      <c r="G1372" s="17"/>
      <c r="H1372" s="17"/>
      <c r="I1372" s="18"/>
      <c r="J1372" s="16"/>
      <c r="K1372" s="19"/>
      <c r="L1372" s="20"/>
    </row>
    <row r="1373" ht="15.75" customHeight="1">
      <c r="A1373" s="9"/>
      <c r="B1373" s="26"/>
      <c r="C1373" s="24"/>
      <c r="D1373" s="14"/>
      <c r="E1373" s="15"/>
      <c r="F1373" s="16"/>
      <c r="G1373" s="17"/>
      <c r="H1373" s="17"/>
      <c r="I1373" s="18"/>
      <c r="J1373" s="16"/>
      <c r="K1373" s="19"/>
      <c r="L1373" s="20"/>
    </row>
    <row r="1374" ht="15.75" customHeight="1">
      <c r="A1374" s="9"/>
      <c r="B1374" s="26"/>
      <c r="C1374" s="24"/>
      <c r="D1374" s="14"/>
      <c r="E1374" s="15"/>
      <c r="F1374" s="16"/>
      <c r="G1374" s="17"/>
      <c r="H1374" s="17"/>
      <c r="I1374" s="18"/>
      <c r="J1374" s="16"/>
      <c r="K1374" s="19"/>
      <c r="L1374" s="20"/>
    </row>
    <row r="1375" ht="15.75" customHeight="1">
      <c r="A1375" s="9"/>
      <c r="B1375" s="26"/>
      <c r="C1375" s="24"/>
      <c r="D1375" s="14"/>
      <c r="E1375" s="15"/>
      <c r="F1375" s="16"/>
      <c r="G1375" s="17"/>
      <c r="H1375" s="17"/>
      <c r="I1375" s="18"/>
      <c r="J1375" s="16"/>
      <c r="K1375" s="19"/>
      <c r="L1375" s="20"/>
    </row>
    <row r="1376" ht="15.75" customHeight="1">
      <c r="A1376" s="9"/>
      <c r="B1376" s="26"/>
      <c r="C1376" s="24"/>
      <c r="D1376" s="14"/>
      <c r="E1376" s="15"/>
      <c r="F1376" s="16"/>
      <c r="G1376" s="17"/>
      <c r="H1376" s="17"/>
      <c r="I1376" s="18"/>
      <c r="J1376" s="16"/>
      <c r="K1376" s="19"/>
      <c r="L1376" s="20"/>
    </row>
    <row r="1377" ht="15.75" customHeight="1">
      <c r="A1377" s="9"/>
      <c r="B1377" s="26"/>
      <c r="C1377" s="24"/>
      <c r="D1377" s="14"/>
      <c r="E1377" s="15"/>
      <c r="F1377" s="16"/>
      <c r="G1377" s="17"/>
      <c r="H1377" s="17"/>
      <c r="I1377" s="18"/>
      <c r="J1377" s="16"/>
      <c r="K1377" s="19"/>
      <c r="L1377" s="20"/>
    </row>
    <row r="1378" ht="15.75" customHeight="1">
      <c r="A1378" s="9"/>
      <c r="B1378" s="26"/>
      <c r="C1378" s="24"/>
      <c r="D1378" s="14"/>
      <c r="E1378" s="15"/>
      <c r="F1378" s="16"/>
      <c r="G1378" s="17"/>
      <c r="H1378" s="17"/>
      <c r="I1378" s="18"/>
      <c r="J1378" s="16"/>
      <c r="K1378" s="19"/>
      <c r="L1378" s="20"/>
    </row>
    <row r="1379" ht="15.75" customHeight="1">
      <c r="A1379" s="9"/>
      <c r="B1379" s="26"/>
      <c r="C1379" s="24"/>
      <c r="D1379" s="14"/>
      <c r="E1379" s="15"/>
      <c r="F1379" s="16"/>
      <c r="G1379" s="17"/>
      <c r="H1379" s="17"/>
      <c r="I1379" s="18"/>
      <c r="J1379" s="16"/>
      <c r="K1379" s="19"/>
      <c r="L1379" s="20"/>
    </row>
    <row r="1380" ht="15.75" customHeight="1">
      <c r="A1380" s="9"/>
      <c r="B1380" s="26"/>
      <c r="C1380" s="24"/>
      <c r="D1380" s="14"/>
      <c r="E1380" s="15"/>
      <c r="F1380" s="16"/>
      <c r="G1380" s="17"/>
      <c r="H1380" s="17"/>
      <c r="I1380" s="18"/>
      <c r="J1380" s="16"/>
      <c r="K1380" s="19"/>
      <c r="L1380" s="20"/>
    </row>
    <row r="1381" ht="15.75" customHeight="1">
      <c r="A1381" s="9"/>
      <c r="B1381" s="26"/>
      <c r="C1381" s="24"/>
      <c r="D1381" s="14"/>
      <c r="E1381" s="15"/>
      <c r="F1381" s="16"/>
      <c r="G1381" s="17"/>
      <c r="H1381" s="17"/>
      <c r="I1381" s="18"/>
      <c r="J1381" s="16"/>
      <c r="K1381" s="19"/>
      <c r="L1381" s="20"/>
    </row>
    <row r="1382" ht="15.75" customHeight="1">
      <c r="A1382" s="9"/>
      <c r="B1382" s="26"/>
      <c r="C1382" s="24"/>
      <c r="D1382" s="14"/>
      <c r="E1382" s="15"/>
      <c r="F1382" s="16"/>
      <c r="G1382" s="17"/>
      <c r="H1382" s="17"/>
      <c r="I1382" s="18"/>
      <c r="J1382" s="16"/>
      <c r="K1382" s="19"/>
      <c r="L1382" s="20"/>
    </row>
    <row r="1383" ht="15.75" customHeight="1">
      <c r="A1383" s="9"/>
      <c r="B1383" s="26"/>
      <c r="C1383" s="24"/>
      <c r="D1383" s="14"/>
      <c r="E1383" s="15"/>
      <c r="F1383" s="16"/>
      <c r="G1383" s="17"/>
      <c r="H1383" s="17"/>
      <c r="I1383" s="18"/>
      <c r="J1383" s="16"/>
      <c r="K1383" s="19"/>
      <c r="L1383" s="20"/>
    </row>
    <row r="1384" ht="15.75" customHeight="1">
      <c r="A1384" s="9"/>
      <c r="B1384" s="26"/>
      <c r="C1384" s="24"/>
      <c r="D1384" s="14"/>
      <c r="E1384" s="15"/>
      <c r="F1384" s="16"/>
      <c r="G1384" s="17"/>
      <c r="H1384" s="17"/>
      <c r="I1384" s="18"/>
      <c r="J1384" s="16"/>
      <c r="K1384" s="19"/>
      <c r="L1384" s="20"/>
    </row>
    <row r="1385" ht="15.75" customHeight="1">
      <c r="A1385" s="9"/>
      <c r="B1385" s="26"/>
      <c r="C1385" s="24"/>
      <c r="D1385" s="14"/>
      <c r="E1385" s="15"/>
      <c r="F1385" s="16"/>
      <c r="G1385" s="17"/>
      <c r="H1385" s="17"/>
      <c r="I1385" s="18"/>
      <c r="J1385" s="16"/>
      <c r="K1385" s="19"/>
      <c r="L1385" s="20"/>
    </row>
    <row r="1386" ht="15.75" customHeight="1">
      <c r="A1386" s="9"/>
      <c r="B1386" s="26"/>
      <c r="C1386" s="24"/>
      <c r="D1386" s="14"/>
      <c r="E1386" s="15"/>
      <c r="F1386" s="16"/>
      <c r="G1386" s="17"/>
      <c r="H1386" s="17"/>
      <c r="I1386" s="18"/>
      <c r="J1386" s="16"/>
      <c r="K1386" s="19"/>
      <c r="L1386" s="20"/>
    </row>
    <row r="1387" ht="15.75" customHeight="1">
      <c r="A1387" s="9"/>
      <c r="B1387" s="26"/>
      <c r="C1387" s="24"/>
      <c r="D1387" s="14"/>
      <c r="E1387" s="15"/>
      <c r="F1387" s="16"/>
      <c r="G1387" s="17"/>
      <c r="H1387" s="17"/>
      <c r="I1387" s="18"/>
      <c r="J1387" s="16"/>
      <c r="K1387" s="19"/>
      <c r="L1387" s="20"/>
    </row>
    <row r="1388" ht="15.75" customHeight="1">
      <c r="A1388" s="9"/>
      <c r="B1388" s="26"/>
      <c r="C1388" s="24"/>
      <c r="D1388" s="14"/>
      <c r="E1388" s="15"/>
      <c r="F1388" s="16"/>
      <c r="G1388" s="17"/>
      <c r="H1388" s="17"/>
      <c r="I1388" s="18"/>
      <c r="J1388" s="16"/>
      <c r="K1388" s="19"/>
      <c r="L1388" s="20"/>
    </row>
    <row r="1389" ht="15.75" customHeight="1">
      <c r="A1389" s="9"/>
      <c r="B1389" s="26"/>
      <c r="C1389" s="24"/>
      <c r="D1389" s="14"/>
      <c r="E1389" s="15"/>
      <c r="F1389" s="16"/>
      <c r="G1389" s="17"/>
      <c r="H1389" s="17"/>
      <c r="I1389" s="18"/>
      <c r="J1389" s="16"/>
      <c r="K1389" s="19"/>
      <c r="L1389" s="20"/>
    </row>
    <row r="1390" ht="15.75" customHeight="1">
      <c r="A1390" s="9"/>
      <c r="B1390" s="26"/>
      <c r="C1390" s="24"/>
      <c r="D1390" s="14"/>
      <c r="E1390" s="15"/>
      <c r="F1390" s="16"/>
      <c r="G1390" s="17"/>
      <c r="H1390" s="17"/>
      <c r="I1390" s="18"/>
      <c r="J1390" s="16"/>
      <c r="K1390" s="19"/>
      <c r="L1390" s="20"/>
    </row>
    <row r="1391" ht="15.75" customHeight="1">
      <c r="A1391" s="9"/>
      <c r="B1391" s="26"/>
      <c r="C1391" s="24"/>
      <c r="D1391" s="14"/>
      <c r="E1391" s="15"/>
      <c r="F1391" s="16"/>
      <c r="G1391" s="17"/>
      <c r="H1391" s="17"/>
      <c r="I1391" s="18"/>
      <c r="J1391" s="16"/>
      <c r="K1391" s="19"/>
      <c r="L1391" s="20"/>
    </row>
    <row r="1392" ht="15.75" customHeight="1">
      <c r="A1392" s="9"/>
      <c r="B1392" s="26"/>
      <c r="C1392" s="24"/>
      <c r="D1392" s="14"/>
      <c r="E1392" s="15"/>
      <c r="F1392" s="16"/>
      <c r="G1392" s="17"/>
      <c r="H1392" s="17"/>
      <c r="I1392" s="18"/>
      <c r="J1392" s="16"/>
      <c r="K1392" s="19"/>
      <c r="L1392" s="20"/>
    </row>
    <row r="1393" ht="15.75" customHeight="1">
      <c r="A1393" s="9"/>
      <c r="B1393" s="26"/>
      <c r="C1393" s="24"/>
      <c r="D1393" s="14"/>
      <c r="E1393" s="15"/>
      <c r="F1393" s="16"/>
      <c r="G1393" s="17"/>
      <c r="H1393" s="17"/>
      <c r="I1393" s="18"/>
      <c r="J1393" s="16"/>
      <c r="K1393" s="19"/>
      <c r="L1393" s="20"/>
    </row>
    <row r="1394" ht="15.75" customHeight="1">
      <c r="A1394" s="9"/>
      <c r="B1394" s="26"/>
      <c r="C1394" s="24"/>
      <c r="D1394" s="14"/>
      <c r="E1394" s="15"/>
      <c r="F1394" s="16"/>
      <c r="G1394" s="17"/>
      <c r="H1394" s="17"/>
      <c r="I1394" s="18"/>
      <c r="J1394" s="16"/>
      <c r="K1394" s="19"/>
      <c r="L1394" s="20"/>
    </row>
    <row r="1395" ht="15.75" customHeight="1">
      <c r="A1395" s="9"/>
      <c r="B1395" s="26"/>
      <c r="C1395" s="24"/>
      <c r="D1395" s="14"/>
      <c r="E1395" s="15"/>
      <c r="F1395" s="16"/>
      <c r="G1395" s="17"/>
      <c r="H1395" s="17"/>
      <c r="I1395" s="18"/>
      <c r="J1395" s="16"/>
      <c r="K1395" s="19"/>
      <c r="L1395" s="20"/>
    </row>
    <row r="1396" ht="15.75" customHeight="1">
      <c r="A1396" s="9"/>
      <c r="B1396" s="26"/>
      <c r="C1396" s="24"/>
      <c r="D1396" s="14"/>
      <c r="E1396" s="15"/>
      <c r="F1396" s="16"/>
      <c r="G1396" s="17"/>
      <c r="H1396" s="17"/>
      <c r="I1396" s="18"/>
      <c r="J1396" s="16"/>
      <c r="K1396" s="19"/>
      <c r="L1396" s="20"/>
    </row>
    <row r="1397" ht="15.75" customHeight="1">
      <c r="A1397" s="9"/>
      <c r="B1397" s="26"/>
      <c r="C1397" s="24"/>
      <c r="D1397" s="14"/>
      <c r="E1397" s="15"/>
      <c r="F1397" s="16"/>
      <c r="G1397" s="17"/>
      <c r="H1397" s="17"/>
      <c r="I1397" s="18"/>
      <c r="J1397" s="16"/>
      <c r="K1397" s="19"/>
      <c r="L1397" s="20"/>
    </row>
    <row r="1398" ht="15.75" customHeight="1">
      <c r="A1398" s="9"/>
      <c r="B1398" s="26"/>
      <c r="C1398" s="24"/>
      <c r="D1398" s="14"/>
      <c r="E1398" s="15"/>
      <c r="F1398" s="16"/>
      <c r="G1398" s="17"/>
      <c r="H1398" s="17"/>
      <c r="I1398" s="18"/>
      <c r="J1398" s="16"/>
      <c r="K1398" s="19"/>
      <c r="L1398" s="20"/>
    </row>
    <row r="1399" ht="15.75" customHeight="1">
      <c r="A1399" s="9"/>
      <c r="B1399" s="26"/>
      <c r="C1399" s="24"/>
      <c r="D1399" s="14"/>
      <c r="E1399" s="15"/>
      <c r="F1399" s="16"/>
      <c r="G1399" s="17"/>
      <c r="H1399" s="17"/>
      <c r="I1399" s="18"/>
      <c r="J1399" s="16"/>
      <c r="K1399" s="19"/>
      <c r="L1399" s="20"/>
    </row>
    <row r="1400" ht="15.75" customHeight="1">
      <c r="A1400" s="9"/>
      <c r="B1400" s="26"/>
      <c r="C1400" s="24"/>
      <c r="D1400" s="14"/>
      <c r="E1400" s="15"/>
      <c r="F1400" s="16"/>
      <c r="G1400" s="17"/>
      <c r="H1400" s="17"/>
      <c r="I1400" s="18"/>
      <c r="J1400" s="16"/>
      <c r="K1400" s="19"/>
      <c r="L1400" s="20"/>
    </row>
    <row r="1401" ht="15.75" customHeight="1">
      <c r="A1401" s="9"/>
      <c r="B1401" s="26"/>
      <c r="C1401" s="24"/>
      <c r="D1401" s="14"/>
      <c r="E1401" s="15"/>
      <c r="F1401" s="16"/>
      <c r="G1401" s="17"/>
      <c r="H1401" s="17"/>
      <c r="I1401" s="18"/>
      <c r="J1401" s="16"/>
      <c r="K1401" s="19"/>
      <c r="L1401" s="20"/>
    </row>
    <row r="1402" ht="15.75" customHeight="1">
      <c r="A1402" s="9"/>
      <c r="B1402" s="26"/>
      <c r="C1402" s="24"/>
      <c r="D1402" s="14"/>
      <c r="E1402" s="15"/>
      <c r="F1402" s="16"/>
      <c r="G1402" s="17"/>
      <c r="H1402" s="17"/>
      <c r="I1402" s="18"/>
      <c r="J1402" s="16"/>
      <c r="K1402" s="19"/>
      <c r="L1402" s="20"/>
    </row>
    <row r="1403" ht="15.75" customHeight="1">
      <c r="A1403" s="9"/>
      <c r="B1403" s="26"/>
      <c r="C1403" s="24"/>
      <c r="D1403" s="14"/>
      <c r="E1403" s="15"/>
      <c r="F1403" s="16"/>
      <c r="G1403" s="17"/>
      <c r="H1403" s="17"/>
      <c r="I1403" s="18"/>
      <c r="J1403" s="16"/>
      <c r="K1403" s="19"/>
      <c r="L1403" s="20"/>
    </row>
    <row r="1404" ht="15.75" customHeight="1">
      <c r="A1404" s="9"/>
      <c r="B1404" s="26"/>
      <c r="C1404" s="24"/>
      <c r="D1404" s="14"/>
      <c r="E1404" s="15"/>
      <c r="F1404" s="16"/>
      <c r="G1404" s="17"/>
      <c r="H1404" s="17"/>
      <c r="I1404" s="18"/>
      <c r="J1404" s="16"/>
      <c r="K1404" s="19"/>
      <c r="L1404" s="20"/>
    </row>
    <row r="1405" ht="15.75" customHeight="1">
      <c r="A1405" s="9"/>
      <c r="B1405" s="26"/>
      <c r="C1405" s="24"/>
      <c r="D1405" s="14"/>
      <c r="E1405" s="15"/>
      <c r="F1405" s="16"/>
      <c r="G1405" s="17"/>
      <c r="H1405" s="17"/>
      <c r="I1405" s="18"/>
      <c r="J1405" s="16"/>
      <c r="K1405" s="19"/>
      <c r="L1405" s="20"/>
    </row>
    <row r="1406" ht="15.75" customHeight="1">
      <c r="A1406" s="9"/>
      <c r="B1406" s="26"/>
      <c r="C1406" s="24"/>
      <c r="D1406" s="14"/>
      <c r="E1406" s="15"/>
      <c r="F1406" s="16"/>
      <c r="G1406" s="17"/>
      <c r="H1406" s="17"/>
      <c r="I1406" s="18"/>
      <c r="J1406" s="16"/>
      <c r="K1406" s="19"/>
      <c r="L1406" s="20"/>
    </row>
    <row r="1407" ht="15.75" customHeight="1">
      <c r="A1407" s="9"/>
      <c r="B1407" s="26"/>
      <c r="C1407" s="24"/>
      <c r="D1407" s="14"/>
      <c r="E1407" s="15"/>
      <c r="F1407" s="16"/>
      <c r="G1407" s="17"/>
      <c r="H1407" s="17"/>
      <c r="I1407" s="18"/>
      <c r="J1407" s="16"/>
      <c r="K1407" s="19"/>
      <c r="L1407" s="20"/>
    </row>
    <row r="1408" ht="15.75" customHeight="1">
      <c r="A1408" s="9"/>
      <c r="B1408" s="26"/>
      <c r="C1408" s="24"/>
      <c r="D1408" s="14"/>
      <c r="E1408" s="15"/>
      <c r="F1408" s="16"/>
      <c r="G1408" s="17"/>
      <c r="H1408" s="17"/>
      <c r="I1408" s="18"/>
      <c r="J1408" s="16"/>
      <c r="K1408" s="19"/>
      <c r="L1408" s="20"/>
    </row>
    <row r="1409" ht="15.75" customHeight="1">
      <c r="A1409" s="9"/>
      <c r="B1409" s="26"/>
      <c r="C1409" s="24"/>
      <c r="D1409" s="14"/>
      <c r="E1409" s="15"/>
      <c r="F1409" s="16"/>
      <c r="G1409" s="17"/>
      <c r="H1409" s="17"/>
      <c r="I1409" s="18"/>
      <c r="J1409" s="16"/>
      <c r="K1409" s="19"/>
      <c r="L1409" s="20"/>
    </row>
    <row r="1410" ht="15.75" customHeight="1">
      <c r="A1410" s="9"/>
      <c r="B1410" s="26"/>
      <c r="C1410" s="24"/>
      <c r="D1410" s="14"/>
      <c r="E1410" s="15"/>
      <c r="F1410" s="16"/>
      <c r="G1410" s="17"/>
      <c r="H1410" s="17"/>
      <c r="I1410" s="18"/>
      <c r="J1410" s="16"/>
      <c r="K1410" s="19"/>
      <c r="L1410" s="20"/>
    </row>
    <row r="1411" ht="15.75" customHeight="1">
      <c r="A1411" s="9"/>
      <c r="B1411" s="26"/>
      <c r="C1411" s="24"/>
      <c r="D1411" s="14"/>
      <c r="E1411" s="15"/>
      <c r="F1411" s="16"/>
      <c r="G1411" s="17"/>
      <c r="H1411" s="17"/>
      <c r="I1411" s="18"/>
      <c r="J1411" s="16"/>
      <c r="K1411" s="19"/>
      <c r="L1411" s="20"/>
    </row>
    <row r="1412" ht="15.75" customHeight="1">
      <c r="A1412" s="9"/>
      <c r="B1412" s="26"/>
      <c r="C1412" s="24"/>
      <c r="D1412" s="14"/>
      <c r="E1412" s="15"/>
      <c r="F1412" s="16"/>
      <c r="G1412" s="17"/>
      <c r="H1412" s="17"/>
      <c r="I1412" s="18"/>
      <c r="J1412" s="16"/>
      <c r="K1412" s="19"/>
      <c r="L1412" s="20"/>
    </row>
    <row r="1413" ht="15.75" customHeight="1">
      <c r="A1413" s="9"/>
      <c r="B1413" s="26"/>
      <c r="C1413" s="24"/>
      <c r="D1413" s="14"/>
      <c r="E1413" s="15"/>
      <c r="F1413" s="16"/>
      <c r="G1413" s="17"/>
      <c r="H1413" s="17"/>
      <c r="I1413" s="18"/>
      <c r="J1413" s="16"/>
      <c r="K1413" s="19"/>
      <c r="L1413" s="20"/>
    </row>
    <row r="1414" ht="15.75" customHeight="1">
      <c r="A1414" s="9"/>
      <c r="B1414" s="26"/>
      <c r="C1414" s="24"/>
      <c r="D1414" s="14"/>
      <c r="E1414" s="15"/>
      <c r="F1414" s="16"/>
      <c r="G1414" s="17"/>
      <c r="H1414" s="17"/>
      <c r="I1414" s="18"/>
      <c r="J1414" s="16"/>
      <c r="K1414" s="19"/>
      <c r="L1414" s="20"/>
    </row>
    <row r="1415" ht="15.75" customHeight="1">
      <c r="A1415" s="9"/>
      <c r="B1415" s="26"/>
      <c r="C1415" s="24"/>
      <c r="D1415" s="14"/>
      <c r="E1415" s="15"/>
      <c r="F1415" s="16"/>
      <c r="G1415" s="17"/>
      <c r="H1415" s="17"/>
      <c r="I1415" s="18"/>
      <c r="J1415" s="16"/>
      <c r="K1415" s="19"/>
      <c r="L1415" s="20"/>
    </row>
    <row r="1416" ht="15.75" customHeight="1">
      <c r="A1416" s="9"/>
      <c r="B1416" s="26"/>
      <c r="C1416" s="24"/>
      <c r="D1416" s="14"/>
      <c r="E1416" s="15"/>
      <c r="F1416" s="16"/>
      <c r="G1416" s="17"/>
      <c r="H1416" s="17"/>
      <c r="I1416" s="18"/>
      <c r="J1416" s="16"/>
      <c r="K1416" s="19"/>
      <c r="L1416" s="20"/>
    </row>
    <row r="1417" ht="15.75" customHeight="1">
      <c r="A1417" s="9"/>
      <c r="B1417" s="26"/>
      <c r="C1417" s="24"/>
      <c r="D1417" s="14"/>
      <c r="E1417" s="15"/>
      <c r="F1417" s="16"/>
      <c r="G1417" s="17"/>
      <c r="H1417" s="17"/>
      <c r="I1417" s="18"/>
      <c r="J1417" s="16"/>
      <c r="K1417" s="19"/>
      <c r="L1417" s="20"/>
    </row>
    <row r="1418" ht="15.75" customHeight="1">
      <c r="A1418" s="9"/>
      <c r="B1418" s="26"/>
      <c r="C1418" s="24"/>
      <c r="D1418" s="14"/>
      <c r="E1418" s="15"/>
      <c r="F1418" s="16"/>
      <c r="G1418" s="17"/>
      <c r="H1418" s="17"/>
      <c r="I1418" s="18"/>
      <c r="J1418" s="16"/>
      <c r="K1418" s="19"/>
      <c r="L1418" s="20"/>
    </row>
    <row r="1419" ht="15.75" customHeight="1">
      <c r="A1419" s="9"/>
      <c r="B1419" s="26"/>
      <c r="C1419" s="24"/>
      <c r="D1419" s="14"/>
      <c r="E1419" s="15"/>
      <c r="F1419" s="16"/>
      <c r="G1419" s="17"/>
      <c r="H1419" s="17"/>
      <c r="I1419" s="18"/>
      <c r="J1419" s="16"/>
      <c r="K1419" s="19"/>
      <c r="L1419" s="20"/>
    </row>
    <row r="1420" ht="15.75" customHeight="1">
      <c r="A1420" s="9"/>
      <c r="B1420" s="26"/>
      <c r="C1420" s="24"/>
      <c r="D1420" s="14"/>
      <c r="E1420" s="15"/>
      <c r="F1420" s="16"/>
      <c r="G1420" s="17"/>
      <c r="H1420" s="17"/>
      <c r="I1420" s="18"/>
      <c r="J1420" s="16"/>
      <c r="K1420" s="19"/>
      <c r="L1420" s="20"/>
    </row>
    <row r="1421" ht="15.75" customHeight="1">
      <c r="A1421" s="9"/>
      <c r="B1421" s="26"/>
      <c r="C1421" s="24"/>
      <c r="D1421" s="14"/>
      <c r="E1421" s="15"/>
      <c r="F1421" s="16"/>
      <c r="G1421" s="17"/>
      <c r="H1421" s="17"/>
      <c r="I1421" s="18"/>
      <c r="J1421" s="16"/>
      <c r="K1421" s="19"/>
      <c r="L1421" s="20"/>
    </row>
    <row r="1422" ht="15.75" customHeight="1">
      <c r="A1422" s="9"/>
      <c r="B1422" s="26"/>
      <c r="C1422" s="24"/>
      <c r="D1422" s="14"/>
      <c r="E1422" s="15"/>
      <c r="F1422" s="16"/>
      <c r="G1422" s="17"/>
      <c r="H1422" s="17"/>
      <c r="I1422" s="18"/>
      <c r="J1422" s="16"/>
      <c r="K1422" s="19"/>
      <c r="L1422" s="20"/>
    </row>
    <row r="1423" ht="15.75" customHeight="1">
      <c r="A1423" s="9"/>
      <c r="B1423" s="26"/>
      <c r="C1423" s="24"/>
      <c r="D1423" s="14"/>
      <c r="E1423" s="15"/>
      <c r="F1423" s="16"/>
      <c r="G1423" s="17"/>
      <c r="H1423" s="17"/>
      <c r="I1423" s="18"/>
      <c r="J1423" s="16"/>
      <c r="K1423" s="19"/>
      <c r="L1423" s="20"/>
    </row>
    <row r="1424" ht="15.75" customHeight="1">
      <c r="A1424" s="9"/>
      <c r="B1424" s="26"/>
      <c r="C1424" s="24"/>
      <c r="D1424" s="14"/>
      <c r="E1424" s="15"/>
      <c r="F1424" s="16"/>
      <c r="G1424" s="17"/>
      <c r="H1424" s="17"/>
      <c r="I1424" s="18"/>
      <c r="J1424" s="16"/>
      <c r="K1424" s="19"/>
      <c r="L1424" s="20"/>
    </row>
    <row r="1425" ht="15.75" customHeight="1">
      <c r="A1425" s="9"/>
      <c r="B1425" s="26"/>
      <c r="C1425" s="24"/>
      <c r="D1425" s="14"/>
      <c r="E1425" s="15"/>
      <c r="F1425" s="16"/>
      <c r="G1425" s="17"/>
      <c r="H1425" s="17"/>
      <c r="I1425" s="18"/>
      <c r="J1425" s="16"/>
      <c r="K1425" s="19"/>
      <c r="L1425" s="20"/>
    </row>
    <row r="1426" ht="15.75" customHeight="1">
      <c r="A1426" s="9"/>
      <c r="B1426" s="26"/>
      <c r="C1426" s="24"/>
      <c r="D1426" s="14"/>
      <c r="E1426" s="15"/>
      <c r="F1426" s="16"/>
      <c r="G1426" s="17"/>
      <c r="H1426" s="17"/>
      <c r="I1426" s="18"/>
      <c r="J1426" s="16"/>
      <c r="K1426" s="19"/>
      <c r="L1426" s="20"/>
    </row>
    <row r="1427" ht="15.75" customHeight="1">
      <c r="A1427" s="9"/>
      <c r="B1427" s="26"/>
      <c r="C1427" s="24"/>
      <c r="D1427" s="14"/>
      <c r="E1427" s="15"/>
      <c r="F1427" s="16"/>
      <c r="G1427" s="17"/>
      <c r="H1427" s="17"/>
      <c r="I1427" s="18"/>
      <c r="J1427" s="16"/>
      <c r="K1427" s="19"/>
      <c r="L1427" s="20"/>
    </row>
    <row r="1428" ht="15.75" customHeight="1">
      <c r="A1428" s="9"/>
      <c r="B1428" s="26"/>
      <c r="C1428" s="24"/>
      <c r="D1428" s="14"/>
      <c r="E1428" s="15"/>
      <c r="F1428" s="16"/>
      <c r="G1428" s="17"/>
      <c r="H1428" s="17"/>
      <c r="I1428" s="18"/>
      <c r="J1428" s="16"/>
      <c r="K1428" s="19"/>
      <c r="L1428" s="20"/>
    </row>
    <row r="1429" ht="15.75" customHeight="1">
      <c r="A1429" s="9"/>
      <c r="B1429" s="26"/>
      <c r="C1429" s="24"/>
      <c r="D1429" s="14"/>
      <c r="E1429" s="15"/>
      <c r="F1429" s="16"/>
      <c r="G1429" s="17"/>
      <c r="H1429" s="17"/>
      <c r="I1429" s="18"/>
      <c r="J1429" s="16"/>
      <c r="K1429" s="19"/>
      <c r="L1429" s="20"/>
    </row>
    <row r="1430" ht="15.75" customHeight="1">
      <c r="A1430" s="9"/>
      <c r="B1430" s="26"/>
      <c r="C1430" s="24"/>
      <c r="D1430" s="14"/>
      <c r="E1430" s="15"/>
      <c r="F1430" s="16"/>
      <c r="G1430" s="17"/>
      <c r="H1430" s="17"/>
      <c r="I1430" s="18"/>
      <c r="J1430" s="16"/>
      <c r="K1430" s="19"/>
      <c r="L1430" s="20"/>
    </row>
    <row r="1431" ht="15.75" customHeight="1">
      <c r="A1431" s="9"/>
      <c r="B1431" s="26"/>
      <c r="C1431" s="24"/>
      <c r="D1431" s="14"/>
      <c r="E1431" s="15"/>
      <c r="F1431" s="16"/>
      <c r="G1431" s="17"/>
      <c r="H1431" s="17"/>
      <c r="I1431" s="18"/>
      <c r="J1431" s="16"/>
      <c r="K1431" s="19"/>
      <c r="L1431" s="20"/>
    </row>
    <row r="1432" ht="15.75" customHeight="1">
      <c r="A1432" s="9"/>
      <c r="B1432" s="26"/>
      <c r="C1432" s="24"/>
      <c r="D1432" s="14"/>
      <c r="E1432" s="15"/>
      <c r="F1432" s="16"/>
      <c r="G1432" s="17"/>
      <c r="H1432" s="17"/>
      <c r="I1432" s="18"/>
      <c r="J1432" s="16"/>
      <c r="K1432" s="19"/>
      <c r="L1432" s="20"/>
    </row>
    <row r="1433" ht="15.75" customHeight="1">
      <c r="A1433" s="9"/>
      <c r="B1433" s="26"/>
      <c r="C1433" s="24"/>
      <c r="D1433" s="14"/>
      <c r="E1433" s="15"/>
      <c r="F1433" s="16"/>
      <c r="G1433" s="17"/>
      <c r="H1433" s="17"/>
      <c r="I1433" s="18"/>
      <c r="J1433" s="16"/>
      <c r="K1433" s="19"/>
      <c r="L1433" s="20"/>
    </row>
    <row r="1434" ht="15.75" customHeight="1">
      <c r="A1434" s="9"/>
      <c r="B1434" s="26"/>
      <c r="C1434" s="24"/>
      <c r="D1434" s="14"/>
      <c r="E1434" s="15"/>
      <c r="F1434" s="16"/>
      <c r="G1434" s="17"/>
      <c r="H1434" s="17"/>
      <c r="I1434" s="18"/>
      <c r="J1434" s="16"/>
      <c r="K1434" s="19"/>
      <c r="L1434" s="20"/>
    </row>
    <row r="1435" ht="15.75" customHeight="1">
      <c r="A1435" s="9"/>
      <c r="B1435" s="26"/>
      <c r="C1435" s="24"/>
      <c r="D1435" s="14"/>
      <c r="E1435" s="15"/>
      <c r="F1435" s="16"/>
      <c r="G1435" s="17"/>
      <c r="H1435" s="17"/>
      <c r="I1435" s="18"/>
      <c r="J1435" s="16"/>
      <c r="K1435" s="19"/>
      <c r="L1435" s="20"/>
    </row>
    <row r="1436" ht="15.75" customHeight="1">
      <c r="A1436" s="9"/>
      <c r="B1436" s="26"/>
      <c r="C1436" s="24"/>
      <c r="D1436" s="14"/>
      <c r="E1436" s="15"/>
      <c r="F1436" s="16"/>
      <c r="G1436" s="17"/>
      <c r="H1436" s="17"/>
      <c r="I1436" s="18"/>
      <c r="J1436" s="16"/>
      <c r="K1436" s="19"/>
      <c r="L1436" s="20"/>
    </row>
    <row r="1437" ht="15.75" customHeight="1">
      <c r="A1437" s="9"/>
      <c r="B1437" s="26"/>
      <c r="C1437" s="24"/>
      <c r="D1437" s="14"/>
      <c r="E1437" s="15"/>
      <c r="F1437" s="16"/>
      <c r="G1437" s="17"/>
      <c r="H1437" s="17"/>
      <c r="I1437" s="18"/>
      <c r="J1437" s="16"/>
      <c r="K1437" s="19"/>
      <c r="L1437" s="20"/>
    </row>
    <row r="1438" ht="15.75" customHeight="1">
      <c r="A1438" s="9"/>
      <c r="B1438" s="26"/>
      <c r="C1438" s="24"/>
      <c r="D1438" s="14"/>
      <c r="E1438" s="15"/>
      <c r="F1438" s="16"/>
      <c r="G1438" s="17"/>
      <c r="H1438" s="17"/>
      <c r="I1438" s="18"/>
      <c r="J1438" s="16"/>
      <c r="K1438" s="19"/>
      <c r="L1438" s="20"/>
    </row>
    <row r="1439" ht="15.75" customHeight="1">
      <c r="A1439" s="9"/>
      <c r="B1439" s="26"/>
      <c r="C1439" s="24"/>
      <c r="D1439" s="14"/>
      <c r="E1439" s="15"/>
      <c r="F1439" s="16"/>
      <c r="G1439" s="17"/>
      <c r="H1439" s="17"/>
      <c r="I1439" s="18"/>
      <c r="J1439" s="16"/>
      <c r="K1439" s="19"/>
      <c r="L1439" s="20"/>
    </row>
    <row r="1440" ht="15.75" customHeight="1">
      <c r="A1440" s="9"/>
      <c r="B1440" s="26"/>
      <c r="C1440" s="24"/>
      <c r="D1440" s="14"/>
      <c r="E1440" s="15"/>
      <c r="F1440" s="16"/>
      <c r="G1440" s="17"/>
      <c r="H1440" s="17"/>
      <c r="I1440" s="18"/>
      <c r="J1440" s="16"/>
      <c r="K1440" s="19"/>
      <c r="L1440" s="20"/>
    </row>
    <row r="1441" ht="15.75" customHeight="1">
      <c r="A1441" s="9"/>
      <c r="B1441" s="26"/>
      <c r="C1441" s="24"/>
      <c r="D1441" s="14"/>
      <c r="E1441" s="15"/>
      <c r="F1441" s="16"/>
      <c r="G1441" s="17"/>
      <c r="H1441" s="17"/>
      <c r="I1441" s="18"/>
      <c r="J1441" s="16"/>
      <c r="K1441" s="19"/>
      <c r="L1441" s="20"/>
    </row>
    <row r="1442" ht="15.75" customHeight="1">
      <c r="A1442" s="9"/>
      <c r="B1442" s="26"/>
      <c r="C1442" s="24"/>
      <c r="D1442" s="14"/>
      <c r="E1442" s="15"/>
      <c r="F1442" s="16"/>
      <c r="G1442" s="17"/>
      <c r="H1442" s="17"/>
      <c r="I1442" s="18"/>
      <c r="J1442" s="16"/>
      <c r="K1442" s="19"/>
      <c r="L1442" s="20"/>
    </row>
    <row r="1443" ht="15.75" customHeight="1">
      <c r="A1443" s="9"/>
      <c r="B1443" s="26"/>
      <c r="C1443" s="24"/>
      <c r="D1443" s="14"/>
      <c r="E1443" s="15"/>
      <c r="F1443" s="16"/>
      <c r="G1443" s="17"/>
      <c r="H1443" s="17"/>
      <c r="I1443" s="18"/>
      <c r="J1443" s="16"/>
      <c r="K1443" s="19"/>
      <c r="L1443" s="20"/>
    </row>
    <row r="1444" ht="15.75" customHeight="1">
      <c r="A1444" s="9"/>
      <c r="B1444" s="26"/>
      <c r="C1444" s="24"/>
      <c r="D1444" s="14"/>
      <c r="E1444" s="15"/>
      <c r="F1444" s="16"/>
      <c r="G1444" s="17"/>
      <c r="H1444" s="17"/>
      <c r="I1444" s="18"/>
      <c r="J1444" s="16"/>
      <c r="K1444" s="19"/>
      <c r="L1444" s="20"/>
    </row>
    <row r="1445" ht="15.75" customHeight="1">
      <c r="A1445" s="9"/>
      <c r="B1445" s="26"/>
      <c r="C1445" s="24"/>
      <c r="D1445" s="14"/>
      <c r="E1445" s="15"/>
      <c r="F1445" s="16"/>
      <c r="G1445" s="17"/>
      <c r="H1445" s="17"/>
      <c r="I1445" s="18"/>
      <c r="J1445" s="16"/>
      <c r="K1445" s="19"/>
      <c r="L1445" s="20"/>
    </row>
    <row r="1446" ht="15.75" customHeight="1">
      <c r="A1446" s="9"/>
      <c r="B1446" s="26"/>
      <c r="C1446" s="24"/>
      <c r="D1446" s="14"/>
      <c r="E1446" s="15"/>
      <c r="F1446" s="16"/>
      <c r="G1446" s="17"/>
      <c r="H1446" s="17"/>
      <c r="I1446" s="18"/>
      <c r="J1446" s="16"/>
      <c r="K1446" s="19"/>
      <c r="L1446" s="20"/>
    </row>
    <row r="1447" ht="15.75" customHeight="1">
      <c r="A1447" s="9"/>
      <c r="B1447" s="26"/>
      <c r="C1447" s="24"/>
      <c r="D1447" s="14"/>
      <c r="E1447" s="15"/>
      <c r="F1447" s="16"/>
      <c r="G1447" s="17"/>
      <c r="H1447" s="17"/>
      <c r="I1447" s="18"/>
      <c r="J1447" s="16"/>
      <c r="K1447" s="19"/>
      <c r="L1447" s="20"/>
    </row>
    <row r="1448" ht="15.75" customHeight="1">
      <c r="A1448" s="9"/>
      <c r="B1448" s="26"/>
      <c r="C1448" s="24"/>
      <c r="D1448" s="14"/>
      <c r="E1448" s="15"/>
      <c r="F1448" s="16"/>
      <c r="G1448" s="17"/>
      <c r="H1448" s="17"/>
      <c r="I1448" s="18"/>
      <c r="J1448" s="16"/>
      <c r="K1448" s="19"/>
      <c r="L1448" s="20"/>
    </row>
    <row r="1449" ht="15.75" customHeight="1">
      <c r="A1449" s="9"/>
      <c r="B1449" s="26"/>
      <c r="C1449" s="24"/>
      <c r="D1449" s="14"/>
      <c r="E1449" s="15"/>
      <c r="F1449" s="16"/>
      <c r="G1449" s="17"/>
      <c r="H1449" s="17"/>
      <c r="I1449" s="18"/>
      <c r="J1449" s="16"/>
      <c r="K1449" s="19"/>
      <c r="L1449" s="20"/>
    </row>
    <row r="1450" ht="15.75" customHeight="1">
      <c r="A1450" s="9"/>
      <c r="B1450" s="26"/>
      <c r="C1450" s="24"/>
      <c r="D1450" s="14"/>
      <c r="E1450" s="15"/>
      <c r="F1450" s="16"/>
      <c r="G1450" s="17"/>
      <c r="H1450" s="17"/>
      <c r="I1450" s="18"/>
      <c r="J1450" s="16"/>
      <c r="K1450" s="19"/>
      <c r="L1450" s="20"/>
    </row>
    <row r="1451" ht="15.75" customHeight="1">
      <c r="A1451" s="9"/>
      <c r="B1451" s="26"/>
      <c r="C1451" s="24"/>
      <c r="D1451" s="14"/>
      <c r="E1451" s="15"/>
      <c r="F1451" s="16"/>
      <c r="G1451" s="17"/>
      <c r="H1451" s="17"/>
      <c r="I1451" s="18"/>
      <c r="J1451" s="16"/>
      <c r="K1451" s="19"/>
      <c r="L1451" s="20"/>
    </row>
    <row r="1452" ht="15.75" customHeight="1">
      <c r="A1452" s="9"/>
      <c r="B1452" s="26"/>
      <c r="C1452" s="24"/>
      <c r="D1452" s="14"/>
      <c r="E1452" s="15"/>
      <c r="F1452" s="16"/>
      <c r="G1452" s="17"/>
      <c r="H1452" s="17"/>
      <c r="I1452" s="18"/>
      <c r="J1452" s="16"/>
      <c r="K1452" s="19"/>
      <c r="L1452" s="20"/>
    </row>
    <row r="1453" ht="15.75" customHeight="1">
      <c r="A1453" s="9"/>
      <c r="B1453" s="26"/>
      <c r="C1453" s="24"/>
      <c r="D1453" s="14"/>
      <c r="E1453" s="15"/>
      <c r="F1453" s="16"/>
      <c r="G1453" s="17"/>
      <c r="H1453" s="17"/>
      <c r="I1453" s="18"/>
      <c r="J1453" s="16"/>
      <c r="K1453" s="19"/>
      <c r="L1453" s="20"/>
    </row>
    <row r="1454" ht="15.75" customHeight="1">
      <c r="A1454" s="9"/>
      <c r="B1454" s="26"/>
      <c r="C1454" s="24"/>
      <c r="D1454" s="14"/>
      <c r="E1454" s="15"/>
      <c r="F1454" s="16"/>
      <c r="G1454" s="17"/>
      <c r="H1454" s="17"/>
      <c r="I1454" s="18"/>
      <c r="J1454" s="16"/>
      <c r="K1454" s="19"/>
      <c r="L1454" s="20"/>
    </row>
    <row r="1455" ht="15.75" customHeight="1">
      <c r="A1455" s="9"/>
      <c r="B1455" s="26"/>
      <c r="C1455" s="24"/>
      <c r="D1455" s="14"/>
      <c r="E1455" s="15"/>
      <c r="F1455" s="16"/>
      <c r="G1455" s="17"/>
      <c r="H1455" s="17"/>
      <c r="I1455" s="18"/>
      <c r="J1455" s="16"/>
      <c r="K1455" s="19"/>
      <c r="L1455" s="20"/>
    </row>
    <row r="1456" ht="15.75" customHeight="1">
      <c r="A1456" s="9"/>
      <c r="B1456" s="26"/>
      <c r="C1456" s="24"/>
      <c r="D1456" s="14"/>
      <c r="E1456" s="15"/>
      <c r="F1456" s="16"/>
      <c r="G1456" s="17"/>
      <c r="H1456" s="17"/>
      <c r="I1456" s="18"/>
      <c r="J1456" s="16"/>
      <c r="K1456" s="19"/>
      <c r="L1456" s="20"/>
    </row>
    <row r="1457" ht="15.75" customHeight="1">
      <c r="A1457" s="9"/>
      <c r="B1457" s="26"/>
      <c r="C1457" s="24"/>
      <c r="D1457" s="14"/>
      <c r="E1457" s="15"/>
      <c r="F1457" s="16"/>
      <c r="G1457" s="17"/>
      <c r="H1457" s="17"/>
      <c r="I1457" s="18"/>
      <c r="J1457" s="16"/>
      <c r="K1457" s="19"/>
      <c r="L1457" s="20"/>
    </row>
    <row r="1458" ht="15.75" customHeight="1">
      <c r="A1458" s="9"/>
      <c r="B1458" s="26"/>
      <c r="C1458" s="24"/>
      <c r="D1458" s="14"/>
      <c r="E1458" s="15"/>
      <c r="F1458" s="16"/>
      <c r="G1458" s="17"/>
      <c r="H1458" s="17"/>
      <c r="I1458" s="18"/>
      <c r="J1458" s="16"/>
      <c r="K1458" s="19"/>
      <c r="L1458" s="20"/>
    </row>
    <row r="1459" ht="15.75" customHeight="1">
      <c r="A1459" s="9"/>
      <c r="B1459" s="26"/>
      <c r="C1459" s="24"/>
      <c r="D1459" s="14"/>
      <c r="E1459" s="15"/>
      <c r="F1459" s="16"/>
      <c r="G1459" s="17"/>
      <c r="H1459" s="17"/>
      <c r="I1459" s="18"/>
      <c r="J1459" s="16"/>
      <c r="K1459" s="19"/>
      <c r="L1459" s="20"/>
    </row>
    <row r="1460" ht="15.75" customHeight="1">
      <c r="A1460" s="9"/>
      <c r="B1460" s="26"/>
      <c r="C1460" s="24"/>
      <c r="D1460" s="14"/>
      <c r="E1460" s="15"/>
      <c r="F1460" s="16"/>
      <c r="G1460" s="17"/>
      <c r="H1460" s="17"/>
      <c r="I1460" s="18"/>
      <c r="J1460" s="16"/>
      <c r="K1460" s="19"/>
      <c r="L1460" s="20"/>
    </row>
    <row r="1461" ht="15.75" customHeight="1">
      <c r="A1461" s="9"/>
      <c r="B1461" s="26"/>
      <c r="C1461" s="24"/>
      <c r="D1461" s="14"/>
      <c r="E1461" s="15"/>
      <c r="F1461" s="16"/>
      <c r="G1461" s="17"/>
      <c r="H1461" s="17"/>
      <c r="I1461" s="18"/>
      <c r="J1461" s="16"/>
      <c r="K1461" s="19"/>
      <c r="L1461" s="20"/>
    </row>
    <row r="1462" ht="15.75" customHeight="1">
      <c r="A1462" s="9"/>
      <c r="B1462" s="26"/>
      <c r="C1462" s="24"/>
      <c r="D1462" s="14"/>
      <c r="E1462" s="15"/>
      <c r="F1462" s="16"/>
      <c r="G1462" s="17"/>
      <c r="H1462" s="17"/>
      <c r="I1462" s="18"/>
      <c r="J1462" s="16"/>
      <c r="K1462" s="19"/>
      <c r="L1462" s="20"/>
    </row>
    <row r="1463" ht="15.75" customHeight="1">
      <c r="A1463" s="9"/>
      <c r="B1463" s="26"/>
      <c r="C1463" s="24"/>
      <c r="D1463" s="14"/>
      <c r="E1463" s="15"/>
      <c r="F1463" s="16"/>
      <c r="G1463" s="17"/>
      <c r="H1463" s="17"/>
      <c r="I1463" s="18"/>
      <c r="J1463" s="16"/>
      <c r="K1463" s="19"/>
      <c r="L1463" s="20"/>
    </row>
    <row r="1464" ht="15.75" customHeight="1">
      <c r="A1464" s="9"/>
      <c r="B1464" s="26"/>
      <c r="C1464" s="24"/>
      <c r="D1464" s="14"/>
      <c r="E1464" s="15"/>
      <c r="F1464" s="16"/>
      <c r="G1464" s="17"/>
      <c r="H1464" s="17"/>
      <c r="I1464" s="18"/>
      <c r="J1464" s="16"/>
      <c r="K1464" s="19"/>
      <c r="L1464" s="20"/>
    </row>
    <row r="1465" ht="15.75" customHeight="1">
      <c r="A1465" s="9"/>
      <c r="B1465" s="26"/>
      <c r="C1465" s="24"/>
      <c r="D1465" s="14"/>
      <c r="E1465" s="15"/>
      <c r="F1465" s="16"/>
      <c r="G1465" s="17"/>
      <c r="H1465" s="17"/>
      <c r="I1465" s="18"/>
      <c r="J1465" s="16"/>
      <c r="K1465" s="19"/>
      <c r="L1465" s="20"/>
    </row>
    <row r="1466" ht="15.75" customHeight="1">
      <c r="A1466" s="9"/>
      <c r="B1466" s="26"/>
      <c r="C1466" s="24"/>
      <c r="D1466" s="14"/>
      <c r="E1466" s="15"/>
      <c r="F1466" s="16"/>
      <c r="G1466" s="17"/>
      <c r="H1466" s="17"/>
      <c r="I1466" s="18"/>
      <c r="J1466" s="16"/>
      <c r="K1466" s="19"/>
      <c r="L1466" s="20"/>
    </row>
    <row r="1467" ht="15.75" customHeight="1">
      <c r="A1467" s="9"/>
      <c r="B1467" s="26"/>
      <c r="C1467" s="24"/>
      <c r="D1467" s="14"/>
      <c r="E1467" s="15"/>
      <c r="F1467" s="16"/>
      <c r="G1467" s="17"/>
      <c r="H1467" s="17"/>
      <c r="I1467" s="18"/>
      <c r="J1467" s="16"/>
      <c r="K1467" s="19"/>
      <c r="L1467" s="20"/>
    </row>
    <row r="1468" ht="15.75" customHeight="1">
      <c r="A1468" s="9"/>
      <c r="B1468" s="26"/>
      <c r="C1468" s="24"/>
      <c r="D1468" s="14"/>
      <c r="E1468" s="15"/>
      <c r="F1468" s="16"/>
      <c r="G1468" s="17"/>
      <c r="H1468" s="17"/>
      <c r="I1468" s="18"/>
      <c r="J1468" s="16"/>
      <c r="K1468" s="19"/>
      <c r="L1468" s="20"/>
    </row>
    <row r="1469" ht="15.75" customHeight="1">
      <c r="A1469" s="9"/>
      <c r="B1469" s="26"/>
      <c r="C1469" s="24"/>
      <c r="D1469" s="14"/>
      <c r="E1469" s="15"/>
      <c r="F1469" s="16"/>
      <c r="G1469" s="17"/>
      <c r="H1469" s="17"/>
      <c r="I1469" s="18"/>
      <c r="J1469" s="16"/>
      <c r="K1469" s="19"/>
      <c r="L1469" s="20"/>
    </row>
    <row r="1470" ht="15.75" customHeight="1">
      <c r="A1470" s="9"/>
      <c r="B1470" s="26"/>
      <c r="C1470" s="24"/>
      <c r="D1470" s="14"/>
      <c r="E1470" s="15"/>
      <c r="F1470" s="16"/>
      <c r="G1470" s="17"/>
      <c r="H1470" s="17"/>
      <c r="I1470" s="18"/>
      <c r="J1470" s="16"/>
      <c r="K1470" s="19"/>
      <c r="L1470" s="20"/>
    </row>
    <row r="1471" ht="15.75" customHeight="1">
      <c r="A1471" s="9"/>
      <c r="B1471" s="26"/>
      <c r="C1471" s="24"/>
      <c r="D1471" s="14"/>
      <c r="E1471" s="15"/>
      <c r="F1471" s="16"/>
      <c r="G1471" s="17"/>
      <c r="H1471" s="17"/>
      <c r="I1471" s="18"/>
      <c r="J1471" s="16"/>
      <c r="K1471" s="19"/>
      <c r="L1471" s="20"/>
    </row>
    <row r="1472" ht="15.75" customHeight="1">
      <c r="A1472" s="9"/>
      <c r="B1472" s="26"/>
      <c r="C1472" s="24"/>
      <c r="D1472" s="14"/>
      <c r="E1472" s="15"/>
      <c r="F1472" s="16"/>
      <c r="G1472" s="17"/>
      <c r="H1472" s="17"/>
      <c r="I1472" s="18"/>
      <c r="J1472" s="16"/>
      <c r="K1472" s="19"/>
      <c r="L1472" s="20"/>
    </row>
    <row r="1473" ht="15.75" customHeight="1">
      <c r="A1473" s="9"/>
      <c r="B1473" s="26"/>
      <c r="C1473" s="24"/>
      <c r="D1473" s="14"/>
      <c r="E1473" s="15"/>
      <c r="F1473" s="16"/>
      <c r="G1473" s="17"/>
      <c r="H1473" s="17"/>
      <c r="I1473" s="18"/>
      <c r="J1473" s="16"/>
      <c r="K1473" s="19"/>
      <c r="L1473" s="20"/>
    </row>
    <row r="1474" ht="15.75" customHeight="1">
      <c r="A1474" s="9"/>
      <c r="B1474" s="26"/>
      <c r="C1474" s="24"/>
      <c r="D1474" s="14"/>
      <c r="E1474" s="15"/>
      <c r="F1474" s="16"/>
      <c r="G1474" s="17"/>
      <c r="H1474" s="17"/>
      <c r="I1474" s="18"/>
      <c r="J1474" s="16"/>
      <c r="K1474" s="19"/>
      <c r="L1474" s="20"/>
    </row>
    <row r="1475" ht="15.75" customHeight="1">
      <c r="A1475" s="9"/>
      <c r="B1475" s="26"/>
      <c r="C1475" s="24"/>
      <c r="D1475" s="14"/>
      <c r="E1475" s="15"/>
      <c r="F1475" s="16"/>
      <c r="G1475" s="17"/>
      <c r="H1475" s="17"/>
      <c r="I1475" s="18"/>
      <c r="J1475" s="16"/>
      <c r="K1475" s="19"/>
      <c r="L1475" s="20"/>
    </row>
    <row r="1476" ht="15.75" customHeight="1">
      <c r="A1476" s="9"/>
      <c r="B1476" s="26"/>
      <c r="C1476" s="24"/>
      <c r="D1476" s="14"/>
      <c r="E1476" s="15"/>
      <c r="F1476" s="16"/>
      <c r="G1476" s="17"/>
      <c r="H1476" s="17"/>
      <c r="I1476" s="18"/>
      <c r="J1476" s="16"/>
      <c r="K1476" s="19"/>
      <c r="L1476" s="20"/>
    </row>
    <row r="1477" ht="15.75" customHeight="1">
      <c r="A1477" s="9"/>
      <c r="B1477" s="26"/>
      <c r="C1477" s="24"/>
      <c r="D1477" s="14"/>
      <c r="E1477" s="15"/>
      <c r="F1477" s="16"/>
      <c r="G1477" s="17"/>
      <c r="H1477" s="17"/>
      <c r="I1477" s="18"/>
      <c r="J1477" s="16"/>
      <c r="K1477" s="19"/>
      <c r="L1477" s="20"/>
    </row>
    <row r="1478" ht="15.75" customHeight="1">
      <c r="A1478" s="9"/>
      <c r="B1478" s="26"/>
      <c r="C1478" s="24"/>
      <c r="D1478" s="14"/>
      <c r="E1478" s="15"/>
      <c r="F1478" s="16"/>
      <c r="G1478" s="17"/>
      <c r="H1478" s="17"/>
      <c r="I1478" s="18"/>
      <c r="J1478" s="16"/>
      <c r="K1478" s="19"/>
      <c r="L1478" s="20"/>
    </row>
    <row r="1479" ht="15.75" customHeight="1">
      <c r="A1479" s="9"/>
      <c r="B1479" s="26"/>
      <c r="C1479" s="24"/>
      <c r="D1479" s="14"/>
      <c r="E1479" s="15"/>
      <c r="F1479" s="16"/>
      <c r="G1479" s="17"/>
      <c r="H1479" s="17"/>
      <c r="I1479" s="18"/>
      <c r="J1479" s="16"/>
      <c r="K1479" s="19"/>
      <c r="L1479" s="20"/>
    </row>
    <row r="1480" ht="15.75" customHeight="1">
      <c r="A1480" s="9"/>
      <c r="B1480" s="26"/>
      <c r="C1480" s="24"/>
      <c r="D1480" s="14"/>
      <c r="E1480" s="15"/>
      <c r="F1480" s="16"/>
      <c r="G1480" s="17"/>
      <c r="H1480" s="17"/>
      <c r="I1480" s="18"/>
      <c r="J1480" s="16"/>
      <c r="K1480" s="19"/>
      <c r="L1480" s="20"/>
    </row>
    <row r="1481" ht="15.75" customHeight="1">
      <c r="A1481" s="9"/>
      <c r="B1481" s="26"/>
      <c r="C1481" s="24"/>
      <c r="D1481" s="14"/>
      <c r="E1481" s="15"/>
      <c r="F1481" s="16"/>
      <c r="G1481" s="17"/>
      <c r="H1481" s="17"/>
      <c r="I1481" s="18"/>
      <c r="J1481" s="16"/>
      <c r="K1481" s="19"/>
      <c r="L1481" s="20"/>
    </row>
    <row r="1482" ht="15.75" customHeight="1">
      <c r="A1482" s="9"/>
      <c r="B1482" s="26"/>
      <c r="C1482" s="24"/>
      <c r="D1482" s="14"/>
      <c r="E1482" s="15"/>
      <c r="F1482" s="16"/>
      <c r="G1482" s="17"/>
      <c r="H1482" s="17"/>
      <c r="I1482" s="18"/>
      <c r="J1482" s="16"/>
      <c r="K1482" s="19"/>
      <c r="L1482" s="20"/>
    </row>
    <row r="1483" ht="15.75" customHeight="1">
      <c r="A1483" s="9"/>
      <c r="B1483" s="26"/>
      <c r="C1483" s="24"/>
      <c r="D1483" s="14"/>
      <c r="E1483" s="15"/>
      <c r="F1483" s="16"/>
      <c r="G1483" s="17"/>
      <c r="H1483" s="17"/>
      <c r="I1483" s="18"/>
      <c r="J1483" s="16"/>
      <c r="K1483" s="19"/>
      <c r="L1483" s="20"/>
    </row>
    <row r="1484" ht="15.75" customHeight="1">
      <c r="A1484" s="9"/>
      <c r="B1484" s="26"/>
      <c r="C1484" s="24"/>
      <c r="D1484" s="14"/>
      <c r="E1484" s="15"/>
      <c r="F1484" s="16"/>
      <c r="G1484" s="17"/>
      <c r="H1484" s="17"/>
      <c r="I1484" s="18"/>
      <c r="J1484" s="16"/>
      <c r="K1484" s="19"/>
      <c r="L1484" s="20"/>
    </row>
    <row r="1485" ht="15.75" customHeight="1">
      <c r="A1485" s="9"/>
      <c r="B1485" s="26"/>
      <c r="C1485" s="24"/>
      <c r="D1485" s="14"/>
      <c r="E1485" s="15"/>
      <c r="F1485" s="16"/>
      <c r="G1485" s="17"/>
      <c r="H1485" s="17"/>
      <c r="I1485" s="18"/>
      <c r="J1485" s="16"/>
      <c r="K1485" s="19"/>
      <c r="L1485" s="20"/>
    </row>
    <row r="1486" ht="15.75" customHeight="1">
      <c r="A1486" s="9"/>
      <c r="B1486" s="26"/>
      <c r="C1486" s="24"/>
      <c r="D1486" s="14"/>
      <c r="E1486" s="15"/>
      <c r="F1486" s="16"/>
      <c r="G1486" s="17"/>
      <c r="H1486" s="17"/>
      <c r="I1486" s="18"/>
      <c r="J1486" s="16"/>
      <c r="K1486" s="19"/>
      <c r="L1486" s="20"/>
    </row>
    <row r="1487" ht="15.75" customHeight="1">
      <c r="A1487" s="9"/>
      <c r="B1487" s="26"/>
      <c r="C1487" s="24"/>
      <c r="D1487" s="14"/>
      <c r="E1487" s="15"/>
      <c r="F1487" s="16"/>
      <c r="G1487" s="17"/>
      <c r="H1487" s="17"/>
      <c r="I1487" s="18"/>
      <c r="J1487" s="16"/>
      <c r="K1487" s="19"/>
      <c r="L1487" s="20"/>
    </row>
    <row r="1488" ht="15.75" customHeight="1">
      <c r="A1488" s="9"/>
      <c r="B1488" s="26"/>
      <c r="C1488" s="24"/>
      <c r="D1488" s="14"/>
      <c r="E1488" s="15"/>
      <c r="F1488" s="16"/>
      <c r="G1488" s="17"/>
      <c r="H1488" s="17"/>
      <c r="I1488" s="18"/>
      <c r="J1488" s="16"/>
      <c r="K1488" s="19"/>
      <c r="L1488" s="20"/>
    </row>
    <row r="1489" ht="15.75" customHeight="1">
      <c r="A1489" s="9"/>
      <c r="B1489" s="26"/>
      <c r="C1489" s="24"/>
      <c r="D1489" s="14"/>
      <c r="E1489" s="15"/>
      <c r="F1489" s="16"/>
      <c r="G1489" s="17"/>
      <c r="H1489" s="17"/>
      <c r="I1489" s="18"/>
      <c r="J1489" s="16"/>
      <c r="K1489" s="19"/>
      <c r="L1489" s="20"/>
    </row>
    <row r="1490" ht="15.75" customHeight="1">
      <c r="A1490" s="9"/>
      <c r="B1490" s="26"/>
      <c r="C1490" s="24"/>
      <c r="D1490" s="14"/>
      <c r="E1490" s="15"/>
      <c r="F1490" s="16"/>
      <c r="G1490" s="17"/>
      <c r="H1490" s="17"/>
      <c r="I1490" s="18"/>
      <c r="J1490" s="16"/>
      <c r="K1490" s="19"/>
      <c r="L1490" s="20"/>
    </row>
    <row r="1491" ht="15.75" customHeight="1">
      <c r="A1491" s="9"/>
      <c r="B1491" s="26"/>
      <c r="C1491" s="24"/>
      <c r="D1491" s="14"/>
      <c r="E1491" s="15"/>
      <c r="F1491" s="16"/>
      <c r="G1491" s="17"/>
      <c r="H1491" s="17"/>
      <c r="I1491" s="18"/>
      <c r="J1491" s="16"/>
      <c r="K1491" s="19"/>
      <c r="L1491" s="20"/>
    </row>
    <row r="1492" ht="15.75" customHeight="1">
      <c r="A1492" s="9"/>
      <c r="B1492" s="26"/>
      <c r="C1492" s="24"/>
      <c r="D1492" s="14"/>
      <c r="E1492" s="15"/>
      <c r="F1492" s="16"/>
      <c r="G1492" s="17"/>
      <c r="H1492" s="17"/>
      <c r="I1492" s="18"/>
      <c r="J1492" s="16"/>
      <c r="K1492" s="19"/>
      <c r="L1492" s="20"/>
    </row>
    <row r="1493" ht="15.75" customHeight="1">
      <c r="A1493" s="9"/>
      <c r="B1493" s="26"/>
      <c r="C1493" s="24"/>
      <c r="D1493" s="14"/>
      <c r="E1493" s="15"/>
      <c r="F1493" s="16"/>
      <c r="G1493" s="17"/>
      <c r="H1493" s="17"/>
      <c r="I1493" s="18"/>
      <c r="J1493" s="16"/>
      <c r="K1493" s="19"/>
      <c r="L1493" s="20"/>
    </row>
    <row r="1494" ht="15.75" customHeight="1">
      <c r="A1494" s="9"/>
      <c r="B1494" s="26"/>
      <c r="C1494" s="24"/>
      <c r="D1494" s="14"/>
      <c r="E1494" s="15"/>
      <c r="F1494" s="16"/>
      <c r="G1494" s="17"/>
      <c r="H1494" s="17"/>
      <c r="I1494" s="18"/>
      <c r="J1494" s="16"/>
      <c r="K1494" s="19"/>
      <c r="L1494" s="20"/>
    </row>
    <row r="1495" ht="15.75" customHeight="1">
      <c r="A1495" s="9"/>
      <c r="B1495" s="26"/>
      <c r="C1495" s="24"/>
      <c r="D1495" s="14"/>
      <c r="E1495" s="15"/>
      <c r="F1495" s="16"/>
      <c r="G1495" s="17"/>
      <c r="H1495" s="17"/>
      <c r="I1495" s="18"/>
      <c r="J1495" s="16"/>
      <c r="K1495" s="19"/>
      <c r="L1495" s="20"/>
    </row>
    <row r="1496" ht="15.75" customHeight="1">
      <c r="A1496" s="9"/>
      <c r="B1496" s="26"/>
      <c r="C1496" s="24"/>
      <c r="D1496" s="14"/>
      <c r="E1496" s="15"/>
      <c r="F1496" s="16"/>
      <c r="G1496" s="17"/>
      <c r="H1496" s="17"/>
      <c r="I1496" s="18"/>
      <c r="J1496" s="16"/>
      <c r="K1496" s="19"/>
      <c r="L1496" s="20"/>
    </row>
    <row r="1497" ht="15.75" customHeight="1">
      <c r="A1497" s="9"/>
      <c r="B1497" s="26"/>
      <c r="C1497" s="24"/>
      <c r="D1497" s="14"/>
      <c r="E1497" s="15"/>
      <c r="F1497" s="16"/>
      <c r="G1497" s="17"/>
      <c r="H1497" s="17"/>
      <c r="I1497" s="18"/>
      <c r="J1497" s="16"/>
      <c r="K1497" s="19"/>
      <c r="L1497" s="20"/>
    </row>
    <row r="1498" ht="15.75" customHeight="1">
      <c r="A1498" s="9"/>
      <c r="B1498" s="26"/>
      <c r="C1498" s="24"/>
      <c r="D1498" s="14"/>
      <c r="E1498" s="15"/>
      <c r="F1498" s="16"/>
      <c r="G1498" s="17"/>
      <c r="H1498" s="17"/>
      <c r="I1498" s="18"/>
      <c r="J1498" s="16"/>
      <c r="K1498" s="19"/>
      <c r="L1498" s="20"/>
    </row>
    <row r="1499" ht="15.75" customHeight="1">
      <c r="A1499" s="9"/>
      <c r="B1499" s="26"/>
      <c r="C1499" s="24"/>
      <c r="D1499" s="14"/>
      <c r="E1499" s="15"/>
      <c r="F1499" s="16"/>
      <c r="G1499" s="17"/>
      <c r="H1499" s="17"/>
      <c r="I1499" s="18"/>
      <c r="J1499" s="16"/>
      <c r="K1499" s="19"/>
      <c r="L1499" s="20"/>
    </row>
    <row r="1500" ht="15.75" customHeight="1">
      <c r="A1500" s="9"/>
      <c r="B1500" s="26"/>
      <c r="C1500" s="24"/>
      <c r="D1500" s="14"/>
      <c r="E1500" s="15"/>
      <c r="F1500" s="16"/>
      <c r="G1500" s="17"/>
      <c r="H1500" s="17"/>
      <c r="I1500" s="18"/>
      <c r="J1500" s="16"/>
      <c r="K1500" s="19"/>
      <c r="L1500" s="20"/>
    </row>
    <row r="1501" ht="15.75" customHeight="1">
      <c r="A1501" s="9"/>
      <c r="B1501" s="26"/>
      <c r="C1501" s="24"/>
      <c r="D1501" s="14"/>
      <c r="E1501" s="15"/>
      <c r="F1501" s="16"/>
      <c r="G1501" s="17"/>
      <c r="H1501" s="17"/>
      <c r="I1501" s="18"/>
      <c r="J1501" s="16"/>
      <c r="K1501" s="19"/>
      <c r="L1501" s="20"/>
    </row>
    <row r="1502" ht="15.75" customHeight="1">
      <c r="A1502" s="9"/>
      <c r="B1502" s="26"/>
      <c r="C1502" s="24"/>
      <c r="D1502" s="14"/>
      <c r="E1502" s="15"/>
      <c r="F1502" s="16"/>
      <c r="G1502" s="17"/>
      <c r="H1502" s="17"/>
      <c r="I1502" s="18"/>
      <c r="J1502" s="16"/>
      <c r="K1502" s="19"/>
      <c r="L1502" s="20"/>
    </row>
    <row r="1503" ht="15.75" customHeight="1">
      <c r="A1503" s="9"/>
      <c r="B1503" s="26"/>
      <c r="C1503" s="24"/>
      <c r="D1503" s="14"/>
      <c r="E1503" s="15"/>
      <c r="F1503" s="16"/>
      <c r="G1503" s="17"/>
      <c r="H1503" s="17"/>
      <c r="I1503" s="18"/>
      <c r="J1503" s="16"/>
      <c r="K1503" s="19"/>
      <c r="L1503" s="20"/>
    </row>
    <row r="1504" ht="15.75" customHeight="1">
      <c r="A1504" s="9"/>
      <c r="B1504" s="26"/>
      <c r="C1504" s="24"/>
      <c r="D1504" s="14"/>
      <c r="E1504" s="15"/>
      <c r="F1504" s="16"/>
      <c r="G1504" s="17"/>
      <c r="H1504" s="17"/>
      <c r="I1504" s="18"/>
      <c r="J1504" s="16"/>
      <c r="K1504" s="19"/>
      <c r="L1504" s="20"/>
    </row>
    <row r="1505" ht="15.75" customHeight="1">
      <c r="A1505" s="9"/>
      <c r="B1505" s="26"/>
      <c r="C1505" s="24"/>
      <c r="D1505" s="14"/>
      <c r="E1505" s="15"/>
      <c r="F1505" s="16"/>
      <c r="G1505" s="17"/>
      <c r="H1505" s="17"/>
      <c r="I1505" s="18"/>
      <c r="J1505" s="16"/>
      <c r="K1505" s="19"/>
      <c r="L1505" s="20"/>
    </row>
    <row r="1506" ht="15.75" customHeight="1">
      <c r="A1506" s="9"/>
      <c r="B1506" s="26"/>
      <c r="C1506" s="24"/>
      <c r="D1506" s="14"/>
      <c r="E1506" s="15"/>
      <c r="F1506" s="16"/>
      <c r="G1506" s="17"/>
      <c r="H1506" s="17"/>
      <c r="I1506" s="18"/>
      <c r="J1506" s="16"/>
      <c r="K1506" s="19"/>
      <c r="L1506" s="20"/>
    </row>
    <row r="1507" ht="15.75" customHeight="1">
      <c r="A1507" s="9"/>
      <c r="B1507" s="26"/>
      <c r="C1507" s="24"/>
      <c r="D1507" s="14"/>
      <c r="E1507" s="15"/>
      <c r="F1507" s="16"/>
      <c r="G1507" s="17"/>
      <c r="H1507" s="17"/>
      <c r="I1507" s="18"/>
      <c r="J1507" s="16"/>
      <c r="K1507" s="19"/>
      <c r="L1507" s="20"/>
    </row>
    <row r="1508" ht="15.75" customHeight="1">
      <c r="A1508" s="9"/>
      <c r="B1508" s="26"/>
      <c r="C1508" s="24"/>
      <c r="D1508" s="14"/>
      <c r="E1508" s="15"/>
      <c r="F1508" s="16"/>
      <c r="G1508" s="17"/>
      <c r="H1508" s="17"/>
      <c r="I1508" s="18"/>
      <c r="J1508" s="16"/>
      <c r="K1508" s="19"/>
      <c r="L1508" s="20"/>
    </row>
    <row r="1509" ht="15.75" customHeight="1">
      <c r="A1509" s="9"/>
      <c r="B1509" s="26"/>
      <c r="C1509" s="24"/>
      <c r="D1509" s="14"/>
      <c r="E1509" s="15"/>
      <c r="F1509" s="16"/>
      <c r="G1509" s="17"/>
      <c r="H1509" s="17"/>
      <c r="I1509" s="18"/>
      <c r="J1509" s="16"/>
      <c r="K1509" s="19"/>
      <c r="L1509" s="20"/>
    </row>
    <row r="1510" ht="15.75" customHeight="1">
      <c r="A1510" s="9"/>
      <c r="B1510" s="26"/>
      <c r="C1510" s="24"/>
      <c r="D1510" s="14"/>
      <c r="E1510" s="15"/>
      <c r="F1510" s="16"/>
      <c r="G1510" s="17"/>
      <c r="H1510" s="17"/>
      <c r="I1510" s="18"/>
      <c r="J1510" s="16"/>
      <c r="K1510" s="19"/>
      <c r="L1510" s="20"/>
    </row>
    <row r="1511" ht="15.75" customHeight="1">
      <c r="A1511" s="9"/>
      <c r="B1511" s="26"/>
      <c r="C1511" s="24"/>
      <c r="D1511" s="14"/>
      <c r="E1511" s="15"/>
      <c r="F1511" s="16"/>
      <c r="G1511" s="17"/>
      <c r="H1511" s="17"/>
      <c r="I1511" s="18"/>
      <c r="J1511" s="16"/>
      <c r="K1511" s="19"/>
      <c r="L1511" s="20"/>
    </row>
    <row r="1512" ht="15.75" customHeight="1">
      <c r="A1512" s="9"/>
      <c r="B1512" s="26"/>
      <c r="C1512" s="24"/>
      <c r="D1512" s="14"/>
      <c r="E1512" s="15"/>
      <c r="F1512" s="16"/>
      <c r="G1512" s="17"/>
      <c r="H1512" s="17"/>
      <c r="I1512" s="18"/>
      <c r="J1512" s="16"/>
      <c r="K1512" s="19"/>
      <c r="L1512" s="20"/>
    </row>
    <row r="1513" ht="15.75" customHeight="1">
      <c r="A1513" s="9"/>
      <c r="B1513" s="26"/>
      <c r="C1513" s="24"/>
      <c r="D1513" s="14"/>
      <c r="E1513" s="15"/>
      <c r="F1513" s="16"/>
      <c r="G1513" s="17"/>
      <c r="H1513" s="17"/>
      <c r="I1513" s="18"/>
      <c r="J1513" s="16"/>
      <c r="K1513" s="19"/>
      <c r="L1513" s="20"/>
    </row>
    <row r="1514" ht="15.75" customHeight="1">
      <c r="A1514" s="9"/>
      <c r="B1514" s="26"/>
      <c r="C1514" s="24"/>
      <c r="D1514" s="14"/>
      <c r="E1514" s="15"/>
      <c r="F1514" s="16"/>
      <c r="G1514" s="17"/>
      <c r="H1514" s="17"/>
      <c r="I1514" s="18"/>
      <c r="J1514" s="16"/>
      <c r="K1514" s="19"/>
      <c r="L1514" s="20"/>
    </row>
    <row r="1515" ht="15.75" customHeight="1">
      <c r="A1515" s="9"/>
      <c r="B1515" s="26"/>
      <c r="C1515" s="24"/>
      <c r="D1515" s="14"/>
      <c r="E1515" s="15"/>
      <c r="F1515" s="16"/>
      <c r="G1515" s="17"/>
      <c r="H1515" s="17"/>
      <c r="I1515" s="18"/>
      <c r="J1515" s="16"/>
      <c r="K1515" s="19"/>
      <c r="L1515" s="20"/>
    </row>
    <row r="1516" ht="15.75" customHeight="1">
      <c r="A1516" s="9"/>
      <c r="B1516" s="26"/>
      <c r="C1516" s="24"/>
      <c r="D1516" s="14"/>
      <c r="E1516" s="15"/>
      <c r="F1516" s="16"/>
      <c r="G1516" s="17"/>
      <c r="H1516" s="17"/>
      <c r="I1516" s="18"/>
      <c r="J1516" s="16"/>
      <c r="K1516" s="19"/>
      <c r="L1516" s="20"/>
    </row>
    <row r="1517" ht="15.75" customHeight="1">
      <c r="A1517" s="9"/>
      <c r="B1517" s="26"/>
      <c r="C1517" s="24"/>
      <c r="D1517" s="14"/>
      <c r="E1517" s="15"/>
      <c r="F1517" s="16"/>
      <c r="G1517" s="17"/>
      <c r="H1517" s="17"/>
      <c r="I1517" s="18"/>
      <c r="J1517" s="16"/>
      <c r="K1517" s="19"/>
      <c r="L1517" s="20"/>
    </row>
    <row r="1518" ht="15.75" customHeight="1">
      <c r="A1518" s="9"/>
      <c r="B1518" s="26"/>
      <c r="C1518" s="24"/>
      <c r="D1518" s="14"/>
      <c r="E1518" s="15"/>
      <c r="F1518" s="16"/>
      <c r="G1518" s="17"/>
      <c r="H1518" s="17"/>
      <c r="I1518" s="18"/>
      <c r="J1518" s="16"/>
      <c r="K1518" s="19"/>
      <c r="L1518" s="20"/>
    </row>
    <row r="1519" ht="15.75" customHeight="1">
      <c r="A1519" s="9"/>
      <c r="B1519" s="26"/>
      <c r="C1519" s="24"/>
      <c r="D1519" s="14"/>
      <c r="E1519" s="15"/>
      <c r="F1519" s="16"/>
      <c r="G1519" s="17"/>
      <c r="H1519" s="17"/>
      <c r="I1519" s="18"/>
      <c r="J1519" s="16"/>
      <c r="K1519" s="19"/>
      <c r="L1519" s="20"/>
    </row>
    <row r="1520" ht="15.75" customHeight="1">
      <c r="A1520" s="9"/>
      <c r="B1520" s="26"/>
      <c r="C1520" s="24"/>
      <c r="D1520" s="14"/>
      <c r="E1520" s="15"/>
      <c r="F1520" s="16"/>
      <c r="G1520" s="17"/>
      <c r="H1520" s="17"/>
      <c r="I1520" s="18"/>
      <c r="J1520" s="16"/>
      <c r="K1520" s="19"/>
      <c r="L1520" s="20"/>
    </row>
    <row r="1521" ht="15.75" customHeight="1">
      <c r="A1521" s="9"/>
      <c r="B1521" s="26"/>
      <c r="C1521" s="24"/>
      <c r="D1521" s="14"/>
      <c r="E1521" s="15"/>
      <c r="F1521" s="16"/>
      <c r="G1521" s="17"/>
      <c r="H1521" s="17"/>
      <c r="I1521" s="18"/>
      <c r="J1521" s="16"/>
      <c r="K1521" s="19"/>
      <c r="L1521" s="20"/>
    </row>
    <row r="1522" ht="15.75" customHeight="1">
      <c r="A1522" s="9"/>
      <c r="B1522" s="26"/>
      <c r="C1522" s="24"/>
      <c r="D1522" s="14"/>
      <c r="E1522" s="15"/>
      <c r="F1522" s="16"/>
      <c r="G1522" s="17"/>
      <c r="H1522" s="17"/>
      <c r="I1522" s="18"/>
      <c r="J1522" s="16"/>
      <c r="K1522" s="19"/>
      <c r="L1522" s="20"/>
    </row>
    <row r="1523" ht="15.75" customHeight="1">
      <c r="A1523" s="9"/>
      <c r="B1523" s="26"/>
      <c r="C1523" s="24"/>
      <c r="D1523" s="14"/>
      <c r="E1523" s="15"/>
      <c r="F1523" s="16"/>
      <c r="G1523" s="17"/>
      <c r="H1523" s="17"/>
      <c r="I1523" s="18"/>
      <c r="J1523" s="16"/>
      <c r="K1523" s="19"/>
      <c r="L1523" s="20"/>
    </row>
    <row r="1524" ht="15.75" customHeight="1">
      <c r="A1524" s="9"/>
      <c r="B1524" s="26"/>
      <c r="C1524" s="24"/>
      <c r="D1524" s="14"/>
      <c r="E1524" s="15"/>
      <c r="F1524" s="16"/>
      <c r="G1524" s="17"/>
      <c r="H1524" s="17"/>
      <c r="I1524" s="18"/>
      <c r="J1524" s="16"/>
      <c r="K1524" s="19"/>
      <c r="L1524" s="20"/>
    </row>
    <row r="1525" ht="15.75" customHeight="1">
      <c r="A1525" s="9"/>
      <c r="B1525" s="26"/>
      <c r="C1525" s="24"/>
      <c r="D1525" s="14"/>
      <c r="E1525" s="15"/>
      <c r="F1525" s="16"/>
      <c r="G1525" s="17"/>
      <c r="H1525" s="17"/>
      <c r="I1525" s="18"/>
      <c r="J1525" s="16"/>
      <c r="K1525" s="19"/>
      <c r="L1525" s="20"/>
    </row>
    <row r="1526" ht="15.75" customHeight="1">
      <c r="A1526" s="9"/>
      <c r="B1526" s="26"/>
      <c r="C1526" s="24"/>
      <c r="D1526" s="14"/>
      <c r="E1526" s="15"/>
      <c r="F1526" s="16"/>
      <c r="G1526" s="17"/>
      <c r="H1526" s="17"/>
      <c r="I1526" s="18"/>
      <c r="J1526" s="16"/>
      <c r="K1526" s="19"/>
      <c r="L1526" s="20"/>
    </row>
    <row r="1527" ht="15.75" customHeight="1">
      <c r="A1527" s="9"/>
      <c r="B1527" s="26"/>
      <c r="C1527" s="24"/>
      <c r="D1527" s="14"/>
      <c r="E1527" s="15"/>
      <c r="F1527" s="16"/>
      <c r="G1527" s="17"/>
      <c r="H1527" s="17"/>
      <c r="I1527" s="18"/>
      <c r="J1527" s="16"/>
      <c r="K1527" s="19"/>
      <c r="L1527" s="20"/>
    </row>
    <row r="1528" ht="15.75" customHeight="1">
      <c r="A1528" s="9"/>
      <c r="B1528" s="26"/>
      <c r="C1528" s="24"/>
      <c r="D1528" s="14"/>
      <c r="E1528" s="15"/>
      <c r="F1528" s="16"/>
      <c r="G1528" s="17"/>
      <c r="H1528" s="17"/>
      <c r="I1528" s="18"/>
      <c r="J1528" s="16"/>
      <c r="K1528" s="19"/>
      <c r="L1528" s="20"/>
    </row>
    <row r="1529" ht="15.75" customHeight="1">
      <c r="A1529" s="9"/>
      <c r="B1529" s="26"/>
      <c r="C1529" s="24"/>
      <c r="D1529" s="14"/>
      <c r="E1529" s="15"/>
      <c r="F1529" s="16"/>
      <c r="G1529" s="17"/>
      <c r="H1529" s="17"/>
      <c r="I1529" s="18"/>
      <c r="J1529" s="16"/>
      <c r="K1529" s="19"/>
      <c r="L1529" s="20"/>
    </row>
    <row r="1530" ht="15.75" customHeight="1">
      <c r="A1530" s="9"/>
      <c r="B1530" s="26"/>
      <c r="C1530" s="24"/>
      <c r="D1530" s="14"/>
      <c r="E1530" s="15"/>
      <c r="F1530" s="16"/>
      <c r="G1530" s="17"/>
      <c r="H1530" s="17"/>
      <c r="I1530" s="18"/>
      <c r="J1530" s="16"/>
      <c r="K1530" s="19"/>
      <c r="L1530" s="20"/>
    </row>
    <row r="1531" ht="15.75" customHeight="1">
      <c r="A1531" s="9"/>
      <c r="B1531" s="26"/>
      <c r="C1531" s="24"/>
      <c r="D1531" s="14"/>
      <c r="E1531" s="15"/>
      <c r="F1531" s="16"/>
      <c r="G1531" s="17"/>
      <c r="H1531" s="17"/>
      <c r="I1531" s="18"/>
      <c r="J1531" s="16"/>
      <c r="K1531" s="19"/>
      <c r="L1531" s="20"/>
    </row>
    <row r="1532" ht="15.75" customHeight="1">
      <c r="A1532" s="9"/>
      <c r="B1532" s="26"/>
      <c r="C1532" s="24"/>
      <c r="D1532" s="14"/>
      <c r="E1532" s="15"/>
      <c r="F1532" s="16"/>
      <c r="G1532" s="17"/>
      <c r="H1532" s="17"/>
      <c r="I1532" s="18"/>
      <c r="J1532" s="16"/>
      <c r="K1532" s="19"/>
      <c r="L1532" s="20"/>
    </row>
    <row r="1533" ht="15.75" customHeight="1">
      <c r="A1533" s="9"/>
      <c r="B1533" s="26"/>
      <c r="C1533" s="24"/>
      <c r="D1533" s="14"/>
      <c r="E1533" s="15"/>
      <c r="F1533" s="16"/>
      <c r="G1533" s="17"/>
      <c r="H1533" s="17"/>
      <c r="I1533" s="18"/>
      <c r="J1533" s="16"/>
      <c r="K1533" s="19"/>
      <c r="L1533" s="20"/>
    </row>
    <row r="1534" ht="15.75" customHeight="1">
      <c r="A1534" s="9"/>
      <c r="B1534" s="26"/>
      <c r="C1534" s="24"/>
      <c r="D1534" s="14"/>
      <c r="E1534" s="15"/>
      <c r="F1534" s="16"/>
      <c r="G1534" s="17"/>
      <c r="H1534" s="17"/>
      <c r="I1534" s="18"/>
      <c r="J1534" s="16"/>
      <c r="K1534" s="19"/>
      <c r="L1534" s="20"/>
    </row>
    <row r="1535" ht="15.75" customHeight="1">
      <c r="A1535" s="9"/>
      <c r="B1535" s="26"/>
      <c r="C1535" s="24"/>
      <c r="D1535" s="14"/>
      <c r="E1535" s="15"/>
      <c r="F1535" s="16"/>
      <c r="G1535" s="17"/>
      <c r="H1535" s="17"/>
      <c r="I1535" s="18"/>
      <c r="J1535" s="16"/>
      <c r="K1535" s="19"/>
      <c r="L1535" s="20"/>
    </row>
    <row r="1536" ht="15.75" customHeight="1">
      <c r="A1536" s="9"/>
      <c r="B1536" s="26"/>
      <c r="C1536" s="24"/>
      <c r="D1536" s="14"/>
      <c r="E1536" s="15"/>
      <c r="F1536" s="16"/>
      <c r="G1536" s="17"/>
      <c r="H1536" s="17"/>
      <c r="I1536" s="18"/>
      <c r="J1536" s="16"/>
      <c r="K1536" s="19"/>
      <c r="L1536" s="20"/>
    </row>
    <row r="1537" ht="15.75" customHeight="1">
      <c r="A1537" s="9"/>
      <c r="B1537" s="26"/>
      <c r="C1537" s="24"/>
      <c r="D1537" s="14"/>
      <c r="E1537" s="15"/>
      <c r="F1537" s="16"/>
      <c r="G1537" s="17"/>
      <c r="H1537" s="17"/>
      <c r="I1537" s="18"/>
      <c r="J1537" s="16"/>
      <c r="K1537" s="19"/>
      <c r="L1537" s="20"/>
    </row>
    <row r="1538" ht="15.75" customHeight="1">
      <c r="A1538" s="9"/>
      <c r="B1538" s="26"/>
      <c r="C1538" s="24"/>
      <c r="D1538" s="14"/>
      <c r="E1538" s="15"/>
      <c r="F1538" s="16"/>
      <c r="G1538" s="17"/>
      <c r="H1538" s="17"/>
      <c r="I1538" s="18"/>
      <c r="J1538" s="16"/>
      <c r="K1538" s="19"/>
      <c r="L1538" s="20"/>
    </row>
    <row r="1539" ht="15.75" customHeight="1">
      <c r="A1539" s="9"/>
      <c r="B1539" s="26"/>
      <c r="C1539" s="24"/>
      <c r="D1539" s="14"/>
      <c r="E1539" s="15"/>
      <c r="F1539" s="16"/>
      <c r="G1539" s="17"/>
      <c r="H1539" s="17"/>
      <c r="I1539" s="18"/>
      <c r="J1539" s="16"/>
      <c r="K1539" s="19"/>
      <c r="L1539" s="20"/>
    </row>
    <row r="1540" ht="15.75" customHeight="1">
      <c r="A1540" s="9"/>
      <c r="B1540" s="26"/>
      <c r="C1540" s="24"/>
      <c r="D1540" s="14"/>
      <c r="E1540" s="15"/>
      <c r="F1540" s="16"/>
      <c r="G1540" s="17"/>
      <c r="H1540" s="17"/>
      <c r="I1540" s="18"/>
      <c r="J1540" s="16"/>
      <c r="K1540" s="19"/>
      <c r="L1540" s="20"/>
    </row>
    <row r="1541" ht="15.75" customHeight="1">
      <c r="A1541" s="9"/>
      <c r="B1541" s="26"/>
      <c r="C1541" s="24"/>
      <c r="D1541" s="14"/>
      <c r="E1541" s="15"/>
      <c r="F1541" s="16"/>
      <c r="G1541" s="17"/>
      <c r="H1541" s="17"/>
      <c r="I1541" s="18"/>
      <c r="J1541" s="16"/>
      <c r="K1541" s="19"/>
      <c r="L1541" s="20"/>
    </row>
    <row r="1542" ht="15.75" customHeight="1">
      <c r="A1542" s="9"/>
      <c r="B1542" s="26"/>
      <c r="C1542" s="24"/>
      <c r="D1542" s="14"/>
      <c r="E1542" s="15"/>
      <c r="F1542" s="16"/>
      <c r="G1542" s="17"/>
      <c r="H1542" s="17"/>
      <c r="I1542" s="18"/>
      <c r="J1542" s="16"/>
      <c r="K1542" s="19"/>
      <c r="L1542" s="20"/>
    </row>
    <row r="1543" ht="15.75" customHeight="1">
      <c r="A1543" s="9"/>
      <c r="B1543" s="26"/>
      <c r="C1543" s="24"/>
      <c r="D1543" s="14"/>
      <c r="E1543" s="15"/>
      <c r="F1543" s="16"/>
      <c r="G1543" s="17"/>
      <c r="H1543" s="17"/>
      <c r="I1543" s="18"/>
      <c r="J1543" s="16"/>
      <c r="K1543" s="19"/>
      <c r="L1543" s="20"/>
    </row>
    <row r="1544" ht="15.75" customHeight="1">
      <c r="A1544" s="9"/>
      <c r="B1544" s="26"/>
      <c r="C1544" s="24"/>
      <c r="D1544" s="14"/>
      <c r="E1544" s="15"/>
      <c r="F1544" s="16"/>
      <c r="G1544" s="17"/>
      <c r="H1544" s="17"/>
      <c r="I1544" s="18"/>
      <c r="J1544" s="16"/>
      <c r="K1544" s="19"/>
      <c r="L1544" s="20"/>
    </row>
    <row r="1545" ht="15.75" customHeight="1">
      <c r="A1545" s="9"/>
      <c r="B1545" s="26"/>
      <c r="C1545" s="24"/>
      <c r="D1545" s="14"/>
      <c r="E1545" s="15"/>
      <c r="F1545" s="16"/>
      <c r="G1545" s="17"/>
      <c r="H1545" s="17"/>
      <c r="I1545" s="18"/>
      <c r="J1545" s="16"/>
      <c r="K1545" s="19"/>
      <c r="L1545" s="20"/>
    </row>
    <row r="1546" ht="15.75" customHeight="1">
      <c r="A1546" s="9"/>
      <c r="B1546" s="26"/>
      <c r="C1546" s="24"/>
      <c r="D1546" s="14"/>
      <c r="E1546" s="15"/>
      <c r="F1546" s="16"/>
      <c r="G1546" s="17"/>
      <c r="H1546" s="17"/>
      <c r="I1546" s="18"/>
      <c r="J1546" s="16"/>
      <c r="K1546" s="19"/>
      <c r="L1546" s="20"/>
    </row>
    <row r="1547" ht="15.75" customHeight="1">
      <c r="A1547" s="9"/>
      <c r="B1547" s="26"/>
      <c r="C1547" s="24"/>
      <c r="D1547" s="14"/>
      <c r="E1547" s="15"/>
      <c r="F1547" s="16"/>
      <c r="G1547" s="17"/>
      <c r="H1547" s="17"/>
      <c r="I1547" s="18"/>
      <c r="J1547" s="16"/>
      <c r="K1547" s="19"/>
      <c r="L1547" s="20"/>
    </row>
    <row r="1548" ht="15.75" customHeight="1">
      <c r="A1548" s="9"/>
      <c r="B1548" s="26"/>
      <c r="C1548" s="24"/>
      <c r="D1548" s="14"/>
      <c r="E1548" s="15"/>
      <c r="F1548" s="16"/>
      <c r="G1548" s="17"/>
      <c r="H1548" s="17"/>
      <c r="I1548" s="18"/>
      <c r="J1548" s="16"/>
      <c r="K1548" s="19"/>
      <c r="L1548" s="20"/>
    </row>
    <row r="1549" ht="15.75" customHeight="1">
      <c r="A1549" s="9"/>
      <c r="B1549" s="26"/>
      <c r="C1549" s="24"/>
      <c r="D1549" s="14"/>
      <c r="E1549" s="15"/>
      <c r="F1549" s="16"/>
      <c r="G1549" s="17"/>
      <c r="H1549" s="17"/>
      <c r="I1549" s="18"/>
      <c r="J1549" s="16"/>
      <c r="K1549" s="19"/>
      <c r="L1549" s="20"/>
    </row>
    <row r="1550" ht="15.75" customHeight="1">
      <c r="A1550" s="9"/>
      <c r="B1550" s="26"/>
      <c r="C1550" s="24"/>
      <c r="D1550" s="14"/>
      <c r="E1550" s="15"/>
      <c r="F1550" s="16"/>
      <c r="G1550" s="17"/>
      <c r="H1550" s="17"/>
      <c r="I1550" s="18"/>
      <c r="J1550" s="16"/>
      <c r="K1550" s="19"/>
      <c r="L1550" s="20"/>
    </row>
    <row r="1551" ht="15.75" customHeight="1">
      <c r="A1551" s="9"/>
      <c r="B1551" s="26"/>
      <c r="C1551" s="24"/>
      <c r="D1551" s="14"/>
      <c r="E1551" s="15"/>
      <c r="F1551" s="16"/>
      <c r="G1551" s="17"/>
      <c r="H1551" s="17"/>
      <c r="I1551" s="18"/>
      <c r="J1551" s="16"/>
      <c r="K1551" s="19"/>
      <c r="L1551" s="20"/>
    </row>
    <row r="1552" ht="15.75" customHeight="1">
      <c r="A1552" s="9"/>
      <c r="B1552" s="26"/>
      <c r="C1552" s="24"/>
      <c r="D1552" s="14"/>
      <c r="E1552" s="15"/>
      <c r="F1552" s="16"/>
      <c r="G1552" s="17"/>
      <c r="H1552" s="17"/>
      <c r="I1552" s="18"/>
      <c r="J1552" s="16"/>
      <c r="K1552" s="19"/>
      <c r="L1552" s="20"/>
    </row>
    <row r="1553" ht="15.75" customHeight="1">
      <c r="A1553" s="9"/>
      <c r="B1553" s="26"/>
      <c r="C1553" s="24"/>
      <c r="D1553" s="14"/>
      <c r="E1553" s="15"/>
      <c r="F1553" s="16"/>
      <c r="G1553" s="17"/>
      <c r="H1553" s="17"/>
      <c r="I1553" s="18"/>
      <c r="J1553" s="16"/>
      <c r="K1553" s="19"/>
      <c r="L1553" s="20"/>
    </row>
    <row r="1554" ht="15.75" customHeight="1">
      <c r="A1554" s="9"/>
      <c r="B1554" s="26"/>
      <c r="C1554" s="24"/>
      <c r="D1554" s="14"/>
      <c r="E1554" s="15"/>
      <c r="F1554" s="16"/>
      <c r="G1554" s="17"/>
      <c r="H1554" s="17"/>
      <c r="I1554" s="18"/>
      <c r="J1554" s="16"/>
      <c r="K1554" s="19"/>
      <c r="L1554" s="20"/>
    </row>
    <row r="1555" ht="15.75" customHeight="1">
      <c r="A1555" s="9"/>
      <c r="B1555" s="26"/>
      <c r="C1555" s="24"/>
      <c r="D1555" s="14"/>
      <c r="E1555" s="15"/>
      <c r="F1555" s="16"/>
      <c r="G1555" s="17"/>
      <c r="H1555" s="17"/>
      <c r="I1555" s="18"/>
      <c r="J1555" s="16"/>
      <c r="K1555" s="19"/>
      <c r="L1555" s="20"/>
    </row>
    <row r="1556" ht="15.75" customHeight="1">
      <c r="A1556" s="9"/>
      <c r="B1556" s="26"/>
      <c r="C1556" s="24"/>
      <c r="D1556" s="14"/>
      <c r="E1556" s="15"/>
      <c r="F1556" s="16"/>
      <c r="G1556" s="17"/>
      <c r="H1556" s="17"/>
      <c r="I1556" s="18"/>
      <c r="J1556" s="16"/>
      <c r="K1556" s="19"/>
      <c r="L1556" s="20"/>
    </row>
    <row r="1557" ht="15.75" customHeight="1">
      <c r="A1557" s="9"/>
      <c r="B1557" s="26"/>
      <c r="C1557" s="24"/>
      <c r="D1557" s="14"/>
      <c r="E1557" s="15"/>
      <c r="F1557" s="16"/>
      <c r="G1557" s="17"/>
      <c r="H1557" s="17"/>
      <c r="I1557" s="18"/>
      <c r="J1557" s="16"/>
      <c r="K1557" s="19"/>
      <c r="L1557" s="20"/>
    </row>
    <row r="1558" ht="15.75" customHeight="1">
      <c r="A1558" s="9"/>
      <c r="B1558" s="26"/>
      <c r="C1558" s="24"/>
      <c r="D1558" s="14"/>
      <c r="E1558" s="15"/>
      <c r="F1558" s="16"/>
      <c r="G1558" s="17"/>
      <c r="H1558" s="17"/>
      <c r="I1558" s="18"/>
      <c r="J1558" s="16"/>
      <c r="K1558" s="19"/>
      <c r="L1558" s="20"/>
    </row>
    <row r="1559" ht="15.75" customHeight="1">
      <c r="A1559" s="9"/>
      <c r="B1559" s="26"/>
      <c r="C1559" s="24"/>
      <c r="D1559" s="14"/>
      <c r="E1559" s="15"/>
      <c r="F1559" s="16"/>
      <c r="G1559" s="17"/>
      <c r="H1559" s="17"/>
      <c r="I1559" s="18"/>
      <c r="J1559" s="16"/>
      <c r="K1559" s="19"/>
      <c r="L1559" s="20"/>
    </row>
    <row r="1560" ht="15.75" customHeight="1">
      <c r="A1560" s="9"/>
      <c r="B1560" s="26"/>
      <c r="C1560" s="24"/>
      <c r="D1560" s="14"/>
      <c r="E1560" s="15"/>
      <c r="F1560" s="16"/>
      <c r="G1560" s="17"/>
      <c r="H1560" s="17"/>
      <c r="I1560" s="18"/>
      <c r="J1560" s="16"/>
      <c r="K1560" s="19"/>
      <c r="L1560" s="20"/>
    </row>
    <row r="1561" ht="15.75" customHeight="1">
      <c r="A1561" s="9"/>
      <c r="B1561" s="26"/>
      <c r="C1561" s="24"/>
      <c r="D1561" s="14"/>
      <c r="E1561" s="15"/>
      <c r="F1561" s="16"/>
      <c r="G1561" s="17"/>
      <c r="H1561" s="17"/>
      <c r="I1561" s="18"/>
      <c r="J1561" s="16"/>
      <c r="K1561" s="19"/>
      <c r="L1561" s="20"/>
    </row>
    <row r="1562" ht="15.75" customHeight="1">
      <c r="A1562" s="9"/>
      <c r="B1562" s="26"/>
      <c r="C1562" s="24"/>
      <c r="D1562" s="14"/>
      <c r="E1562" s="15"/>
      <c r="F1562" s="16"/>
      <c r="G1562" s="17"/>
      <c r="H1562" s="17"/>
      <c r="I1562" s="18"/>
      <c r="J1562" s="16"/>
      <c r="K1562" s="19"/>
      <c r="L1562" s="20"/>
    </row>
    <row r="1563" ht="15.75" customHeight="1">
      <c r="A1563" s="9"/>
      <c r="B1563" s="26"/>
      <c r="C1563" s="24"/>
      <c r="D1563" s="14"/>
      <c r="E1563" s="15"/>
      <c r="F1563" s="16"/>
      <c r="G1563" s="17"/>
      <c r="H1563" s="17"/>
      <c r="I1563" s="18"/>
      <c r="J1563" s="16"/>
      <c r="K1563" s="19"/>
      <c r="L1563" s="20"/>
    </row>
    <row r="1564" ht="15.75" customHeight="1">
      <c r="A1564" s="9"/>
      <c r="B1564" s="26"/>
      <c r="C1564" s="24"/>
      <c r="D1564" s="14"/>
      <c r="E1564" s="15"/>
      <c r="F1564" s="16"/>
      <c r="G1564" s="17"/>
      <c r="H1564" s="17"/>
      <c r="I1564" s="18"/>
      <c r="J1564" s="16"/>
      <c r="K1564" s="19"/>
      <c r="L1564" s="20"/>
    </row>
    <row r="1565" ht="15.75" customHeight="1">
      <c r="A1565" s="9"/>
      <c r="B1565" s="26"/>
      <c r="C1565" s="24"/>
      <c r="D1565" s="14"/>
      <c r="E1565" s="15"/>
      <c r="F1565" s="16"/>
      <c r="G1565" s="17"/>
      <c r="H1565" s="17"/>
      <c r="I1565" s="18"/>
      <c r="J1565" s="16"/>
      <c r="K1565" s="19"/>
      <c r="L1565" s="20"/>
    </row>
    <row r="1566" ht="15.75" customHeight="1">
      <c r="A1566" s="9"/>
      <c r="B1566" s="26"/>
      <c r="C1566" s="24"/>
      <c r="D1566" s="14"/>
      <c r="E1566" s="15"/>
      <c r="F1566" s="16"/>
      <c r="G1566" s="17"/>
      <c r="H1566" s="17"/>
      <c r="I1566" s="18"/>
      <c r="J1566" s="16"/>
      <c r="K1566" s="19"/>
      <c r="L1566" s="20"/>
    </row>
    <row r="1567" ht="15.75" customHeight="1">
      <c r="A1567" s="9"/>
      <c r="B1567" s="26"/>
      <c r="C1567" s="24"/>
      <c r="D1567" s="14"/>
      <c r="E1567" s="15"/>
      <c r="F1567" s="16"/>
      <c r="G1567" s="17"/>
      <c r="H1567" s="17"/>
      <c r="I1567" s="18"/>
      <c r="J1567" s="16"/>
      <c r="K1567" s="19"/>
      <c r="L1567" s="20"/>
    </row>
    <row r="1568" ht="15.75" customHeight="1">
      <c r="A1568" s="9"/>
      <c r="B1568" s="26"/>
      <c r="C1568" s="24"/>
      <c r="D1568" s="14"/>
      <c r="E1568" s="15"/>
      <c r="F1568" s="16"/>
      <c r="G1568" s="17"/>
      <c r="H1568" s="17"/>
      <c r="I1568" s="18"/>
      <c r="J1568" s="16"/>
      <c r="K1568" s="19"/>
      <c r="L1568" s="20"/>
    </row>
    <row r="1569" ht="15.75" customHeight="1">
      <c r="A1569" s="9"/>
      <c r="B1569" s="26"/>
      <c r="C1569" s="24"/>
      <c r="D1569" s="14"/>
      <c r="E1569" s="15"/>
      <c r="F1569" s="16"/>
      <c r="G1569" s="17"/>
      <c r="H1569" s="17"/>
      <c r="I1569" s="18"/>
      <c r="J1569" s="16"/>
      <c r="K1569" s="19"/>
      <c r="L1569" s="20"/>
    </row>
    <row r="1570" ht="15.75" customHeight="1">
      <c r="A1570" s="9"/>
      <c r="B1570" s="26"/>
      <c r="C1570" s="24"/>
      <c r="D1570" s="14"/>
      <c r="E1570" s="15"/>
      <c r="F1570" s="16"/>
      <c r="G1570" s="17"/>
      <c r="H1570" s="17"/>
      <c r="I1570" s="18"/>
      <c r="J1570" s="16"/>
      <c r="K1570" s="19"/>
      <c r="L1570" s="20"/>
    </row>
    <row r="1571" ht="15.75" customHeight="1">
      <c r="A1571" s="9"/>
      <c r="B1571" s="26"/>
      <c r="C1571" s="24"/>
      <c r="D1571" s="14"/>
      <c r="E1571" s="15"/>
      <c r="F1571" s="16"/>
      <c r="G1571" s="17"/>
      <c r="H1571" s="17"/>
      <c r="I1571" s="18"/>
      <c r="J1571" s="16"/>
      <c r="K1571" s="19"/>
      <c r="L1571" s="20"/>
    </row>
    <row r="1572" ht="15.75" customHeight="1">
      <c r="A1572" s="9"/>
      <c r="B1572" s="26"/>
      <c r="C1572" s="24"/>
      <c r="D1572" s="14"/>
      <c r="E1572" s="15"/>
      <c r="F1572" s="16"/>
      <c r="G1572" s="17"/>
      <c r="H1572" s="17"/>
      <c r="I1572" s="18"/>
      <c r="J1572" s="16"/>
      <c r="K1572" s="19"/>
      <c r="L1572" s="20"/>
    </row>
    <row r="1573" ht="15.75" customHeight="1">
      <c r="A1573" s="9"/>
      <c r="B1573" s="26"/>
      <c r="C1573" s="24"/>
      <c r="D1573" s="14"/>
      <c r="E1573" s="15"/>
      <c r="F1573" s="16"/>
      <c r="G1573" s="17"/>
      <c r="H1573" s="17"/>
      <c r="I1573" s="18"/>
      <c r="J1573" s="16"/>
      <c r="K1573" s="19"/>
      <c r="L1573" s="20"/>
    </row>
    <row r="1574" ht="15.75" customHeight="1">
      <c r="A1574" s="9"/>
      <c r="B1574" s="26"/>
      <c r="C1574" s="24"/>
      <c r="D1574" s="14"/>
      <c r="E1574" s="15"/>
      <c r="F1574" s="16"/>
      <c r="G1574" s="17"/>
      <c r="H1574" s="17"/>
      <c r="I1574" s="18"/>
      <c r="J1574" s="16"/>
      <c r="K1574" s="19"/>
      <c r="L1574" s="20"/>
    </row>
    <row r="1575" ht="15.75" customHeight="1">
      <c r="A1575" s="9"/>
      <c r="B1575" s="26"/>
      <c r="C1575" s="24"/>
      <c r="D1575" s="14"/>
      <c r="E1575" s="15"/>
      <c r="F1575" s="16"/>
      <c r="G1575" s="17"/>
      <c r="H1575" s="17"/>
      <c r="I1575" s="18"/>
      <c r="J1575" s="16"/>
      <c r="K1575" s="19"/>
      <c r="L1575" s="20"/>
    </row>
    <row r="1576" ht="15.75" customHeight="1">
      <c r="A1576" s="9"/>
      <c r="B1576" s="26"/>
      <c r="C1576" s="24"/>
      <c r="D1576" s="14"/>
      <c r="E1576" s="15"/>
      <c r="F1576" s="16"/>
      <c r="G1576" s="17"/>
      <c r="H1576" s="17"/>
      <c r="I1576" s="18"/>
      <c r="J1576" s="16"/>
      <c r="K1576" s="19"/>
      <c r="L1576" s="20"/>
    </row>
    <row r="1577" ht="15.75" customHeight="1">
      <c r="A1577" s="9"/>
      <c r="B1577" s="26"/>
      <c r="C1577" s="24"/>
      <c r="D1577" s="14"/>
      <c r="E1577" s="15"/>
      <c r="F1577" s="16"/>
      <c r="G1577" s="17"/>
      <c r="H1577" s="17"/>
      <c r="I1577" s="18"/>
      <c r="J1577" s="16"/>
      <c r="K1577" s="19"/>
      <c r="L1577" s="20"/>
    </row>
    <row r="1578" ht="15.75" customHeight="1">
      <c r="A1578" s="9"/>
      <c r="B1578" s="26"/>
      <c r="C1578" s="24"/>
      <c r="D1578" s="14"/>
      <c r="E1578" s="15"/>
      <c r="F1578" s="16"/>
      <c r="G1578" s="17"/>
      <c r="H1578" s="17"/>
      <c r="I1578" s="18"/>
      <c r="J1578" s="16"/>
      <c r="K1578" s="19"/>
      <c r="L1578" s="20"/>
    </row>
    <row r="1579" ht="15.75" customHeight="1">
      <c r="A1579" s="9"/>
      <c r="B1579" s="26"/>
      <c r="C1579" s="24"/>
      <c r="D1579" s="14"/>
      <c r="E1579" s="15"/>
      <c r="F1579" s="16"/>
      <c r="G1579" s="17"/>
      <c r="H1579" s="17"/>
      <c r="I1579" s="18"/>
      <c r="J1579" s="16"/>
      <c r="K1579" s="19"/>
      <c r="L1579" s="20"/>
    </row>
    <row r="1580" ht="15.75" customHeight="1">
      <c r="A1580" s="9"/>
      <c r="B1580" s="26"/>
      <c r="C1580" s="24"/>
      <c r="D1580" s="14"/>
      <c r="E1580" s="15"/>
      <c r="F1580" s="16"/>
      <c r="G1580" s="17"/>
      <c r="H1580" s="17"/>
      <c r="I1580" s="18"/>
      <c r="J1580" s="16"/>
      <c r="K1580" s="19"/>
      <c r="L1580" s="20"/>
    </row>
    <row r="1581" ht="15.75" customHeight="1">
      <c r="A1581" s="9"/>
      <c r="B1581" s="26"/>
      <c r="C1581" s="24"/>
      <c r="D1581" s="14"/>
      <c r="E1581" s="15"/>
      <c r="F1581" s="16"/>
      <c r="G1581" s="17"/>
      <c r="H1581" s="17"/>
      <c r="I1581" s="18"/>
      <c r="J1581" s="16"/>
      <c r="K1581" s="19"/>
      <c r="L1581" s="20"/>
    </row>
    <row r="1582" ht="15.75" customHeight="1">
      <c r="A1582" s="9"/>
      <c r="B1582" s="26"/>
      <c r="C1582" s="24"/>
      <c r="D1582" s="14"/>
      <c r="E1582" s="15"/>
      <c r="F1582" s="16"/>
      <c r="G1582" s="17"/>
      <c r="H1582" s="17"/>
      <c r="I1582" s="18"/>
      <c r="J1582" s="16"/>
      <c r="K1582" s="19"/>
      <c r="L1582" s="20"/>
    </row>
    <row r="1583" ht="15.75" customHeight="1">
      <c r="A1583" s="9"/>
      <c r="B1583" s="26"/>
      <c r="C1583" s="24"/>
      <c r="D1583" s="14"/>
      <c r="E1583" s="15"/>
      <c r="F1583" s="16"/>
      <c r="G1583" s="17"/>
      <c r="H1583" s="17"/>
      <c r="I1583" s="18"/>
      <c r="J1583" s="16"/>
      <c r="K1583" s="19"/>
      <c r="L1583" s="20"/>
    </row>
    <row r="1584" ht="15.75" customHeight="1">
      <c r="A1584" s="9"/>
      <c r="B1584" s="26"/>
      <c r="C1584" s="24"/>
      <c r="D1584" s="14"/>
      <c r="E1584" s="15"/>
      <c r="F1584" s="16"/>
      <c r="G1584" s="17"/>
      <c r="H1584" s="17"/>
      <c r="I1584" s="18"/>
      <c r="J1584" s="16"/>
      <c r="K1584" s="19"/>
      <c r="L1584" s="20"/>
    </row>
    <row r="1585" ht="15.75" customHeight="1">
      <c r="A1585" s="9"/>
      <c r="B1585" s="26"/>
      <c r="C1585" s="24"/>
      <c r="D1585" s="14"/>
      <c r="E1585" s="15"/>
      <c r="F1585" s="16"/>
      <c r="G1585" s="17"/>
      <c r="H1585" s="17"/>
      <c r="I1585" s="18"/>
      <c r="J1585" s="16"/>
      <c r="K1585" s="19"/>
      <c r="L1585" s="20"/>
    </row>
    <row r="1586" ht="15.75" customHeight="1">
      <c r="A1586" s="9"/>
      <c r="B1586" s="26"/>
      <c r="C1586" s="24"/>
      <c r="D1586" s="14"/>
      <c r="E1586" s="15"/>
      <c r="F1586" s="16"/>
      <c r="G1586" s="17"/>
      <c r="H1586" s="17"/>
      <c r="I1586" s="18"/>
      <c r="J1586" s="16"/>
      <c r="K1586" s="19"/>
      <c r="L1586" s="20"/>
    </row>
    <row r="1587" ht="15.75" customHeight="1">
      <c r="A1587" s="9"/>
      <c r="B1587" s="26"/>
      <c r="C1587" s="24"/>
      <c r="D1587" s="14"/>
      <c r="E1587" s="15"/>
      <c r="F1587" s="16"/>
      <c r="G1587" s="17"/>
      <c r="H1587" s="17"/>
      <c r="I1587" s="18"/>
      <c r="J1587" s="16"/>
      <c r="K1587" s="19"/>
      <c r="L1587" s="20"/>
    </row>
    <row r="1588" ht="15.75" customHeight="1">
      <c r="A1588" s="9"/>
      <c r="B1588" s="26"/>
      <c r="C1588" s="24"/>
      <c r="D1588" s="14"/>
      <c r="E1588" s="15"/>
      <c r="F1588" s="16"/>
      <c r="G1588" s="17"/>
      <c r="H1588" s="17"/>
      <c r="I1588" s="18"/>
      <c r="J1588" s="16"/>
      <c r="K1588" s="19"/>
      <c r="L1588" s="20"/>
    </row>
    <row r="1589" ht="15.75" customHeight="1">
      <c r="A1589" s="9"/>
      <c r="B1589" s="26"/>
      <c r="C1589" s="24"/>
      <c r="D1589" s="14"/>
      <c r="E1589" s="15"/>
      <c r="F1589" s="16"/>
      <c r="G1589" s="17"/>
      <c r="H1589" s="17"/>
      <c r="I1589" s="18"/>
      <c r="J1589" s="16"/>
      <c r="K1589" s="19"/>
      <c r="L1589" s="20"/>
    </row>
    <row r="1590" ht="15.75" customHeight="1">
      <c r="A1590" s="9"/>
      <c r="B1590" s="26"/>
      <c r="C1590" s="24"/>
      <c r="D1590" s="14"/>
      <c r="E1590" s="15"/>
      <c r="F1590" s="16"/>
      <c r="G1590" s="17"/>
      <c r="H1590" s="17"/>
      <c r="I1590" s="18"/>
      <c r="J1590" s="16"/>
      <c r="K1590" s="19"/>
      <c r="L1590" s="20"/>
    </row>
    <row r="1591" ht="15.75" customHeight="1">
      <c r="A1591" s="9"/>
      <c r="B1591" s="26"/>
      <c r="C1591" s="24"/>
      <c r="D1591" s="14"/>
      <c r="E1591" s="15"/>
      <c r="F1591" s="16"/>
      <c r="G1591" s="17"/>
      <c r="H1591" s="17"/>
      <c r="I1591" s="18"/>
      <c r="J1591" s="16"/>
      <c r="K1591" s="19"/>
      <c r="L1591" s="20"/>
    </row>
    <row r="1592" ht="15.75" customHeight="1">
      <c r="A1592" s="9"/>
      <c r="B1592" s="26"/>
      <c r="C1592" s="24"/>
      <c r="D1592" s="14"/>
      <c r="E1592" s="15"/>
      <c r="F1592" s="16"/>
      <c r="G1592" s="17"/>
      <c r="H1592" s="17"/>
      <c r="I1592" s="18"/>
      <c r="J1592" s="16"/>
      <c r="K1592" s="19"/>
      <c r="L1592" s="20"/>
    </row>
    <row r="1593" ht="15.75" customHeight="1">
      <c r="A1593" s="9"/>
      <c r="B1593" s="26"/>
      <c r="C1593" s="24"/>
      <c r="D1593" s="14"/>
      <c r="E1593" s="15"/>
      <c r="F1593" s="16"/>
      <c r="G1593" s="17"/>
      <c r="H1593" s="17"/>
      <c r="I1593" s="18"/>
      <c r="J1593" s="16"/>
      <c r="K1593" s="19"/>
      <c r="L1593" s="20"/>
    </row>
    <row r="1594" ht="15.75" customHeight="1">
      <c r="A1594" s="9"/>
      <c r="B1594" s="26"/>
      <c r="C1594" s="24"/>
      <c r="D1594" s="14"/>
      <c r="E1594" s="15"/>
      <c r="F1594" s="16"/>
      <c r="G1594" s="17"/>
      <c r="H1594" s="17"/>
      <c r="I1594" s="18"/>
      <c r="J1594" s="16"/>
      <c r="K1594" s="19"/>
      <c r="L1594" s="20"/>
    </row>
    <row r="1595" ht="15.75" customHeight="1">
      <c r="A1595" s="9"/>
      <c r="B1595" s="26"/>
      <c r="C1595" s="24"/>
      <c r="D1595" s="14"/>
      <c r="E1595" s="15"/>
      <c r="F1595" s="16"/>
      <c r="G1595" s="17"/>
      <c r="H1595" s="17"/>
      <c r="I1595" s="18"/>
      <c r="J1595" s="16"/>
      <c r="K1595" s="19"/>
      <c r="L1595" s="20"/>
    </row>
    <row r="1596" ht="15.75" customHeight="1">
      <c r="A1596" s="9"/>
      <c r="B1596" s="26"/>
      <c r="C1596" s="24"/>
      <c r="D1596" s="14"/>
      <c r="E1596" s="15"/>
      <c r="F1596" s="16"/>
      <c r="G1596" s="17"/>
      <c r="H1596" s="17"/>
      <c r="I1596" s="18"/>
      <c r="J1596" s="16"/>
      <c r="K1596" s="19"/>
      <c r="L1596" s="20"/>
    </row>
    <row r="1597" ht="15.75" customHeight="1">
      <c r="A1597" s="9"/>
      <c r="B1597" s="26"/>
      <c r="C1597" s="24"/>
      <c r="D1597" s="14"/>
      <c r="E1597" s="15"/>
      <c r="F1597" s="16"/>
      <c r="G1597" s="17"/>
      <c r="H1597" s="17"/>
      <c r="I1597" s="18"/>
      <c r="J1597" s="16"/>
      <c r="K1597" s="19"/>
      <c r="L1597" s="20"/>
    </row>
    <row r="1598" ht="15.75" customHeight="1">
      <c r="A1598" s="9"/>
      <c r="B1598" s="26"/>
      <c r="C1598" s="24"/>
      <c r="D1598" s="14"/>
      <c r="E1598" s="15"/>
      <c r="F1598" s="16"/>
      <c r="G1598" s="17"/>
      <c r="H1598" s="17"/>
      <c r="I1598" s="18"/>
      <c r="J1598" s="16"/>
      <c r="K1598" s="19"/>
      <c r="L1598" s="20"/>
    </row>
    <row r="1599" ht="15.75" customHeight="1">
      <c r="A1599" s="9"/>
      <c r="B1599" s="26"/>
      <c r="C1599" s="24"/>
      <c r="D1599" s="14"/>
      <c r="E1599" s="15"/>
      <c r="F1599" s="16"/>
      <c r="G1599" s="17"/>
      <c r="H1599" s="17"/>
      <c r="I1599" s="18"/>
      <c r="J1599" s="16"/>
      <c r="K1599" s="19"/>
      <c r="L1599" s="20"/>
    </row>
    <row r="1600" ht="15.75" customHeight="1">
      <c r="A1600" s="9"/>
      <c r="B1600" s="26"/>
      <c r="C1600" s="24"/>
      <c r="D1600" s="14"/>
      <c r="E1600" s="15"/>
      <c r="F1600" s="16"/>
      <c r="G1600" s="17"/>
      <c r="H1600" s="17"/>
      <c r="I1600" s="18"/>
      <c r="J1600" s="16"/>
      <c r="K1600" s="19"/>
      <c r="L1600" s="20"/>
    </row>
    <row r="1601" ht="15.75" customHeight="1">
      <c r="A1601" s="9"/>
      <c r="B1601" s="26"/>
      <c r="C1601" s="24"/>
      <c r="D1601" s="14"/>
      <c r="E1601" s="15"/>
      <c r="F1601" s="16"/>
      <c r="G1601" s="17"/>
      <c r="H1601" s="17"/>
      <c r="I1601" s="18"/>
      <c r="J1601" s="16"/>
      <c r="K1601" s="19"/>
      <c r="L1601" s="20"/>
    </row>
    <row r="1602" ht="15.75" customHeight="1">
      <c r="A1602" s="9"/>
      <c r="B1602" s="26"/>
      <c r="C1602" s="24"/>
      <c r="D1602" s="14"/>
      <c r="E1602" s="15"/>
      <c r="F1602" s="16"/>
      <c r="G1602" s="17"/>
      <c r="H1602" s="17"/>
      <c r="I1602" s="18"/>
      <c r="J1602" s="16"/>
      <c r="K1602" s="19"/>
      <c r="L1602" s="20"/>
    </row>
    <row r="1603" ht="15.75" customHeight="1">
      <c r="A1603" s="9"/>
      <c r="B1603" s="26"/>
      <c r="C1603" s="24"/>
      <c r="D1603" s="14"/>
      <c r="E1603" s="15"/>
      <c r="F1603" s="16"/>
      <c r="G1603" s="17"/>
      <c r="H1603" s="17"/>
      <c r="I1603" s="18"/>
      <c r="J1603" s="16"/>
      <c r="K1603" s="19"/>
      <c r="L1603" s="20"/>
    </row>
    <row r="1604" ht="15.75" customHeight="1">
      <c r="A1604" s="9"/>
      <c r="B1604" s="26"/>
      <c r="C1604" s="24"/>
      <c r="D1604" s="14"/>
      <c r="E1604" s="15"/>
      <c r="F1604" s="16"/>
      <c r="G1604" s="17"/>
      <c r="H1604" s="17"/>
      <c r="I1604" s="18"/>
      <c r="J1604" s="16"/>
      <c r="K1604" s="19"/>
      <c r="L1604" s="20"/>
    </row>
    <row r="1605" ht="15.75" customHeight="1">
      <c r="A1605" s="9"/>
      <c r="B1605" s="26"/>
      <c r="C1605" s="24"/>
      <c r="D1605" s="14"/>
      <c r="E1605" s="15"/>
      <c r="F1605" s="16"/>
      <c r="G1605" s="17"/>
      <c r="H1605" s="17"/>
      <c r="I1605" s="18"/>
      <c r="J1605" s="16"/>
      <c r="K1605" s="19"/>
      <c r="L1605" s="20"/>
    </row>
    <row r="1606" ht="15.75" customHeight="1">
      <c r="A1606" s="9"/>
      <c r="B1606" s="26"/>
      <c r="C1606" s="24"/>
      <c r="D1606" s="14"/>
      <c r="E1606" s="15"/>
      <c r="F1606" s="16"/>
      <c r="G1606" s="17"/>
      <c r="H1606" s="17"/>
      <c r="I1606" s="18"/>
      <c r="J1606" s="16"/>
      <c r="K1606" s="19"/>
      <c r="L1606" s="20"/>
    </row>
    <row r="1607" ht="15.75" customHeight="1">
      <c r="A1607" s="9"/>
      <c r="B1607" s="26"/>
      <c r="C1607" s="24"/>
      <c r="D1607" s="14"/>
      <c r="E1607" s="15"/>
      <c r="F1607" s="16"/>
      <c r="G1607" s="17"/>
      <c r="H1607" s="17"/>
      <c r="I1607" s="18"/>
      <c r="J1607" s="16"/>
      <c r="K1607" s="19"/>
      <c r="L1607" s="20"/>
    </row>
    <row r="1608" ht="15.75" customHeight="1">
      <c r="A1608" s="9"/>
      <c r="B1608" s="26"/>
      <c r="C1608" s="24"/>
      <c r="D1608" s="14"/>
      <c r="E1608" s="15"/>
      <c r="F1608" s="16"/>
      <c r="G1608" s="17"/>
      <c r="H1608" s="17"/>
      <c r="I1608" s="18"/>
      <c r="J1608" s="16"/>
      <c r="K1608" s="19"/>
      <c r="L1608" s="20"/>
    </row>
    <row r="1609" ht="15.75" customHeight="1">
      <c r="A1609" s="9"/>
      <c r="B1609" s="26"/>
      <c r="C1609" s="24"/>
      <c r="D1609" s="14"/>
      <c r="E1609" s="15"/>
      <c r="F1609" s="16"/>
      <c r="G1609" s="17"/>
      <c r="H1609" s="17"/>
      <c r="I1609" s="18"/>
      <c r="J1609" s="16"/>
      <c r="K1609" s="19"/>
      <c r="L1609" s="20"/>
    </row>
    <row r="1610" ht="15.75" customHeight="1">
      <c r="A1610" s="9"/>
      <c r="B1610" s="26"/>
      <c r="C1610" s="24"/>
      <c r="D1610" s="14"/>
      <c r="E1610" s="15"/>
      <c r="F1610" s="16"/>
      <c r="G1610" s="17"/>
      <c r="H1610" s="17"/>
      <c r="I1610" s="18"/>
      <c r="J1610" s="16"/>
      <c r="K1610" s="19"/>
      <c r="L1610" s="20"/>
    </row>
    <row r="1611" ht="15.75" customHeight="1">
      <c r="A1611" s="9"/>
      <c r="B1611" s="26"/>
      <c r="C1611" s="24"/>
      <c r="D1611" s="14"/>
      <c r="E1611" s="15"/>
      <c r="F1611" s="16"/>
      <c r="G1611" s="17"/>
      <c r="H1611" s="17"/>
      <c r="I1611" s="18"/>
      <c r="J1611" s="16"/>
      <c r="K1611" s="19"/>
      <c r="L1611" s="20"/>
    </row>
    <row r="1612" ht="15.75" customHeight="1">
      <c r="A1612" s="9"/>
      <c r="B1612" s="26"/>
      <c r="C1612" s="24"/>
      <c r="D1612" s="14"/>
      <c r="E1612" s="15"/>
      <c r="F1612" s="16"/>
      <c r="G1612" s="17"/>
      <c r="H1612" s="17"/>
      <c r="I1612" s="18"/>
      <c r="J1612" s="16"/>
      <c r="K1612" s="19"/>
      <c r="L1612" s="20"/>
    </row>
    <row r="1613" ht="15.75" customHeight="1">
      <c r="A1613" s="9"/>
      <c r="B1613" s="26"/>
      <c r="C1613" s="24"/>
      <c r="D1613" s="14"/>
      <c r="E1613" s="15"/>
      <c r="F1613" s="16"/>
      <c r="G1613" s="17"/>
      <c r="H1613" s="17"/>
      <c r="I1613" s="18"/>
      <c r="J1613" s="16"/>
      <c r="K1613" s="19"/>
      <c r="L1613" s="20"/>
    </row>
    <row r="1614" ht="15.75" customHeight="1">
      <c r="A1614" s="9"/>
      <c r="B1614" s="26"/>
      <c r="C1614" s="24"/>
      <c r="D1614" s="14"/>
      <c r="E1614" s="15"/>
      <c r="F1614" s="16"/>
      <c r="G1614" s="17"/>
      <c r="H1614" s="17"/>
      <c r="I1614" s="18"/>
      <c r="J1614" s="16"/>
      <c r="K1614" s="19"/>
      <c r="L1614" s="20"/>
    </row>
    <row r="1615" ht="15.75" customHeight="1">
      <c r="A1615" s="9"/>
      <c r="B1615" s="26"/>
      <c r="C1615" s="24"/>
      <c r="D1615" s="14"/>
      <c r="E1615" s="15"/>
      <c r="F1615" s="16"/>
      <c r="G1615" s="17"/>
      <c r="H1615" s="17"/>
      <c r="I1615" s="18"/>
      <c r="J1615" s="16"/>
      <c r="K1615" s="19"/>
      <c r="L1615" s="20"/>
    </row>
    <row r="1616" ht="15.75" customHeight="1">
      <c r="A1616" s="9"/>
      <c r="B1616" s="26"/>
      <c r="C1616" s="24"/>
      <c r="D1616" s="14"/>
      <c r="E1616" s="15"/>
      <c r="F1616" s="16"/>
      <c r="G1616" s="17"/>
      <c r="H1616" s="17"/>
      <c r="I1616" s="18"/>
      <c r="J1616" s="16"/>
      <c r="K1616" s="19"/>
      <c r="L1616" s="20"/>
    </row>
    <row r="1617" ht="15.75" customHeight="1">
      <c r="A1617" s="9"/>
      <c r="B1617" s="26"/>
      <c r="C1617" s="24"/>
      <c r="D1617" s="14"/>
      <c r="E1617" s="15"/>
      <c r="F1617" s="16"/>
      <c r="G1617" s="17"/>
      <c r="H1617" s="17"/>
      <c r="I1617" s="18"/>
      <c r="J1617" s="16"/>
      <c r="K1617" s="19"/>
      <c r="L1617" s="20"/>
    </row>
    <row r="1618" ht="15.75" customHeight="1">
      <c r="A1618" s="9"/>
      <c r="B1618" s="26"/>
      <c r="C1618" s="24"/>
      <c r="D1618" s="14"/>
      <c r="E1618" s="15"/>
      <c r="F1618" s="16"/>
      <c r="G1618" s="17"/>
      <c r="H1618" s="17"/>
      <c r="I1618" s="18"/>
      <c r="J1618" s="16"/>
      <c r="K1618" s="19"/>
      <c r="L1618" s="20"/>
    </row>
    <row r="1619" ht="15.75" customHeight="1">
      <c r="A1619" s="9"/>
      <c r="B1619" s="26"/>
      <c r="C1619" s="24"/>
      <c r="D1619" s="14"/>
      <c r="E1619" s="15"/>
      <c r="F1619" s="16"/>
      <c r="G1619" s="17"/>
      <c r="H1619" s="17"/>
      <c r="I1619" s="18"/>
      <c r="J1619" s="16"/>
      <c r="K1619" s="19"/>
      <c r="L1619" s="20"/>
    </row>
    <row r="1620" ht="15.75" customHeight="1">
      <c r="A1620" s="9"/>
      <c r="B1620" s="26"/>
      <c r="C1620" s="24"/>
      <c r="D1620" s="14"/>
      <c r="E1620" s="15"/>
      <c r="F1620" s="16"/>
      <c r="G1620" s="17"/>
      <c r="H1620" s="17"/>
      <c r="I1620" s="18"/>
      <c r="J1620" s="16"/>
      <c r="K1620" s="19"/>
      <c r="L1620" s="20"/>
    </row>
    <row r="1621" ht="15.75" customHeight="1">
      <c r="A1621" s="9"/>
      <c r="B1621" s="26"/>
      <c r="C1621" s="24"/>
      <c r="D1621" s="14"/>
      <c r="E1621" s="15"/>
      <c r="F1621" s="16"/>
      <c r="G1621" s="17"/>
      <c r="H1621" s="17"/>
      <c r="I1621" s="18"/>
      <c r="J1621" s="16"/>
      <c r="K1621" s="19"/>
      <c r="L1621" s="20"/>
    </row>
    <row r="1622" ht="15.75" customHeight="1">
      <c r="A1622" s="9"/>
      <c r="B1622" s="26"/>
      <c r="C1622" s="24"/>
      <c r="D1622" s="14"/>
      <c r="E1622" s="15"/>
      <c r="F1622" s="16"/>
      <c r="G1622" s="17"/>
      <c r="H1622" s="17"/>
      <c r="I1622" s="18"/>
      <c r="J1622" s="16"/>
      <c r="K1622" s="19"/>
      <c r="L1622" s="20"/>
    </row>
    <row r="1623" ht="15.75" customHeight="1">
      <c r="A1623" s="9"/>
      <c r="B1623" s="26"/>
      <c r="C1623" s="24"/>
      <c r="D1623" s="14"/>
      <c r="E1623" s="15"/>
      <c r="F1623" s="16"/>
      <c r="G1623" s="17"/>
      <c r="H1623" s="17"/>
      <c r="I1623" s="18"/>
      <c r="J1623" s="16"/>
      <c r="K1623" s="19"/>
      <c r="L1623" s="20"/>
    </row>
    <row r="1624" ht="15.75" customHeight="1">
      <c r="A1624" s="9"/>
      <c r="B1624" s="26"/>
      <c r="C1624" s="24"/>
      <c r="D1624" s="14"/>
      <c r="E1624" s="15"/>
      <c r="F1624" s="16"/>
      <c r="G1624" s="17"/>
      <c r="H1624" s="17"/>
      <c r="I1624" s="18"/>
      <c r="J1624" s="16"/>
      <c r="K1624" s="19"/>
      <c r="L1624" s="20"/>
    </row>
    <row r="1625" ht="15.75" customHeight="1">
      <c r="A1625" s="9"/>
      <c r="B1625" s="26"/>
      <c r="C1625" s="24"/>
      <c r="D1625" s="14"/>
      <c r="E1625" s="15"/>
      <c r="F1625" s="16"/>
      <c r="G1625" s="17"/>
      <c r="H1625" s="17"/>
      <c r="I1625" s="18"/>
      <c r="J1625" s="16"/>
      <c r="K1625" s="19"/>
      <c r="L1625" s="20"/>
    </row>
    <row r="1626" ht="15.75" customHeight="1">
      <c r="A1626" s="9"/>
      <c r="B1626" s="26"/>
      <c r="C1626" s="24"/>
      <c r="D1626" s="14"/>
      <c r="E1626" s="15"/>
      <c r="F1626" s="16"/>
      <c r="G1626" s="17"/>
      <c r="H1626" s="17"/>
      <c r="I1626" s="18"/>
      <c r="J1626" s="16"/>
      <c r="K1626" s="19"/>
      <c r="L1626" s="20"/>
    </row>
    <row r="1627" ht="15.75" customHeight="1">
      <c r="A1627" s="9"/>
      <c r="B1627" s="26"/>
      <c r="C1627" s="24"/>
      <c r="D1627" s="14"/>
      <c r="E1627" s="15"/>
      <c r="F1627" s="16"/>
      <c r="G1627" s="17"/>
      <c r="H1627" s="17"/>
      <c r="I1627" s="18"/>
      <c r="J1627" s="16"/>
      <c r="K1627" s="19"/>
      <c r="L1627" s="20"/>
    </row>
    <row r="1628" ht="15.75" customHeight="1">
      <c r="A1628" s="9"/>
      <c r="B1628" s="26"/>
      <c r="C1628" s="24"/>
      <c r="D1628" s="14"/>
      <c r="E1628" s="15"/>
      <c r="F1628" s="16"/>
      <c r="G1628" s="17"/>
      <c r="H1628" s="17"/>
      <c r="I1628" s="18"/>
      <c r="J1628" s="16"/>
      <c r="K1628" s="19"/>
      <c r="L1628" s="20"/>
    </row>
    <row r="1629" ht="15.75" customHeight="1">
      <c r="A1629" s="9"/>
      <c r="B1629" s="26"/>
      <c r="C1629" s="24"/>
      <c r="D1629" s="14"/>
      <c r="E1629" s="15"/>
      <c r="F1629" s="16"/>
      <c r="G1629" s="17"/>
      <c r="H1629" s="17"/>
      <c r="I1629" s="18"/>
      <c r="J1629" s="16"/>
      <c r="K1629" s="19"/>
      <c r="L1629" s="20"/>
    </row>
    <row r="1630" ht="15.75" customHeight="1">
      <c r="A1630" s="9"/>
      <c r="B1630" s="26"/>
      <c r="C1630" s="24"/>
      <c r="D1630" s="14"/>
      <c r="E1630" s="15"/>
      <c r="F1630" s="16"/>
      <c r="G1630" s="17"/>
      <c r="H1630" s="17"/>
      <c r="I1630" s="18"/>
      <c r="J1630" s="16"/>
      <c r="K1630" s="19"/>
      <c r="L1630" s="20"/>
    </row>
    <row r="1631" ht="15.75" customHeight="1">
      <c r="A1631" s="9"/>
      <c r="B1631" s="26"/>
      <c r="C1631" s="24"/>
      <c r="D1631" s="14"/>
      <c r="E1631" s="15"/>
      <c r="F1631" s="16"/>
      <c r="G1631" s="17"/>
      <c r="H1631" s="17"/>
      <c r="I1631" s="18"/>
      <c r="J1631" s="16"/>
      <c r="K1631" s="19"/>
      <c r="L1631" s="20"/>
    </row>
    <row r="1632" ht="15.75" customHeight="1">
      <c r="A1632" s="9"/>
      <c r="B1632" s="26"/>
      <c r="C1632" s="24"/>
      <c r="D1632" s="14"/>
      <c r="E1632" s="15"/>
      <c r="F1632" s="16"/>
      <c r="G1632" s="17"/>
      <c r="H1632" s="17"/>
      <c r="I1632" s="18"/>
      <c r="J1632" s="16"/>
      <c r="K1632" s="19"/>
      <c r="L1632" s="20"/>
    </row>
    <row r="1633" ht="15.75" customHeight="1">
      <c r="A1633" s="9"/>
      <c r="B1633" s="26"/>
      <c r="C1633" s="24"/>
      <c r="D1633" s="14"/>
      <c r="E1633" s="15"/>
      <c r="F1633" s="16"/>
      <c r="G1633" s="17"/>
      <c r="H1633" s="17"/>
      <c r="I1633" s="18"/>
      <c r="J1633" s="16"/>
      <c r="K1633" s="19"/>
      <c r="L1633" s="20"/>
    </row>
    <row r="1634" ht="15.75" customHeight="1">
      <c r="A1634" s="9"/>
      <c r="B1634" s="26"/>
      <c r="C1634" s="24"/>
      <c r="D1634" s="14"/>
      <c r="E1634" s="15"/>
      <c r="F1634" s="16"/>
      <c r="G1634" s="17"/>
      <c r="H1634" s="17"/>
      <c r="I1634" s="18"/>
      <c r="J1634" s="16"/>
      <c r="K1634" s="19"/>
      <c r="L1634" s="20"/>
    </row>
    <row r="1635" ht="15.75" customHeight="1">
      <c r="A1635" s="9"/>
      <c r="B1635" s="26"/>
      <c r="C1635" s="24"/>
      <c r="D1635" s="14"/>
      <c r="E1635" s="15"/>
      <c r="F1635" s="16"/>
      <c r="G1635" s="17"/>
      <c r="H1635" s="17"/>
      <c r="I1635" s="18"/>
      <c r="J1635" s="16"/>
      <c r="K1635" s="19"/>
      <c r="L1635" s="20"/>
    </row>
    <row r="1636" ht="15.75" customHeight="1">
      <c r="A1636" s="9"/>
      <c r="B1636" s="26"/>
      <c r="C1636" s="24"/>
      <c r="D1636" s="14"/>
      <c r="E1636" s="15"/>
      <c r="F1636" s="16"/>
      <c r="G1636" s="17"/>
      <c r="H1636" s="17"/>
      <c r="I1636" s="18"/>
      <c r="J1636" s="16"/>
      <c r="K1636" s="19"/>
      <c r="L1636" s="20"/>
    </row>
    <row r="1637" ht="15.75" customHeight="1">
      <c r="A1637" s="9"/>
      <c r="B1637" s="26"/>
      <c r="C1637" s="24"/>
      <c r="D1637" s="14"/>
      <c r="E1637" s="15"/>
      <c r="F1637" s="16"/>
      <c r="G1637" s="17"/>
      <c r="H1637" s="17"/>
      <c r="I1637" s="18"/>
      <c r="J1637" s="16"/>
      <c r="K1637" s="19"/>
      <c r="L1637" s="20"/>
    </row>
    <row r="1638" ht="15.75" customHeight="1">
      <c r="A1638" s="9"/>
      <c r="B1638" s="26"/>
      <c r="C1638" s="24"/>
      <c r="D1638" s="14"/>
      <c r="E1638" s="15"/>
      <c r="F1638" s="16"/>
      <c r="G1638" s="17"/>
      <c r="H1638" s="17"/>
      <c r="I1638" s="18"/>
      <c r="J1638" s="16"/>
      <c r="K1638" s="19"/>
      <c r="L1638" s="20"/>
    </row>
    <row r="1639" ht="15.75" customHeight="1">
      <c r="A1639" s="9"/>
      <c r="B1639" s="26"/>
      <c r="C1639" s="24"/>
      <c r="D1639" s="14"/>
      <c r="E1639" s="15"/>
      <c r="F1639" s="16"/>
      <c r="G1639" s="17"/>
      <c r="H1639" s="17"/>
      <c r="I1639" s="18"/>
      <c r="J1639" s="16"/>
      <c r="K1639" s="19"/>
      <c r="L1639" s="20"/>
    </row>
    <row r="1640" ht="15.75" customHeight="1">
      <c r="A1640" s="9"/>
      <c r="B1640" s="26"/>
      <c r="C1640" s="24"/>
      <c r="D1640" s="14"/>
      <c r="E1640" s="15"/>
      <c r="F1640" s="16"/>
      <c r="G1640" s="17"/>
      <c r="H1640" s="17"/>
      <c r="I1640" s="18"/>
      <c r="J1640" s="16"/>
      <c r="K1640" s="19"/>
      <c r="L1640" s="20"/>
    </row>
    <row r="1641" ht="15.75" customHeight="1">
      <c r="A1641" s="9"/>
      <c r="B1641" s="26"/>
      <c r="C1641" s="24"/>
      <c r="D1641" s="14"/>
      <c r="E1641" s="15"/>
      <c r="F1641" s="16"/>
      <c r="G1641" s="17"/>
      <c r="H1641" s="17"/>
      <c r="I1641" s="18"/>
      <c r="J1641" s="16"/>
      <c r="K1641" s="19"/>
      <c r="L1641" s="20"/>
    </row>
    <row r="1642" ht="15.75" customHeight="1">
      <c r="A1642" s="9"/>
      <c r="B1642" s="26"/>
      <c r="C1642" s="24"/>
      <c r="D1642" s="14"/>
      <c r="E1642" s="15"/>
      <c r="F1642" s="16"/>
      <c r="G1642" s="17"/>
      <c r="H1642" s="17"/>
      <c r="I1642" s="18"/>
      <c r="J1642" s="16"/>
      <c r="K1642" s="19"/>
      <c r="L1642" s="20"/>
    </row>
    <row r="1643" ht="15.75" customHeight="1">
      <c r="A1643" s="9"/>
      <c r="B1643" s="26"/>
      <c r="C1643" s="24"/>
      <c r="D1643" s="14"/>
      <c r="E1643" s="15"/>
      <c r="F1643" s="16"/>
      <c r="G1643" s="17"/>
      <c r="H1643" s="17"/>
      <c r="I1643" s="18"/>
      <c r="J1643" s="16"/>
      <c r="K1643" s="19"/>
      <c r="L1643" s="20"/>
    </row>
    <row r="1644" ht="15.75" customHeight="1">
      <c r="A1644" s="9"/>
      <c r="B1644" s="26"/>
      <c r="C1644" s="24"/>
      <c r="D1644" s="14"/>
      <c r="E1644" s="15"/>
      <c r="F1644" s="16"/>
      <c r="G1644" s="17"/>
      <c r="H1644" s="17"/>
      <c r="I1644" s="18"/>
      <c r="J1644" s="16"/>
      <c r="K1644" s="19"/>
      <c r="L1644" s="20"/>
    </row>
    <row r="1645" ht="15.75" customHeight="1">
      <c r="A1645" s="9"/>
      <c r="B1645" s="26"/>
      <c r="C1645" s="24"/>
      <c r="D1645" s="14"/>
      <c r="E1645" s="15"/>
      <c r="F1645" s="16"/>
      <c r="G1645" s="17"/>
      <c r="H1645" s="17"/>
      <c r="I1645" s="18"/>
      <c r="J1645" s="16"/>
      <c r="K1645" s="19"/>
      <c r="L1645" s="20"/>
    </row>
    <row r="1646" ht="15.75" customHeight="1">
      <c r="A1646" s="9"/>
      <c r="B1646" s="26"/>
      <c r="C1646" s="24"/>
      <c r="D1646" s="14"/>
      <c r="E1646" s="15"/>
      <c r="F1646" s="16"/>
      <c r="G1646" s="17"/>
      <c r="H1646" s="17"/>
      <c r="I1646" s="18"/>
      <c r="J1646" s="16"/>
      <c r="K1646" s="19"/>
      <c r="L1646" s="20"/>
    </row>
    <row r="1647" ht="15.75" customHeight="1">
      <c r="A1647" s="9"/>
      <c r="B1647" s="26"/>
      <c r="C1647" s="24"/>
      <c r="D1647" s="14"/>
      <c r="E1647" s="15"/>
      <c r="F1647" s="16"/>
      <c r="G1647" s="17"/>
      <c r="H1647" s="17"/>
      <c r="I1647" s="18"/>
      <c r="J1647" s="16"/>
      <c r="K1647" s="19"/>
      <c r="L1647" s="20"/>
    </row>
    <row r="1648" ht="15.75" customHeight="1">
      <c r="A1648" s="9"/>
      <c r="B1648" s="26"/>
      <c r="C1648" s="24"/>
      <c r="D1648" s="14"/>
      <c r="E1648" s="15"/>
      <c r="F1648" s="16"/>
      <c r="G1648" s="17"/>
      <c r="H1648" s="17"/>
      <c r="I1648" s="18"/>
      <c r="J1648" s="16"/>
      <c r="K1648" s="19"/>
      <c r="L1648" s="20"/>
    </row>
    <row r="1649" ht="15.75" customHeight="1">
      <c r="A1649" s="9"/>
      <c r="B1649" s="26"/>
      <c r="C1649" s="24"/>
      <c r="D1649" s="14"/>
      <c r="E1649" s="15"/>
      <c r="F1649" s="16"/>
      <c r="G1649" s="17"/>
      <c r="H1649" s="17"/>
      <c r="I1649" s="18"/>
      <c r="J1649" s="16"/>
      <c r="K1649" s="19"/>
      <c r="L1649" s="20"/>
    </row>
    <row r="1650" ht="15.75" customHeight="1">
      <c r="A1650" s="9"/>
      <c r="B1650" s="26"/>
      <c r="C1650" s="24"/>
      <c r="D1650" s="14"/>
      <c r="E1650" s="15"/>
      <c r="F1650" s="16"/>
      <c r="G1650" s="17"/>
      <c r="H1650" s="17"/>
      <c r="I1650" s="18"/>
      <c r="J1650" s="16"/>
      <c r="K1650" s="19"/>
      <c r="L1650" s="20"/>
    </row>
    <row r="1651" ht="15.75" customHeight="1">
      <c r="A1651" s="9"/>
      <c r="B1651" s="26"/>
      <c r="C1651" s="24"/>
      <c r="D1651" s="14"/>
      <c r="E1651" s="15"/>
      <c r="F1651" s="16"/>
      <c r="G1651" s="17"/>
      <c r="H1651" s="17"/>
      <c r="I1651" s="18"/>
      <c r="J1651" s="16"/>
      <c r="K1651" s="19"/>
      <c r="L1651" s="20"/>
    </row>
    <row r="1652" ht="15.75" customHeight="1">
      <c r="A1652" s="9"/>
      <c r="B1652" s="26"/>
      <c r="C1652" s="24"/>
      <c r="D1652" s="14"/>
      <c r="E1652" s="15"/>
      <c r="F1652" s="16"/>
      <c r="G1652" s="17"/>
      <c r="H1652" s="17"/>
      <c r="I1652" s="18"/>
      <c r="J1652" s="16"/>
      <c r="K1652" s="19"/>
      <c r="L1652" s="20"/>
    </row>
    <row r="1653" ht="15.75" customHeight="1">
      <c r="A1653" s="9"/>
      <c r="B1653" s="26"/>
      <c r="C1653" s="24"/>
      <c r="D1653" s="14"/>
      <c r="E1653" s="15"/>
      <c r="F1653" s="16"/>
      <c r="G1653" s="17"/>
      <c r="H1653" s="17"/>
      <c r="I1653" s="18"/>
      <c r="J1653" s="16"/>
      <c r="K1653" s="19"/>
      <c r="L1653" s="20"/>
    </row>
    <row r="1654" ht="15.75" customHeight="1">
      <c r="A1654" s="9"/>
      <c r="B1654" s="26"/>
      <c r="C1654" s="24"/>
      <c r="D1654" s="14"/>
      <c r="E1654" s="15"/>
      <c r="F1654" s="16"/>
      <c r="G1654" s="17"/>
      <c r="H1654" s="17"/>
      <c r="I1654" s="18"/>
      <c r="J1654" s="16"/>
      <c r="K1654" s="19"/>
      <c r="L1654" s="20"/>
    </row>
    <row r="1655" ht="15.75" customHeight="1">
      <c r="A1655" s="9"/>
      <c r="B1655" s="26"/>
      <c r="C1655" s="24"/>
      <c r="D1655" s="14"/>
      <c r="E1655" s="15"/>
      <c r="F1655" s="16"/>
      <c r="G1655" s="17"/>
      <c r="H1655" s="17"/>
      <c r="I1655" s="18"/>
      <c r="J1655" s="16"/>
      <c r="K1655" s="19"/>
      <c r="L1655" s="20"/>
    </row>
    <row r="1656" ht="15.75" customHeight="1">
      <c r="A1656" s="9"/>
      <c r="B1656" s="26"/>
      <c r="C1656" s="24"/>
      <c r="D1656" s="14"/>
      <c r="E1656" s="15"/>
      <c r="F1656" s="16"/>
      <c r="G1656" s="17"/>
      <c r="H1656" s="17"/>
      <c r="I1656" s="18"/>
      <c r="J1656" s="16"/>
      <c r="K1656" s="19"/>
      <c r="L1656" s="20"/>
    </row>
    <row r="1657" ht="15.75" customHeight="1">
      <c r="A1657" s="9"/>
      <c r="B1657" s="26"/>
      <c r="C1657" s="24"/>
      <c r="D1657" s="14"/>
      <c r="E1657" s="15"/>
      <c r="F1657" s="16"/>
      <c r="G1657" s="17"/>
      <c r="H1657" s="17"/>
      <c r="I1657" s="18"/>
      <c r="J1657" s="16"/>
      <c r="K1657" s="19"/>
      <c r="L1657" s="20"/>
    </row>
    <row r="1658" ht="15.75" customHeight="1">
      <c r="A1658" s="9"/>
      <c r="B1658" s="26"/>
      <c r="C1658" s="24"/>
      <c r="D1658" s="14"/>
      <c r="E1658" s="15"/>
      <c r="F1658" s="16"/>
      <c r="G1658" s="17"/>
      <c r="H1658" s="17"/>
      <c r="I1658" s="18"/>
      <c r="J1658" s="16"/>
      <c r="K1658" s="19"/>
      <c r="L1658" s="20"/>
    </row>
    <row r="1659" ht="15.75" customHeight="1">
      <c r="A1659" s="9"/>
      <c r="B1659" s="26"/>
      <c r="C1659" s="24"/>
      <c r="D1659" s="14"/>
      <c r="E1659" s="15"/>
      <c r="F1659" s="16"/>
      <c r="G1659" s="17"/>
      <c r="H1659" s="17"/>
      <c r="I1659" s="18"/>
      <c r="J1659" s="16"/>
      <c r="K1659" s="19"/>
      <c r="L1659" s="20"/>
    </row>
    <row r="1660" ht="15.75" customHeight="1">
      <c r="A1660" s="9"/>
      <c r="B1660" s="26"/>
      <c r="C1660" s="24"/>
      <c r="D1660" s="14"/>
      <c r="E1660" s="15"/>
      <c r="F1660" s="16"/>
      <c r="G1660" s="17"/>
      <c r="H1660" s="17"/>
      <c r="I1660" s="18"/>
      <c r="J1660" s="16"/>
      <c r="K1660" s="19"/>
      <c r="L1660" s="20"/>
    </row>
    <row r="1661" ht="15.75" customHeight="1">
      <c r="A1661" s="9"/>
      <c r="B1661" s="26"/>
      <c r="C1661" s="24"/>
      <c r="D1661" s="14"/>
      <c r="E1661" s="15"/>
      <c r="F1661" s="16"/>
      <c r="G1661" s="17"/>
      <c r="H1661" s="17"/>
      <c r="I1661" s="18"/>
      <c r="J1661" s="16"/>
      <c r="K1661" s="19"/>
      <c r="L1661" s="20"/>
    </row>
    <row r="1662" ht="15.75" customHeight="1">
      <c r="A1662" s="9"/>
      <c r="B1662" s="26"/>
      <c r="C1662" s="24"/>
      <c r="D1662" s="14"/>
      <c r="E1662" s="15"/>
      <c r="F1662" s="16"/>
      <c r="G1662" s="17"/>
      <c r="H1662" s="17"/>
      <c r="I1662" s="18"/>
      <c r="J1662" s="16"/>
      <c r="K1662" s="19"/>
      <c r="L1662" s="20"/>
    </row>
    <row r="1663" ht="15.75" customHeight="1">
      <c r="A1663" s="9"/>
      <c r="B1663" s="26"/>
      <c r="C1663" s="24"/>
      <c r="D1663" s="14"/>
      <c r="E1663" s="15"/>
      <c r="F1663" s="16"/>
      <c r="G1663" s="17"/>
      <c r="H1663" s="17"/>
      <c r="I1663" s="18"/>
      <c r="J1663" s="16"/>
      <c r="K1663" s="19"/>
      <c r="L1663" s="20"/>
    </row>
    <row r="1664" ht="15.75" customHeight="1">
      <c r="A1664" s="9"/>
      <c r="B1664" s="26"/>
      <c r="C1664" s="24"/>
      <c r="D1664" s="14"/>
      <c r="E1664" s="15"/>
      <c r="F1664" s="16"/>
      <c r="G1664" s="17"/>
      <c r="H1664" s="17"/>
      <c r="I1664" s="18"/>
      <c r="J1664" s="16"/>
      <c r="K1664" s="19"/>
      <c r="L1664" s="20"/>
    </row>
    <row r="1665" ht="15.75" customHeight="1">
      <c r="A1665" s="9"/>
      <c r="B1665" s="26"/>
      <c r="C1665" s="24"/>
      <c r="D1665" s="14"/>
      <c r="E1665" s="15"/>
      <c r="F1665" s="16"/>
      <c r="G1665" s="17"/>
      <c r="H1665" s="17"/>
      <c r="I1665" s="18"/>
      <c r="J1665" s="16"/>
      <c r="K1665" s="19"/>
      <c r="L1665" s="20"/>
    </row>
    <row r="1666" ht="15.75" customHeight="1">
      <c r="A1666" s="9"/>
      <c r="B1666" s="26"/>
      <c r="C1666" s="24"/>
      <c r="D1666" s="14"/>
      <c r="E1666" s="15"/>
      <c r="F1666" s="16"/>
      <c r="G1666" s="17"/>
      <c r="H1666" s="17"/>
      <c r="I1666" s="18"/>
      <c r="J1666" s="16"/>
      <c r="K1666" s="19"/>
      <c r="L1666" s="20"/>
    </row>
    <row r="1667" ht="15.75" customHeight="1">
      <c r="A1667" s="9"/>
      <c r="B1667" s="26"/>
      <c r="C1667" s="24"/>
      <c r="D1667" s="14"/>
      <c r="E1667" s="15"/>
      <c r="F1667" s="16"/>
      <c r="G1667" s="17"/>
      <c r="H1667" s="17"/>
      <c r="I1667" s="18"/>
      <c r="J1667" s="16"/>
      <c r="K1667" s="19"/>
      <c r="L1667" s="20"/>
    </row>
    <row r="1668" ht="15.75" customHeight="1">
      <c r="A1668" s="9"/>
      <c r="B1668" s="26"/>
      <c r="C1668" s="24"/>
      <c r="D1668" s="14"/>
      <c r="E1668" s="15"/>
      <c r="F1668" s="16"/>
      <c r="G1668" s="17"/>
      <c r="H1668" s="17"/>
      <c r="I1668" s="18"/>
      <c r="J1668" s="16"/>
      <c r="K1668" s="19"/>
      <c r="L1668" s="20"/>
    </row>
    <row r="1669" ht="15.75" customHeight="1">
      <c r="A1669" s="9"/>
      <c r="B1669" s="26"/>
      <c r="C1669" s="24"/>
      <c r="D1669" s="14"/>
      <c r="E1669" s="15"/>
      <c r="F1669" s="16"/>
      <c r="G1669" s="17"/>
      <c r="H1669" s="17"/>
      <c r="I1669" s="18"/>
      <c r="J1669" s="16"/>
      <c r="K1669" s="19"/>
      <c r="L1669" s="20"/>
    </row>
    <row r="1670" ht="15.75" customHeight="1">
      <c r="A1670" s="9"/>
      <c r="B1670" s="26"/>
      <c r="C1670" s="24"/>
      <c r="D1670" s="14"/>
      <c r="E1670" s="15"/>
      <c r="F1670" s="16"/>
      <c r="G1670" s="17"/>
      <c r="H1670" s="17"/>
      <c r="I1670" s="18"/>
      <c r="J1670" s="16"/>
      <c r="K1670" s="19"/>
      <c r="L1670" s="20"/>
    </row>
    <row r="1671" ht="15.75" customHeight="1">
      <c r="A1671" s="9"/>
      <c r="B1671" s="26"/>
      <c r="C1671" s="24"/>
      <c r="D1671" s="14"/>
      <c r="E1671" s="15"/>
      <c r="F1671" s="16"/>
      <c r="G1671" s="17"/>
      <c r="H1671" s="17"/>
      <c r="I1671" s="18"/>
      <c r="J1671" s="16"/>
      <c r="K1671" s="19"/>
      <c r="L1671" s="20"/>
    </row>
    <row r="1672" ht="15.75" customHeight="1">
      <c r="A1672" s="9"/>
      <c r="B1672" s="26"/>
      <c r="C1672" s="24"/>
      <c r="D1672" s="14"/>
      <c r="E1672" s="15"/>
      <c r="F1672" s="16"/>
      <c r="G1672" s="17"/>
      <c r="H1672" s="17"/>
      <c r="I1672" s="18"/>
      <c r="J1672" s="16"/>
      <c r="K1672" s="19"/>
      <c r="L1672" s="20"/>
    </row>
    <row r="1673" ht="15.75" customHeight="1">
      <c r="A1673" s="9"/>
      <c r="B1673" s="26"/>
      <c r="C1673" s="24"/>
      <c r="D1673" s="14"/>
      <c r="E1673" s="15"/>
      <c r="F1673" s="16"/>
      <c r="G1673" s="17"/>
      <c r="H1673" s="17"/>
      <c r="I1673" s="18"/>
      <c r="J1673" s="16"/>
      <c r="K1673" s="19"/>
      <c r="L1673" s="20"/>
    </row>
    <row r="1674" ht="15.75" customHeight="1">
      <c r="A1674" s="9"/>
      <c r="B1674" s="26"/>
      <c r="C1674" s="24"/>
      <c r="D1674" s="14"/>
      <c r="E1674" s="15"/>
      <c r="F1674" s="16"/>
      <c r="G1674" s="17"/>
      <c r="H1674" s="17"/>
      <c r="I1674" s="18"/>
      <c r="J1674" s="16"/>
      <c r="K1674" s="19"/>
      <c r="L1674" s="20"/>
    </row>
    <row r="1675" ht="15.75" customHeight="1">
      <c r="A1675" s="9"/>
      <c r="B1675" s="26"/>
      <c r="C1675" s="24"/>
      <c r="D1675" s="14"/>
      <c r="E1675" s="15"/>
      <c r="F1675" s="16"/>
      <c r="G1675" s="17"/>
      <c r="H1675" s="17"/>
      <c r="I1675" s="18"/>
      <c r="J1675" s="16"/>
      <c r="K1675" s="19"/>
      <c r="L1675" s="20"/>
    </row>
    <row r="1676" ht="15.75" customHeight="1">
      <c r="A1676" s="9"/>
      <c r="B1676" s="26"/>
      <c r="C1676" s="24"/>
      <c r="D1676" s="14"/>
      <c r="E1676" s="15"/>
      <c r="F1676" s="16"/>
      <c r="G1676" s="17"/>
      <c r="H1676" s="17"/>
      <c r="I1676" s="18"/>
      <c r="J1676" s="16"/>
      <c r="K1676" s="19"/>
      <c r="L1676" s="20"/>
    </row>
    <row r="1677" ht="15.75" customHeight="1">
      <c r="A1677" s="9"/>
      <c r="B1677" s="26"/>
      <c r="C1677" s="24"/>
      <c r="D1677" s="14"/>
      <c r="E1677" s="15"/>
      <c r="F1677" s="16"/>
      <c r="G1677" s="17"/>
      <c r="H1677" s="17"/>
      <c r="I1677" s="18"/>
      <c r="J1677" s="16"/>
      <c r="K1677" s="19"/>
      <c r="L1677" s="20"/>
    </row>
    <row r="1678" ht="15.75" customHeight="1">
      <c r="A1678" s="9"/>
      <c r="B1678" s="26"/>
      <c r="C1678" s="24"/>
      <c r="D1678" s="14"/>
      <c r="E1678" s="15"/>
      <c r="F1678" s="16"/>
      <c r="G1678" s="17"/>
      <c r="H1678" s="17"/>
      <c r="I1678" s="18"/>
      <c r="J1678" s="16"/>
      <c r="K1678" s="19"/>
      <c r="L1678" s="20"/>
    </row>
    <row r="1679" ht="15.75" customHeight="1">
      <c r="A1679" s="9"/>
      <c r="B1679" s="26"/>
      <c r="C1679" s="24"/>
      <c r="D1679" s="14"/>
      <c r="E1679" s="15"/>
      <c r="F1679" s="16"/>
      <c r="G1679" s="17"/>
      <c r="H1679" s="17"/>
      <c r="I1679" s="18"/>
      <c r="J1679" s="16"/>
      <c r="K1679" s="19"/>
      <c r="L1679" s="20"/>
    </row>
    <row r="1680" ht="15.75" customHeight="1">
      <c r="A1680" s="9"/>
      <c r="B1680" s="26"/>
      <c r="C1680" s="24"/>
      <c r="D1680" s="14"/>
      <c r="E1680" s="15"/>
      <c r="F1680" s="16"/>
      <c r="G1680" s="17"/>
      <c r="H1680" s="17"/>
      <c r="I1680" s="18"/>
      <c r="J1680" s="16"/>
      <c r="K1680" s="19"/>
      <c r="L1680" s="20"/>
    </row>
    <row r="1681" ht="15.75" customHeight="1">
      <c r="A1681" s="9"/>
      <c r="B1681" s="26"/>
      <c r="C1681" s="24"/>
      <c r="D1681" s="14"/>
      <c r="E1681" s="15"/>
      <c r="F1681" s="16"/>
      <c r="G1681" s="17"/>
      <c r="H1681" s="17"/>
      <c r="I1681" s="18"/>
      <c r="J1681" s="16"/>
      <c r="K1681" s="19"/>
      <c r="L1681" s="20"/>
    </row>
    <row r="1682" ht="15.75" customHeight="1">
      <c r="A1682" s="9"/>
      <c r="B1682" s="26"/>
      <c r="C1682" s="24"/>
      <c r="D1682" s="14"/>
      <c r="E1682" s="15"/>
      <c r="F1682" s="16"/>
      <c r="G1682" s="17"/>
      <c r="H1682" s="17"/>
      <c r="I1682" s="18"/>
      <c r="J1682" s="16"/>
      <c r="K1682" s="19"/>
      <c r="L1682" s="20"/>
    </row>
    <row r="1683" ht="15.75" customHeight="1">
      <c r="A1683" s="9"/>
      <c r="B1683" s="26"/>
      <c r="C1683" s="24"/>
      <c r="D1683" s="14"/>
      <c r="E1683" s="15"/>
      <c r="F1683" s="16"/>
      <c r="G1683" s="17"/>
      <c r="H1683" s="17"/>
      <c r="I1683" s="18"/>
      <c r="J1683" s="16"/>
      <c r="K1683" s="19"/>
      <c r="L1683" s="20"/>
    </row>
    <row r="1684" ht="15.75" customHeight="1">
      <c r="A1684" s="9"/>
      <c r="B1684" s="26"/>
      <c r="C1684" s="24"/>
      <c r="D1684" s="14"/>
      <c r="E1684" s="15"/>
      <c r="F1684" s="16"/>
      <c r="G1684" s="17"/>
      <c r="H1684" s="17"/>
      <c r="I1684" s="18"/>
      <c r="J1684" s="16"/>
      <c r="K1684" s="19"/>
      <c r="L1684" s="20"/>
    </row>
    <row r="1685" ht="15.75" customHeight="1">
      <c r="A1685" s="9"/>
      <c r="B1685" s="26"/>
      <c r="C1685" s="24"/>
      <c r="D1685" s="14"/>
      <c r="E1685" s="15"/>
      <c r="F1685" s="16"/>
      <c r="G1685" s="17"/>
      <c r="H1685" s="17"/>
      <c r="I1685" s="18"/>
      <c r="J1685" s="16"/>
      <c r="K1685" s="19"/>
      <c r="L1685" s="20"/>
    </row>
    <row r="1686" ht="15.75" customHeight="1">
      <c r="A1686" s="9"/>
      <c r="B1686" s="26"/>
      <c r="C1686" s="24"/>
      <c r="D1686" s="14"/>
      <c r="E1686" s="15"/>
      <c r="F1686" s="16"/>
      <c r="G1686" s="17"/>
      <c r="H1686" s="17"/>
      <c r="I1686" s="18"/>
      <c r="J1686" s="16"/>
      <c r="K1686" s="19"/>
      <c r="L1686" s="20"/>
    </row>
    <row r="1687" ht="15.75" customHeight="1">
      <c r="A1687" s="9"/>
      <c r="B1687" s="26"/>
      <c r="C1687" s="24"/>
      <c r="D1687" s="14"/>
      <c r="E1687" s="15"/>
      <c r="F1687" s="16"/>
      <c r="G1687" s="17"/>
      <c r="H1687" s="17"/>
      <c r="I1687" s="18"/>
      <c r="J1687" s="16"/>
      <c r="K1687" s="19"/>
      <c r="L1687" s="20"/>
    </row>
    <row r="1688" ht="15.75" customHeight="1">
      <c r="A1688" s="9"/>
      <c r="B1688" s="26"/>
      <c r="C1688" s="24"/>
      <c r="D1688" s="14"/>
      <c r="E1688" s="15"/>
      <c r="F1688" s="16"/>
      <c r="G1688" s="17"/>
      <c r="H1688" s="17"/>
      <c r="I1688" s="18"/>
      <c r="J1688" s="16"/>
      <c r="K1688" s="19"/>
      <c r="L1688" s="20"/>
    </row>
    <row r="1689" ht="15.75" customHeight="1">
      <c r="A1689" s="9"/>
      <c r="B1689" s="26"/>
      <c r="C1689" s="24"/>
      <c r="D1689" s="14"/>
      <c r="E1689" s="15"/>
      <c r="F1689" s="16"/>
      <c r="G1689" s="17"/>
      <c r="H1689" s="17"/>
      <c r="I1689" s="18"/>
      <c r="J1689" s="16"/>
      <c r="K1689" s="19"/>
      <c r="L1689" s="20"/>
    </row>
    <row r="1690" ht="15.75" customHeight="1">
      <c r="A1690" s="9"/>
      <c r="B1690" s="26"/>
      <c r="C1690" s="24"/>
      <c r="D1690" s="14"/>
      <c r="E1690" s="15"/>
      <c r="F1690" s="16"/>
      <c r="G1690" s="17"/>
      <c r="H1690" s="17"/>
      <c r="I1690" s="18"/>
      <c r="J1690" s="16"/>
      <c r="K1690" s="19"/>
      <c r="L1690" s="20"/>
    </row>
    <row r="1691" ht="15.75" customHeight="1">
      <c r="A1691" s="9"/>
      <c r="B1691" s="26"/>
      <c r="C1691" s="24"/>
      <c r="D1691" s="14"/>
      <c r="E1691" s="15"/>
      <c r="F1691" s="16"/>
      <c r="G1691" s="17"/>
      <c r="H1691" s="17"/>
      <c r="I1691" s="18"/>
      <c r="J1691" s="16"/>
      <c r="K1691" s="19"/>
      <c r="L1691" s="20"/>
    </row>
    <row r="1692" ht="15.75" customHeight="1">
      <c r="A1692" s="9"/>
      <c r="B1692" s="26"/>
      <c r="C1692" s="24"/>
      <c r="D1692" s="14"/>
      <c r="E1692" s="15"/>
      <c r="F1692" s="16"/>
      <c r="G1692" s="17"/>
      <c r="H1692" s="17"/>
      <c r="I1692" s="18"/>
      <c r="J1692" s="16"/>
      <c r="K1692" s="19"/>
      <c r="L1692" s="20"/>
    </row>
    <row r="1693" ht="15.75" customHeight="1">
      <c r="A1693" s="9"/>
      <c r="B1693" s="26"/>
      <c r="C1693" s="24"/>
      <c r="D1693" s="14"/>
      <c r="E1693" s="15"/>
      <c r="F1693" s="16"/>
      <c r="G1693" s="17"/>
      <c r="H1693" s="17"/>
      <c r="I1693" s="18"/>
      <c r="J1693" s="16"/>
      <c r="K1693" s="19"/>
      <c r="L1693" s="20"/>
    </row>
    <row r="1694" ht="15.75" customHeight="1">
      <c r="A1694" s="9"/>
      <c r="B1694" s="26"/>
      <c r="C1694" s="24"/>
      <c r="D1694" s="14"/>
      <c r="E1694" s="15"/>
      <c r="F1694" s="16"/>
      <c r="G1694" s="17"/>
      <c r="H1694" s="17"/>
      <c r="I1694" s="18"/>
      <c r="J1694" s="16"/>
      <c r="K1694" s="19"/>
      <c r="L1694" s="20"/>
    </row>
    <row r="1695" ht="15.75" customHeight="1">
      <c r="A1695" s="9"/>
      <c r="B1695" s="26"/>
      <c r="C1695" s="24"/>
      <c r="D1695" s="14"/>
      <c r="E1695" s="15"/>
      <c r="F1695" s="16"/>
      <c r="G1695" s="17"/>
      <c r="H1695" s="17"/>
      <c r="I1695" s="18"/>
      <c r="J1695" s="16"/>
      <c r="K1695" s="19"/>
      <c r="L1695" s="20"/>
    </row>
    <row r="1696" ht="15.75" customHeight="1">
      <c r="A1696" s="9"/>
      <c r="B1696" s="26"/>
      <c r="C1696" s="24"/>
      <c r="D1696" s="14"/>
      <c r="E1696" s="15"/>
      <c r="F1696" s="16"/>
      <c r="G1696" s="17"/>
      <c r="H1696" s="17"/>
      <c r="I1696" s="18"/>
      <c r="J1696" s="16"/>
      <c r="K1696" s="19"/>
      <c r="L1696" s="20"/>
    </row>
    <row r="1697" ht="15.75" customHeight="1">
      <c r="A1697" s="9"/>
      <c r="B1697" s="26"/>
      <c r="C1697" s="24"/>
      <c r="D1697" s="14"/>
      <c r="E1697" s="15"/>
      <c r="F1697" s="16"/>
      <c r="G1697" s="17"/>
      <c r="H1697" s="17"/>
      <c r="I1697" s="18"/>
      <c r="J1697" s="16"/>
      <c r="K1697" s="19"/>
      <c r="L1697" s="20"/>
    </row>
    <row r="1698" ht="15.75" customHeight="1">
      <c r="A1698" s="9"/>
      <c r="B1698" s="26"/>
      <c r="C1698" s="24"/>
      <c r="D1698" s="14"/>
      <c r="E1698" s="15"/>
      <c r="F1698" s="16"/>
      <c r="G1698" s="17"/>
      <c r="H1698" s="17"/>
      <c r="I1698" s="18"/>
      <c r="J1698" s="16"/>
      <c r="K1698" s="19"/>
      <c r="L1698" s="20"/>
    </row>
    <row r="1699" ht="15.75" customHeight="1">
      <c r="A1699" s="9"/>
      <c r="B1699" s="26"/>
      <c r="C1699" s="24"/>
      <c r="D1699" s="14"/>
      <c r="E1699" s="15"/>
      <c r="F1699" s="16"/>
      <c r="G1699" s="17"/>
      <c r="H1699" s="17"/>
      <c r="I1699" s="18"/>
      <c r="J1699" s="16"/>
      <c r="K1699" s="19"/>
      <c r="L1699" s="20"/>
    </row>
    <row r="1700" ht="15.75" customHeight="1">
      <c r="A1700" s="9"/>
      <c r="B1700" s="26"/>
      <c r="C1700" s="24"/>
      <c r="D1700" s="14"/>
      <c r="E1700" s="15"/>
      <c r="F1700" s="16"/>
      <c r="G1700" s="17"/>
      <c r="H1700" s="17"/>
      <c r="I1700" s="18"/>
      <c r="J1700" s="16"/>
      <c r="K1700" s="19"/>
      <c r="L1700" s="20"/>
    </row>
    <row r="1701" ht="15.75" customHeight="1">
      <c r="A1701" s="9"/>
      <c r="B1701" s="26"/>
      <c r="C1701" s="24"/>
      <c r="D1701" s="14"/>
      <c r="E1701" s="15"/>
      <c r="F1701" s="16"/>
      <c r="G1701" s="17"/>
      <c r="H1701" s="17"/>
      <c r="I1701" s="18"/>
      <c r="J1701" s="16"/>
      <c r="K1701" s="19"/>
      <c r="L1701" s="20"/>
    </row>
    <row r="1702" ht="15.75" customHeight="1">
      <c r="A1702" s="9"/>
      <c r="B1702" s="26"/>
      <c r="C1702" s="24"/>
      <c r="D1702" s="14"/>
      <c r="E1702" s="15"/>
      <c r="F1702" s="16"/>
      <c r="G1702" s="17"/>
      <c r="H1702" s="17"/>
      <c r="I1702" s="18"/>
      <c r="J1702" s="16"/>
      <c r="K1702" s="19"/>
      <c r="L1702" s="20"/>
    </row>
    <row r="1703" ht="15.75" customHeight="1">
      <c r="A1703" s="9"/>
      <c r="B1703" s="26"/>
      <c r="C1703" s="24"/>
      <c r="D1703" s="14"/>
      <c r="E1703" s="15"/>
      <c r="F1703" s="16"/>
      <c r="G1703" s="17"/>
      <c r="H1703" s="17"/>
      <c r="I1703" s="18"/>
      <c r="J1703" s="16"/>
      <c r="K1703" s="19"/>
      <c r="L1703" s="20"/>
    </row>
    <row r="1704" ht="15.75" customHeight="1">
      <c r="A1704" s="9"/>
      <c r="B1704" s="26"/>
      <c r="C1704" s="24"/>
      <c r="D1704" s="14"/>
      <c r="E1704" s="15"/>
      <c r="F1704" s="16"/>
      <c r="G1704" s="17"/>
      <c r="H1704" s="17"/>
      <c r="I1704" s="18"/>
      <c r="J1704" s="16"/>
      <c r="K1704" s="19"/>
      <c r="L1704" s="20"/>
    </row>
    <row r="1705" ht="15.75" customHeight="1">
      <c r="A1705" s="9"/>
      <c r="B1705" s="26"/>
      <c r="C1705" s="24"/>
      <c r="D1705" s="14"/>
      <c r="E1705" s="15"/>
      <c r="F1705" s="16"/>
      <c r="G1705" s="17"/>
      <c r="H1705" s="17"/>
      <c r="I1705" s="18"/>
      <c r="J1705" s="16"/>
      <c r="K1705" s="19"/>
      <c r="L1705" s="20"/>
    </row>
    <row r="1706" ht="15.75" customHeight="1">
      <c r="A1706" s="9"/>
      <c r="B1706" s="26"/>
      <c r="C1706" s="24"/>
      <c r="D1706" s="14"/>
      <c r="E1706" s="15"/>
      <c r="F1706" s="16"/>
      <c r="G1706" s="17"/>
      <c r="H1706" s="17"/>
      <c r="I1706" s="18"/>
      <c r="J1706" s="16"/>
      <c r="K1706" s="19"/>
      <c r="L1706" s="20"/>
    </row>
    <row r="1707" ht="15.75" customHeight="1">
      <c r="A1707" s="9"/>
      <c r="B1707" s="26"/>
      <c r="C1707" s="24"/>
      <c r="D1707" s="14"/>
      <c r="E1707" s="15"/>
      <c r="F1707" s="16"/>
      <c r="G1707" s="17"/>
      <c r="H1707" s="17"/>
      <c r="I1707" s="18"/>
      <c r="J1707" s="16"/>
      <c r="K1707" s="19"/>
      <c r="L1707" s="20"/>
    </row>
    <row r="1708" ht="15.75" customHeight="1">
      <c r="A1708" s="9"/>
      <c r="B1708" s="26"/>
      <c r="C1708" s="24"/>
      <c r="D1708" s="14"/>
      <c r="E1708" s="15"/>
      <c r="F1708" s="16"/>
      <c r="G1708" s="17"/>
      <c r="H1708" s="17"/>
      <c r="I1708" s="18"/>
      <c r="J1708" s="16"/>
      <c r="K1708" s="19"/>
      <c r="L1708" s="20"/>
    </row>
    <row r="1709" ht="15.75" customHeight="1">
      <c r="A1709" s="9"/>
      <c r="B1709" s="26"/>
      <c r="C1709" s="24"/>
      <c r="D1709" s="14"/>
      <c r="E1709" s="15"/>
      <c r="F1709" s="16"/>
      <c r="G1709" s="17"/>
      <c r="H1709" s="17"/>
      <c r="I1709" s="18"/>
      <c r="J1709" s="16"/>
      <c r="K1709" s="19"/>
      <c r="L1709" s="20"/>
    </row>
    <row r="1710" ht="15.75" customHeight="1">
      <c r="A1710" s="9"/>
      <c r="B1710" s="26"/>
      <c r="C1710" s="24"/>
      <c r="D1710" s="14"/>
      <c r="E1710" s="15"/>
      <c r="F1710" s="16"/>
      <c r="G1710" s="17"/>
      <c r="H1710" s="17"/>
      <c r="I1710" s="18"/>
      <c r="J1710" s="16"/>
      <c r="K1710" s="19"/>
      <c r="L1710" s="20"/>
    </row>
    <row r="1711" ht="15.75" customHeight="1">
      <c r="A1711" s="9"/>
      <c r="B1711" s="26"/>
      <c r="C1711" s="24"/>
      <c r="D1711" s="14"/>
      <c r="E1711" s="15"/>
      <c r="F1711" s="16"/>
      <c r="G1711" s="17"/>
      <c r="H1711" s="17"/>
      <c r="I1711" s="18"/>
      <c r="J1711" s="16"/>
      <c r="K1711" s="19"/>
      <c r="L1711" s="20"/>
    </row>
    <row r="1712" ht="15.75" customHeight="1">
      <c r="A1712" s="9"/>
      <c r="B1712" s="26"/>
      <c r="C1712" s="24"/>
      <c r="D1712" s="14"/>
      <c r="E1712" s="15"/>
      <c r="F1712" s="16"/>
      <c r="G1712" s="17"/>
      <c r="H1712" s="17"/>
      <c r="I1712" s="18"/>
      <c r="J1712" s="16"/>
      <c r="K1712" s="19"/>
      <c r="L1712" s="20"/>
    </row>
    <row r="1713" ht="15.75" customHeight="1">
      <c r="A1713" s="9"/>
      <c r="B1713" s="26"/>
      <c r="C1713" s="24"/>
      <c r="D1713" s="14"/>
      <c r="E1713" s="15"/>
      <c r="F1713" s="16"/>
      <c r="G1713" s="17"/>
      <c r="H1713" s="17"/>
      <c r="I1713" s="18"/>
      <c r="J1713" s="16"/>
      <c r="K1713" s="19"/>
      <c r="L1713" s="20"/>
    </row>
    <row r="1714" ht="15.75" customHeight="1">
      <c r="A1714" s="9"/>
      <c r="B1714" s="26"/>
      <c r="C1714" s="24"/>
      <c r="D1714" s="14"/>
      <c r="E1714" s="15"/>
      <c r="F1714" s="16"/>
      <c r="G1714" s="17"/>
      <c r="H1714" s="17"/>
      <c r="I1714" s="18"/>
      <c r="J1714" s="16"/>
      <c r="K1714" s="19"/>
      <c r="L1714" s="20"/>
    </row>
    <row r="1715" ht="15.75" customHeight="1">
      <c r="A1715" s="9"/>
      <c r="B1715" s="26"/>
      <c r="C1715" s="24"/>
      <c r="D1715" s="14"/>
      <c r="E1715" s="15"/>
      <c r="F1715" s="16"/>
      <c r="G1715" s="17"/>
      <c r="H1715" s="17"/>
      <c r="I1715" s="18"/>
      <c r="J1715" s="16"/>
      <c r="K1715" s="19"/>
      <c r="L1715" s="20"/>
    </row>
    <row r="1716" ht="15.75" customHeight="1">
      <c r="A1716" s="9"/>
      <c r="B1716" s="26"/>
      <c r="C1716" s="24"/>
      <c r="D1716" s="14"/>
      <c r="E1716" s="15"/>
      <c r="F1716" s="16"/>
      <c r="G1716" s="17"/>
      <c r="H1716" s="17"/>
      <c r="I1716" s="18"/>
      <c r="J1716" s="16"/>
      <c r="K1716" s="19"/>
      <c r="L1716" s="20"/>
    </row>
    <row r="1717" ht="15.75" customHeight="1">
      <c r="A1717" s="9"/>
      <c r="B1717" s="26"/>
      <c r="C1717" s="24"/>
      <c r="D1717" s="14"/>
      <c r="E1717" s="15"/>
      <c r="F1717" s="16"/>
      <c r="G1717" s="17"/>
      <c r="H1717" s="17"/>
      <c r="I1717" s="18"/>
      <c r="J1717" s="16"/>
      <c r="K1717" s="19"/>
      <c r="L1717" s="20"/>
    </row>
    <row r="1718" ht="15.75" customHeight="1">
      <c r="A1718" s="9"/>
      <c r="B1718" s="26"/>
      <c r="C1718" s="24"/>
      <c r="D1718" s="14"/>
      <c r="E1718" s="15"/>
      <c r="F1718" s="16"/>
      <c r="G1718" s="17"/>
      <c r="H1718" s="17"/>
      <c r="I1718" s="18"/>
      <c r="J1718" s="16"/>
      <c r="K1718" s="19"/>
      <c r="L1718" s="20"/>
    </row>
    <row r="1719" ht="15.75" customHeight="1">
      <c r="A1719" s="9"/>
      <c r="B1719" s="26"/>
      <c r="C1719" s="24"/>
      <c r="D1719" s="14"/>
      <c r="E1719" s="15"/>
      <c r="F1719" s="16"/>
      <c r="G1719" s="17"/>
      <c r="H1719" s="17"/>
      <c r="I1719" s="18"/>
      <c r="J1719" s="16"/>
      <c r="K1719" s="19"/>
      <c r="L1719" s="20"/>
    </row>
    <row r="1720" ht="15.75" customHeight="1">
      <c r="A1720" s="9"/>
      <c r="B1720" s="26"/>
      <c r="C1720" s="24"/>
      <c r="D1720" s="14"/>
      <c r="E1720" s="15"/>
      <c r="F1720" s="16"/>
      <c r="G1720" s="17"/>
      <c r="H1720" s="17"/>
      <c r="I1720" s="18"/>
      <c r="J1720" s="16"/>
      <c r="K1720" s="19"/>
      <c r="L1720" s="20"/>
    </row>
    <row r="1721" ht="15.75" customHeight="1">
      <c r="A1721" s="9"/>
      <c r="B1721" s="26"/>
      <c r="C1721" s="24"/>
      <c r="D1721" s="14"/>
      <c r="E1721" s="15"/>
      <c r="F1721" s="16"/>
      <c r="G1721" s="17"/>
      <c r="H1721" s="17"/>
      <c r="I1721" s="18"/>
      <c r="J1721" s="16"/>
      <c r="K1721" s="19"/>
      <c r="L1721" s="20"/>
    </row>
    <row r="1722" ht="15.75" customHeight="1">
      <c r="A1722" s="9"/>
      <c r="B1722" s="26"/>
      <c r="C1722" s="24"/>
      <c r="D1722" s="14"/>
      <c r="E1722" s="15"/>
      <c r="F1722" s="16"/>
      <c r="G1722" s="17"/>
      <c r="H1722" s="17"/>
      <c r="I1722" s="18"/>
      <c r="J1722" s="16"/>
      <c r="K1722" s="19"/>
      <c r="L1722" s="20"/>
    </row>
    <row r="1723" ht="15.75" customHeight="1">
      <c r="A1723" s="9"/>
      <c r="B1723" s="26"/>
      <c r="C1723" s="24"/>
      <c r="D1723" s="14"/>
      <c r="E1723" s="15"/>
      <c r="F1723" s="16"/>
      <c r="G1723" s="17"/>
      <c r="H1723" s="17"/>
      <c r="I1723" s="18"/>
      <c r="J1723" s="16"/>
      <c r="K1723" s="19"/>
      <c r="L1723" s="20"/>
    </row>
    <row r="1724" ht="15.75" customHeight="1">
      <c r="A1724" s="9"/>
      <c r="B1724" s="26"/>
      <c r="C1724" s="24"/>
      <c r="D1724" s="14"/>
      <c r="E1724" s="15"/>
      <c r="F1724" s="16"/>
      <c r="G1724" s="17"/>
      <c r="H1724" s="17"/>
      <c r="I1724" s="18"/>
      <c r="J1724" s="16"/>
      <c r="K1724" s="19"/>
      <c r="L1724" s="20"/>
    </row>
    <row r="1725" ht="15.75" customHeight="1">
      <c r="A1725" s="9"/>
      <c r="B1725" s="26"/>
      <c r="C1725" s="24"/>
      <c r="D1725" s="14"/>
      <c r="E1725" s="15"/>
      <c r="F1725" s="16"/>
      <c r="G1725" s="17"/>
      <c r="H1725" s="17"/>
      <c r="I1725" s="18"/>
      <c r="J1725" s="16"/>
      <c r="K1725" s="19"/>
      <c r="L1725" s="20"/>
    </row>
    <row r="1726" ht="15.75" customHeight="1">
      <c r="A1726" s="9"/>
      <c r="B1726" s="26"/>
      <c r="C1726" s="24"/>
      <c r="D1726" s="14"/>
      <c r="E1726" s="15"/>
      <c r="F1726" s="16"/>
      <c r="G1726" s="17"/>
      <c r="H1726" s="17"/>
      <c r="I1726" s="18"/>
      <c r="J1726" s="16"/>
      <c r="K1726" s="19"/>
      <c r="L1726" s="20"/>
    </row>
    <row r="1727" ht="15.75" customHeight="1">
      <c r="A1727" s="9"/>
      <c r="B1727" s="26"/>
      <c r="C1727" s="24"/>
      <c r="D1727" s="14"/>
      <c r="E1727" s="15"/>
      <c r="F1727" s="16"/>
      <c r="G1727" s="17"/>
      <c r="H1727" s="17"/>
      <c r="I1727" s="18"/>
      <c r="J1727" s="16"/>
      <c r="K1727" s="19"/>
      <c r="L1727" s="20"/>
    </row>
    <row r="1728" ht="15.75" customHeight="1">
      <c r="A1728" s="9"/>
      <c r="B1728" s="26"/>
      <c r="C1728" s="24"/>
      <c r="D1728" s="14"/>
      <c r="E1728" s="15"/>
      <c r="F1728" s="16"/>
      <c r="G1728" s="17"/>
      <c r="H1728" s="17"/>
      <c r="I1728" s="18"/>
      <c r="J1728" s="16"/>
      <c r="K1728" s="19"/>
      <c r="L1728" s="20"/>
    </row>
    <row r="1729" ht="15.75" customHeight="1">
      <c r="A1729" s="9"/>
      <c r="B1729" s="26"/>
      <c r="C1729" s="24"/>
      <c r="D1729" s="14"/>
      <c r="E1729" s="15"/>
      <c r="F1729" s="16"/>
      <c r="G1729" s="17"/>
      <c r="H1729" s="17"/>
      <c r="I1729" s="18"/>
      <c r="J1729" s="16"/>
      <c r="K1729" s="19"/>
      <c r="L1729" s="20"/>
    </row>
    <row r="1730" ht="15.75" customHeight="1">
      <c r="A1730" s="9"/>
      <c r="B1730" s="26"/>
      <c r="C1730" s="24"/>
      <c r="D1730" s="14"/>
      <c r="E1730" s="15"/>
      <c r="F1730" s="16"/>
      <c r="G1730" s="17"/>
      <c r="H1730" s="17"/>
      <c r="I1730" s="18"/>
      <c r="J1730" s="16"/>
      <c r="K1730" s="19"/>
      <c r="L1730" s="20"/>
    </row>
    <row r="1731" ht="15.75" customHeight="1">
      <c r="A1731" s="9"/>
      <c r="B1731" s="26"/>
      <c r="C1731" s="24"/>
      <c r="D1731" s="14"/>
      <c r="E1731" s="15"/>
      <c r="F1731" s="16"/>
      <c r="G1731" s="17"/>
      <c r="H1731" s="17"/>
      <c r="I1731" s="18"/>
      <c r="J1731" s="16"/>
      <c r="K1731" s="19"/>
      <c r="L1731" s="20"/>
    </row>
    <row r="1732" ht="15.75" customHeight="1">
      <c r="A1732" s="9"/>
      <c r="B1732" s="26"/>
      <c r="C1732" s="24"/>
      <c r="D1732" s="14"/>
      <c r="E1732" s="15"/>
      <c r="F1732" s="16"/>
      <c r="G1732" s="17"/>
      <c r="H1732" s="17"/>
      <c r="I1732" s="18"/>
      <c r="J1732" s="16"/>
      <c r="K1732" s="19"/>
      <c r="L1732" s="20"/>
    </row>
    <row r="1733" ht="15.75" customHeight="1">
      <c r="A1733" s="9"/>
      <c r="B1733" s="26"/>
      <c r="C1733" s="24"/>
      <c r="D1733" s="14"/>
      <c r="E1733" s="15"/>
      <c r="F1733" s="16"/>
      <c r="G1733" s="17"/>
      <c r="H1733" s="17"/>
      <c r="I1733" s="18"/>
      <c r="J1733" s="16"/>
      <c r="K1733" s="19"/>
      <c r="L1733" s="20"/>
    </row>
    <row r="1734" ht="15.75" customHeight="1">
      <c r="A1734" s="9"/>
      <c r="B1734" s="26"/>
      <c r="C1734" s="24"/>
      <c r="D1734" s="14"/>
      <c r="E1734" s="15"/>
      <c r="F1734" s="16"/>
      <c r="G1734" s="17"/>
      <c r="H1734" s="17"/>
      <c r="I1734" s="18"/>
      <c r="J1734" s="16"/>
      <c r="K1734" s="19"/>
      <c r="L1734" s="20"/>
    </row>
    <row r="1735" ht="15.75" customHeight="1">
      <c r="A1735" s="9"/>
      <c r="B1735" s="26"/>
      <c r="C1735" s="24"/>
      <c r="D1735" s="14"/>
      <c r="E1735" s="15"/>
      <c r="F1735" s="16"/>
      <c r="G1735" s="17"/>
      <c r="H1735" s="17"/>
      <c r="I1735" s="18"/>
      <c r="J1735" s="16"/>
      <c r="K1735" s="19"/>
      <c r="L1735" s="20"/>
    </row>
    <row r="1736" ht="15.75" customHeight="1">
      <c r="A1736" s="9"/>
      <c r="B1736" s="26"/>
      <c r="C1736" s="24"/>
      <c r="D1736" s="14"/>
      <c r="E1736" s="15"/>
      <c r="F1736" s="16"/>
      <c r="G1736" s="17"/>
      <c r="H1736" s="17"/>
      <c r="I1736" s="18"/>
      <c r="J1736" s="16"/>
      <c r="K1736" s="19"/>
      <c r="L1736" s="20"/>
    </row>
    <row r="1737" ht="15.75" customHeight="1">
      <c r="A1737" s="9"/>
      <c r="B1737" s="26"/>
      <c r="C1737" s="24"/>
      <c r="D1737" s="14"/>
      <c r="E1737" s="15"/>
      <c r="F1737" s="16"/>
      <c r="G1737" s="17"/>
      <c r="H1737" s="17"/>
      <c r="I1737" s="18"/>
      <c r="J1737" s="16"/>
      <c r="K1737" s="19"/>
      <c r="L1737" s="20"/>
    </row>
    <row r="1738" ht="15.75" customHeight="1">
      <c r="A1738" s="9"/>
      <c r="B1738" s="26"/>
      <c r="C1738" s="24"/>
      <c r="D1738" s="14"/>
      <c r="E1738" s="15"/>
      <c r="F1738" s="16"/>
      <c r="G1738" s="17"/>
      <c r="H1738" s="17"/>
      <c r="I1738" s="18"/>
      <c r="J1738" s="16"/>
      <c r="K1738" s="19"/>
      <c r="L1738" s="20"/>
    </row>
    <row r="1739" ht="15.75" customHeight="1">
      <c r="A1739" s="9"/>
      <c r="B1739" s="26"/>
      <c r="C1739" s="24"/>
      <c r="D1739" s="14"/>
      <c r="E1739" s="15"/>
      <c r="F1739" s="16"/>
      <c r="G1739" s="17"/>
      <c r="H1739" s="17"/>
      <c r="I1739" s="18"/>
      <c r="J1739" s="16"/>
      <c r="K1739" s="19"/>
      <c r="L1739" s="20"/>
    </row>
    <row r="1740" ht="15.75" customHeight="1">
      <c r="A1740" s="9"/>
      <c r="B1740" s="26"/>
      <c r="C1740" s="24"/>
      <c r="D1740" s="14"/>
      <c r="E1740" s="15"/>
      <c r="F1740" s="16"/>
      <c r="G1740" s="17"/>
      <c r="H1740" s="17"/>
      <c r="I1740" s="18"/>
      <c r="J1740" s="16"/>
      <c r="K1740" s="19"/>
      <c r="L1740" s="20"/>
    </row>
    <row r="1741" ht="15.75" customHeight="1">
      <c r="A1741" s="9"/>
      <c r="B1741" s="26"/>
      <c r="C1741" s="24"/>
      <c r="D1741" s="14"/>
      <c r="E1741" s="15"/>
      <c r="F1741" s="16"/>
      <c r="G1741" s="17"/>
      <c r="H1741" s="17"/>
      <c r="I1741" s="18"/>
      <c r="J1741" s="16"/>
      <c r="K1741" s="19"/>
      <c r="L1741" s="20"/>
    </row>
    <row r="1742" ht="15.75" customHeight="1">
      <c r="A1742" s="9"/>
      <c r="B1742" s="26"/>
      <c r="C1742" s="24"/>
      <c r="D1742" s="14"/>
      <c r="E1742" s="15"/>
      <c r="F1742" s="16"/>
      <c r="G1742" s="17"/>
      <c r="H1742" s="17"/>
      <c r="I1742" s="18"/>
      <c r="J1742" s="16"/>
      <c r="K1742" s="19"/>
      <c r="L1742" s="20"/>
    </row>
    <row r="1743" ht="15.75" customHeight="1">
      <c r="A1743" s="9"/>
      <c r="B1743" s="26"/>
      <c r="C1743" s="24"/>
      <c r="D1743" s="14"/>
      <c r="E1743" s="15"/>
      <c r="F1743" s="16"/>
      <c r="G1743" s="17"/>
      <c r="H1743" s="17"/>
      <c r="I1743" s="18"/>
      <c r="J1743" s="16"/>
      <c r="K1743" s="19"/>
      <c r="L1743" s="20"/>
    </row>
    <row r="1744" ht="15.75" customHeight="1">
      <c r="A1744" s="9"/>
      <c r="B1744" s="26"/>
      <c r="C1744" s="24"/>
      <c r="D1744" s="14"/>
      <c r="E1744" s="15"/>
      <c r="F1744" s="16"/>
      <c r="G1744" s="17"/>
      <c r="H1744" s="17"/>
      <c r="I1744" s="18"/>
      <c r="J1744" s="16"/>
      <c r="K1744" s="19"/>
      <c r="L1744" s="20"/>
    </row>
    <row r="1745" ht="15.75" customHeight="1">
      <c r="A1745" s="9"/>
      <c r="B1745" s="26"/>
      <c r="C1745" s="24"/>
      <c r="D1745" s="14"/>
      <c r="E1745" s="15"/>
      <c r="F1745" s="16"/>
      <c r="G1745" s="17"/>
      <c r="H1745" s="17"/>
      <c r="I1745" s="18"/>
      <c r="J1745" s="16"/>
      <c r="K1745" s="19"/>
      <c r="L1745" s="20"/>
    </row>
    <row r="1746" ht="15.75" customHeight="1">
      <c r="A1746" s="9"/>
      <c r="B1746" s="26"/>
      <c r="C1746" s="24"/>
      <c r="D1746" s="14"/>
      <c r="E1746" s="15"/>
      <c r="F1746" s="16"/>
      <c r="G1746" s="17"/>
      <c r="H1746" s="17"/>
      <c r="I1746" s="18"/>
      <c r="J1746" s="16"/>
      <c r="K1746" s="19"/>
      <c r="L1746" s="20"/>
    </row>
    <row r="1747" ht="15.75" customHeight="1">
      <c r="A1747" s="9"/>
      <c r="B1747" s="26"/>
      <c r="C1747" s="24"/>
      <c r="D1747" s="14"/>
      <c r="E1747" s="15"/>
      <c r="F1747" s="16"/>
      <c r="G1747" s="17"/>
      <c r="H1747" s="17"/>
      <c r="I1747" s="18"/>
      <c r="J1747" s="16"/>
      <c r="K1747" s="19"/>
      <c r="L1747" s="20"/>
    </row>
    <row r="1748" ht="15.75" customHeight="1">
      <c r="A1748" s="9"/>
      <c r="B1748" s="26"/>
      <c r="C1748" s="24"/>
      <c r="D1748" s="14"/>
      <c r="E1748" s="15"/>
      <c r="F1748" s="16"/>
      <c r="G1748" s="17"/>
      <c r="H1748" s="17"/>
      <c r="I1748" s="18"/>
      <c r="J1748" s="16"/>
      <c r="K1748" s="19"/>
      <c r="L1748" s="20"/>
    </row>
    <row r="1749" ht="15.75" customHeight="1">
      <c r="A1749" s="9"/>
      <c r="B1749" s="26"/>
      <c r="C1749" s="24"/>
      <c r="D1749" s="14"/>
      <c r="E1749" s="15"/>
      <c r="F1749" s="16"/>
      <c r="G1749" s="17"/>
      <c r="H1749" s="17"/>
      <c r="I1749" s="18"/>
      <c r="J1749" s="16"/>
      <c r="K1749" s="19"/>
      <c r="L1749" s="20"/>
    </row>
    <row r="1750" ht="15.75" customHeight="1">
      <c r="A1750" s="9"/>
      <c r="B1750" s="26"/>
      <c r="C1750" s="24"/>
      <c r="D1750" s="14"/>
      <c r="E1750" s="15"/>
      <c r="F1750" s="16"/>
      <c r="G1750" s="17"/>
      <c r="H1750" s="17"/>
      <c r="I1750" s="18"/>
      <c r="J1750" s="16"/>
      <c r="K1750" s="19"/>
      <c r="L1750" s="20"/>
    </row>
    <row r="1751" ht="15.75" customHeight="1">
      <c r="A1751" s="9"/>
      <c r="B1751" s="26"/>
      <c r="C1751" s="24"/>
      <c r="D1751" s="14"/>
      <c r="E1751" s="15"/>
      <c r="F1751" s="16"/>
      <c r="G1751" s="17"/>
      <c r="H1751" s="17"/>
      <c r="I1751" s="18"/>
      <c r="J1751" s="16"/>
      <c r="K1751" s="19"/>
      <c r="L1751" s="20"/>
    </row>
    <row r="1752" ht="15.75" customHeight="1">
      <c r="A1752" s="9"/>
      <c r="B1752" s="26"/>
      <c r="C1752" s="24"/>
      <c r="D1752" s="14"/>
      <c r="E1752" s="15"/>
      <c r="F1752" s="16"/>
      <c r="G1752" s="17"/>
      <c r="H1752" s="17"/>
      <c r="I1752" s="18"/>
      <c r="J1752" s="16"/>
      <c r="K1752" s="19"/>
      <c r="L1752" s="20"/>
    </row>
    <row r="1753" ht="15.75" customHeight="1">
      <c r="A1753" s="9"/>
      <c r="B1753" s="26"/>
      <c r="C1753" s="24"/>
      <c r="D1753" s="14"/>
      <c r="E1753" s="15"/>
      <c r="F1753" s="16"/>
      <c r="G1753" s="17"/>
      <c r="H1753" s="17"/>
      <c r="I1753" s="18"/>
      <c r="J1753" s="16"/>
      <c r="K1753" s="19"/>
      <c r="L1753" s="20"/>
    </row>
    <row r="1754" ht="15.75" customHeight="1">
      <c r="A1754" s="9"/>
      <c r="B1754" s="26"/>
      <c r="C1754" s="24"/>
      <c r="D1754" s="14"/>
      <c r="E1754" s="15"/>
      <c r="F1754" s="16"/>
      <c r="G1754" s="17"/>
      <c r="H1754" s="17"/>
      <c r="I1754" s="18"/>
      <c r="J1754" s="16"/>
      <c r="K1754" s="19"/>
      <c r="L1754" s="20"/>
    </row>
    <row r="1755" ht="15.75" customHeight="1">
      <c r="A1755" s="9"/>
      <c r="B1755" s="26"/>
      <c r="C1755" s="24"/>
      <c r="D1755" s="14"/>
      <c r="E1755" s="15"/>
      <c r="F1755" s="16"/>
      <c r="G1755" s="17"/>
      <c r="H1755" s="17"/>
      <c r="I1755" s="18"/>
      <c r="J1755" s="16"/>
      <c r="K1755" s="19"/>
      <c r="L1755" s="20"/>
    </row>
    <row r="1756" ht="15.75" customHeight="1">
      <c r="A1756" s="9"/>
      <c r="B1756" s="26"/>
      <c r="C1756" s="24"/>
      <c r="D1756" s="14"/>
      <c r="E1756" s="15"/>
      <c r="F1756" s="16"/>
      <c r="G1756" s="17"/>
      <c r="H1756" s="17"/>
      <c r="I1756" s="18"/>
      <c r="J1756" s="16"/>
      <c r="K1756" s="19"/>
      <c r="L1756" s="20"/>
    </row>
    <row r="1757" ht="15.75" customHeight="1">
      <c r="A1757" s="9"/>
      <c r="B1757" s="26"/>
      <c r="C1757" s="24"/>
      <c r="D1757" s="14"/>
      <c r="E1757" s="15"/>
      <c r="F1757" s="16"/>
      <c r="G1757" s="17"/>
      <c r="H1757" s="17"/>
      <c r="I1757" s="18"/>
      <c r="J1757" s="16"/>
      <c r="K1757" s="19"/>
      <c r="L1757" s="20"/>
    </row>
    <row r="1758" ht="15.75" customHeight="1">
      <c r="A1758" s="9"/>
      <c r="B1758" s="26"/>
      <c r="C1758" s="24"/>
      <c r="D1758" s="14"/>
      <c r="E1758" s="15"/>
      <c r="F1758" s="16"/>
      <c r="G1758" s="17"/>
      <c r="H1758" s="17"/>
      <c r="I1758" s="18"/>
      <c r="J1758" s="16"/>
      <c r="K1758" s="19"/>
      <c r="L1758" s="20"/>
    </row>
    <row r="1759" ht="15.75" customHeight="1">
      <c r="A1759" s="9"/>
      <c r="B1759" s="26"/>
      <c r="C1759" s="24"/>
      <c r="D1759" s="14"/>
      <c r="E1759" s="15"/>
      <c r="F1759" s="16"/>
      <c r="G1759" s="17"/>
      <c r="H1759" s="17"/>
      <c r="I1759" s="18"/>
      <c r="J1759" s="16"/>
      <c r="K1759" s="19"/>
      <c r="L1759" s="20"/>
    </row>
    <row r="1760" ht="15.75" customHeight="1">
      <c r="A1760" s="9"/>
      <c r="B1760" s="26"/>
      <c r="C1760" s="24"/>
      <c r="D1760" s="14"/>
      <c r="E1760" s="15"/>
      <c r="F1760" s="16"/>
      <c r="G1760" s="17"/>
      <c r="H1760" s="17"/>
      <c r="I1760" s="18"/>
      <c r="J1760" s="16"/>
      <c r="K1760" s="19"/>
      <c r="L1760" s="20"/>
    </row>
    <row r="1761" ht="15.75" customHeight="1">
      <c r="A1761" s="9"/>
      <c r="B1761" s="26"/>
      <c r="C1761" s="24"/>
      <c r="D1761" s="14"/>
      <c r="E1761" s="15"/>
      <c r="F1761" s="16"/>
      <c r="G1761" s="17"/>
      <c r="H1761" s="17"/>
      <c r="I1761" s="18"/>
      <c r="J1761" s="16"/>
      <c r="K1761" s="19"/>
      <c r="L1761" s="20"/>
    </row>
    <row r="1762" ht="15.75" customHeight="1">
      <c r="A1762" s="9"/>
      <c r="B1762" s="26"/>
      <c r="C1762" s="24"/>
      <c r="D1762" s="14"/>
      <c r="E1762" s="15"/>
      <c r="F1762" s="16"/>
      <c r="G1762" s="17"/>
      <c r="H1762" s="17"/>
      <c r="I1762" s="18"/>
      <c r="J1762" s="16"/>
      <c r="K1762" s="19"/>
      <c r="L1762" s="20"/>
    </row>
    <row r="1763" ht="15.75" customHeight="1">
      <c r="A1763" s="9"/>
      <c r="B1763" s="26"/>
      <c r="C1763" s="24"/>
      <c r="D1763" s="14"/>
      <c r="E1763" s="15"/>
      <c r="F1763" s="16"/>
      <c r="G1763" s="17"/>
      <c r="H1763" s="17"/>
      <c r="I1763" s="18"/>
      <c r="J1763" s="16"/>
      <c r="K1763" s="19"/>
      <c r="L1763" s="20"/>
    </row>
    <row r="1764" ht="15.75" customHeight="1">
      <c r="A1764" s="9"/>
      <c r="B1764" s="26"/>
      <c r="C1764" s="24"/>
      <c r="D1764" s="14"/>
      <c r="E1764" s="15"/>
      <c r="F1764" s="16"/>
      <c r="G1764" s="17"/>
      <c r="H1764" s="17"/>
      <c r="I1764" s="18"/>
      <c r="J1764" s="16"/>
      <c r="K1764" s="19"/>
      <c r="L1764" s="20"/>
    </row>
    <row r="1765" ht="15.75" customHeight="1">
      <c r="A1765" s="9"/>
      <c r="B1765" s="26"/>
      <c r="C1765" s="24"/>
      <c r="D1765" s="14"/>
      <c r="E1765" s="15"/>
      <c r="F1765" s="16"/>
      <c r="G1765" s="17"/>
      <c r="H1765" s="17"/>
      <c r="I1765" s="18"/>
      <c r="J1765" s="16"/>
      <c r="K1765" s="19"/>
      <c r="L1765" s="20"/>
    </row>
    <row r="1766" ht="15.75" customHeight="1">
      <c r="A1766" s="9"/>
      <c r="B1766" s="26"/>
      <c r="C1766" s="24"/>
      <c r="D1766" s="14"/>
      <c r="E1766" s="15"/>
      <c r="F1766" s="16"/>
      <c r="G1766" s="17"/>
      <c r="H1766" s="17"/>
      <c r="I1766" s="18"/>
      <c r="J1766" s="16"/>
      <c r="K1766" s="19"/>
      <c r="L1766" s="20"/>
    </row>
    <row r="1767" ht="15.75" customHeight="1">
      <c r="A1767" s="9"/>
      <c r="B1767" s="26"/>
      <c r="C1767" s="24"/>
      <c r="D1767" s="14"/>
      <c r="E1767" s="15"/>
      <c r="F1767" s="16"/>
      <c r="G1767" s="17"/>
      <c r="H1767" s="17"/>
      <c r="I1767" s="18"/>
      <c r="J1767" s="16"/>
      <c r="K1767" s="19"/>
      <c r="L1767" s="20"/>
    </row>
    <row r="1768" ht="15.75" customHeight="1">
      <c r="A1768" s="9"/>
      <c r="B1768" s="26"/>
      <c r="C1768" s="24"/>
      <c r="D1768" s="14"/>
      <c r="E1768" s="15"/>
      <c r="F1768" s="16"/>
      <c r="G1768" s="17"/>
      <c r="H1768" s="17"/>
      <c r="I1768" s="18"/>
      <c r="J1768" s="16"/>
      <c r="K1768" s="19"/>
      <c r="L1768" s="20"/>
    </row>
    <row r="1769" ht="15.75" customHeight="1">
      <c r="A1769" s="9"/>
      <c r="B1769" s="26"/>
      <c r="C1769" s="24"/>
      <c r="D1769" s="14"/>
      <c r="E1769" s="15"/>
      <c r="F1769" s="16"/>
      <c r="G1769" s="17"/>
      <c r="H1769" s="17"/>
      <c r="I1769" s="18"/>
      <c r="J1769" s="16"/>
      <c r="K1769" s="19"/>
      <c r="L1769" s="20"/>
    </row>
    <row r="1770" ht="15.75" customHeight="1">
      <c r="A1770" s="9"/>
      <c r="B1770" s="26"/>
      <c r="C1770" s="24"/>
      <c r="D1770" s="14"/>
      <c r="E1770" s="15"/>
      <c r="F1770" s="16"/>
      <c r="G1770" s="17"/>
      <c r="H1770" s="17"/>
      <c r="I1770" s="18"/>
      <c r="J1770" s="16"/>
      <c r="K1770" s="19"/>
      <c r="L1770" s="20"/>
    </row>
    <row r="1771" ht="15.75" customHeight="1">
      <c r="A1771" s="9"/>
      <c r="B1771" s="26"/>
      <c r="C1771" s="24"/>
      <c r="D1771" s="14"/>
      <c r="E1771" s="15"/>
      <c r="F1771" s="16"/>
      <c r="G1771" s="17"/>
      <c r="H1771" s="17"/>
      <c r="I1771" s="18"/>
      <c r="J1771" s="16"/>
      <c r="K1771" s="19"/>
      <c r="L1771" s="20"/>
    </row>
    <row r="1772" ht="15.75" customHeight="1">
      <c r="A1772" s="9"/>
      <c r="B1772" s="26"/>
      <c r="C1772" s="24"/>
      <c r="D1772" s="14"/>
      <c r="E1772" s="15"/>
      <c r="F1772" s="16"/>
      <c r="G1772" s="17"/>
      <c r="H1772" s="17"/>
      <c r="I1772" s="18"/>
      <c r="J1772" s="16"/>
      <c r="K1772" s="19"/>
      <c r="L1772" s="20"/>
    </row>
    <row r="1773" ht="15.75" customHeight="1">
      <c r="A1773" s="9"/>
      <c r="B1773" s="26"/>
      <c r="C1773" s="24"/>
      <c r="D1773" s="14"/>
      <c r="E1773" s="15"/>
      <c r="F1773" s="16"/>
      <c r="G1773" s="17"/>
      <c r="H1773" s="17"/>
      <c r="I1773" s="18"/>
      <c r="J1773" s="16"/>
      <c r="K1773" s="19"/>
      <c r="L1773" s="20"/>
    </row>
    <row r="1774" ht="15.75" customHeight="1">
      <c r="A1774" s="9"/>
      <c r="B1774" s="26"/>
      <c r="C1774" s="24"/>
      <c r="D1774" s="14"/>
      <c r="E1774" s="15"/>
      <c r="F1774" s="16"/>
      <c r="G1774" s="17"/>
      <c r="H1774" s="17"/>
      <c r="I1774" s="18"/>
      <c r="J1774" s="16"/>
      <c r="K1774" s="19"/>
      <c r="L1774" s="20"/>
    </row>
    <row r="1775" ht="15.75" customHeight="1">
      <c r="A1775" s="9"/>
      <c r="B1775" s="26"/>
      <c r="C1775" s="24"/>
      <c r="D1775" s="14"/>
      <c r="E1775" s="15"/>
      <c r="F1775" s="16"/>
      <c r="G1775" s="17"/>
      <c r="H1775" s="17"/>
      <c r="I1775" s="18"/>
      <c r="J1775" s="16"/>
      <c r="K1775" s="19"/>
      <c r="L1775" s="20"/>
    </row>
    <row r="1776" ht="15.75" customHeight="1">
      <c r="A1776" s="9"/>
      <c r="B1776" s="26"/>
      <c r="C1776" s="24"/>
      <c r="D1776" s="14"/>
      <c r="E1776" s="15"/>
      <c r="F1776" s="16"/>
      <c r="G1776" s="17"/>
      <c r="H1776" s="17"/>
      <c r="I1776" s="18"/>
      <c r="J1776" s="16"/>
      <c r="K1776" s="19"/>
      <c r="L1776" s="20"/>
    </row>
    <row r="1777" ht="15.75" customHeight="1">
      <c r="A1777" s="9"/>
      <c r="B1777" s="26"/>
      <c r="C1777" s="24"/>
      <c r="D1777" s="14"/>
      <c r="E1777" s="15"/>
      <c r="F1777" s="16"/>
      <c r="G1777" s="17"/>
      <c r="H1777" s="17"/>
      <c r="I1777" s="18"/>
      <c r="J1777" s="16"/>
      <c r="K1777" s="19"/>
      <c r="L1777" s="20"/>
    </row>
    <row r="1778" ht="15.75" customHeight="1">
      <c r="A1778" s="9"/>
      <c r="B1778" s="26"/>
      <c r="C1778" s="24"/>
      <c r="D1778" s="14"/>
      <c r="E1778" s="15"/>
      <c r="F1778" s="16"/>
      <c r="G1778" s="17"/>
      <c r="H1778" s="17"/>
      <c r="I1778" s="18"/>
      <c r="J1778" s="16"/>
      <c r="K1778" s="19"/>
      <c r="L1778" s="20"/>
    </row>
    <row r="1779" ht="15.75" customHeight="1">
      <c r="A1779" s="9"/>
      <c r="B1779" s="26"/>
      <c r="C1779" s="24"/>
      <c r="D1779" s="14"/>
      <c r="E1779" s="15"/>
      <c r="F1779" s="16"/>
      <c r="G1779" s="17"/>
      <c r="H1779" s="17"/>
      <c r="I1779" s="18"/>
      <c r="J1779" s="16"/>
      <c r="K1779" s="19"/>
      <c r="L1779" s="20"/>
    </row>
    <row r="1780" ht="15.75" customHeight="1">
      <c r="A1780" s="9"/>
      <c r="B1780" s="26"/>
      <c r="C1780" s="24"/>
      <c r="D1780" s="14"/>
      <c r="E1780" s="15"/>
      <c r="F1780" s="16"/>
      <c r="G1780" s="17"/>
      <c r="H1780" s="17"/>
      <c r="I1780" s="18"/>
      <c r="J1780" s="16"/>
      <c r="K1780" s="19"/>
      <c r="L1780" s="20"/>
    </row>
    <row r="1781" ht="15.75" customHeight="1">
      <c r="A1781" s="9"/>
      <c r="B1781" s="26"/>
      <c r="C1781" s="24"/>
      <c r="D1781" s="14"/>
      <c r="E1781" s="15"/>
      <c r="F1781" s="16"/>
      <c r="G1781" s="17"/>
      <c r="H1781" s="17"/>
      <c r="I1781" s="18"/>
      <c r="J1781" s="16"/>
      <c r="K1781" s="19"/>
      <c r="L1781" s="20"/>
    </row>
    <row r="1782" ht="15.75" customHeight="1">
      <c r="A1782" s="9"/>
      <c r="B1782" s="26"/>
      <c r="C1782" s="24"/>
      <c r="D1782" s="14"/>
      <c r="E1782" s="15"/>
      <c r="F1782" s="16"/>
      <c r="G1782" s="17"/>
      <c r="H1782" s="17"/>
      <c r="I1782" s="18"/>
      <c r="J1782" s="16"/>
      <c r="K1782" s="19"/>
      <c r="L1782" s="20"/>
    </row>
    <row r="1783" ht="15.75" customHeight="1">
      <c r="A1783" s="9"/>
      <c r="B1783" s="26"/>
      <c r="C1783" s="24"/>
      <c r="D1783" s="14"/>
      <c r="E1783" s="15"/>
      <c r="F1783" s="16"/>
      <c r="G1783" s="17"/>
      <c r="H1783" s="17"/>
      <c r="I1783" s="18"/>
      <c r="J1783" s="16"/>
      <c r="K1783" s="19"/>
      <c r="L1783" s="20"/>
    </row>
    <row r="1784" ht="15.75" customHeight="1">
      <c r="A1784" s="9"/>
      <c r="B1784" s="26"/>
      <c r="C1784" s="24"/>
      <c r="D1784" s="14"/>
      <c r="E1784" s="15"/>
      <c r="F1784" s="16"/>
      <c r="G1784" s="17"/>
      <c r="H1784" s="17"/>
      <c r="I1784" s="18"/>
      <c r="J1784" s="16"/>
      <c r="K1784" s="19"/>
      <c r="L1784" s="20"/>
    </row>
    <row r="1785" ht="15.75" customHeight="1">
      <c r="A1785" s="9"/>
      <c r="B1785" s="26"/>
      <c r="C1785" s="24"/>
      <c r="D1785" s="14"/>
      <c r="E1785" s="15"/>
      <c r="F1785" s="16"/>
      <c r="G1785" s="17"/>
      <c r="H1785" s="17"/>
      <c r="I1785" s="18"/>
      <c r="J1785" s="16"/>
      <c r="K1785" s="19"/>
      <c r="L1785" s="20"/>
    </row>
    <row r="1786" ht="15.75" customHeight="1">
      <c r="A1786" s="9"/>
      <c r="B1786" s="26"/>
      <c r="C1786" s="24"/>
      <c r="D1786" s="14"/>
      <c r="E1786" s="15"/>
      <c r="F1786" s="16"/>
      <c r="G1786" s="17"/>
      <c r="H1786" s="17"/>
      <c r="I1786" s="18"/>
      <c r="J1786" s="16"/>
      <c r="K1786" s="19"/>
      <c r="L1786" s="20"/>
    </row>
    <row r="1787" ht="15.75" customHeight="1">
      <c r="A1787" s="9"/>
      <c r="B1787" s="26"/>
      <c r="C1787" s="24"/>
      <c r="D1787" s="14"/>
      <c r="E1787" s="15"/>
      <c r="F1787" s="16"/>
      <c r="G1787" s="17"/>
      <c r="H1787" s="17"/>
      <c r="I1787" s="18"/>
      <c r="J1787" s="16"/>
      <c r="K1787" s="19"/>
      <c r="L1787" s="20"/>
    </row>
    <row r="1788" ht="15.75" customHeight="1">
      <c r="A1788" s="9"/>
      <c r="B1788" s="26"/>
      <c r="C1788" s="24"/>
      <c r="D1788" s="14"/>
      <c r="E1788" s="15"/>
      <c r="F1788" s="16"/>
      <c r="G1788" s="17"/>
      <c r="H1788" s="17"/>
      <c r="I1788" s="18"/>
      <c r="J1788" s="16"/>
      <c r="K1788" s="19"/>
      <c r="L1788" s="20"/>
    </row>
    <row r="1789" ht="15.75" customHeight="1">
      <c r="A1789" s="9"/>
      <c r="B1789" s="26"/>
      <c r="C1789" s="24"/>
      <c r="D1789" s="14"/>
      <c r="E1789" s="15"/>
      <c r="F1789" s="16"/>
      <c r="G1789" s="17"/>
      <c r="H1789" s="17"/>
      <c r="I1789" s="18"/>
      <c r="J1789" s="16"/>
      <c r="K1789" s="19"/>
      <c r="L1789" s="20"/>
    </row>
    <row r="1790" ht="15.75" customHeight="1">
      <c r="A1790" s="9"/>
      <c r="B1790" s="26"/>
      <c r="C1790" s="24"/>
      <c r="D1790" s="14"/>
      <c r="E1790" s="15"/>
      <c r="F1790" s="16"/>
      <c r="G1790" s="17"/>
      <c r="H1790" s="17"/>
      <c r="I1790" s="18"/>
      <c r="J1790" s="16"/>
      <c r="K1790" s="19"/>
      <c r="L1790" s="20"/>
    </row>
    <row r="1791" ht="15.75" customHeight="1">
      <c r="A1791" s="9"/>
      <c r="B1791" s="26"/>
      <c r="C1791" s="24"/>
      <c r="D1791" s="14"/>
      <c r="E1791" s="15"/>
      <c r="F1791" s="16"/>
      <c r="G1791" s="17"/>
      <c r="H1791" s="17"/>
      <c r="I1791" s="18"/>
      <c r="J1791" s="16"/>
      <c r="K1791" s="19"/>
      <c r="L1791" s="20"/>
    </row>
    <row r="1792" ht="15.75" customHeight="1">
      <c r="A1792" s="9"/>
      <c r="B1792" s="26"/>
      <c r="C1792" s="24"/>
      <c r="D1792" s="14"/>
      <c r="E1792" s="15"/>
      <c r="F1792" s="16"/>
      <c r="G1792" s="17"/>
      <c r="H1792" s="17"/>
      <c r="I1792" s="18"/>
      <c r="J1792" s="16"/>
      <c r="K1792" s="19"/>
      <c r="L1792" s="20"/>
    </row>
    <row r="1793" ht="15.75" customHeight="1">
      <c r="A1793" s="9"/>
      <c r="B1793" s="26"/>
      <c r="C1793" s="24"/>
      <c r="D1793" s="14"/>
      <c r="E1793" s="15"/>
      <c r="F1793" s="16"/>
      <c r="G1793" s="17"/>
      <c r="H1793" s="17"/>
      <c r="I1793" s="18"/>
      <c r="J1793" s="16"/>
      <c r="K1793" s="19"/>
      <c r="L1793" s="20"/>
    </row>
    <row r="1794" ht="15.75" customHeight="1">
      <c r="A1794" s="9"/>
      <c r="B1794" s="26"/>
      <c r="C1794" s="24"/>
      <c r="D1794" s="14"/>
      <c r="E1794" s="15"/>
      <c r="F1794" s="16"/>
      <c r="G1794" s="17"/>
      <c r="H1794" s="17"/>
      <c r="I1794" s="18"/>
      <c r="J1794" s="16"/>
      <c r="K1794" s="19"/>
      <c r="L1794" s="20"/>
    </row>
    <row r="1795" ht="15.75" customHeight="1">
      <c r="A1795" s="9"/>
      <c r="B1795" s="26"/>
      <c r="C1795" s="24"/>
      <c r="D1795" s="14"/>
      <c r="E1795" s="15"/>
      <c r="F1795" s="16"/>
      <c r="G1795" s="17"/>
      <c r="H1795" s="17"/>
      <c r="I1795" s="18"/>
      <c r="J1795" s="16"/>
      <c r="K1795" s="19"/>
      <c r="L1795" s="20"/>
    </row>
    <row r="1796" ht="15.75" customHeight="1">
      <c r="A1796" s="9"/>
      <c r="B1796" s="26"/>
      <c r="C1796" s="24"/>
      <c r="D1796" s="14"/>
      <c r="E1796" s="15"/>
      <c r="F1796" s="16"/>
      <c r="G1796" s="17"/>
      <c r="H1796" s="17"/>
      <c r="I1796" s="18"/>
      <c r="J1796" s="16"/>
      <c r="K1796" s="19"/>
      <c r="L1796" s="20"/>
    </row>
    <row r="1797" ht="15.75" customHeight="1">
      <c r="A1797" s="9"/>
      <c r="B1797" s="26"/>
      <c r="C1797" s="24"/>
      <c r="D1797" s="14"/>
      <c r="E1797" s="15"/>
      <c r="F1797" s="16"/>
      <c r="G1797" s="17"/>
      <c r="H1797" s="17"/>
      <c r="I1797" s="18"/>
      <c r="J1797" s="16"/>
      <c r="K1797" s="19"/>
      <c r="L1797" s="20"/>
    </row>
    <row r="1798" ht="15.75" customHeight="1">
      <c r="A1798" s="9"/>
      <c r="B1798" s="26"/>
      <c r="C1798" s="24"/>
      <c r="D1798" s="14"/>
      <c r="E1798" s="15"/>
      <c r="F1798" s="16"/>
      <c r="G1798" s="17"/>
      <c r="H1798" s="17"/>
      <c r="I1798" s="18"/>
      <c r="J1798" s="16"/>
      <c r="K1798" s="19"/>
      <c r="L1798" s="20"/>
    </row>
    <row r="1799" ht="15.75" customHeight="1">
      <c r="A1799" s="9"/>
      <c r="B1799" s="26"/>
      <c r="C1799" s="24"/>
      <c r="D1799" s="14"/>
      <c r="E1799" s="15"/>
      <c r="F1799" s="16"/>
      <c r="G1799" s="17"/>
      <c r="H1799" s="17"/>
      <c r="I1799" s="18"/>
      <c r="J1799" s="16"/>
      <c r="K1799" s="19"/>
      <c r="L1799" s="20"/>
    </row>
    <row r="1800" ht="15.75" customHeight="1">
      <c r="A1800" s="9"/>
      <c r="B1800" s="26"/>
      <c r="C1800" s="24"/>
      <c r="D1800" s="14"/>
      <c r="E1800" s="15"/>
      <c r="F1800" s="16"/>
      <c r="G1800" s="17"/>
      <c r="H1800" s="17"/>
      <c r="I1800" s="18"/>
      <c r="J1800" s="16"/>
      <c r="K1800" s="19"/>
      <c r="L1800" s="20"/>
    </row>
    <row r="1801" ht="15.75" customHeight="1">
      <c r="A1801" s="9"/>
      <c r="B1801" s="26"/>
      <c r="C1801" s="24"/>
      <c r="D1801" s="14"/>
      <c r="E1801" s="15"/>
      <c r="F1801" s="16"/>
      <c r="G1801" s="17"/>
      <c r="H1801" s="17"/>
      <c r="I1801" s="18"/>
      <c r="J1801" s="16"/>
      <c r="K1801" s="19"/>
      <c r="L1801" s="20"/>
    </row>
    <row r="1802" ht="15.75" customHeight="1">
      <c r="A1802" s="9"/>
      <c r="B1802" s="26"/>
      <c r="C1802" s="24"/>
      <c r="D1802" s="14"/>
      <c r="E1802" s="15"/>
      <c r="F1802" s="16"/>
      <c r="G1802" s="17"/>
      <c r="H1802" s="17"/>
      <c r="I1802" s="18"/>
      <c r="J1802" s="16"/>
      <c r="K1802" s="19"/>
      <c r="L1802" s="20"/>
    </row>
    <row r="1803" ht="15.75" customHeight="1">
      <c r="A1803" s="9"/>
      <c r="B1803" s="26"/>
      <c r="C1803" s="24"/>
      <c r="D1803" s="14"/>
      <c r="E1803" s="15"/>
      <c r="F1803" s="16"/>
      <c r="G1803" s="17"/>
      <c r="H1803" s="17"/>
      <c r="I1803" s="18"/>
      <c r="J1803" s="16"/>
      <c r="K1803" s="19"/>
      <c r="L1803" s="20"/>
    </row>
    <row r="1804" ht="15.75" customHeight="1">
      <c r="A1804" s="9"/>
      <c r="B1804" s="26"/>
      <c r="C1804" s="24"/>
      <c r="D1804" s="14"/>
      <c r="E1804" s="15"/>
      <c r="F1804" s="16"/>
      <c r="G1804" s="17"/>
      <c r="H1804" s="17"/>
      <c r="I1804" s="18"/>
      <c r="J1804" s="16"/>
      <c r="K1804" s="19"/>
      <c r="L1804" s="20"/>
    </row>
    <row r="1805" ht="15.75" customHeight="1">
      <c r="A1805" s="9"/>
      <c r="B1805" s="26"/>
      <c r="C1805" s="24"/>
      <c r="D1805" s="14"/>
      <c r="E1805" s="15"/>
      <c r="F1805" s="16"/>
      <c r="G1805" s="17"/>
      <c r="H1805" s="17"/>
      <c r="I1805" s="18"/>
      <c r="J1805" s="16"/>
      <c r="K1805" s="19"/>
      <c r="L1805" s="20"/>
    </row>
    <row r="1806" ht="15.75" customHeight="1">
      <c r="A1806" s="9"/>
      <c r="B1806" s="26"/>
      <c r="C1806" s="24"/>
      <c r="D1806" s="14"/>
      <c r="E1806" s="15"/>
      <c r="F1806" s="16"/>
      <c r="G1806" s="17"/>
      <c r="H1806" s="17"/>
      <c r="I1806" s="18"/>
      <c r="J1806" s="16"/>
      <c r="K1806" s="19"/>
      <c r="L1806" s="20"/>
    </row>
    <row r="1807" ht="15.75" customHeight="1">
      <c r="A1807" s="9"/>
      <c r="B1807" s="26"/>
      <c r="C1807" s="24"/>
      <c r="D1807" s="14"/>
      <c r="E1807" s="15"/>
      <c r="F1807" s="16"/>
      <c r="G1807" s="17"/>
      <c r="H1807" s="17"/>
      <c r="I1807" s="18"/>
      <c r="J1807" s="16"/>
      <c r="K1807" s="19"/>
      <c r="L1807" s="20"/>
    </row>
    <row r="1808" ht="15.75" customHeight="1">
      <c r="A1808" s="9"/>
      <c r="B1808" s="26"/>
      <c r="C1808" s="24"/>
      <c r="D1808" s="14"/>
      <c r="E1808" s="15"/>
      <c r="F1808" s="16"/>
      <c r="G1808" s="17"/>
      <c r="H1808" s="17"/>
      <c r="I1808" s="18"/>
      <c r="J1808" s="16"/>
      <c r="K1808" s="19"/>
      <c r="L1808" s="20"/>
    </row>
    <row r="1809" ht="15.75" customHeight="1">
      <c r="A1809" s="9"/>
      <c r="B1809" s="26"/>
      <c r="C1809" s="24"/>
      <c r="D1809" s="14"/>
      <c r="E1809" s="15"/>
      <c r="F1809" s="16"/>
      <c r="G1809" s="17"/>
      <c r="H1809" s="17"/>
      <c r="I1809" s="18"/>
      <c r="J1809" s="16"/>
      <c r="K1809" s="19"/>
      <c r="L1809" s="20"/>
    </row>
    <row r="1810" ht="15.75" customHeight="1">
      <c r="A1810" s="9"/>
      <c r="B1810" s="26"/>
      <c r="C1810" s="24"/>
      <c r="D1810" s="14"/>
      <c r="E1810" s="15"/>
      <c r="F1810" s="16"/>
      <c r="G1810" s="17"/>
      <c r="H1810" s="17"/>
      <c r="I1810" s="18"/>
      <c r="J1810" s="16"/>
      <c r="K1810" s="19"/>
      <c r="L1810" s="20"/>
    </row>
    <row r="1811" ht="15.75" customHeight="1">
      <c r="A1811" s="9"/>
      <c r="B1811" s="26"/>
      <c r="C1811" s="24"/>
      <c r="D1811" s="14"/>
      <c r="E1811" s="15"/>
      <c r="F1811" s="16"/>
      <c r="G1811" s="17"/>
      <c r="H1811" s="17"/>
      <c r="I1811" s="18"/>
      <c r="J1811" s="16"/>
      <c r="K1811" s="19"/>
      <c r="L1811" s="20"/>
    </row>
    <row r="1812" ht="15.75" customHeight="1">
      <c r="A1812" s="9"/>
      <c r="B1812" s="26"/>
      <c r="C1812" s="24"/>
      <c r="D1812" s="14"/>
      <c r="E1812" s="15"/>
      <c r="F1812" s="16"/>
      <c r="G1812" s="17"/>
      <c r="H1812" s="17"/>
      <c r="I1812" s="18"/>
      <c r="J1812" s="16"/>
      <c r="K1812" s="19"/>
      <c r="L1812" s="20"/>
    </row>
    <row r="1813" ht="15.75" customHeight="1">
      <c r="A1813" s="9"/>
      <c r="B1813" s="26"/>
      <c r="C1813" s="24"/>
      <c r="D1813" s="14"/>
      <c r="E1813" s="15"/>
      <c r="F1813" s="16"/>
      <c r="G1813" s="17"/>
      <c r="H1813" s="17"/>
      <c r="I1813" s="18"/>
      <c r="J1813" s="16"/>
      <c r="K1813" s="19"/>
      <c r="L1813" s="20"/>
    </row>
    <row r="1814" ht="15.75" customHeight="1">
      <c r="A1814" s="9"/>
      <c r="B1814" s="26"/>
      <c r="C1814" s="24"/>
      <c r="D1814" s="14"/>
      <c r="E1814" s="15"/>
      <c r="F1814" s="16"/>
      <c r="G1814" s="17"/>
      <c r="H1814" s="17"/>
      <c r="I1814" s="18"/>
      <c r="J1814" s="16"/>
      <c r="K1814" s="19"/>
      <c r="L1814" s="20"/>
    </row>
    <row r="1815" ht="15.75" customHeight="1">
      <c r="A1815" s="9"/>
      <c r="B1815" s="26"/>
      <c r="C1815" s="24"/>
      <c r="D1815" s="14"/>
      <c r="E1815" s="15"/>
      <c r="F1815" s="16"/>
      <c r="G1815" s="17"/>
      <c r="H1815" s="17"/>
      <c r="I1815" s="18"/>
      <c r="J1815" s="16"/>
      <c r="K1815" s="19"/>
      <c r="L1815" s="20"/>
    </row>
    <row r="1816" ht="15.75" customHeight="1">
      <c r="A1816" s="9"/>
      <c r="B1816" s="26"/>
      <c r="C1816" s="24"/>
      <c r="D1816" s="14"/>
      <c r="E1816" s="15"/>
      <c r="F1816" s="16"/>
      <c r="G1816" s="17"/>
      <c r="H1816" s="17"/>
      <c r="I1816" s="18"/>
      <c r="J1816" s="16"/>
      <c r="K1816" s="19"/>
      <c r="L1816" s="20"/>
    </row>
    <row r="1817" ht="15.75" customHeight="1">
      <c r="A1817" s="9"/>
      <c r="B1817" s="26"/>
      <c r="C1817" s="24"/>
      <c r="D1817" s="14"/>
      <c r="E1817" s="15"/>
      <c r="F1817" s="16"/>
      <c r="G1817" s="17"/>
      <c r="H1817" s="17"/>
      <c r="I1817" s="18"/>
      <c r="J1817" s="16"/>
      <c r="K1817" s="19"/>
      <c r="L1817" s="20"/>
    </row>
    <row r="1818" ht="15.75" customHeight="1">
      <c r="A1818" s="9"/>
      <c r="B1818" s="26"/>
      <c r="C1818" s="24"/>
      <c r="D1818" s="14"/>
      <c r="E1818" s="15"/>
      <c r="F1818" s="16"/>
      <c r="G1818" s="17"/>
      <c r="H1818" s="17"/>
      <c r="I1818" s="18"/>
      <c r="J1818" s="16"/>
      <c r="K1818" s="19"/>
      <c r="L1818" s="20"/>
    </row>
    <row r="1819" ht="15.75" customHeight="1">
      <c r="A1819" s="9"/>
      <c r="B1819" s="26"/>
      <c r="C1819" s="24"/>
      <c r="D1819" s="14"/>
      <c r="E1819" s="15"/>
      <c r="F1819" s="16"/>
      <c r="G1819" s="17"/>
      <c r="H1819" s="17"/>
      <c r="I1819" s="18"/>
      <c r="J1819" s="16"/>
      <c r="K1819" s="19"/>
      <c r="L1819" s="20"/>
    </row>
    <row r="1820" ht="15.75" customHeight="1">
      <c r="A1820" s="9"/>
      <c r="B1820" s="26"/>
      <c r="C1820" s="24"/>
      <c r="D1820" s="14"/>
      <c r="E1820" s="15"/>
      <c r="F1820" s="16"/>
      <c r="G1820" s="17"/>
      <c r="H1820" s="17"/>
      <c r="I1820" s="18"/>
      <c r="J1820" s="16"/>
      <c r="K1820" s="19"/>
      <c r="L1820" s="20"/>
    </row>
    <row r="1821" ht="15.75" customHeight="1">
      <c r="A1821" s="9"/>
      <c r="B1821" s="26"/>
      <c r="C1821" s="24"/>
      <c r="D1821" s="14"/>
      <c r="E1821" s="15"/>
      <c r="F1821" s="16"/>
      <c r="G1821" s="17"/>
      <c r="H1821" s="17"/>
      <c r="I1821" s="18"/>
      <c r="J1821" s="16"/>
      <c r="K1821" s="19"/>
      <c r="L1821" s="20"/>
    </row>
    <row r="1822" ht="15.75" customHeight="1">
      <c r="A1822" s="9"/>
      <c r="B1822" s="26"/>
      <c r="C1822" s="24"/>
      <c r="D1822" s="14"/>
      <c r="E1822" s="15"/>
      <c r="F1822" s="16"/>
      <c r="G1822" s="17"/>
      <c r="H1822" s="17"/>
      <c r="I1822" s="18"/>
      <c r="J1822" s="16"/>
      <c r="K1822" s="19"/>
      <c r="L1822" s="20"/>
    </row>
    <row r="1823" ht="15.75" customHeight="1">
      <c r="A1823" s="9"/>
      <c r="B1823" s="26"/>
      <c r="C1823" s="24"/>
      <c r="D1823" s="14"/>
      <c r="E1823" s="15"/>
      <c r="F1823" s="16"/>
      <c r="G1823" s="17"/>
      <c r="H1823" s="17"/>
      <c r="I1823" s="18"/>
      <c r="J1823" s="16"/>
      <c r="K1823" s="19"/>
      <c r="L1823" s="20"/>
    </row>
    <row r="1824" ht="15.75" customHeight="1">
      <c r="A1824" s="9"/>
      <c r="B1824" s="26"/>
      <c r="C1824" s="24"/>
      <c r="D1824" s="14"/>
      <c r="E1824" s="15"/>
      <c r="F1824" s="16"/>
      <c r="G1824" s="17"/>
      <c r="H1824" s="17"/>
      <c r="I1824" s="18"/>
      <c r="J1824" s="16"/>
      <c r="K1824" s="19"/>
      <c r="L1824" s="20"/>
    </row>
    <row r="1825" ht="15.75" customHeight="1">
      <c r="A1825" s="9"/>
      <c r="B1825" s="26"/>
      <c r="C1825" s="24"/>
      <c r="D1825" s="14"/>
      <c r="E1825" s="15"/>
      <c r="F1825" s="16"/>
      <c r="G1825" s="17"/>
      <c r="H1825" s="17"/>
      <c r="I1825" s="18"/>
      <c r="J1825" s="16"/>
      <c r="K1825" s="19"/>
      <c r="L1825" s="20"/>
    </row>
    <row r="1826" ht="15.75" customHeight="1">
      <c r="A1826" s="9"/>
      <c r="B1826" s="26"/>
      <c r="C1826" s="24"/>
      <c r="D1826" s="14"/>
      <c r="E1826" s="15"/>
      <c r="F1826" s="16"/>
      <c r="G1826" s="17"/>
      <c r="H1826" s="17"/>
      <c r="I1826" s="18"/>
      <c r="J1826" s="16"/>
      <c r="K1826" s="19"/>
      <c r="L1826" s="20"/>
    </row>
    <row r="1827" ht="15.75" customHeight="1">
      <c r="A1827" s="9"/>
      <c r="B1827" s="26"/>
      <c r="C1827" s="24"/>
      <c r="D1827" s="14"/>
      <c r="E1827" s="15"/>
      <c r="F1827" s="16"/>
      <c r="G1827" s="17"/>
      <c r="H1827" s="17"/>
      <c r="I1827" s="18"/>
      <c r="J1827" s="16"/>
      <c r="K1827" s="19"/>
      <c r="L1827" s="20"/>
    </row>
    <row r="1828" ht="15.75" customHeight="1">
      <c r="A1828" s="9"/>
      <c r="B1828" s="26"/>
      <c r="C1828" s="24"/>
      <c r="D1828" s="14"/>
      <c r="E1828" s="15"/>
      <c r="F1828" s="16"/>
      <c r="G1828" s="17"/>
      <c r="H1828" s="17"/>
      <c r="I1828" s="18"/>
      <c r="J1828" s="16"/>
      <c r="K1828" s="19"/>
      <c r="L1828" s="20"/>
    </row>
    <row r="1829" ht="15.75" customHeight="1">
      <c r="A1829" s="9"/>
      <c r="B1829" s="26"/>
      <c r="C1829" s="24"/>
      <c r="D1829" s="14"/>
      <c r="E1829" s="15"/>
      <c r="F1829" s="16"/>
      <c r="G1829" s="17"/>
      <c r="H1829" s="17"/>
      <c r="I1829" s="18"/>
      <c r="J1829" s="16"/>
      <c r="K1829" s="19"/>
      <c r="L1829" s="20"/>
    </row>
    <row r="1830" ht="15.75" customHeight="1">
      <c r="A1830" s="9"/>
      <c r="B1830" s="26"/>
      <c r="C1830" s="24"/>
      <c r="D1830" s="14"/>
      <c r="E1830" s="15"/>
      <c r="F1830" s="16"/>
      <c r="G1830" s="17"/>
      <c r="H1830" s="17"/>
      <c r="I1830" s="18"/>
      <c r="J1830" s="16"/>
      <c r="K1830" s="19"/>
      <c r="L1830" s="20"/>
    </row>
    <row r="1831" ht="15.75" customHeight="1">
      <c r="A1831" s="9"/>
      <c r="B1831" s="26"/>
      <c r="C1831" s="24"/>
      <c r="D1831" s="14"/>
      <c r="E1831" s="15"/>
      <c r="F1831" s="16"/>
      <c r="G1831" s="17"/>
      <c r="H1831" s="17"/>
      <c r="I1831" s="18"/>
      <c r="J1831" s="16"/>
      <c r="K1831" s="19"/>
      <c r="L1831" s="20"/>
    </row>
    <row r="1832" ht="15.75" customHeight="1">
      <c r="A1832" s="9"/>
      <c r="B1832" s="26"/>
      <c r="C1832" s="24"/>
      <c r="D1832" s="14"/>
      <c r="E1832" s="15"/>
      <c r="F1832" s="16"/>
      <c r="G1832" s="17"/>
      <c r="H1832" s="17"/>
      <c r="I1832" s="18"/>
      <c r="J1832" s="16"/>
      <c r="K1832" s="19"/>
      <c r="L1832" s="20"/>
    </row>
    <row r="1833" ht="15.75" customHeight="1">
      <c r="A1833" s="9"/>
      <c r="B1833" s="26"/>
      <c r="C1833" s="24"/>
      <c r="D1833" s="14"/>
      <c r="E1833" s="15"/>
      <c r="F1833" s="16"/>
      <c r="G1833" s="17"/>
      <c r="H1833" s="17"/>
      <c r="I1833" s="18"/>
      <c r="J1833" s="16"/>
      <c r="K1833" s="19"/>
      <c r="L1833" s="20"/>
    </row>
    <row r="1834" ht="15.75" customHeight="1">
      <c r="A1834" s="9"/>
      <c r="B1834" s="26"/>
      <c r="C1834" s="24"/>
      <c r="D1834" s="14"/>
      <c r="E1834" s="15"/>
      <c r="F1834" s="16"/>
      <c r="G1834" s="17"/>
      <c r="H1834" s="17"/>
      <c r="I1834" s="18"/>
      <c r="J1834" s="16"/>
      <c r="K1834" s="19"/>
      <c r="L1834" s="20"/>
    </row>
    <row r="1835" ht="15.75" customHeight="1">
      <c r="A1835" s="9"/>
      <c r="B1835" s="26"/>
      <c r="C1835" s="24"/>
      <c r="D1835" s="14"/>
      <c r="E1835" s="15"/>
      <c r="F1835" s="16"/>
      <c r="G1835" s="17"/>
      <c r="H1835" s="17"/>
      <c r="I1835" s="18"/>
      <c r="J1835" s="16"/>
      <c r="K1835" s="19"/>
      <c r="L1835" s="20"/>
    </row>
    <row r="1836" ht="15.75" customHeight="1">
      <c r="A1836" s="9"/>
      <c r="B1836" s="26"/>
      <c r="C1836" s="24"/>
      <c r="D1836" s="14"/>
      <c r="E1836" s="15"/>
      <c r="F1836" s="16"/>
      <c r="G1836" s="17"/>
      <c r="H1836" s="17"/>
      <c r="I1836" s="18"/>
      <c r="J1836" s="16"/>
      <c r="K1836" s="19"/>
      <c r="L1836" s="20"/>
    </row>
    <row r="1837" ht="15.75" customHeight="1">
      <c r="A1837" s="9"/>
      <c r="B1837" s="26"/>
      <c r="C1837" s="24"/>
      <c r="D1837" s="14"/>
      <c r="E1837" s="15"/>
      <c r="F1837" s="16"/>
      <c r="G1837" s="17"/>
      <c r="H1837" s="17"/>
      <c r="I1837" s="18"/>
      <c r="J1837" s="16"/>
      <c r="K1837" s="19"/>
      <c r="L1837" s="20"/>
    </row>
    <row r="1838" ht="15.75" customHeight="1">
      <c r="A1838" s="9"/>
      <c r="B1838" s="26"/>
      <c r="C1838" s="24"/>
      <c r="D1838" s="14"/>
      <c r="E1838" s="15"/>
      <c r="F1838" s="16"/>
      <c r="G1838" s="17"/>
      <c r="H1838" s="17"/>
      <c r="I1838" s="18"/>
      <c r="J1838" s="16"/>
      <c r="K1838" s="19"/>
      <c r="L1838" s="20"/>
    </row>
    <row r="1839" ht="15.75" customHeight="1">
      <c r="A1839" s="9"/>
      <c r="B1839" s="26"/>
      <c r="C1839" s="24"/>
      <c r="D1839" s="14"/>
      <c r="E1839" s="15"/>
      <c r="F1839" s="16"/>
      <c r="G1839" s="17"/>
      <c r="H1839" s="17"/>
      <c r="I1839" s="18"/>
      <c r="J1839" s="16"/>
      <c r="K1839" s="19"/>
      <c r="L1839" s="20"/>
    </row>
    <row r="1840" ht="15.75" customHeight="1">
      <c r="A1840" s="9"/>
      <c r="B1840" s="26"/>
      <c r="C1840" s="24"/>
      <c r="D1840" s="14"/>
      <c r="E1840" s="15"/>
      <c r="F1840" s="16"/>
      <c r="G1840" s="17"/>
      <c r="H1840" s="17"/>
      <c r="I1840" s="18"/>
      <c r="J1840" s="16"/>
      <c r="K1840" s="19"/>
      <c r="L1840" s="20"/>
    </row>
    <row r="1841" ht="15.75" customHeight="1">
      <c r="A1841" s="9"/>
      <c r="B1841" s="26"/>
      <c r="C1841" s="24"/>
      <c r="D1841" s="14"/>
      <c r="E1841" s="15"/>
      <c r="F1841" s="16"/>
      <c r="G1841" s="17"/>
      <c r="H1841" s="17"/>
      <c r="I1841" s="18"/>
      <c r="J1841" s="16"/>
      <c r="K1841" s="19"/>
      <c r="L1841" s="20"/>
    </row>
    <row r="1842" ht="15.75" customHeight="1">
      <c r="A1842" s="9"/>
      <c r="B1842" s="26"/>
      <c r="C1842" s="24"/>
      <c r="D1842" s="14"/>
      <c r="E1842" s="15"/>
      <c r="F1842" s="16"/>
      <c r="G1842" s="17"/>
      <c r="H1842" s="17"/>
      <c r="I1842" s="18"/>
      <c r="J1842" s="16"/>
      <c r="K1842" s="19"/>
      <c r="L1842" s="20"/>
    </row>
    <row r="1843" ht="15.75" customHeight="1">
      <c r="A1843" s="9"/>
      <c r="B1843" s="26"/>
      <c r="C1843" s="24"/>
      <c r="D1843" s="14"/>
      <c r="E1843" s="15"/>
      <c r="F1843" s="16"/>
      <c r="G1843" s="17"/>
      <c r="H1843" s="17"/>
      <c r="I1843" s="18"/>
      <c r="J1843" s="16"/>
      <c r="K1843" s="19"/>
      <c r="L1843" s="20"/>
    </row>
    <row r="1844" ht="15.75" customHeight="1">
      <c r="A1844" s="9"/>
      <c r="B1844" s="26"/>
      <c r="C1844" s="24"/>
      <c r="D1844" s="14"/>
      <c r="E1844" s="15"/>
      <c r="F1844" s="16"/>
      <c r="G1844" s="17"/>
      <c r="H1844" s="17"/>
      <c r="I1844" s="18"/>
      <c r="J1844" s="16"/>
      <c r="K1844" s="19"/>
      <c r="L1844" s="20"/>
    </row>
    <row r="1845" ht="15.75" customHeight="1">
      <c r="A1845" s="9"/>
      <c r="B1845" s="26"/>
      <c r="C1845" s="24"/>
      <c r="D1845" s="14"/>
      <c r="E1845" s="15"/>
      <c r="F1845" s="16"/>
      <c r="G1845" s="17"/>
      <c r="H1845" s="17"/>
      <c r="I1845" s="18"/>
      <c r="J1845" s="16"/>
      <c r="K1845" s="19"/>
      <c r="L1845" s="20"/>
    </row>
    <row r="1846" ht="15.75" customHeight="1">
      <c r="A1846" s="9"/>
      <c r="B1846" s="26"/>
      <c r="C1846" s="24"/>
      <c r="D1846" s="14"/>
      <c r="E1846" s="15"/>
      <c r="F1846" s="16"/>
      <c r="G1846" s="17"/>
      <c r="H1846" s="17"/>
      <c r="I1846" s="18"/>
      <c r="J1846" s="16"/>
      <c r="K1846" s="19"/>
      <c r="L1846" s="20"/>
    </row>
    <row r="1847" ht="15.75" customHeight="1">
      <c r="A1847" s="9"/>
      <c r="B1847" s="26"/>
      <c r="C1847" s="24"/>
      <c r="D1847" s="14"/>
      <c r="E1847" s="15"/>
      <c r="F1847" s="16"/>
      <c r="G1847" s="17"/>
      <c r="H1847" s="17"/>
      <c r="I1847" s="18"/>
      <c r="J1847" s="16"/>
      <c r="K1847" s="19"/>
      <c r="L1847" s="20"/>
    </row>
    <row r="1848" ht="15.75" customHeight="1">
      <c r="A1848" s="9"/>
      <c r="B1848" s="26"/>
      <c r="C1848" s="24"/>
      <c r="D1848" s="14"/>
      <c r="E1848" s="15"/>
      <c r="F1848" s="16"/>
      <c r="G1848" s="17"/>
      <c r="H1848" s="17"/>
      <c r="I1848" s="18"/>
      <c r="J1848" s="16"/>
      <c r="K1848" s="19"/>
      <c r="L1848" s="20"/>
    </row>
    <row r="1849" ht="15.75" customHeight="1">
      <c r="A1849" s="9"/>
      <c r="B1849" s="26"/>
      <c r="C1849" s="24"/>
      <c r="D1849" s="14"/>
      <c r="E1849" s="15"/>
      <c r="F1849" s="16"/>
      <c r="G1849" s="17"/>
      <c r="H1849" s="17"/>
      <c r="I1849" s="18"/>
      <c r="J1849" s="16"/>
      <c r="K1849" s="19"/>
      <c r="L1849" s="20"/>
    </row>
    <row r="1850" ht="15.75" customHeight="1">
      <c r="A1850" s="9"/>
      <c r="B1850" s="26"/>
      <c r="C1850" s="24"/>
      <c r="D1850" s="14"/>
      <c r="E1850" s="15"/>
      <c r="F1850" s="16"/>
      <c r="G1850" s="17"/>
      <c r="H1850" s="17"/>
      <c r="I1850" s="18"/>
      <c r="J1850" s="16"/>
      <c r="K1850" s="19"/>
      <c r="L1850" s="20"/>
    </row>
    <row r="1851" ht="15.75" customHeight="1">
      <c r="A1851" s="9"/>
      <c r="B1851" s="26"/>
      <c r="C1851" s="24"/>
      <c r="D1851" s="14"/>
      <c r="E1851" s="15"/>
      <c r="F1851" s="16"/>
      <c r="G1851" s="17"/>
      <c r="H1851" s="17"/>
      <c r="I1851" s="18"/>
      <c r="J1851" s="16"/>
      <c r="K1851" s="19"/>
      <c r="L1851" s="20"/>
    </row>
    <row r="1852" ht="15.75" customHeight="1">
      <c r="A1852" s="9"/>
      <c r="B1852" s="26"/>
      <c r="C1852" s="24"/>
      <c r="D1852" s="14"/>
      <c r="E1852" s="15"/>
      <c r="F1852" s="16"/>
      <c r="G1852" s="17"/>
      <c r="H1852" s="17"/>
      <c r="I1852" s="18"/>
      <c r="J1852" s="16"/>
      <c r="K1852" s="19"/>
      <c r="L1852" s="20"/>
    </row>
    <row r="1853" ht="15.75" customHeight="1">
      <c r="A1853" s="9"/>
      <c r="B1853" s="26"/>
      <c r="C1853" s="24"/>
      <c r="D1853" s="14"/>
      <c r="E1853" s="15"/>
      <c r="F1853" s="16"/>
      <c r="G1853" s="17"/>
      <c r="H1853" s="17"/>
      <c r="I1853" s="18"/>
      <c r="J1853" s="16"/>
      <c r="K1853" s="19"/>
      <c r="L1853" s="20"/>
    </row>
    <row r="1854" ht="15.75" customHeight="1">
      <c r="A1854" s="9"/>
      <c r="B1854" s="26"/>
      <c r="C1854" s="24"/>
      <c r="D1854" s="14"/>
      <c r="E1854" s="15"/>
      <c r="F1854" s="16"/>
      <c r="G1854" s="17"/>
      <c r="H1854" s="17"/>
      <c r="I1854" s="18"/>
      <c r="J1854" s="16"/>
      <c r="K1854" s="19"/>
      <c r="L1854" s="20"/>
    </row>
    <row r="1855" ht="15.75" customHeight="1">
      <c r="A1855" s="9"/>
      <c r="B1855" s="26"/>
      <c r="C1855" s="24"/>
      <c r="D1855" s="14"/>
      <c r="E1855" s="15"/>
      <c r="F1855" s="16"/>
      <c r="G1855" s="17"/>
      <c r="H1855" s="17"/>
      <c r="I1855" s="18"/>
      <c r="J1855" s="16"/>
      <c r="K1855" s="19"/>
      <c r="L1855" s="20"/>
    </row>
    <row r="1856" ht="15.75" customHeight="1">
      <c r="A1856" s="9"/>
      <c r="B1856" s="26"/>
      <c r="C1856" s="24"/>
      <c r="D1856" s="14"/>
      <c r="E1856" s="15"/>
      <c r="F1856" s="16"/>
      <c r="G1856" s="17"/>
      <c r="H1856" s="17"/>
      <c r="I1856" s="18"/>
      <c r="J1856" s="16"/>
      <c r="K1856" s="19"/>
      <c r="L1856" s="20"/>
    </row>
    <row r="1857" ht="15.75" customHeight="1">
      <c r="A1857" s="9"/>
      <c r="B1857" s="26"/>
      <c r="C1857" s="24"/>
      <c r="D1857" s="14"/>
      <c r="E1857" s="15"/>
      <c r="F1857" s="16"/>
      <c r="G1857" s="17"/>
      <c r="H1857" s="17"/>
      <c r="I1857" s="18"/>
      <c r="J1857" s="16"/>
      <c r="K1857" s="19"/>
      <c r="L1857" s="20"/>
    </row>
    <row r="1858" ht="15.75" customHeight="1">
      <c r="A1858" s="9"/>
      <c r="B1858" s="26"/>
      <c r="C1858" s="24"/>
      <c r="D1858" s="14"/>
      <c r="E1858" s="15"/>
      <c r="F1858" s="16"/>
      <c r="G1858" s="17"/>
      <c r="H1858" s="17"/>
      <c r="I1858" s="18"/>
      <c r="J1858" s="16"/>
      <c r="K1858" s="19"/>
      <c r="L1858" s="20"/>
    </row>
    <row r="1859" ht="15.75" customHeight="1">
      <c r="A1859" s="9"/>
      <c r="B1859" s="26"/>
      <c r="C1859" s="24"/>
      <c r="D1859" s="14"/>
      <c r="E1859" s="15"/>
      <c r="F1859" s="16"/>
      <c r="G1859" s="17"/>
      <c r="H1859" s="17"/>
      <c r="I1859" s="18"/>
      <c r="J1859" s="16"/>
      <c r="K1859" s="19"/>
      <c r="L1859" s="20"/>
    </row>
    <row r="1860" ht="15.75" customHeight="1">
      <c r="A1860" s="9"/>
      <c r="B1860" s="26"/>
      <c r="C1860" s="24"/>
      <c r="D1860" s="14"/>
      <c r="E1860" s="15"/>
      <c r="F1860" s="16"/>
      <c r="G1860" s="17"/>
      <c r="H1860" s="17"/>
      <c r="I1860" s="18"/>
      <c r="J1860" s="16"/>
      <c r="K1860" s="19"/>
      <c r="L1860" s="20"/>
    </row>
    <row r="1861" ht="15.75" customHeight="1">
      <c r="A1861" s="9"/>
      <c r="B1861" s="26"/>
      <c r="C1861" s="24"/>
      <c r="D1861" s="14"/>
      <c r="E1861" s="15"/>
      <c r="F1861" s="16"/>
      <c r="G1861" s="17"/>
      <c r="H1861" s="17"/>
      <c r="I1861" s="18"/>
      <c r="J1861" s="16"/>
      <c r="K1861" s="19"/>
      <c r="L1861" s="20"/>
    </row>
    <row r="1862" ht="15.75" customHeight="1">
      <c r="A1862" s="9"/>
      <c r="B1862" s="26"/>
      <c r="C1862" s="24"/>
      <c r="D1862" s="14"/>
      <c r="E1862" s="15"/>
      <c r="F1862" s="16"/>
      <c r="G1862" s="17"/>
      <c r="H1862" s="17"/>
      <c r="I1862" s="18"/>
      <c r="J1862" s="16"/>
      <c r="K1862" s="19"/>
      <c r="L1862" s="20"/>
    </row>
    <row r="1863" ht="15.75" customHeight="1">
      <c r="A1863" s="9"/>
      <c r="B1863" s="26"/>
      <c r="C1863" s="24"/>
      <c r="D1863" s="14"/>
      <c r="E1863" s="15"/>
      <c r="F1863" s="16"/>
      <c r="G1863" s="17"/>
      <c r="H1863" s="17"/>
      <c r="I1863" s="18"/>
      <c r="J1863" s="16"/>
      <c r="K1863" s="19"/>
      <c r="L1863" s="20"/>
    </row>
    <row r="1864" ht="15.75" customHeight="1">
      <c r="A1864" s="9"/>
      <c r="B1864" s="26"/>
      <c r="C1864" s="24"/>
      <c r="D1864" s="14"/>
      <c r="E1864" s="15"/>
      <c r="F1864" s="16"/>
      <c r="G1864" s="17"/>
      <c r="H1864" s="17"/>
      <c r="I1864" s="18"/>
      <c r="J1864" s="16"/>
      <c r="K1864" s="19"/>
      <c r="L1864" s="20"/>
    </row>
    <row r="1865" ht="15.75" customHeight="1">
      <c r="A1865" s="9"/>
      <c r="B1865" s="26"/>
      <c r="C1865" s="24"/>
      <c r="D1865" s="14"/>
      <c r="E1865" s="15"/>
      <c r="F1865" s="16"/>
      <c r="G1865" s="17"/>
      <c r="H1865" s="17"/>
      <c r="I1865" s="18"/>
      <c r="J1865" s="16"/>
      <c r="K1865" s="19"/>
      <c r="L1865" s="20"/>
    </row>
    <row r="1866" ht="15.75" customHeight="1">
      <c r="A1866" s="9"/>
      <c r="B1866" s="26"/>
      <c r="C1866" s="24"/>
      <c r="D1866" s="14"/>
      <c r="E1866" s="15"/>
      <c r="F1866" s="16"/>
      <c r="G1866" s="17"/>
      <c r="H1866" s="17"/>
      <c r="I1866" s="18"/>
      <c r="J1866" s="16"/>
      <c r="K1866" s="19"/>
      <c r="L1866" s="20"/>
    </row>
    <row r="1867" ht="15.75" customHeight="1">
      <c r="A1867" s="9"/>
      <c r="B1867" s="26"/>
      <c r="C1867" s="24"/>
      <c r="D1867" s="14"/>
      <c r="E1867" s="15"/>
      <c r="F1867" s="16"/>
      <c r="G1867" s="17"/>
      <c r="H1867" s="17"/>
      <c r="I1867" s="18"/>
      <c r="J1867" s="16"/>
      <c r="K1867" s="19"/>
      <c r="L1867" s="20"/>
    </row>
    <row r="1868" ht="15.75" customHeight="1">
      <c r="A1868" s="9"/>
      <c r="B1868" s="26"/>
      <c r="C1868" s="24"/>
      <c r="D1868" s="14"/>
      <c r="E1868" s="15"/>
      <c r="F1868" s="16"/>
      <c r="G1868" s="17"/>
      <c r="H1868" s="17"/>
      <c r="I1868" s="18"/>
      <c r="J1868" s="16"/>
      <c r="K1868" s="19"/>
      <c r="L1868" s="20"/>
    </row>
    <row r="1869" ht="15.75" customHeight="1">
      <c r="A1869" s="9"/>
      <c r="B1869" s="26"/>
      <c r="C1869" s="24"/>
      <c r="D1869" s="14"/>
      <c r="E1869" s="15"/>
      <c r="F1869" s="16"/>
      <c r="G1869" s="17"/>
      <c r="H1869" s="17"/>
      <c r="I1869" s="18"/>
      <c r="J1869" s="16"/>
      <c r="K1869" s="19"/>
      <c r="L1869" s="20"/>
    </row>
    <row r="1870" ht="15.75" customHeight="1">
      <c r="A1870" s="9"/>
      <c r="B1870" s="26"/>
      <c r="C1870" s="24"/>
      <c r="D1870" s="14"/>
      <c r="E1870" s="15"/>
      <c r="F1870" s="16"/>
      <c r="G1870" s="17"/>
      <c r="H1870" s="17"/>
      <c r="I1870" s="18"/>
      <c r="J1870" s="16"/>
      <c r="K1870" s="19"/>
      <c r="L1870" s="20"/>
    </row>
    <row r="1871" ht="15.75" customHeight="1">
      <c r="A1871" s="9"/>
      <c r="B1871" s="26"/>
      <c r="C1871" s="24"/>
      <c r="D1871" s="14"/>
      <c r="E1871" s="15"/>
      <c r="F1871" s="16"/>
      <c r="G1871" s="17"/>
      <c r="H1871" s="17"/>
      <c r="I1871" s="18"/>
      <c r="J1871" s="16"/>
      <c r="K1871" s="19"/>
      <c r="L1871" s="20"/>
    </row>
    <row r="1872" ht="15.75" customHeight="1">
      <c r="A1872" s="9"/>
      <c r="B1872" s="26"/>
      <c r="C1872" s="24"/>
      <c r="D1872" s="14"/>
      <c r="E1872" s="15"/>
      <c r="F1872" s="16"/>
      <c r="G1872" s="17"/>
      <c r="H1872" s="17"/>
      <c r="I1872" s="18"/>
      <c r="J1872" s="16"/>
      <c r="K1872" s="19"/>
      <c r="L1872" s="20"/>
    </row>
    <row r="1873" ht="15.75" customHeight="1">
      <c r="A1873" s="9"/>
      <c r="B1873" s="26"/>
      <c r="C1873" s="24"/>
      <c r="D1873" s="14"/>
      <c r="E1873" s="15"/>
      <c r="F1873" s="16"/>
      <c r="G1873" s="17"/>
      <c r="H1873" s="17"/>
      <c r="I1873" s="18"/>
      <c r="J1873" s="16"/>
      <c r="K1873" s="19"/>
      <c r="L1873" s="20"/>
    </row>
    <row r="1874" ht="15.75" customHeight="1">
      <c r="A1874" s="9"/>
      <c r="B1874" s="26"/>
      <c r="C1874" s="24"/>
      <c r="D1874" s="14"/>
      <c r="E1874" s="15"/>
      <c r="F1874" s="16"/>
      <c r="G1874" s="17"/>
      <c r="H1874" s="17"/>
      <c r="I1874" s="18"/>
      <c r="J1874" s="16"/>
      <c r="K1874" s="19"/>
      <c r="L1874" s="20"/>
    </row>
    <row r="1875" ht="15.75" customHeight="1">
      <c r="A1875" s="9"/>
      <c r="B1875" s="26"/>
      <c r="C1875" s="24"/>
      <c r="D1875" s="14"/>
      <c r="E1875" s="15"/>
      <c r="F1875" s="16"/>
      <c r="G1875" s="17"/>
      <c r="H1875" s="17"/>
      <c r="I1875" s="18"/>
      <c r="J1875" s="16"/>
      <c r="K1875" s="19"/>
      <c r="L1875" s="20"/>
    </row>
    <row r="1876" ht="15.75" customHeight="1">
      <c r="A1876" s="9"/>
      <c r="B1876" s="26"/>
      <c r="C1876" s="24"/>
      <c r="D1876" s="14"/>
      <c r="E1876" s="15"/>
      <c r="F1876" s="16"/>
      <c r="G1876" s="17"/>
      <c r="H1876" s="17"/>
      <c r="I1876" s="18"/>
      <c r="J1876" s="16"/>
      <c r="K1876" s="19"/>
      <c r="L1876" s="20"/>
    </row>
    <row r="1877" ht="15.75" customHeight="1">
      <c r="A1877" s="9"/>
      <c r="B1877" s="26"/>
      <c r="C1877" s="24"/>
      <c r="D1877" s="14"/>
      <c r="E1877" s="15"/>
      <c r="F1877" s="16"/>
      <c r="G1877" s="17"/>
      <c r="H1877" s="17"/>
      <c r="I1877" s="18"/>
      <c r="J1877" s="16"/>
      <c r="K1877" s="19"/>
      <c r="L1877" s="20"/>
    </row>
    <row r="1878" ht="15.75" customHeight="1">
      <c r="A1878" s="9"/>
      <c r="B1878" s="26"/>
      <c r="C1878" s="24"/>
      <c r="D1878" s="14"/>
      <c r="E1878" s="15"/>
      <c r="F1878" s="16"/>
      <c r="G1878" s="17"/>
      <c r="H1878" s="17"/>
      <c r="I1878" s="18"/>
      <c r="J1878" s="16"/>
      <c r="K1878" s="19"/>
      <c r="L1878" s="20"/>
    </row>
    <row r="1879" ht="15.75" customHeight="1">
      <c r="A1879" s="9"/>
      <c r="B1879" s="26"/>
      <c r="C1879" s="24"/>
      <c r="D1879" s="14"/>
      <c r="E1879" s="15"/>
      <c r="F1879" s="16"/>
      <c r="G1879" s="17"/>
      <c r="H1879" s="17"/>
      <c r="I1879" s="18"/>
      <c r="J1879" s="16"/>
      <c r="K1879" s="19"/>
      <c r="L1879" s="20"/>
    </row>
    <row r="1880" ht="15.75" customHeight="1">
      <c r="A1880" s="9"/>
      <c r="B1880" s="26"/>
      <c r="C1880" s="24"/>
      <c r="D1880" s="14"/>
      <c r="E1880" s="15"/>
      <c r="F1880" s="16"/>
      <c r="G1880" s="17"/>
      <c r="H1880" s="17"/>
      <c r="I1880" s="18"/>
      <c r="J1880" s="16"/>
      <c r="K1880" s="19"/>
      <c r="L1880" s="20"/>
    </row>
    <row r="1881" ht="15.75" customHeight="1">
      <c r="A1881" s="9"/>
      <c r="B1881" s="26"/>
      <c r="C1881" s="24"/>
      <c r="D1881" s="14"/>
      <c r="E1881" s="15"/>
      <c r="F1881" s="16"/>
      <c r="G1881" s="17"/>
      <c r="H1881" s="17"/>
      <c r="I1881" s="18"/>
      <c r="J1881" s="16"/>
      <c r="K1881" s="19"/>
      <c r="L1881" s="20"/>
    </row>
    <row r="1882" ht="15.75" customHeight="1">
      <c r="A1882" s="9"/>
      <c r="B1882" s="26"/>
      <c r="C1882" s="24"/>
      <c r="D1882" s="14"/>
      <c r="E1882" s="15"/>
      <c r="F1882" s="16"/>
      <c r="G1882" s="17"/>
      <c r="H1882" s="17"/>
      <c r="I1882" s="18"/>
      <c r="J1882" s="16"/>
      <c r="K1882" s="19"/>
      <c r="L1882" s="20"/>
    </row>
    <row r="1883" ht="15.75" customHeight="1">
      <c r="A1883" s="9"/>
      <c r="B1883" s="26"/>
      <c r="C1883" s="24"/>
      <c r="D1883" s="14"/>
      <c r="E1883" s="15"/>
      <c r="F1883" s="16"/>
      <c r="G1883" s="17"/>
      <c r="H1883" s="17"/>
      <c r="I1883" s="18"/>
      <c r="J1883" s="16"/>
      <c r="K1883" s="19"/>
      <c r="L1883" s="20"/>
    </row>
    <row r="1884" ht="15.75" customHeight="1">
      <c r="A1884" s="9"/>
      <c r="B1884" s="26"/>
      <c r="C1884" s="24"/>
      <c r="D1884" s="14"/>
      <c r="E1884" s="15"/>
      <c r="F1884" s="16"/>
      <c r="G1884" s="17"/>
      <c r="H1884" s="17"/>
      <c r="I1884" s="18"/>
      <c r="J1884" s="16"/>
      <c r="K1884" s="19"/>
      <c r="L1884" s="20"/>
    </row>
    <row r="1885" ht="15.75" customHeight="1">
      <c r="A1885" s="9"/>
      <c r="B1885" s="26"/>
      <c r="C1885" s="24"/>
      <c r="D1885" s="14"/>
      <c r="E1885" s="15"/>
      <c r="F1885" s="16"/>
      <c r="G1885" s="17"/>
      <c r="H1885" s="17"/>
      <c r="I1885" s="18"/>
      <c r="J1885" s="16"/>
      <c r="K1885" s="19"/>
      <c r="L1885" s="20"/>
    </row>
    <row r="1886" ht="15.75" customHeight="1">
      <c r="A1886" s="9"/>
      <c r="B1886" s="26"/>
      <c r="C1886" s="24"/>
      <c r="D1886" s="14"/>
      <c r="E1886" s="15"/>
      <c r="F1886" s="16"/>
      <c r="G1886" s="17"/>
      <c r="H1886" s="17"/>
      <c r="I1886" s="18"/>
      <c r="J1886" s="16"/>
      <c r="K1886" s="19"/>
      <c r="L1886" s="20"/>
    </row>
    <row r="1887" ht="15.75" customHeight="1">
      <c r="A1887" s="9"/>
      <c r="B1887" s="26"/>
      <c r="C1887" s="24"/>
      <c r="D1887" s="14"/>
      <c r="E1887" s="15"/>
      <c r="F1887" s="16"/>
      <c r="G1887" s="17"/>
      <c r="H1887" s="17"/>
      <c r="I1887" s="18"/>
      <c r="J1887" s="16"/>
      <c r="K1887" s="19"/>
      <c r="L1887" s="20"/>
    </row>
    <row r="1888" ht="15.75" customHeight="1">
      <c r="A1888" s="9"/>
      <c r="B1888" s="26"/>
      <c r="C1888" s="24"/>
      <c r="D1888" s="14"/>
      <c r="E1888" s="15"/>
      <c r="F1888" s="16"/>
      <c r="G1888" s="17"/>
      <c r="H1888" s="17"/>
      <c r="I1888" s="18"/>
      <c r="J1888" s="16"/>
      <c r="K1888" s="19"/>
      <c r="L1888" s="20"/>
    </row>
    <row r="1889" ht="15.75" customHeight="1">
      <c r="A1889" s="9"/>
      <c r="B1889" s="26"/>
      <c r="C1889" s="24"/>
      <c r="D1889" s="14"/>
      <c r="E1889" s="15"/>
      <c r="F1889" s="16"/>
      <c r="G1889" s="17"/>
      <c r="H1889" s="17"/>
      <c r="I1889" s="18"/>
      <c r="J1889" s="16"/>
      <c r="K1889" s="19"/>
      <c r="L1889" s="20"/>
    </row>
    <row r="1890" ht="15.75" customHeight="1">
      <c r="A1890" s="9"/>
      <c r="B1890" s="26"/>
      <c r="C1890" s="24"/>
      <c r="D1890" s="14"/>
      <c r="E1890" s="15"/>
      <c r="F1890" s="16"/>
      <c r="G1890" s="17"/>
      <c r="H1890" s="17"/>
      <c r="I1890" s="18"/>
      <c r="J1890" s="16"/>
      <c r="K1890" s="19"/>
      <c r="L1890" s="20"/>
    </row>
    <row r="1891" ht="15.75" customHeight="1">
      <c r="A1891" s="9"/>
      <c r="B1891" s="26"/>
      <c r="C1891" s="24"/>
      <c r="D1891" s="14"/>
      <c r="E1891" s="15"/>
      <c r="F1891" s="16"/>
      <c r="G1891" s="17"/>
      <c r="H1891" s="17"/>
      <c r="I1891" s="18"/>
      <c r="J1891" s="16"/>
      <c r="K1891" s="19"/>
      <c r="L1891" s="20"/>
    </row>
    <row r="1892" ht="15.75" customHeight="1">
      <c r="A1892" s="9"/>
      <c r="B1892" s="26"/>
      <c r="C1892" s="24"/>
      <c r="D1892" s="14"/>
      <c r="E1892" s="15"/>
      <c r="F1892" s="16"/>
      <c r="G1892" s="17"/>
      <c r="H1892" s="17"/>
      <c r="I1892" s="18"/>
      <c r="J1892" s="16"/>
      <c r="K1892" s="19"/>
      <c r="L1892" s="20"/>
    </row>
    <row r="1893" ht="15.75" customHeight="1">
      <c r="A1893" s="9"/>
      <c r="B1893" s="26"/>
      <c r="C1893" s="24"/>
      <c r="D1893" s="14"/>
      <c r="E1893" s="15"/>
      <c r="F1893" s="16"/>
      <c r="G1893" s="17"/>
      <c r="H1893" s="17"/>
      <c r="I1893" s="18"/>
      <c r="J1893" s="16"/>
      <c r="K1893" s="19"/>
      <c r="L1893" s="20"/>
    </row>
    <row r="1894" ht="15.75" customHeight="1">
      <c r="A1894" s="9"/>
      <c r="B1894" s="26"/>
      <c r="C1894" s="24"/>
      <c r="D1894" s="14"/>
      <c r="E1894" s="15"/>
      <c r="F1894" s="16"/>
      <c r="G1894" s="17"/>
      <c r="H1894" s="17"/>
      <c r="I1894" s="18"/>
      <c r="J1894" s="16"/>
      <c r="K1894" s="19"/>
      <c r="L1894" s="20"/>
    </row>
    <row r="1895" ht="15.75" customHeight="1">
      <c r="A1895" s="9"/>
      <c r="B1895" s="26"/>
      <c r="C1895" s="24"/>
      <c r="D1895" s="14"/>
      <c r="E1895" s="15"/>
      <c r="F1895" s="16"/>
      <c r="G1895" s="17"/>
      <c r="H1895" s="17"/>
      <c r="I1895" s="18"/>
      <c r="J1895" s="16"/>
      <c r="K1895" s="19"/>
      <c r="L1895" s="20"/>
    </row>
    <row r="1896" ht="15.75" customHeight="1">
      <c r="A1896" s="9"/>
      <c r="B1896" s="26"/>
      <c r="C1896" s="24"/>
      <c r="D1896" s="14"/>
      <c r="E1896" s="15"/>
      <c r="F1896" s="16"/>
      <c r="G1896" s="17"/>
      <c r="H1896" s="17"/>
      <c r="I1896" s="18"/>
      <c r="J1896" s="16"/>
      <c r="K1896" s="19"/>
      <c r="L1896" s="20"/>
    </row>
    <row r="1897" ht="15.75" customHeight="1">
      <c r="A1897" s="9"/>
      <c r="B1897" s="26"/>
      <c r="C1897" s="24"/>
      <c r="D1897" s="14"/>
      <c r="E1897" s="15"/>
      <c r="F1897" s="16"/>
      <c r="G1897" s="17"/>
      <c r="H1897" s="17"/>
      <c r="I1897" s="18"/>
      <c r="J1897" s="16"/>
      <c r="K1897" s="19"/>
      <c r="L1897" s="20"/>
    </row>
    <row r="1898" ht="15.75" customHeight="1">
      <c r="A1898" s="9"/>
      <c r="B1898" s="26"/>
      <c r="C1898" s="24"/>
      <c r="D1898" s="14"/>
      <c r="E1898" s="15"/>
      <c r="F1898" s="16"/>
      <c r="G1898" s="17"/>
      <c r="H1898" s="17"/>
      <c r="I1898" s="18"/>
      <c r="J1898" s="16"/>
      <c r="K1898" s="19"/>
      <c r="L1898" s="20"/>
    </row>
    <row r="1899" ht="15.75" customHeight="1">
      <c r="A1899" s="9"/>
      <c r="B1899" s="26"/>
      <c r="C1899" s="24"/>
      <c r="D1899" s="14"/>
      <c r="E1899" s="15"/>
      <c r="F1899" s="16"/>
      <c r="G1899" s="17"/>
      <c r="H1899" s="17"/>
      <c r="I1899" s="18"/>
      <c r="J1899" s="16"/>
      <c r="K1899" s="19"/>
      <c r="L1899" s="20"/>
    </row>
    <row r="1900" ht="15.75" customHeight="1">
      <c r="A1900" s="9"/>
      <c r="B1900" s="26"/>
      <c r="C1900" s="24"/>
      <c r="D1900" s="14"/>
      <c r="E1900" s="15"/>
      <c r="F1900" s="16"/>
      <c r="G1900" s="17"/>
      <c r="H1900" s="17"/>
      <c r="I1900" s="18"/>
      <c r="J1900" s="16"/>
      <c r="K1900" s="19"/>
      <c r="L1900" s="20"/>
    </row>
    <row r="1901" ht="15.75" customHeight="1">
      <c r="A1901" s="9"/>
      <c r="B1901" s="26"/>
      <c r="C1901" s="24"/>
      <c r="D1901" s="14"/>
      <c r="E1901" s="15"/>
      <c r="F1901" s="16"/>
      <c r="G1901" s="17"/>
      <c r="H1901" s="17"/>
      <c r="I1901" s="18"/>
      <c r="J1901" s="16"/>
      <c r="K1901" s="19"/>
      <c r="L1901" s="20"/>
    </row>
    <row r="1902" ht="15.75" customHeight="1">
      <c r="A1902" s="9"/>
      <c r="B1902" s="26"/>
      <c r="C1902" s="24"/>
      <c r="D1902" s="14"/>
      <c r="E1902" s="15"/>
      <c r="F1902" s="16"/>
      <c r="G1902" s="17"/>
      <c r="H1902" s="17"/>
      <c r="I1902" s="18"/>
      <c r="J1902" s="16"/>
      <c r="K1902" s="19"/>
      <c r="L1902" s="20"/>
    </row>
    <row r="1903" ht="15.75" customHeight="1">
      <c r="A1903" s="9"/>
      <c r="B1903" s="26"/>
      <c r="C1903" s="24"/>
      <c r="D1903" s="14"/>
      <c r="E1903" s="15"/>
      <c r="F1903" s="16"/>
      <c r="G1903" s="17"/>
      <c r="H1903" s="17"/>
      <c r="I1903" s="18"/>
      <c r="J1903" s="16"/>
      <c r="K1903" s="19"/>
      <c r="L1903" s="20"/>
    </row>
    <row r="1904" ht="15.75" customHeight="1">
      <c r="A1904" s="9"/>
      <c r="B1904" s="26"/>
      <c r="C1904" s="24"/>
      <c r="D1904" s="14"/>
      <c r="E1904" s="15"/>
      <c r="F1904" s="16"/>
      <c r="G1904" s="17"/>
      <c r="H1904" s="17"/>
      <c r="I1904" s="18"/>
      <c r="J1904" s="16"/>
      <c r="K1904" s="19"/>
      <c r="L1904" s="20"/>
    </row>
    <row r="1905" ht="15.75" customHeight="1">
      <c r="A1905" s="9"/>
      <c r="B1905" s="26"/>
      <c r="C1905" s="24"/>
      <c r="D1905" s="14"/>
      <c r="E1905" s="15"/>
      <c r="F1905" s="16"/>
      <c r="G1905" s="17"/>
      <c r="H1905" s="17"/>
      <c r="I1905" s="18"/>
      <c r="J1905" s="16"/>
      <c r="K1905" s="19"/>
      <c r="L1905" s="20"/>
    </row>
    <row r="1906" ht="15.75" customHeight="1">
      <c r="A1906" s="9"/>
      <c r="B1906" s="26"/>
      <c r="C1906" s="24"/>
      <c r="D1906" s="14"/>
      <c r="E1906" s="15"/>
      <c r="F1906" s="16"/>
      <c r="G1906" s="17"/>
      <c r="H1906" s="17"/>
      <c r="I1906" s="18"/>
      <c r="J1906" s="16"/>
      <c r="K1906" s="19"/>
      <c r="L1906" s="20"/>
    </row>
    <row r="1907" ht="15.75" customHeight="1">
      <c r="A1907" s="9"/>
      <c r="B1907" s="26"/>
      <c r="C1907" s="24"/>
      <c r="D1907" s="14"/>
      <c r="E1907" s="15"/>
      <c r="F1907" s="16"/>
      <c r="G1907" s="17"/>
      <c r="H1907" s="17"/>
      <c r="I1907" s="18"/>
      <c r="J1907" s="16"/>
      <c r="K1907" s="19"/>
      <c r="L1907" s="20"/>
    </row>
    <row r="1908" ht="15.75" customHeight="1">
      <c r="A1908" s="9"/>
      <c r="B1908" s="26"/>
      <c r="C1908" s="24"/>
      <c r="D1908" s="14"/>
      <c r="E1908" s="15"/>
      <c r="F1908" s="16"/>
      <c r="G1908" s="17"/>
      <c r="H1908" s="17"/>
      <c r="I1908" s="18"/>
      <c r="J1908" s="16"/>
      <c r="K1908" s="19"/>
      <c r="L1908" s="20"/>
    </row>
    <row r="1909" ht="15.75" customHeight="1">
      <c r="A1909" s="9"/>
      <c r="B1909" s="26"/>
      <c r="C1909" s="24"/>
      <c r="D1909" s="14"/>
      <c r="E1909" s="15"/>
      <c r="F1909" s="16"/>
      <c r="G1909" s="17"/>
      <c r="H1909" s="17"/>
      <c r="I1909" s="18"/>
      <c r="J1909" s="16"/>
      <c r="K1909" s="19"/>
      <c r="L1909" s="20"/>
    </row>
    <row r="1910" ht="15.75" customHeight="1">
      <c r="A1910" s="9"/>
      <c r="B1910" s="26"/>
      <c r="C1910" s="24"/>
      <c r="D1910" s="14"/>
      <c r="E1910" s="15"/>
      <c r="F1910" s="16"/>
      <c r="G1910" s="17"/>
      <c r="H1910" s="17"/>
      <c r="I1910" s="18"/>
      <c r="J1910" s="16"/>
      <c r="K1910" s="19"/>
      <c r="L1910" s="20"/>
    </row>
    <row r="1911" ht="15.75" customHeight="1">
      <c r="A1911" s="9"/>
      <c r="B1911" s="26"/>
      <c r="C1911" s="24"/>
      <c r="D1911" s="14"/>
      <c r="E1911" s="15"/>
      <c r="F1911" s="16"/>
      <c r="G1911" s="17"/>
      <c r="H1911" s="17"/>
      <c r="I1911" s="18"/>
      <c r="J1911" s="16"/>
      <c r="K1911" s="19"/>
      <c r="L1911" s="20"/>
    </row>
    <row r="1912" ht="15.75" customHeight="1">
      <c r="A1912" s="9"/>
      <c r="B1912" s="26"/>
      <c r="C1912" s="24"/>
      <c r="D1912" s="14"/>
      <c r="E1912" s="15"/>
      <c r="F1912" s="16"/>
      <c r="G1912" s="17"/>
      <c r="H1912" s="17"/>
      <c r="I1912" s="18"/>
      <c r="J1912" s="16"/>
      <c r="K1912" s="19"/>
      <c r="L1912" s="20"/>
    </row>
    <row r="1913" ht="15.75" customHeight="1">
      <c r="A1913" s="9"/>
      <c r="B1913" s="26"/>
      <c r="C1913" s="24"/>
      <c r="D1913" s="14"/>
      <c r="E1913" s="15"/>
      <c r="F1913" s="16"/>
      <c r="G1913" s="17"/>
      <c r="H1913" s="17"/>
      <c r="I1913" s="18"/>
      <c r="J1913" s="16"/>
      <c r="K1913" s="19"/>
      <c r="L1913" s="20"/>
    </row>
    <row r="1914" ht="15.75" customHeight="1">
      <c r="A1914" s="9"/>
      <c r="B1914" s="26"/>
      <c r="C1914" s="24"/>
      <c r="D1914" s="14"/>
      <c r="E1914" s="15"/>
      <c r="F1914" s="16"/>
      <c r="G1914" s="17"/>
      <c r="H1914" s="17"/>
      <c r="I1914" s="18"/>
      <c r="J1914" s="16"/>
      <c r="K1914" s="19"/>
      <c r="L1914" s="20"/>
    </row>
    <row r="1915" ht="15.75" customHeight="1">
      <c r="A1915" s="9"/>
      <c r="B1915" s="26"/>
      <c r="C1915" s="24"/>
      <c r="D1915" s="14"/>
      <c r="E1915" s="15"/>
      <c r="F1915" s="16"/>
      <c r="G1915" s="17"/>
      <c r="H1915" s="17"/>
      <c r="I1915" s="18"/>
      <c r="J1915" s="16"/>
      <c r="K1915" s="19"/>
      <c r="L1915" s="20"/>
    </row>
    <row r="1916" ht="15.75" customHeight="1">
      <c r="A1916" s="9"/>
      <c r="B1916" s="26"/>
      <c r="C1916" s="24"/>
      <c r="D1916" s="14"/>
      <c r="E1916" s="15"/>
      <c r="F1916" s="16"/>
      <c r="G1916" s="17"/>
      <c r="H1916" s="17"/>
      <c r="I1916" s="18"/>
      <c r="J1916" s="16"/>
      <c r="K1916" s="19"/>
      <c r="L1916" s="20"/>
    </row>
    <row r="1917" ht="15.75" customHeight="1">
      <c r="A1917" s="9"/>
      <c r="B1917" s="26"/>
      <c r="C1917" s="24"/>
      <c r="D1917" s="14"/>
      <c r="E1917" s="15"/>
      <c r="F1917" s="16"/>
      <c r="G1917" s="17"/>
      <c r="H1917" s="17"/>
      <c r="I1917" s="18"/>
      <c r="J1917" s="16"/>
      <c r="K1917" s="19"/>
      <c r="L1917" s="20"/>
    </row>
    <row r="1918" ht="15.75" customHeight="1">
      <c r="A1918" s="9"/>
      <c r="B1918" s="26"/>
      <c r="C1918" s="24"/>
      <c r="D1918" s="14"/>
      <c r="E1918" s="15"/>
      <c r="F1918" s="16"/>
      <c r="G1918" s="17"/>
      <c r="H1918" s="17"/>
      <c r="I1918" s="18"/>
      <c r="J1918" s="16"/>
      <c r="K1918" s="19"/>
      <c r="L1918" s="20"/>
    </row>
    <row r="1919" ht="15.75" customHeight="1">
      <c r="A1919" s="9"/>
      <c r="B1919" s="26"/>
      <c r="C1919" s="24"/>
      <c r="D1919" s="14"/>
      <c r="E1919" s="15"/>
      <c r="F1919" s="16"/>
      <c r="G1919" s="17"/>
      <c r="H1919" s="17"/>
      <c r="I1919" s="18"/>
      <c r="J1919" s="16"/>
      <c r="K1919" s="19"/>
      <c r="L1919" s="20"/>
    </row>
    <row r="1920" ht="15.75" customHeight="1">
      <c r="A1920" s="9"/>
      <c r="B1920" s="26"/>
      <c r="C1920" s="24"/>
      <c r="D1920" s="14"/>
      <c r="E1920" s="15"/>
      <c r="F1920" s="16"/>
      <c r="G1920" s="17"/>
      <c r="H1920" s="17"/>
      <c r="I1920" s="18"/>
      <c r="J1920" s="16"/>
      <c r="K1920" s="19"/>
      <c r="L1920" s="20"/>
    </row>
    <row r="1921" ht="15.75" customHeight="1">
      <c r="A1921" s="9"/>
      <c r="B1921" s="26"/>
      <c r="C1921" s="24"/>
      <c r="D1921" s="14"/>
      <c r="E1921" s="15"/>
      <c r="F1921" s="16"/>
      <c r="G1921" s="17"/>
      <c r="H1921" s="17"/>
      <c r="I1921" s="18"/>
      <c r="J1921" s="16"/>
      <c r="K1921" s="19"/>
      <c r="L1921" s="20"/>
    </row>
    <row r="1922" ht="15.75" customHeight="1">
      <c r="A1922" s="9"/>
      <c r="B1922" s="26"/>
      <c r="C1922" s="24"/>
      <c r="D1922" s="14"/>
      <c r="E1922" s="15"/>
      <c r="F1922" s="16"/>
      <c r="G1922" s="17"/>
      <c r="H1922" s="17"/>
      <c r="I1922" s="18"/>
      <c r="J1922" s="16"/>
      <c r="K1922" s="19"/>
      <c r="L1922" s="20"/>
    </row>
    <row r="1923" ht="15.75" customHeight="1">
      <c r="A1923" s="9"/>
      <c r="B1923" s="26"/>
      <c r="C1923" s="24"/>
      <c r="D1923" s="14"/>
      <c r="E1923" s="15"/>
      <c r="F1923" s="16"/>
      <c r="G1923" s="17"/>
      <c r="H1923" s="17"/>
      <c r="I1923" s="18"/>
      <c r="J1923" s="16"/>
      <c r="K1923" s="19"/>
      <c r="L1923" s="20"/>
    </row>
    <row r="1924" ht="15.75" customHeight="1">
      <c r="A1924" s="9"/>
      <c r="B1924" s="26"/>
      <c r="C1924" s="24"/>
      <c r="D1924" s="14"/>
      <c r="E1924" s="15"/>
      <c r="F1924" s="16"/>
      <c r="G1924" s="17"/>
      <c r="H1924" s="17"/>
      <c r="I1924" s="18"/>
      <c r="J1924" s="16"/>
      <c r="K1924" s="19"/>
      <c r="L1924" s="20"/>
    </row>
    <row r="1925" ht="15.75" customHeight="1">
      <c r="A1925" s="9"/>
      <c r="B1925" s="26"/>
      <c r="C1925" s="24"/>
      <c r="D1925" s="14"/>
      <c r="E1925" s="15"/>
      <c r="F1925" s="16"/>
      <c r="G1925" s="17"/>
      <c r="H1925" s="17"/>
      <c r="I1925" s="18"/>
      <c r="J1925" s="16"/>
      <c r="K1925" s="19"/>
      <c r="L1925" s="20"/>
    </row>
    <row r="1926" ht="15.75" customHeight="1">
      <c r="A1926" s="9"/>
      <c r="B1926" s="26"/>
      <c r="C1926" s="24"/>
      <c r="D1926" s="14"/>
      <c r="E1926" s="15"/>
      <c r="F1926" s="16"/>
      <c r="G1926" s="17"/>
      <c r="H1926" s="17"/>
      <c r="I1926" s="18"/>
      <c r="J1926" s="16"/>
      <c r="K1926" s="19"/>
      <c r="L1926" s="20"/>
    </row>
    <row r="1927" ht="15.75" customHeight="1">
      <c r="A1927" s="9"/>
      <c r="B1927" s="26"/>
      <c r="C1927" s="24"/>
      <c r="D1927" s="14"/>
      <c r="E1927" s="15"/>
      <c r="F1927" s="16"/>
      <c r="G1927" s="17"/>
      <c r="H1927" s="17"/>
      <c r="I1927" s="18"/>
      <c r="J1927" s="16"/>
      <c r="K1927" s="19"/>
      <c r="L1927" s="20"/>
    </row>
    <row r="1928" ht="15.75" customHeight="1">
      <c r="A1928" s="9"/>
      <c r="B1928" s="26"/>
      <c r="C1928" s="24"/>
      <c r="D1928" s="14"/>
      <c r="E1928" s="15"/>
      <c r="F1928" s="16"/>
      <c r="G1928" s="17"/>
      <c r="H1928" s="17"/>
      <c r="I1928" s="18"/>
      <c r="J1928" s="16"/>
      <c r="K1928" s="19"/>
      <c r="L1928" s="20"/>
    </row>
    <row r="1929" ht="15.75" customHeight="1">
      <c r="A1929" s="9"/>
      <c r="B1929" s="26"/>
      <c r="C1929" s="24"/>
      <c r="D1929" s="14"/>
      <c r="E1929" s="15"/>
      <c r="F1929" s="16"/>
      <c r="G1929" s="17"/>
      <c r="H1929" s="17"/>
      <c r="I1929" s="18"/>
      <c r="J1929" s="16"/>
      <c r="K1929" s="19"/>
      <c r="L1929" s="20"/>
    </row>
    <row r="1930" ht="15.75" customHeight="1">
      <c r="A1930" s="9"/>
      <c r="B1930" s="26"/>
      <c r="C1930" s="24"/>
      <c r="D1930" s="14"/>
      <c r="E1930" s="15"/>
      <c r="F1930" s="16"/>
      <c r="G1930" s="17"/>
      <c r="H1930" s="17"/>
      <c r="I1930" s="18"/>
      <c r="J1930" s="16"/>
      <c r="K1930" s="19"/>
      <c r="L1930" s="20"/>
    </row>
    <row r="1931" ht="15.75" customHeight="1">
      <c r="A1931" s="9"/>
      <c r="B1931" s="26"/>
      <c r="C1931" s="24"/>
      <c r="D1931" s="14"/>
      <c r="E1931" s="15"/>
      <c r="F1931" s="16"/>
      <c r="G1931" s="17"/>
      <c r="H1931" s="17"/>
      <c r="I1931" s="18"/>
      <c r="J1931" s="16"/>
      <c r="K1931" s="19"/>
      <c r="L1931" s="20"/>
    </row>
    <row r="1932" ht="15.75" customHeight="1">
      <c r="A1932" s="9"/>
      <c r="B1932" s="26"/>
      <c r="C1932" s="24"/>
      <c r="D1932" s="14"/>
      <c r="E1932" s="15"/>
      <c r="F1932" s="16"/>
      <c r="G1932" s="17"/>
      <c r="H1932" s="17"/>
      <c r="I1932" s="18"/>
      <c r="J1932" s="16"/>
      <c r="K1932" s="19"/>
      <c r="L1932" s="20"/>
    </row>
    <row r="1933" ht="15.75" customHeight="1">
      <c r="A1933" s="9"/>
      <c r="B1933" s="26"/>
      <c r="C1933" s="24"/>
      <c r="D1933" s="14"/>
      <c r="E1933" s="15"/>
      <c r="F1933" s="16"/>
      <c r="G1933" s="17"/>
      <c r="H1933" s="17"/>
      <c r="I1933" s="18"/>
      <c r="J1933" s="16"/>
      <c r="K1933" s="19"/>
      <c r="L1933" s="20"/>
    </row>
    <row r="1934" ht="15.75" customHeight="1">
      <c r="A1934" s="9"/>
      <c r="B1934" s="26"/>
      <c r="C1934" s="24"/>
      <c r="D1934" s="14"/>
      <c r="E1934" s="15"/>
      <c r="F1934" s="16"/>
      <c r="G1934" s="17"/>
      <c r="H1934" s="17"/>
      <c r="I1934" s="18"/>
      <c r="J1934" s="16"/>
      <c r="K1934" s="19"/>
      <c r="L1934" s="20"/>
    </row>
    <row r="1935" ht="15.75" customHeight="1">
      <c r="A1935" s="9"/>
      <c r="B1935" s="26"/>
      <c r="C1935" s="24"/>
      <c r="D1935" s="14"/>
      <c r="E1935" s="15"/>
      <c r="F1935" s="16"/>
      <c r="G1935" s="17"/>
      <c r="H1935" s="17"/>
      <c r="I1935" s="18"/>
      <c r="J1935" s="16"/>
      <c r="K1935" s="19"/>
      <c r="L1935" s="20"/>
    </row>
    <row r="1936" ht="15.75" customHeight="1">
      <c r="A1936" s="9"/>
      <c r="B1936" s="26"/>
      <c r="C1936" s="24"/>
      <c r="D1936" s="14"/>
      <c r="E1936" s="15"/>
      <c r="F1936" s="16"/>
      <c r="G1936" s="17"/>
      <c r="H1936" s="17"/>
      <c r="I1936" s="18"/>
      <c r="J1936" s="16"/>
      <c r="K1936" s="19"/>
      <c r="L1936" s="20"/>
    </row>
    <row r="1937" ht="15.75" customHeight="1">
      <c r="A1937" s="9"/>
      <c r="B1937" s="26"/>
      <c r="C1937" s="24"/>
      <c r="D1937" s="14"/>
      <c r="E1937" s="15"/>
      <c r="F1937" s="16"/>
      <c r="G1937" s="17"/>
      <c r="H1937" s="17"/>
      <c r="I1937" s="18"/>
      <c r="J1937" s="16"/>
      <c r="K1937" s="19"/>
      <c r="L1937" s="20"/>
    </row>
    <row r="1938" ht="15.75" customHeight="1">
      <c r="A1938" s="9"/>
      <c r="B1938" s="26"/>
      <c r="C1938" s="24"/>
      <c r="D1938" s="14"/>
      <c r="E1938" s="15"/>
      <c r="F1938" s="16"/>
      <c r="G1938" s="17"/>
      <c r="H1938" s="17"/>
      <c r="I1938" s="18"/>
      <c r="J1938" s="16"/>
      <c r="K1938" s="19"/>
      <c r="L1938" s="20"/>
    </row>
    <row r="1939" ht="15.75" customHeight="1">
      <c r="A1939" s="9"/>
      <c r="B1939" s="26"/>
      <c r="C1939" s="24"/>
      <c r="D1939" s="14"/>
      <c r="E1939" s="15"/>
      <c r="F1939" s="16"/>
      <c r="G1939" s="17"/>
      <c r="H1939" s="17"/>
      <c r="I1939" s="18"/>
      <c r="J1939" s="16"/>
      <c r="K1939" s="19"/>
      <c r="L1939" s="20"/>
    </row>
    <row r="1940" ht="15.75" customHeight="1">
      <c r="A1940" s="9"/>
      <c r="B1940" s="26"/>
      <c r="C1940" s="24"/>
      <c r="D1940" s="14"/>
      <c r="E1940" s="15"/>
      <c r="F1940" s="16"/>
      <c r="G1940" s="17"/>
      <c r="H1940" s="17"/>
      <c r="I1940" s="18"/>
      <c r="J1940" s="16"/>
      <c r="K1940" s="19"/>
      <c r="L1940" s="20"/>
    </row>
    <row r="1941" ht="15.75" customHeight="1">
      <c r="A1941" s="9"/>
      <c r="B1941" s="26"/>
      <c r="C1941" s="24"/>
      <c r="D1941" s="14"/>
      <c r="E1941" s="15"/>
      <c r="F1941" s="16"/>
      <c r="G1941" s="17"/>
      <c r="H1941" s="17"/>
      <c r="I1941" s="18"/>
      <c r="J1941" s="16"/>
      <c r="K1941" s="19"/>
      <c r="L1941" s="20"/>
    </row>
    <row r="1942" ht="15.75" customHeight="1">
      <c r="A1942" s="9"/>
      <c r="B1942" s="26"/>
      <c r="C1942" s="24"/>
      <c r="D1942" s="14"/>
      <c r="E1942" s="15"/>
      <c r="F1942" s="16"/>
      <c r="G1942" s="17"/>
      <c r="H1942" s="17"/>
      <c r="I1942" s="18"/>
      <c r="J1942" s="16"/>
      <c r="K1942" s="19"/>
      <c r="L1942" s="20"/>
    </row>
    <row r="1943" ht="15.75" customHeight="1">
      <c r="A1943" s="9"/>
      <c r="B1943" s="26"/>
      <c r="C1943" s="24"/>
      <c r="D1943" s="14"/>
      <c r="E1943" s="15"/>
      <c r="F1943" s="16"/>
      <c r="G1943" s="17"/>
      <c r="H1943" s="17"/>
      <c r="I1943" s="18"/>
      <c r="J1943" s="16"/>
      <c r="K1943" s="19"/>
      <c r="L1943" s="20"/>
    </row>
    <row r="1944" ht="15.75" customHeight="1">
      <c r="A1944" s="9"/>
      <c r="B1944" s="26"/>
      <c r="C1944" s="24"/>
      <c r="D1944" s="14"/>
      <c r="E1944" s="15"/>
      <c r="F1944" s="16"/>
      <c r="G1944" s="17"/>
      <c r="H1944" s="17"/>
      <c r="I1944" s="18"/>
      <c r="J1944" s="16"/>
      <c r="K1944" s="19"/>
      <c r="L1944" s="20"/>
    </row>
    <row r="1945" ht="15.75" customHeight="1">
      <c r="A1945" s="9"/>
      <c r="B1945" s="26"/>
      <c r="C1945" s="24"/>
      <c r="D1945" s="14"/>
      <c r="E1945" s="15"/>
      <c r="F1945" s="16"/>
      <c r="G1945" s="17"/>
      <c r="H1945" s="17"/>
      <c r="I1945" s="18"/>
      <c r="J1945" s="16"/>
      <c r="K1945" s="19"/>
      <c r="L1945" s="20"/>
    </row>
    <row r="1946" ht="15.75" customHeight="1">
      <c r="A1946" s="9"/>
      <c r="B1946" s="26"/>
      <c r="C1946" s="24"/>
      <c r="D1946" s="14"/>
      <c r="E1946" s="15"/>
      <c r="F1946" s="16"/>
      <c r="G1946" s="17"/>
      <c r="H1946" s="17"/>
      <c r="I1946" s="18"/>
      <c r="J1946" s="16"/>
      <c r="K1946" s="19"/>
      <c r="L1946" s="20"/>
    </row>
    <row r="1947" ht="15.75" customHeight="1">
      <c r="A1947" s="9"/>
      <c r="B1947" s="26"/>
      <c r="C1947" s="24"/>
      <c r="D1947" s="14"/>
      <c r="E1947" s="15"/>
      <c r="F1947" s="16"/>
      <c r="G1947" s="17"/>
      <c r="H1947" s="17"/>
      <c r="I1947" s="18"/>
      <c r="J1947" s="16"/>
      <c r="K1947" s="19"/>
      <c r="L1947" s="20"/>
    </row>
    <row r="1948" ht="15.75" customHeight="1">
      <c r="A1948" s="9"/>
      <c r="B1948" s="26"/>
      <c r="C1948" s="24"/>
      <c r="D1948" s="14"/>
      <c r="E1948" s="15"/>
      <c r="F1948" s="16"/>
      <c r="G1948" s="17"/>
      <c r="H1948" s="17"/>
      <c r="I1948" s="18"/>
      <c r="J1948" s="16"/>
      <c r="K1948" s="19"/>
      <c r="L1948" s="20"/>
    </row>
    <row r="1949" ht="15.75" customHeight="1">
      <c r="A1949" s="9"/>
      <c r="B1949" s="26"/>
      <c r="C1949" s="24"/>
      <c r="D1949" s="14"/>
      <c r="E1949" s="15"/>
      <c r="F1949" s="16"/>
      <c r="G1949" s="17"/>
      <c r="H1949" s="17"/>
      <c r="I1949" s="18"/>
      <c r="J1949" s="16"/>
      <c r="K1949" s="19"/>
      <c r="L1949" s="20"/>
    </row>
    <row r="1950" ht="15.75" customHeight="1">
      <c r="A1950" s="9"/>
      <c r="B1950" s="26"/>
      <c r="C1950" s="24"/>
      <c r="D1950" s="14"/>
      <c r="E1950" s="15"/>
      <c r="F1950" s="16"/>
      <c r="G1950" s="17"/>
      <c r="H1950" s="17"/>
      <c r="I1950" s="18"/>
      <c r="J1950" s="16"/>
      <c r="K1950" s="19"/>
      <c r="L1950" s="20"/>
    </row>
    <row r="1951" ht="15.75" customHeight="1">
      <c r="A1951" s="9"/>
      <c r="B1951" s="26"/>
      <c r="C1951" s="24"/>
      <c r="D1951" s="14"/>
      <c r="E1951" s="15"/>
      <c r="F1951" s="16"/>
      <c r="G1951" s="17"/>
      <c r="H1951" s="17"/>
      <c r="I1951" s="18"/>
      <c r="J1951" s="16"/>
      <c r="K1951" s="19"/>
      <c r="L1951" s="20"/>
    </row>
    <row r="1952" ht="15.75" customHeight="1">
      <c r="A1952" s="9"/>
      <c r="B1952" s="26"/>
      <c r="C1952" s="24"/>
      <c r="D1952" s="14"/>
      <c r="E1952" s="15"/>
      <c r="F1952" s="16"/>
      <c r="G1952" s="17"/>
      <c r="H1952" s="17"/>
      <c r="I1952" s="18"/>
      <c r="J1952" s="16"/>
      <c r="K1952" s="19"/>
      <c r="L1952" s="20"/>
    </row>
    <row r="1953" ht="15.75" customHeight="1">
      <c r="A1953" s="9"/>
      <c r="B1953" s="26"/>
      <c r="C1953" s="24"/>
      <c r="D1953" s="14"/>
      <c r="E1953" s="15"/>
      <c r="F1953" s="16"/>
      <c r="G1953" s="17"/>
      <c r="H1953" s="17"/>
      <c r="I1953" s="18"/>
      <c r="J1953" s="16"/>
      <c r="K1953" s="19"/>
      <c r="L1953" s="20"/>
    </row>
    <row r="1954" ht="15.75" customHeight="1">
      <c r="A1954" s="9"/>
      <c r="B1954" s="26"/>
      <c r="C1954" s="24"/>
      <c r="D1954" s="14"/>
      <c r="E1954" s="15"/>
      <c r="F1954" s="16"/>
      <c r="G1954" s="17"/>
      <c r="H1954" s="17"/>
      <c r="I1954" s="18"/>
      <c r="J1954" s="16"/>
      <c r="K1954" s="19"/>
      <c r="L1954" s="20"/>
    </row>
    <row r="1955" ht="15.75" customHeight="1">
      <c r="A1955" s="9"/>
      <c r="B1955" s="26"/>
      <c r="C1955" s="24"/>
      <c r="D1955" s="14"/>
      <c r="E1955" s="15"/>
      <c r="F1955" s="16"/>
      <c r="G1955" s="17"/>
      <c r="H1955" s="17"/>
      <c r="I1955" s="18"/>
      <c r="J1955" s="16"/>
      <c r="K1955" s="19"/>
      <c r="L1955" s="20"/>
    </row>
    <row r="1956" ht="15.75" customHeight="1">
      <c r="A1956" s="9"/>
      <c r="B1956" s="26"/>
      <c r="C1956" s="24"/>
      <c r="D1956" s="14"/>
      <c r="E1956" s="15"/>
      <c r="F1956" s="16"/>
      <c r="G1956" s="17"/>
      <c r="H1956" s="17"/>
      <c r="I1956" s="18"/>
      <c r="J1956" s="16"/>
      <c r="K1956" s="19"/>
      <c r="L1956" s="20"/>
    </row>
    <row r="1957" ht="15.75" customHeight="1">
      <c r="A1957" s="9"/>
      <c r="B1957" s="26"/>
      <c r="C1957" s="24"/>
      <c r="D1957" s="14"/>
      <c r="E1957" s="15"/>
      <c r="F1957" s="16"/>
      <c r="G1957" s="17"/>
      <c r="H1957" s="17"/>
      <c r="I1957" s="18"/>
      <c r="J1957" s="16"/>
      <c r="K1957" s="19"/>
      <c r="L1957" s="20"/>
    </row>
    <row r="1958" ht="15.75" customHeight="1">
      <c r="A1958" s="9"/>
      <c r="B1958" s="26"/>
      <c r="C1958" s="24"/>
      <c r="D1958" s="14"/>
      <c r="E1958" s="15"/>
      <c r="F1958" s="16"/>
      <c r="G1958" s="17"/>
      <c r="H1958" s="17"/>
      <c r="I1958" s="18"/>
      <c r="J1958" s="16"/>
      <c r="K1958" s="19"/>
      <c r="L1958" s="20"/>
    </row>
    <row r="1959" ht="15.75" customHeight="1">
      <c r="A1959" s="9"/>
      <c r="B1959" s="26"/>
      <c r="C1959" s="24"/>
      <c r="D1959" s="14"/>
      <c r="E1959" s="15"/>
      <c r="F1959" s="16"/>
      <c r="G1959" s="17"/>
      <c r="H1959" s="17"/>
      <c r="I1959" s="18"/>
      <c r="J1959" s="16"/>
      <c r="K1959" s="19"/>
      <c r="L1959" s="20"/>
    </row>
    <row r="1960" ht="15.75" customHeight="1">
      <c r="A1960" s="9"/>
      <c r="B1960" s="26"/>
      <c r="C1960" s="24"/>
      <c r="D1960" s="14"/>
      <c r="E1960" s="15"/>
      <c r="F1960" s="16"/>
      <c r="G1960" s="17"/>
      <c r="H1960" s="17"/>
      <c r="I1960" s="18"/>
      <c r="J1960" s="16"/>
      <c r="K1960" s="19"/>
      <c r="L1960" s="20"/>
    </row>
    <row r="1961" ht="15.75" customHeight="1">
      <c r="A1961" s="9"/>
      <c r="B1961" s="26"/>
      <c r="C1961" s="24"/>
      <c r="D1961" s="14"/>
      <c r="E1961" s="15"/>
      <c r="F1961" s="16"/>
      <c r="G1961" s="17"/>
      <c r="H1961" s="17"/>
      <c r="I1961" s="18"/>
      <c r="J1961" s="16"/>
      <c r="K1961" s="19"/>
      <c r="L1961" s="20"/>
    </row>
    <row r="1962" ht="15.75" customHeight="1">
      <c r="A1962" s="9"/>
      <c r="B1962" s="26"/>
      <c r="C1962" s="24"/>
      <c r="D1962" s="14"/>
      <c r="E1962" s="15"/>
      <c r="F1962" s="16"/>
      <c r="G1962" s="17"/>
      <c r="H1962" s="17"/>
      <c r="I1962" s="18"/>
      <c r="J1962" s="16"/>
      <c r="K1962" s="19"/>
      <c r="L1962" s="20"/>
    </row>
    <row r="1963" ht="15.75" customHeight="1">
      <c r="A1963" s="9"/>
      <c r="B1963" s="26"/>
      <c r="C1963" s="24"/>
      <c r="D1963" s="14"/>
      <c r="E1963" s="15"/>
      <c r="F1963" s="16"/>
      <c r="G1963" s="17"/>
      <c r="H1963" s="17"/>
      <c r="I1963" s="18"/>
      <c r="J1963" s="16"/>
      <c r="K1963" s="19"/>
      <c r="L1963" s="20"/>
    </row>
    <row r="1964" ht="15.75" customHeight="1">
      <c r="A1964" s="9"/>
      <c r="B1964" s="26"/>
      <c r="C1964" s="24"/>
      <c r="D1964" s="14"/>
      <c r="E1964" s="15"/>
      <c r="F1964" s="16"/>
      <c r="G1964" s="17"/>
      <c r="H1964" s="17"/>
      <c r="I1964" s="18"/>
      <c r="J1964" s="16"/>
      <c r="K1964" s="19"/>
      <c r="L1964" s="20"/>
    </row>
    <row r="1965" ht="15.75" customHeight="1">
      <c r="A1965" s="9"/>
      <c r="B1965" s="26"/>
      <c r="C1965" s="24"/>
      <c r="D1965" s="14"/>
      <c r="E1965" s="15"/>
      <c r="F1965" s="16"/>
      <c r="G1965" s="17"/>
      <c r="H1965" s="17"/>
      <c r="I1965" s="18"/>
      <c r="J1965" s="16"/>
      <c r="K1965" s="19"/>
      <c r="L1965" s="20"/>
    </row>
    <row r="1966" ht="15.75" customHeight="1">
      <c r="A1966" s="9"/>
      <c r="B1966" s="26"/>
      <c r="C1966" s="24"/>
      <c r="D1966" s="14"/>
      <c r="E1966" s="15"/>
      <c r="F1966" s="16"/>
      <c r="G1966" s="17"/>
      <c r="H1966" s="17"/>
      <c r="I1966" s="18"/>
      <c r="J1966" s="16"/>
      <c r="K1966" s="19"/>
      <c r="L1966" s="20"/>
    </row>
    <row r="1967" ht="15.75" customHeight="1">
      <c r="A1967" s="9"/>
      <c r="B1967" s="26"/>
      <c r="C1967" s="24"/>
      <c r="D1967" s="14"/>
      <c r="E1967" s="15"/>
      <c r="F1967" s="16"/>
      <c r="G1967" s="17"/>
      <c r="H1967" s="17"/>
      <c r="I1967" s="18"/>
      <c r="J1967" s="16"/>
      <c r="K1967" s="19"/>
      <c r="L1967" s="20"/>
    </row>
    <row r="1968" ht="15.75" customHeight="1">
      <c r="A1968" s="9"/>
      <c r="B1968" s="26"/>
      <c r="C1968" s="24"/>
      <c r="D1968" s="14"/>
      <c r="E1968" s="15"/>
      <c r="F1968" s="16"/>
      <c r="G1968" s="17"/>
      <c r="H1968" s="17"/>
      <c r="I1968" s="18"/>
      <c r="J1968" s="16"/>
      <c r="K1968" s="19"/>
      <c r="L1968" s="20"/>
    </row>
    <row r="1969" ht="15.75" customHeight="1">
      <c r="A1969" s="9"/>
      <c r="B1969" s="26"/>
      <c r="C1969" s="24"/>
      <c r="D1969" s="14"/>
      <c r="E1969" s="15"/>
      <c r="F1969" s="16"/>
      <c r="G1969" s="17"/>
      <c r="H1969" s="17"/>
      <c r="I1969" s="18"/>
      <c r="J1969" s="16"/>
      <c r="K1969" s="19"/>
      <c r="L1969" s="20"/>
    </row>
    <row r="1970" ht="15.75" customHeight="1">
      <c r="A1970" s="9"/>
      <c r="B1970" s="26"/>
      <c r="C1970" s="24"/>
      <c r="D1970" s="14"/>
      <c r="E1970" s="15"/>
      <c r="F1970" s="16"/>
      <c r="G1970" s="17"/>
      <c r="H1970" s="17"/>
      <c r="I1970" s="18"/>
      <c r="J1970" s="16"/>
      <c r="K1970" s="19"/>
      <c r="L1970" s="20"/>
    </row>
    <row r="1971" ht="15.75" customHeight="1">
      <c r="A1971" s="9"/>
      <c r="B1971" s="26"/>
      <c r="C1971" s="24"/>
      <c r="D1971" s="14"/>
      <c r="E1971" s="15"/>
      <c r="F1971" s="16"/>
      <c r="G1971" s="17"/>
      <c r="H1971" s="17"/>
      <c r="I1971" s="18"/>
      <c r="J1971" s="16"/>
      <c r="K1971" s="19"/>
      <c r="L1971" s="20"/>
    </row>
    <row r="1972" ht="15.75" customHeight="1">
      <c r="A1972" s="9"/>
      <c r="B1972" s="26"/>
      <c r="C1972" s="24"/>
      <c r="D1972" s="14"/>
      <c r="E1972" s="15"/>
      <c r="F1972" s="16"/>
      <c r="G1972" s="17"/>
      <c r="H1972" s="17"/>
      <c r="I1972" s="18"/>
      <c r="J1972" s="16"/>
      <c r="K1972" s="19"/>
      <c r="L1972" s="20"/>
    </row>
    <row r="1973" ht="15.75" customHeight="1">
      <c r="A1973" s="9"/>
      <c r="B1973" s="26"/>
      <c r="C1973" s="24"/>
      <c r="D1973" s="14"/>
      <c r="E1973" s="15"/>
      <c r="F1973" s="16"/>
      <c r="G1973" s="17"/>
      <c r="H1973" s="17"/>
      <c r="I1973" s="18"/>
      <c r="J1973" s="16"/>
      <c r="K1973" s="19"/>
      <c r="L1973" s="20"/>
    </row>
    <row r="1974" ht="15.75" customHeight="1">
      <c r="A1974" s="9"/>
      <c r="B1974" s="26"/>
      <c r="C1974" s="24"/>
      <c r="D1974" s="14"/>
      <c r="E1974" s="15"/>
      <c r="F1974" s="16"/>
      <c r="G1974" s="17"/>
      <c r="H1974" s="17"/>
      <c r="I1974" s="18"/>
      <c r="J1974" s="16"/>
      <c r="K1974" s="19"/>
      <c r="L1974" s="20"/>
    </row>
    <row r="1975" ht="15.75" customHeight="1">
      <c r="A1975" s="9"/>
      <c r="B1975" s="26"/>
      <c r="C1975" s="24"/>
      <c r="D1975" s="14"/>
      <c r="E1975" s="15"/>
      <c r="F1975" s="16"/>
      <c r="G1975" s="17"/>
      <c r="H1975" s="17"/>
      <c r="I1975" s="18"/>
      <c r="J1975" s="16"/>
      <c r="K1975" s="19"/>
      <c r="L1975" s="20"/>
    </row>
    <row r="1976" ht="15.75" customHeight="1">
      <c r="A1976" s="9"/>
      <c r="B1976" s="26"/>
      <c r="C1976" s="24"/>
      <c r="D1976" s="14"/>
      <c r="E1976" s="15"/>
      <c r="F1976" s="16"/>
      <c r="G1976" s="17"/>
      <c r="H1976" s="17"/>
      <c r="I1976" s="18"/>
      <c r="J1976" s="16"/>
      <c r="K1976" s="19"/>
      <c r="L1976" s="20"/>
    </row>
    <row r="1977" ht="15.75" customHeight="1">
      <c r="A1977" s="9"/>
      <c r="B1977" s="26"/>
      <c r="C1977" s="24"/>
      <c r="D1977" s="14"/>
      <c r="E1977" s="15"/>
      <c r="F1977" s="16"/>
      <c r="G1977" s="17"/>
      <c r="H1977" s="17"/>
      <c r="I1977" s="18"/>
      <c r="J1977" s="16"/>
      <c r="K1977" s="19"/>
      <c r="L1977" s="20"/>
    </row>
    <row r="1978" ht="15.75" customHeight="1">
      <c r="A1978" s="9"/>
      <c r="B1978" s="26"/>
      <c r="C1978" s="24"/>
      <c r="D1978" s="14"/>
      <c r="E1978" s="15"/>
      <c r="F1978" s="16"/>
      <c r="G1978" s="17"/>
      <c r="H1978" s="17"/>
      <c r="I1978" s="18"/>
      <c r="J1978" s="16"/>
      <c r="K1978" s="19"/>
      <c r="L1978" s="20"/>
    </row>
    <row r="1979" ht="15.75" customHeight="1">
      <c r="A1979" s="9"/>
      <c r="B1979" s="26"/>
      <c r="C1979" s="24"/>
      <c r="D1979" s="14"/>
      <c r="E1979" s="15"/>
      <c r="F1979" s="16"/>
      <c r="G1979" s="17"/>
      <c r="H1979" s="17"/>
      <c r="I1979" s="18"/>
      <c r="J1979" s="16"/>
      <c r="K1979" s="19"/>
      <c r="L1979" s="20"/>
    </row>
    <row r="1980" ht="15.75" customHeight="1">
      <c r="A1980" s="9"/>
      <c r="B1980" s="26"/>
      <c r="C1980" s="24"/>
      <c r="D1980" s="14"/>
      <c r="E1980" s="15"/>
      <c r="F1980" s="16"/>
      <c r="G1980" s="17"/>
      <c r="H1980" s="17"/>
      <c r="I1980" s="18"/>
      <c r="J1980" s="16"/>
      <c r="K1980" s="19"/>
      <c r="L1980" s="20"/>
    </row>
    <row r="1981" ht="15.75" customHeight="1">
      <c r="A1981" s="9"/>
      <c r="B1981" s="26"/>
      <c r="C1981" s="24"/>
      <c r="D1981" s="14"/>
      <c r="E1981" s="15"/>
      <c r="F1981" s="16"/>
      <c r="G1981" s="17"/>
      <c r="H1981" s="17"/>
      <c r="I1981" s="18"/>
      <c r="J1981" s="16"/>
      <c r="K1981" s="19"/>
      <c r="L1981" s="20"/>
    </row>
    <row r="1982" ht="15.75" customHeight="1">
      <c r="A1982" s="9"/>
      <c r="B1982" s="26"/>
      <c r="C1982" s="24"/>
      <c r="D1982" s="14"/>
      <c r="E1982" s="15"/>
      <c r="F1982" s="16"/>
      <c r="G1982" s="17"/>
      <c r="H1982" s="17"/>
      <c r="I1982" s="18"/>
      <c r="J1982" s="16"/>
      <c r="K1982" s="19"/>
      <c r="L1982" s="20"/>
    </row>
    <row r="1983" ht="15.75" customHeight="1">
      <c r="A1983" s="9"/>
      <c r="B1983" s="26"/>
      <c r="C1983" s="24"/>
      <c r="D1983" s="14"/>
      <c r="E1983" s="15"/>
      <c r="F1983" s="16"/>
      <c r="G1983" s="17"/>
      <c r="H1983" s="17"/>
      <c r="I1983" s="18"/>
      <c r="J1983" s="16"/>
      <c r="K1983" s="19"/>
      <c r="L1983" s="20"/>
    </row>
    <row r="1984" ht="15.75" customHeight="1">
      <c r="A1984" s="9"/>
      <c r="B1984" s="26"/>
      <c r="C1984" s="24"/>
      <c r="D1984" s="14"/>
      <c r="E1984" s="15"/>
      <c r="F1984" s="16"/>
      <c r="G1984" s="17"/>
      <c r="H1984" s="17"/>
      <c r="I1984" s="18"/>
      <c r="J1984" s="16"/>
      <c r="K1984" s="19"/>
      <c r="L1984" s="20"/>
    </row>
    <row r="1985" ht="15.75" customHeight="1">
      <c r="A1985" s="9"/>
      <c r="B1985" s="26"/>
      <c r="C1985" s="24"/>
      <c r="D1985" s="14"/>
      <c r="E1985" s="15"/>
      <c r="F1985" s="16"/>
      <c r="G1985" s="17"/>
      <c r="H1985" s="17"/>
      <c r="I1985" s="18"/>
      <c r="J1985" s="16"/>
      <c r="K1985" s="19"/>
      <c r="L1985" s="20"/>
    </row>
    <row r="1986" ht="15.75" customHeight="1">
      <c r="A1986" s="9"/>
      <c r="B1986" s="26"/>
      <c r="C1986" s="24"/>
      <c r="D1986" s="14"/>
      <c r="E1986" s="15"/>
      <c r="F1986" s="16"/>
      <c r="G1986" s="17"/>
      <c r="H1986" s="17"/>
      <c r="I1986" s="18"/>
      <c r="J1986" s="16"/>
      <c r="K1986" s="19"/>
      <c r="L1986" s="20"/>
    </row>
    <row r="1987" ht="15.75" customHeight="1">
      <c r="A1987" s="9"/>
      <c r="B1987" s="26"/>
      <c r="C1987" s="24"/>
      <c r="D1987" s="14"/>
      <c r="E1987" s="15"/>
      <c r="F1987" s="16"/>
      <c r="G1987" s="17"/>
      <c r="H1987" s="17"/>
      <c r="I1987" s="18"/>
      <c r="J1987" s="16"/>
      <c r="K1987" s="19"/>
      <c r="L1987" s="20"/>
    </row>
    <row r="1988" ht="15.75" customHeight="1">
      <c r="A1988" s="9"/>
      <c r="B1988" s="26"/>
      <c r="C1988" s="24"/>
      <c r="D1988" s="14"/>
      <c r="E1988" s="15"/>
      <c r="F1988" s="16"/>
      <c r="G1988" s="17"/>
      <c r="H1988" s="17"/>
      <c r="I1988" s="18"/>
      <c r="J1988" s="16"/>
      <c r="K1988" s="19"/>
      <c r="L1988" s="20"/>
    </row>
    <row r="1989" ht="15.75" customHeight="1">
      <c r="A1989" s="9"/>
      <c r="B1989" s="26"/>
      <c r="C1989" s="24"/>
      <c r="D1989" s="14"/>
      <c r="E1989" s="15"/>
      <c r="F1989" s="16"/>
      <c r="G1989" s="17"/>
      <c r="H1989" s="17"/>
      <c r="I1989" s="18"/>
      <c r="J1989" s="16"/>
      <c r="K1989" s="19"/>
      <c r="L1989" s="20"/>
    </row>
    <row r="1990" ht="15.75" customHeight="1">
      <c r="A1990" s="9"/>
      <c r="B1990" s="26"/>
      <c r="C1990" s="24"/>
      <c r="D1990" s="14"/>
      <c r="E1990" s="15"/>
      <c r="F1990" s="16"/>
      <c r="G1990" s="17"/>
      <c r="H1990" s="17"/>
      <c r="I1990" s="18"/>
      <c r="J1990" s="16"/>
      <c r="K1990" s="19"/>
      <c r="L1990" s="20"/>
    </row>
    <row r="1991" ht="15.75" customHeight="1">
      <c r="A1991" s="9"/>
      <c r="B1991" s="26"/>
      <c r="C1991" s="24"/>
      <c r="D1991" s="14"/>
      <c r="E1991" s="15"/>
      <c r="F1991" s="16"/>
      <c r="G1991" s="17"/>
      <c r="H1991" s="17"/>
      <c r="I1991" s="18"/>
      <c r="J1991" s="16"/>
      <c r="K1991" s="19"/>
      <c r="L1991" s="20"/>
    </row>
    <row r="1992" ht="15.75" customHeight="1">
      <c r="A1992" s="9"/>
      <c r="B1992" s="26"/>
      <c r="C1992" s="24"/>
      <c r="D1992" s="14"/>
      <c r="E1992" s="15"/>
      <c r="F1992" s="16"/>
      <c r="G1992" s="17"/>
      <c r="H1992" s="17"/>
      <c r="I1992" s="18"/>
      <c r="J1992" s="16"/>
      <c r="K1992" s="19"/>
      <c r="L1992" s="20"/>
    </row>
    <row r="1993" ht="15.75" customHeight="1">
      <c r="A1993" s="9"/>
      <c r="B1993" s="26"/>
      <c r="C1993" s="24"/>
      <c r="D1993" s="14"/>
      <c r="E1993" s="15"/>
      <c r="F1993" s="16"/>
      <c r="G1993" s="17"/>
      <c r="H1993" s="17"/>
      <c r="I1993" s="18"/>
      <c r="J1993" s="16"/>
      <c r="K1993" s="19"/>
      <c r="L1993" s="20"/>
    </row>
    <row r="1994" ht="15.75" customHeight="1">
      <c r="A1994" s="9"/>
      <c r="B1994" s="26"/>
      <c r="C1994" s="24"/>
      <c r="D1994" s="14"/>
      <c r="E1994" s="15"/>
      <c r="F1994" s="16"/>
      <c r="G1994" s="17"/>
      <c r="H1994" s="17"/>
      <c r="I1994" s="18"/>
      <c r="J1994" s="16"/>
      <c r="K1994" s="19"/>
      <c r="L1994" s="20"/>
    </row>
    <row r="1995" ht="15.75" customHeight="1">
      <c r="A1995" s="9"/>
      <c r="B1995" s="26"/>
      <c r="C1995" s="24"/>
      <c r="D1995" s="14"/>
      <c r="E1995" s="15"/>
      <c r="F1995" s="16"/>
      <c r="G1995" s="17"/>
      <c r="H1995" s="17"/>
      <c r="I1995" s="18"/>
      <c r="J1995" s="16"/>
      <c r="K1995" s="19"/>
      <c r="L1995" s="20"/>
    </row>
    <row r="1996" ht="15.75" customHeight="1">
      <c r="A1996" s="9"/>
      <c r="B1996" s="26"/>
      <c r="C1996" s="24"/>
      <c r="D1996" s="14"/>
      <c r="E1996" s="15"/>
      <c r="F1996" s="16"/>
      <c r="G1996" s="17"/>
      <c r="H1996" s="17"/>
      <c r="I1996" s="18"/>
      <c r="J1996" s="16"/>
      <c r="K1996" s="19"/>
      <c r="L1996" s="20"/>
    </row>
    <row r="1997" ht="15.75" customHeight="1">
      <c r="A1997" s="9"/>
      <c r="B1997" s="26"/>
      <c r="C1997" s="24"/>
      <c r="D1997" s="14"/>
      <c r="E1997" s="15"/>
      <c r="F1997" s="16"/>
      <c r="G1997" s="17"/>
      <c r="H1997" s="17"/>
      <c r="I1997" s="18"/>
      <c r="J1997" s="16"/>
      <c r="K1997" s="19"/>
      <c r="L1997" s="20"/>
    </row>
    <row r="1998" ht="15.75" customHeight="1">
      <c r="A1998" s="9"/>
      <c r="B1998" s="26"/>
      <c r="C1998" s="24"/>
      <c r="D1998" s="14"/>
      <c r="E1998" s="15"/>
      <c r="F1998" s="16"/>
      <c r="G1998" s="17"/>
      <c r="H1998" s="17"/>
      <c r="I1998" s="18"/>
      <c r="J1998" s="16"/>
      <c r="K1998" s="19"/>
      <c r="L1998" s="20"/>
    </row>
    <row r="1999" ht="15.75" customHeight="1">
      <c r="A1999" s="9"/>
      <c r="B1999" s="26"/>
      <c r="C1999" s="24"/>
      <c r="D1999" s="14"/>
      <c r="E1999" s="15"/>
      <c r="F1999" s="16"/>
      <c r="G1999" s="17"/>
      <c r="H1999" s="17"/>
      <c r="I1999" s="18"/>
      <c r="J1999" s="16"/>
      <c r="K1999" s="19"/>
      <c r="L1999" s="20"/>
    </row>
    <row r="2000" ht="15.75" customHeight="1">
      <c r="A2000" s="9"/>
      <c r="B2000" s="26"/>
      <c r="C2000" s="24"/>
      <c r="D2000" s="14"/>
      <c r="E2000" s="15"/>
      <c r="F2000" s="16"/>
      <c r="G2000" s="17"/>
      <c r="H2000" s="17"/>
      <c r="I2000" s="18"/>
      <c r="J2000" s="16"/>
      <c r="K2000" s="19"/>
      <c r="L2000" s="20"/>
    </row>
    <row r="2001" ht="15.75" customHeight="1">
      <c r="A2001" s="9"/>
      <c r="B2001" s="26"/>
      <c r="C2001" s="24"/>
      <c r="D2001" s="14"/>
      <c r="E2001" s="15"/>
      <c r="F2001" s="16"/>
      <c r="G2001" s="17"/>
      <c r="H2001" s="17"/>
      <c r="I2001" s="18"/>
      <c r="J2001" s="16"/>
      <c r="K2001" s="19"/>
      <c r="L2001" s="20"/>
    </row>
    <row r="2002" ht="15.75" customHeight="1">
      <c r="A2002" s="9"/>
      <c r="B2002" s="26"/>
      <c r="C2002" s="24"/>
      <c r="D2002" s="14"/>
      <c r="E2002" s="15"/>
      <c r="F2002" s="16"/>
      <c r="G2002" s="17"/>
      <c r="H2002" s="17"/>
      <c r="I2002" s="18"/>
      <c r="J2002" s="16"/>
      <c r="K2002" s="19"/>
      <c r="L2002" s="20"/>
    </row>
    <row r="2003" ht="15.75" customHeight="1">
      <c r="A2003" s="9"/>
      <c r="B2003" s="26"/>
      <c r="C2003" s="24"/>
      <c r="D2003" s="14"/>
      <c r="E2003" s="15"/>
      <c r="F2003" s="16"/>
      <c r="G2003" s="17"/>
      <c r="H2003" s="17"/>
      <c r="I2003" s="18"/>
      <c r="J2003" s="16"/>
      <c r="K2003" s="19"/>
      <c r="L2003" s="20"/>
    </row>
    <row r="2004" ht="15.75" customHeight="1">
      <c r="A2004" s="9"/>
      <c r="B2004" s="26"/>
      <c r="C2004" s="24"/>
      <c r="D2004" s="14"/>
      <c r="E2004" s="15"/>
      <c r="F2004" s="16"/>
      <c r="G2004" s="17"/>
      <c r="H2004" s="17"/>
      <c r="I2004" s="18"/>
      <c r="J2004" s="16"/>
      <c r="K2004" s="19"/>
      <c r="L2004" s="20"/>
    </row>
    <row r="2005" ht="15.75" customHeight="1">
      <c r="A2005" s="9"/>
      <c r="B2005" s="26"/>
      <c r="C2005" s="24"/>
      <c r="D2005" s="14"/>
      <c r="E2005" s="15"/>
      <c r="F2005" s="16"/>
      <c r="G2005" s="17"/>
      <c r="H2005" s="17"/>
      <c r="I2005" s="18"/>
      <c r="J2005" s="16"/>
      <c r="K2005" s="19"/>
      <c r="L2005" s="20"/>
    </row>
    <row r="2006" ht="15.75" customHeight="1">
      <c r="A2006" s="9"/>
      <c r="B2006" s="26"/>
      <c r="C2006" s="24"/>
      <c r="D2006" s="14"/>
      <c r="E2006" s="15"/>
      <c r="F2006" s="16"/>
      <c r="G2006" s="17"/>
      <c r="H2006" s="17"/>
      <c r="I2006" s="18"/>
      <c r="J2006" s="16"/>
      <c r="K2006" s="19"/>
      <c r="L2006" s="20"/>
    </row>
    <row r="2007" ht="15.75" customHeight="1">
      <c r="A2007" s="9"/>
      <c r="B2007" s="26"/>
      <c r="C2007" s="24"/>
      <c r="D2007" s="14"/>
      <c r="E2007" s="15"/>
      <c r="F2007" s="16"/>
      <c r="G2007" s="17"/>
      <c r="H2007" s="17"/>
      <c r="I2007" s="18"/>
      <c r="J2007" s="16"/>
      <c r="K2007" s="19"/>
      <c r="L2007" s="20"/>
    </row>
    <row r="2008" ht="15.75" customHeight="1">
      <c r="A2008" s="9"/>
      <c r="B2008" s="26"/>
      <c r="C2008" s="24"/>
      <c r="D2008" s="14"/>
      <c r="E2008" s="15"/>
      <c r="F2008" s="16"/>
      <c r="G2008" s="17"/>
      <c r="H2008" s="17"/>
      <c r="I2008" s="18"/>
      <c r="J2008" s="16"/>
      <c r="K2008" s="19"/>
      <c r="L2008" s="20"/>
    </row>
    <row r="2009" ht="15.75" customHeight="1">
      <c r="A2009" s="9"/>
      <c r="B2009" s="26"/>
      <c r="C2009" s="24"/>
      <c r="D2009" s="14"/>
      <c r="E2009" s="15"/>
      <c r="F2009" s="16"/>
      <c r="G2009" s="17"/>
      <c r="H2009" s="17"/>
      <c r="I2009" s="18"/>
      <c r="J2009" s="16"/>
      <c r="K2009" s="19"/>
      <c r="L2009" s="20"/>
    </row>
    <row r="2010" ht="15.75" customHeight="1">
      <c r="A2010" s="9"/>
      <c r="B2010" s="26"/>
      <c r="C2010" s="24"/>
      <c r="D2010" s="14"/>
      <c r="E2010" s="15"/>
      <c r="F2010" s="16"/>
      <c r="G2010" s="17"/>
      <c r="H2010" s="17"/>
      <c r="I2010" s="18"/>
      <c r="J2010" s="16"/>
      <c r="K2010" s="19"/>
      <c r="L2010" s="20"/>
    </row>
    <row r="2011" ht="15.75" customHeight="1">
      <c r="A2011" s="9"/>
      <c r="B2011" s="26"/>
      <c r="C2011" s="24"/>
      <c r="D2011" s="14"/>
      <c r="E2011" s="15"/>
      <c r="F2011" s="16"/>
      <c r="G2011" s="17"/>
      <c r="H2011" s="17"/>
      <c r="I2011" s="18"/>
      <c r="J2011" s="16"/>
      <c r="K2011" s="19"/>
      <c r="L2011" s="20"/>
    </row>
    <row r="2012" ht="15.75" customHeight="1">
      <c r="A2012" s="9"/>
      <c r="B2012" s="26"/>
      <c r="C2012" s="24"/>
      <c r="D2012" s="14"/>
      <c r="E2012" s="15"/>
      <c r="F2012" s="16"/>
      <c r="G2012" s="17"/>
      <c r="H2012" s="17"/>
      <c r="I2012" s="18"/>
      <c r="J2012" s="16"/>
      <c r="K2012" s="19"/>
      <c r="L2012" s="20"/>
    </row>
    <row r="2013" ht="15.75" customHeight="1">
      <c r="A2013" s="9"/>
      <c r="B2013" s="26"/>
      <c r="C2013" s="24"/>
      <c r="D2013" s="14"/>
      <c r="E2013" s="15"/>
      <c r="F2013" s="16"/>
      <c r="G2013" s="17"/>
      <c r="H2013" s="17"/>
      <c r="I2013" s="18"/>
      <c r="J2013" s="16"/>
      <c r="K2013" s="19"/>
      <c r="L2013" s="20"/>
    </row>
    <row r="2014" ht="15.75" customHeight="1">
      <c r="A2014" s="9"/>
      <c r="B2014" s="26"/>
      <c r="C2014" s="24"/>
      <c r="D2014" s="14"/>
      <c r="E2014" s="15"/>
      <c r="F2014" s="16"/>
      <c r="G2014" s="17"/>
      <c r="H2014" s="17"/>
      <c r="I2014" s="18"/>
      <c r="J2014" s="16"/>
      <c r="K2014" s="19"/>
      <c r="L2014" s="20"/>
    </row>
    <row r="2015" ht="15.75" customHeight="1">
      <c r="A2015" s="9"/>
      <c r="B2015" s="26"/>
      <c r="C2015" s="24"/>
      <c r="D2015" s="14"/>
      <c r="E2015" s="15"/>
      <c r="F2015" s="16"/>
      <c r="G2015" s="17"/>
      <c r="H2015" s="17"/>
      <c r="I2015" s="18"/>
      <c r="J2015" s="16"/>
      <c r="K2015" s="19"/>
      <c r="L2015" s="20"/>
    </row>
    <row r="2016" ht="15.75" customHeight="1">
      <c r="A2016" s="9"/>
      <c r="B2016" s="26"/>
      <c r="C2016" s="24"/>
      <c r="D2016" s="14"/>
      <c r="E2016" s="15"/>
      <c r="F2016" s="16"/>
      <c r="G2016" s="17"/>
      <c r="H2016" s="17"/>
      <c r="I2016" s="18"/>
      <c r="J2016" s="16"/>
      <c r="K2016" s="19"/>
      <c r="L2016" s="20"/>
    </row>
    <row r="2017" ht="15.75" customHeight="1">
      <c r="A2017" s="9"/>
      <c r="B2017" s="26"/>
      <c r="C2017" s="24"/>
      <c r="D2017" s="14"/>
      <c r="E2017" s="15"/>
      <c r="F2017" s="16"/>
      <c r="G2017" s="17"/>
      <c r="H2017" s="17"/>
      <c r="I2017" s="18"/>
      <c r="J2017" s="16"/>
      <c r="K2017" s="19"/>
      <c r="L2017" s="20"/>
    </row>
    <row r="2018" ht="15.75" customHeight="1">
      <c r="A2018" s="9"/>
      <c r="B2018" s="26"/>
      <c r="C2018" s="24"/>
      <c r="D2018" s="14"/>
      <c r="E2018" s="15"/>
      <c r="F2018" s="16"/>
      <c r="G2018" s="17"/>
      <c r="H2018" s="17"/>
      <c r="I2018" s="18"/>
      <c r="J2018" s="16"/>
      <c r="K2018" s="19"/>
      <c r="L2018" s="20"/>
    </row>
    <row r="2019" ht="15.75" customHeight="1">
      <c r="A2019" s="9"/>
      <c r="B2019" s="26"/>
      <c r="C2019" s="24"/>
      <c r="D2019" s="14"/>
      <c r="E2019" s="15"/>
      <c r="F2019" s="16"/>
      <c r="G2019" s="17"/>
      <c r="H2019" s="17"/>
      <c r="I2019" s="18"/>
      <c r="J2019" s="16"/>
      <c r="K2019" s="19"/>
      <c r="L2019" s="20"/>
    </row>
    <row r="2020" ht="15.75" customHeight="1">
      <c r="A2020" s="9"/>
      <c r="B2020" s="26"/>
      <c r="C2020" s="24"/>
      <c r="D2020" s="14"/>
      <c r="E2020" s="15"/>
      <c r="F2020" s="16"/>
      <c r="G2020" s="17"/>
      <c r="H2020" s="17"/>
      <c r="I2020" s="18"/>
      <c r="J2020" s="16"/>
      <c r="K2020" s="19"/>
      <c r="L2020" s="20"/>
    </row>
    <row r="2021" ht="15.75" customHeight="1">
      <c r="A2021" s="9"/>
      <c r="B2021" s="26"/>
      <c r="C2021" s="24"/>
      <c r="D2021" s="14"/>
      <c r="E2021" s="15"/>
      <c r="F2021" s="16"/>
      <c r="G2021" s="17"/>
      <c r="H2021" s="17"/>
      <c r="I2021" s="18"/>
      <c r="J2021" s="16"/>
      <c r="K2021" s="19"/>
      <c r="L2021" s="20"/>
    </row>
    <row r="2022" ht="15.75" customHeight="1">
      <c r="A2022" s="9"/>
      <c r="B2022" s="26"/>
      <c r="C2022" s="24"/>
      <c r="D2022" s="14"/>
      <c r="E2022" s="15"/>
      <c r="F2022" s="16"/>
      <c r="G2022" s="17"/>
      <c r="H2022" s="17"/>
      <c r="I2022" s="18"/>
      <c r="J2022" s="16"/>
      <c r="K2022" s="19"/>
      <c r="L2022" s="20"/>
    </row>
    <row r="2023" ht="15.75" customHeight="1">
      <c r="A2023" s="9"/>
      <c r="B2023" s="26"/>
      <c r="C2023" s="24"/>
      <c r="D2023" s="14"/>
      <c r="E2023" s="15"/>
      <c r="F2023" s="16"/>
      <c r="G2023" s="17"/>
      <c r="H2023" s="17"/>
      <c r="I2023" s="18"/>
      <c r="J2023" s="16"/>
      <c r="K2023" s="19"/>
      <c r="L2023" s="20"/>
    </row>
    <row r="2024" ht="15.75" customHeight="1">
      <c r="A2024" s="9"/>
      <c r="B2024" s="26"/>
      <c r="C2024" s="24"/>
      <c r="D2024" s="14"/>
      <c r="E2024" s="15"/>
      <c r="F2024" s="16"/>
      <c r="G2024" s="17"/>
      <c r="H2024" s="17"/>
      <c r="I2024" s="18"/>
      <c r="J2024" s="16"/>
      <c r="K2024" s="19"/>
      <c r="L2024" s="20"/>
    </row>
    <row r="2025" ht="15.75" customHeight="1">
      <c r="A2025" s="9"/>
      <c r="B2025" s="26"/>
      <c r="C2025" s="24"/>
      <c r="D2025" s="14"/>
      <c r="E2025" s="15"/>
      <c r="F2025" s="16"/>
      <c r="G2025" s="17"/>
      <c r="H2025" s="17"/>
      <c r="I2025" s="18"/>
      <c r="J2025" s="16"/>
      <c r="K2025" s="19"/>
      <c r="L2025" s="20"/>
    </row>
    <row r="2026" ht="15.75" customHeight="1">
      <c r="A2026" s="9"/>
      <c r="B2026" s="26"/>
      <c r="C2026" s="24"/>
      <c r="D2026" s="14"/>
      <c r="E2026" s="15"/>
      <c r="F2026" s="16"/>
      <c r="G2026" s="17"/>
      <c r="H2026" s="17"/>
      <c r="I2026" s="18"/>
      <c r="J2026" s="16"/>
      <c r="K2026" s="19"/>
      <c r="L2026" s="20"/>
    </row>
    <row r="2027" ht="15.75" customHeight="1">
      <c r="A2027" s="9"/>
      <c r="B2027" s="26"/>
      <c r="C2027" s="24"/>
      <c r="D2027" s="14"/>
      <c r="E2027" s="15"/>
      <c r="F2027" s="16"/>
      <c r="G2027" s="17"/>
      <c r="H2027" s="17"/>
      <c r="I2027" s="18"/>
      <c r="J2027" s="16"/>
      <c r="K2027" s="19"/>
      <c r="L2027" s="20"/>
    </row>
    <row r="2028" ht="15.75" customHeight="1">
      <c r="A2028" s="9"/>
      <c r="B2028" s="26"/>
      <c r="C2028" s="24"/>
      <c r="D2028" s="14"/>
      <c r="E2028" s="15"/>
      <c r="F2028" s="16"/>
      <c r="G2028" s="17"/>
      <c r="H2028" s="17"/>
      <c r="I2028" s="18"/>
      <c r="J2028" s="16"/>
      <c r="K2028" s="19"/>
      <c r="L2028" s="20"/>
    </row>
    <row r="2029" ht="15.75" customHeight="1">
      <c r="A2029" s="9"/>
      <c r="B2029" s="26"/>
      <c r="C2029" s="24"/>
      <c r="D2029" s="14"/>
      <c r="E2029" s="15"/>
      <c r="F2029" s="16"/>
      <c r="G2029" s="17"/>
      <c r="H2029" s="17"/>
      <c r="I2029" s="18"/>
      <c r="J2029" s="16"/>
      <c r="K2029" s="19"/>
      <c r="L2029" s="20"/>
    </row>
    <row r="2030" ht="15.75" customHeight="1">
      <c r="A2030" s="9"/>
      <c r="B2030" s="26"/>
      <c r="C2030" s="24"/>
      <c r="D2030" s="14"/>
      <c r="E2030" s="15"/>
      <c r="F2030" s="16"/>
      <c r="G2030" s="17"/>
      <c r="H2030" s="17"/>
      <c r="I2030" s="18"/>
      <c r="J2030" s="16"/>
      <c r="K2030" s="19"/>
      <c r="L2030" s="20"/>
    </row>
    <row r="2031" ht="15.75" customHeight="1">
      <c r="A2031" s="9"/>
      <c r="B2031" s="26"/>
      <c r="C2031" s="24"/>
      <c r="D2031" s="14"/>
      <c r="E2031" s="15"/>
      <c r="F2031" s="16"/>
      <c r="G2031" s="17"/>
      <c r="H2031" s="17"/>
      <c r="I2031" s="18"/>
      <c r="J2031" s="16"/>
      <c r="K2031" s="19"/>
      <c r="L2031" s="20"/>
    </row>
    <row r="2032" ht="15.75" customHeight="1">
      <c r="A2032" s="9"/>
      <c r="B2032" s="26"/>
      <c r="C2032" s="24"/>
      <c r="D2032" s="14"/>
      <c r="E2032" s="15"/>
      <c r="F2032" s="16"/>
      <c r="G2032" s="17"/>
      <c r="H2032" s="17"/>
      <c r="I2032" s="18"/>
      <c r="J2032" s="16"/>
      <c r="K2032" s="19"/>
      <c r="L2032" s="20"/>
    </row>
    <row r="2033" ht="15.75" customHeight="1">
      <c r="A2033" s="9"/>
      <c r="B2033" s="26"/>
      <c r="C2033" s="24"/>
      <c r="D2033" s="14"/>
      <c r="E2033" s="15"/>
      <c r="F2033" s="16"/>
      <c r="G2033" s="17"/>
      <c r="H2033" s="17"/>
      <c r="I2033" s="18"/>
      <c r="J2033" s="16"/>
      <c r="K2033" s="19"/>
      <c r="L2033" s="20"/>
    </row>
    <row r="2034" ht="15.75" customHeight="1">
      <c r="A2034" s="9"/>
      <c r="B2034" s="26"/>
      <c r="C2034" s="24"/>
      <c r="D2034" s="14"/>
      <c r="E2034" s="15"/>
      <c r="F2034" s="16"/>
      <c r="G2034" s="17"/>
      <c r="H2034" s="17"/>
      <c r="I2034" s="18"/>
      <c r="J2034" s="16"/>
      <c r="K2034" s="19"/>
      <c r="L2034" s="20"/>
    </row>
    <row r="2035" ht="15.75" customHeight="1">
      <c r="A2035" s="9"/>
      <c r="B2035" s="26"/>
      <c r="C2035" s="24"/>
      <c r="D2035" s="14"/>
      <c r="E2035" s="15"/>
      <c r="F2035" s="16"/>
      <c r="G2035" s="17"/>
      <c r="H2035" s="17"/>
      <c r="I2035" s="18"/>
      <c r="J2035" s="16"/>
      <c r="K2035" s="19"/>
      <c r="L2035" s="20"/>
    </row>
    <row r="2036" ht="15.75" customHeight="1">
      <c r="A2036" s="9"/>
      <c r="B2036" s="26"/>
      <c r="C2036" s="24"/>
      <c r="D2036" s="14"/>
      <c r="E2036" s="15"/>
      <c r="F2036" s="16"/>
      <c r="G2036" s="17"/>
      <c r="H2036" s="17"/>
      <c r="I2036" s="18"/>
      <c r="J2036" s="16"/>
      <c r="K2036" s="19"/>
      <c r="L2036" s="20"/>
    </row>
    <row r="2037" ht="15.75" customHeight="1">
      <c r="A2037" s="9"/>
      <c r="B2037" s="26"/>
      <c r="C2037" s="24"/>
      <c r="D2037" s="14"/>
      <c r="E2037" s="15"/>
      <c r="F2037" s="16"/>
      <c r="G2037" s="17"/>
      <c r="H2037" s="17"/>
      <c r="I2037" s="18"/>
      <c r="J2037" s="16"/>
      <c r="K2037" s="19"/>
      <c r="L2037" s="20"/>
    </row>
    <row r="2038" ht="15.75" customHeight="1">
      <c r="A2038" s="9"/>
      <c r="B2038" s="26"/>
      <c r="C2038" s="24"/>
      <c r="D2038" s="14"/>
      <c r="E2038" s="15"/>
      <c r="F2038" s="16"/>
      <c r="G2038" s="17"/>
      <c r="H2038" s="17"/>
      <c r="I2038" s="18"/>
      <c r="J2038" s="16"/>
      <c r="K2038" s="19"/>
      <c r="L2038" s="20"/>
    </row>
    <row r="2039" ht="15.75" customHeight="1">
      <c r="A2039" s="9"/>
      <c r="B2039" s="26"/>
      <c r="C2039" s="24"/>
      <c r="D2039" s="14"/>
      <c r="E2039" s="15"/>
      <c r="F2039" s="16"/>
      <c r="G2039" s="17"/>
      <c r="H2039" s="17"/>
      <c r="I2039" s="18"/>
      <c r="J2039" s="16"/>
      <c r="K2039" s="19"/>
      <c r="L2039" s="20"/>
    </row>
    <row r="2040" ht="15.75" customHeight="1">
      <c r="A2040" s="9"/>
      <c r="B2040" s="26"/>
      <c r="C2040" s="24"/>
      <c r="D2040" s="14"/>
      <c r="E2040" s="15"/>
      <c r="F2040" s="16"/>
      <c r="G2040" s="17"/>
      <c r="H2040" s="17"/>
      <c r="I2040" s="18"/>
      <c r="J2040" s="16"/>
      <c r="K2040" s="19"/>
      <c r="L2040" s="20"/>
    </row>
    <row r="2041" ht="15.75" customHeight="1">
      <c r="A2041" s="9"/>
      <c r="B2041" s="26"/>
      <c r="C2041" s="24"/>
      <c r="D2041" s="14"/>
      <c r="E2041" s="15"/>
      <c r="F2041" s="16"/>
      <c r="G2041" s="17"/>
      <c r="H2041" s="17"/>
      <c r="I2041" s="18"/>
      <c r="J2041" s="16"/>
      <c r="K2041" s="19"/>
      <c r="L2041" s="20"/>
    </row>
    <row r="2042" ht="15.75" customHeight="1">
      <c r="A2042" s="9"/>
      <c r="B2042" s="26"/>
      <c r="C2042" s="24"/>
      <c r="D2042" s="14"/>
      <c r="E2042" s="15"/>
      <c r="F2042" s="16"/>
      <c r="G2042" s="17"/>
      <c r="H2042" s="17"/>
      <c r="I2042" s="18"/>
      <c r="J2042" s="16"/>
      <c r="K2042" s="19"/>
      <c r="L2042" s="20"/>
    </row>
    <row r="2043" ht="15.75" customHeight="1">
      <c r="A2043" s="9"/>
      <c r="B2043" s="26"/>
      <c r="C2043" s="24"/>
      <c r="D2043" s="14"/>
      <c r="E2043" s="15"/>
      <c r="F2043" s="16"/>
      <c r="G2043" s="17"/>
      <c r="H2043" s="17"/>
      <c r="I2043" s="18"/>
      <c r="J2043" s="16"/>
      <c r="K2043" s="19"/>
      <c r="L2043" s="20"/>
    </row>
    <row r="2044" ht="15.75" customHeight="1">
      <c r="A2044" s="9"/>
      <c r="B2044" s="26"/>
      <c r="C2044" s="24"/>
      <c r="D2044" s="14"/>
      <c r="E2044" s="15"/>
      <c r="F2044" s="16"/>
      <c r="G2044" s="17"/>
      <c r="H2044" s="17"/>
      <c r="I2044" s="18"/>
      <c r="J2044" s="16"/>
      <c r="K2044" s="19"/>
      <c r="L2044" s="20"/>
    </row>
    <row r="2045" ht="15.75" customHeight="1">
      <c r="A2045" s="9"/>
      <c r="B2045" s="26"/>
      <c r="C2045" s="24"/>
      <c r="D2045" s="14"/>
      <c r="E2045" s="15"/>
      <c r="F2045" s="16"/>
      <c r="G2045" s="17"/>
      <c r="H2045" s="17"/>
      <c r="I2045" s="18"/>
      <c r="J2045" s="16"/>
      <c r="K2045" s="19"/>
      <c r="L2045" s="20"/>
    </row>
    <row r="2046" ht="15.75" customHeight="1">
      <c r="A2046" s="9"/>
      <c r="B2046" s="26"/>
      <c r="C2046" s="24"/>
      <c r="D2046" s="14"/>
      <c r="E2046" s="15"/>
      <c r="F2046" s="16"/>
      <c r="G2046" s="17"/>
      <c r="H2046" s="17"/>
      <c r="I2046" s="18"/>
      <c r="J2046" s="16"/>
      <c r="K2046" s="19"/>
      <c r="L2046" s="20"/>
    </row>
    <row r="2047" ht="15.75" customHeight="1">
      <c r="A2047" s="9"/>
      <c r="B2047" s="26"/>
      <c r="C2047" s="24"/>
      <c r="D2047" s="14"/>
      <c r="E2047" s="15"/>
      <c r="F2047" s="16"/>
      <c r="G2047" s="17"/>
      <c r="H2047" s="17"/>
      <c r="I2047" s="18"/>
      <c r="J2047" s="16"/>
      <c r="K2047" s="19"/>
      <c r="L2047" s="20"/>
    </row>
    <row r="2048" ht="15.75" customHeight="1">
      <c r="A2048" s="9"/>
      <c r="B2048" s="26"/>
      <c r="C2048" s="24"/>
      <c r="D2048" s="14"/>
      <c r="E2048" s="15"/>
      <c r="F2048" s="16"/>
      <c r="G2048" s="17"/>
      <c r="H2048" s="17"/>
      <c r="I2048" s="18"/>
      <c r="J2048" s="16"/>
      <c r="K2048" s="19"/>
      <c r="L2048" s="20"/>
    </row>
    <row r="2049" ht="15.75" customHeight="1">
      <c r="A2049" s="9"/>
      <c r="B2049" s="26"/>
      <c r="C2049" s="24"/>
      <c r="D2049" s="14"/>
      <c r="E2049" s="15"/>
      <c r="F2049" s="16"/>
      <c r="G2049" s="17"/>
      <c r="H2049" s="17"/>
      <c r="I2049" s="18"/>
      <c r="J2049" s="16"/>
      <c r="K2049" s="19"/>
      <c r="L2049" s="20"/>
    </row>
    <row r="2050" ht="15.75" customHeight="1">
      <c r="A2050" s="9"/>
      <c r="B2050" s="26"/>
      <c r="C2050" s="24"/>
      <c r="D2050" s="14"/>
      <c r="E2050" s="15"/>
      <c r="F2050" s="16"/>
      <c r="G2050" s="17"/>
      <c r="H2050" s="17"/>
      <c r="I2050" s="18"/>
      <c r="J2050" s="16"/>
      <c r="K2050" s="19"/>
      <c r="L2050" s="20"/>
    </row>
    <row r="2051" ht="15.75" customHeight="1">
      <c r="A2051" s="9"/>
      <c r="B2051" s="26"/>
      <c r="C2051" s="24"/>
      <c r="D2051" s="14"/>
      <c r="E2051" s="15"/>
      <c r="F2051" s="16"/>
      <c r="G2051" s="17"/>
      <c r="H2051" s="17"/>
      <c r="I2051" s="18"/>
      <c r="J2051" s="16"/>
      <c r="K2051" s="19"/>
      <c r="L2051" s="20"/>
    </row>
    <row r="2052" ht="15.75" customHeight="1">
      <c r="A2052" s="9"/>
      <c r="B2052" s="26"/>
      <c r="C2052" s="24"/>
      <c r="D2052" s="14"/>
      <c r="E2052" s="15"/>
      <c r="F2052" s="16"/>
      <c r="G2052" s="17"/>
      <c r="H2052" s="17"/>
      <c r="I2052" s="18"/>
      <c r="J2052" s="16"/>
      <c r="K2052" s="19"/>
      <c r="L2052" s="20"/>
    </row>
    <row r="2053" ht="15.75" customHeight="1">
      <c r="A2053" s="9"/>
      <c r="B2053" s="26"/>
      <c r="C2053" s="24"/>
      <c r="D2053" s="14"/>
      <c r="E2053" s="15"/>
      <c r="F2053" s="16"/>
      <c r="G2053" s="17"/>
      <c r="H2053" s="17"/>
      <c r="I2053" s="18"/>
      <c r="J2053" s="16"/>
      <c r="K2053" s="19"/>
      <c r="L2053" s="20"/>
    </row>
    <row r="2054" ht="15.75" customHeight="1">
      <c r="A2054" s="9"/>
      <c r="B2054" s="26"/>
      <c r="C2054" s="24"/>
      <c r="D2054" s="14"/>
      <c r="E2054" s="15"/>
      <c r="F2054" s="16"/>
      <c r="G2054" s="17"/>
      <c r="H2054" s="17"/>
      <c r="I2054" s="18"/>
      <c r="J2054" s="16"/>
      <c r="K2054" s="19"/>
      <c r="L2054" s="20"/>
    </row>
    <row r="2055" ht="15.75" customHeight="1">
      <c r="A2055" s="9"/>
      <c r="B2055" s="26"/>
      <c r="C2055" s="24"/>
      <c r="D2055" s="14"/>
      <c r="E2055" s="15"/>
      <c r="F2055" s="16"/>
      <c r="G2055" s="17"/>
      <c r="H2055" s="17"/>
      <c r="I2055" s="18"/>
      <c r="J2055" s="16"/>
      <c r="K2055" s="19"/>
      <c r="L2055" s="20"/>
    </row>
    <row r="2056" ht="15.75" customHeight="1">
      <c r="A2056" s="9"/>
      <c r="B2056" s="26"/>
      <c r="C2056" s="24"/>
      <c r="D2056" s="14"/>
      <c r="E2056" s="15"/>
      <c r="F2056" s="16"/>
      <c r="G2056" s="17"/>
      <c r="H2056" s="17"/>
      <c r="I2056" s="18"/>
      <c r="J2056" s="16"/>
      <c r="K2056" s="19"/>
      <c r="L2056" s="20"/>
    </row>
    <row r="2057" ht="15.75" customHeight="1">
      <c r="A2057" s="9"/>
      <c r="B2057" s="26"/>
      <c r="C2057" s="24"/>
      <c r="D2057" s="14"/>
      <c r="E2057" s="15"/>
      <c r="F2057" s="16"/>
      <c r="G2057" s="17"/>
      <c r="H2057" s="17"/>
      <c r="I2057" s="18"/>
      <c r="J2057" s="16"/>
      <c r="K2057" s="19"/>
      <c r="L2057" s="20"/>
    </row>
    <row r="2058" ht="15.75" customHeight="1">
      <c r="A2058" s="9"/>
      <c r="B2058" s="26"/>
      <c r="C2058" s="24"/>
      <c r="D2058" s="14"/>
      <c r="E2058" s="15"/>
      <c r="F2058" s="16"/>
      <c r="G2058" s="17"/>
      <c r="H2058" s="17"/>
      <c r="I2058" s="18"/>
      <c r="J2058" s="16"/>
      <c r="K2058" s="19"/>
      <c r="L2058" s="20"/>
    </row>
    <row r="2059" ht="15.75" customHeight="1">
      <c r="A2059" s="9"/>
      <c r="B2059" s="26"/>
      <c r="C2059" s="24"/>
      <c r="D2059" s="14"/>
      <c r="E2059" s="15"/>
      <c r="F2059" s="16"/>
      <c r="G2059" s="17"/>
      <c r="H2059" s="17"/>
      <c r="I2059" s="18"/>
      <c r="J2059" s="16"/>
      <c r="K2059" s="19"/>
      <c r="L2059" s="20"/>
    </row>
    <row r="2060" ht="15.75" customHeight="1">
      <c r="A2060" s="9"/>
      <c r="B2060" s="26"/>
      <c r="C2060" s="24"/>
      <c r="D2060" s="14"/>
      <c r="E2060" s="15"/>
      <c r="F2060" s="16"/>
      <c r="G2060" s="17"/>
      <c r="H2060" s="17"/>
      <c r="I2060" s="18"/>
      <c r="J2060" s="16"/>
      <c r="K2060" s="19"/>
      <c r="L2060" s="20"/>
    </row>
    <row r="2061" ht="15.75" customHeight="1">
      <c r="A2061" s="9"/>
      <c r="B2061" s="26"/>
      <c r="C2061" s="24"/>
      <c r="D2061" s="14"/>
      <c r="E2061" s="15"/>
      <c r="F2061" s="16"/>
      <c r="G2061" s="17"/>
      <c r="H2061" s="17"/>
      <c r="I2061" s="18"/>
      <c r="J2061" s="16"/>
      <c r="K2061" s="19"/>
      <c r="L2061" s="20"/>
    </row>
    <row r="2062" ht="15.75" customHeight="1">
      <c r="A2062" s="9"/>
      <c r="B2062" s="26"/>
      <c r="C2062" s="24"/>
      <c r="D2062" s="14"/>
      <c r="E2062" s="15"/>
      <c r="F2062" s="16"/>
      <c r="G2062" s="17"/>
      <c r="H2062" s="17"/>
      <c r="I2062" s="18"/>
      <c r="J2062" s="16"/>
      <c r="K2062" s="19"/>
      <c r="L2062" s="20"/>
    </row>
    <row r="2063" ht="15.75" customHeight="1">
      <c r="A2063" s="9"/>
      <c r="B2063" s="26"/>
      <c r="C2063" s="24"/>
      <c r="D2063" s="14"/>
      <c r="E2063" s="15"/>
      <c r="F2063" s="16"/>
      <c r="G2063" s="17"/>
      <c r="H2063" s="17"/>
      <c r="I2063" s="18"/>
      <c r="J2063" s="16"/>
      <c r="K2063" s="19"/>
      <c r="L2063" s="20"/>
    </row>
    <row r="2064" ht="15.75" customHeight="1">
      <c r="A2064" s="9"/>
      <c r="B2064" s="26"/>
      <c r="C2064" s="24"/>
      <c r="D2064" s="14"/>
      <c r="E2064" s="15"/>
      <c r="F2064" s="16"/>
      <c r="G2064" s="17"/>
      <c r="H2064" s="17"/>
      <c r="I2064" s="18"/>
      <c r="J2064" s="16"/>
      <c r="K2064" s="19"/>
      <c r="L2064" s="20"/>
    </row>
    <row r="2065" ht="15.75" customHeight="1">
      <c r="A2065" s="9"/>
      <c r="B2065" s="26"/>
      <c r="C2065" s="24"/>
      <c r="D2065" s="14"/>
      <c r="E2065" s="15"/>
      <c r="F2065" s="16"/>
      <c r="G2065" s="17"/>
      <c r="H2065" s="17"/>
      <c r="I2065" s="18"/>
      <c r="J2065" s="16"/>
      <c r="K2065" s="19"/>
      <c r="L2065" s="20"/>
    </row>
    <row r="2066" ht="15.75" customHeight="1">
      <c r="A2066" s="9"/>
      <c r="B2066" s="26"/>
      <c r="C2066" s="24"/>
      <c r="D2066" s="14"/>
      <c r="E2066" s="15"/>
      <c r="F2066" s="16"/>
      <c r="G2066" s="17"/>
      <c r="H2066" s="17"/>
      <c r="I2066" s="18"/>
      <c r="J2066" s="16"/>
      <c r="K2066" s="19"/>
      <c r="L2066" s="20"/>
    </row>
    <row r="2067" ht="15.75" customHeight="1">
      <c r="A2067" s="9"/>
      <c r="B2067" s="26"/>
      <c r="C2067" s="24"/>
      <c r="D2067" s="14"/>
      <c r="E2067" s="15"/>
      <c r="F2067" s="16"/>
      <c r="G2067" s="17"/>
      <c r="H2067" s="17"/>
      <c r="I2067" s="18"/>
      <c r="J2067" s="16"/>
      <c r="K2067" s="19"/>
      <c r="L2067" s="20"/>
    </row>
    <row r="2068" ht="15.75" customHeight="1">
      <c r="A2068" s="9"/>
      <c r="B2068" s="26"/>
      <c r="C2068" s="24"/>
      <c r="D2068" s="14"/>
      <c r="E2068" s="15"/>
      <c r="F2068" s="16"/>
      <c r="G2068" s="17"/>
      <c r="H2068" s="17"/>
      <c r="I2068" s="18"/>
      <c r="J2068" s="16"/>
      <c r="K2068" s="19"/>
      <c r="L2068" s="20"/>
    </row>
    <row r="2069" ht="15.75" customHeight="1">
      <c r="A2069" s="9"/>
      <c r="B2069" s="26"/>
      <c r="C2069" s="24"/>
      <c r="D2069" s="14"/>
      <c r="E2069" s="15"/>
      <c r="F2069" s="16"/>
      <c r="G2069" s="17"/>
      <c r="H2069" s="17"/>
      <c r="I2069" s="18"/>
      <c r="J2069" s="16"/>
      <c r="K2069" s="19"/>
      <c r="L2069" s="20"/>
    </row>
    <row r="2070" ht="15.75" customHeight="1">
      <c r="A2070" s="9"/>
      <c r="B2070" s="26"/>
      <c r="C2070" s="24"/>
      <c r="D2070" s="14"/>
      <c r="E2070" s="15"/>
      <c r="F2070" s="16"/>
      <c r="G2070" s="17"/>
      <c r="H2070" s="17"/>
      <c r="I2070" s="18"/>
      <c r="J2070" s="16"/>
      <c r="K2070" s="19"/>
      <c r="L2070" s="20"/>
    </row>
    <row r="2071" ht="15.75" customHeight="1">
      <c r="A2071" s="9"/>
      <c r="B2071" s="26"/>
      <c r="C2071" s="24"/>
      <c r="D2071" s="14"/>
      <c r="E2071" s="15"/>
      <c r="F2071" s="16"/>
      <c r="G2071" s="17"/>
      <c r="H2071" s="17"/>
      <c r="I2071" s="18"/>
      <c r="J2071" s="16"/>
      <c r="K2071" s="19"/>
      <c r="L2071" s="20"/>
    </row>
    <row r="2072" ht="15.75" customHeight="1">
      <c r="A2072" s="9"/>
      <c r="B2072" s="26"/>
      <c r="C2072" s="24"/>
      <c r="D2072" s="14"/>
      <c r="E2072" s="15"/>
      <c r="F2072" s="16"/>
      <c r="G2072" s="17"/>
      <c r="H2072" s="17"/>
      <c r="I2072" s="18"/>
      <c r="J2072" s="16"/>
      <c r="K2072" s="19"/>
      <c r="L2072" s="20"/>
    </row>
    <row r="2073" ht="15.75" customHeight="1">
      <c r="A2073" s="9"/>
      <c r="B2073" s="26"/>
      <c r="C2073" s="24"/>
      <c r="D2073" s="14"/>
      <c r="E2073" s="15"/>
      <c r="F2073" s="16"/>
      <c r="G2073" s="17"/>
      <c r="H2073" s="17"/>
      <c r="I2073" s="18"/>
      <c r="J2073" s="16"/>
      <c r="K2073" s="19"/>
      <c r="L2073" s="20"/>
    </row>
    <row r="2074" ht="15.75" customHeight="1">
      <c r="A2074" s="9"/>
      <c r="B2074" s="26"/>
      <c r="C2074" s="24"/>
      <c r="D2074" s="14"/>
      <c r="E2074" s="15"/>
      <c r="F2074" s="16"/>
      <c r="G2074" s="17"/>
      <c r="H2074" s="17"/>
      <c r="I2074" s="18"/>
      <c r="J2074" s="16"/>
      <c r="K2074" s="19"/>
      <c r="L2074" s="20"/>
    </row>
    <row r="2075" ht="15.75" customHeight="1">
      <c r="A2075" s="9"/>
      <c r="B2075" s="26"/>
      <c r="C2075" s="24"/>
      <c r="D2075" s="14"/>
      <c r="E2075" s="15"/>
      <c r="F2075" s="16"/>
      <c r="G2075" s="17"/>
      <c r="H2075" s="17"/>
      <c r="I2075" s="18"/>
      <c r="J2075" s="16"/>
      <c r="K2075" s="19"/>
      <c r="L2075" s="20"/>
    </row>
    <row r="2076" ht="15.75" customHeight="1">
      <c r="A2076" s="9"/>
      <c r="B2076" s="26"/>
      <c r="C2076" s="24"/>
      <c r="D2076" s="14"/>
      <c r="E2076" s="15"/>
      <c r="F2076" s="16"/>
      <c r="G2076" s="17"/>
      <c r="H2076" s="17"/>
      <c r="I2076" s="18"/>
      <c r="J2076" s="16"/>
      <c r="K2076" s="19"/>
      <c r="L2076" s="20"/>
    </row>
    <row r="2077" ht="15.75" customHeight="1">
      <c r="A2077" s="9"/>
      <c r="B2077" s="26"/>
      <c r="C2077" s="24"/>
      <c r="D2077" s="14"/>
      <c r="E2077" s="15"/>
      <c r="F2077" s="16"/>
      <c r="G2077" s="17"/>
      <c r="H2077" s="17"/>
      <c r="I2077" s="18"/>
      <c r="J2077" s="16"/>
      <c r="K2077" s="19"/>
      <c r="L2077" s="20"/>
    </row>
    <row r="2078" ht="15.75" customHeight="1">
      <c r="A2078" s="9"/>
      <c r="B2078" s="26"/>
      <c r="C2078" s="24"/>
      <c r="D2078" s="14"/>
      <c r="E2078" s="15"/>
      <c r="F2078" s="16"/>
      <c r="G2078" s="17"/>
      <c r="H2078" s="17"/>
      <c r="I2078" s="18"/>
      <c r="J2078" s="16"/>
      <c r="K2078" s="19"/>
      <c r="L2078" s="20"/>
    </row>
    <row r="2079" ht="15.75" customHeight="1">
      <c r="A2079" s="9"/>
      <c r="B2079" s="26"/>
      <c r="C2079" s="24"/>
      <c r="D2079" s="14"/>
      <c r="E2079" s="15"/>
      <c r="F2079" s="16"/>
      <c r="G2079" s="17"/>
      <c r="H2079" s="17"/>
      <c r="I2079" s="18"/>
      <c r="J2079" s="16"/>
      <c r="K2079" s="19"/>
      <c r="L2079" s="20"/>
    </row>
    <row r="2080" ht="15.75" customHeight="1">
      <c r="A2080" s="9"/>
      <c r="B2080" s="26"/>
      <c r="C2080" s="24"/>
      <c r="D2080" s="14"/>
      <c r="E2080" s="15"/>
      <c r="F2080" s="16"/>
      <c r="G2080" s="17"/>
      <c r="H2080" s="17"/>
      <c r="I2080" s="18"/>
      <c r="J2080" s="16"/>
      <c r="K2080" s="19"/>
      <c r="L2080" s="20"/>
    </row>
    <row r="2081" ht="15.75" customHeight="1">
      <c r="A2081" s="9"/>
      <c r="B2081" s="26"/>
      <c r="C2081" s="24"/>
      <c r="D2081" s="14"/>
      <c r="E2081" s="15"/>
      <c r="F2081" s="16"/>
      <c r="G2081" s="17"/>
      <c r="H2081" s="17"/>
      <c r="I2081" s="18"/>
      <c r="J2081" s="16"/>
      <c r="K2081" s="19"/>
      <c r="L2081" s="20"/>
    </row>
    <row r="2082" ht="15.75" customHeight="1">
      <c r="A2082" s="9"/>
      <c r="B2082" s="26"/>
      <c r="C2082" s="24"/>
      <c r="D2082" s="14"/>
      <c r="E2082" s="15"/>
      <c r="F2082" s="16"/>
      <c r="G2082" s="17"/>
      <c r="H2082" s="17"/>
      <c r="I2082" s="18"/>
      <c r="J2082" s="16"/>
      <c r="K2082" s="19"/>
      <c r="L2082" s="20"/>
    </row>
    <row r="2083" ht="15.75" customHeight="1">
      <c r="A2083" s="9"/>
      <c r="B2083" s="26"/>
      <c r="C2083" s="24"/>
      <c r="D2083" s="14"/>
      <c r="E2083" s="15"/>
      <c r="F2083" s="16"/>
      <c r="G2083" s="17"/>
      <c r="H2083" s="17"/>
      <c r="I2083" s="18"/>
      <c r="J2083" s="16"/>
      <c r="K2083" s="19"/>
      <c r="L2083" s="20"/>
    </row>
    <row r="2084" ht="15.75" customHeight="1">
      <c r="A2084" s="9"/>
      <c r="B2084" s="26"/>
      <c r="C2084" s="24"/>
      <c r="D2084" s="14"/>
      <c r="E2084" s="15"/>
      <c r="F2084" s="16"/>
      <c r="G2084" s="17"/>
      <c r="H2084" s="17"/>
      <c r="I2084" s="18"/>
      <c r="J2084" s="16"/>
      <c r="K2084" s="19"/>
      <c r="L2084" s="20"/>
    </row>
    <row r="2085" ht="15.75" customHeight="1">
      <c r="A2085" s="9"/>
      <c r="B2085" s="26"/>
      <c r="C2085" s="24"/>
      <c r="D2085" s="14"/>
      <c r="E2085" s="15"/>
      <c r="F2085" s="16"/>
      <c r="G2085" s="17"/>
      <c r="H2085" s="17"/>
      <c r="I2085" s="18"/>
      <c r="J2085" s="16"/>
      <c r="K2085" s="19"/>
      <c r="L2085" s="20"/>
    </row>
    <row r="2086" ht="15.75" customHeight="1">
      <c r="A2086" s="9"/>
      <c r="B2086" s="26"/>
      <c r="C2086" s="24"/>
      <c r="D2086" s="14"/>
      <c r="E2086" s="15"/>
      <c r="F2086" s="16"/>
      <c r="G2086" s="17"/>
      <c r="H2086" s="17"/>
      <c r="I2086" s="18"/>
      <c r="J2086" s="16"/>
      <c r="K2086" s="19"/>
      <c r="L2086" s="20"/>
    </row>
    <row r="2087" ht="15.75" customHeight="1">
      <c r="A2087" s="9"/>
      <c r="B2087" s="26"/>
      <c r="C2087" s="24"/>
      <c r="D2087" s="14"/>
      <c r="E2087" s="15"/>
      <c r="F2087" s="16"/>
      <c r="G2087" s="17"/>
      <c r="H2087" s="17"/>
      <c r="I2087" s="18"/>
      <c r="J2087" s="16"/>
      <c r="K2087" s="19"/>
      <c r="L2087" s="20"/>
    </row>
    <row r="2088" ht="15.75" customHeight="1">
      <c r="A2088" s="9"/>
      <c r="B2088" s="26"/>
      <c r="C2088" s="24"/>
      <c r="D2088" s="14"/>
      <c r="E2088" s="15"/>
      <c r="F2088" s="16"/>
      <c r="G2088" s="17"/>
      <c r="H2088" s="17"/>
      <c r="I2088" s="18"/>
      <c r="J2088" s="16"/>
      <c r="K2088" s="19"/>
      <c r="L2088" s="20"/>
    </row>
    <row r="2089" ht="15.75" customHeight="1">
      <c r="A2089" s="9"/>
      <c r="B2089" s="26"/>
      <c r="C2089" s="24"/>
      <c r="D2089" s="14"/>
      <c r="E2089" s="15"/>
      <c r="F2089" s="16"/>
      <c r="G2089" s="17"/>
      <c r="H2089" s="17"/>
      <c r="I2089" s="18"/>
      <c r="J2089" s="16"/>
      <c r="K2089" s="19"/>
      <c r="L2089" s="20"/>
    </row>
    <row r="2090" ht="15.75" customHeight="1">
      <c r="A2090" s="9"/>
      <c r="B2090" s="26"/>
      <c r="C2090" s="24"/>
      <c r="D2090" s="14"/>
      <c r="E2090" s="15"/>
      <c r="F2090" s="16"/>
      <c r="G2090" s="17"/>
      <c r="H2090" s="17"/>
      <c r="I2090" s="18"/>
      <c r="J2090" s="16"/>
      <c r="K2090" s="19"/>
      <c r="L2090" s="20"/>
    </row>
    <row r="2091" ht="15.75" customHeight="1">
      <c r="A2091" s="9"/>
      <c r="B2091" s="26"/>
      <c r="C2091" s="24"/>
      <c r="D2091" s="14"/>
      <c r="E2091" s="15"/>
      <c r="F2091" s="16"/>
      <c r="G2091" s="17"/>
      <c r="H2091" s="17"/>
      <c r="I2091" s="18"/>
      <c r="J2091" s="16"/>
      <c r="K2091" s="19"/>
      <c r="L2091" s="20"/>
    </row>
    <row r="2092" ht="15.75" customHeight="1">
      <c r="A2092" s="9"/>
      <c r="B2092" s="26"/>
      <c r="C2092" s="24"/>
      <c r="D2092" s="14"/>
      <c r="E2092" s="15"/>
      <c r="F2092" s="16"/>
      <c r="G2092" s="17"/>
      <c r="H2092" s="17"/>
      <c r="I2092" s="18"/>
      <c r="J2092" s="16"/>
      <c r="K2092" s="19"/>
      <c r="L2092" s="20"/>
    </row>
    <row r="2093" ht="15.75" customHeight="1">
      <c r="A2093" s="9"/>
      <c r="B2093" s="26"/>
      <c r="C2093" s="24"/>
      <c r="D2093" s="14"/>
      <c r="E2093" s="15"/>
      <c r="F2093" s="16"/>
      <c r="G2093" s="17"/>
      <c r="H2093" s="17"/>
      <c r="I2093" s="18"/>
      <c r="J2093" s="16"/>
      <c r="K2093" s="19"/>
      <c r="L2093" s="20"/>
    </row>
    <row r="2094" ht="15.75" customHeight="1">
      <c r="A2094" s="9"/>
      <c r="B2094" s="26"/>
      <c r="C2094" s="24"/>
      <c r="D2094" s="14"/>
      <c r="E2094" s="15"/>
      <c r="F2094" s="16"/>
      <c r="G2094" s="17"/>
      <c r="H2094" s="17"/>
      <c r="I2094" s="18"/>
      <c r="J2094" s="16"/>
      <c r="K2094" s="19"/>
      <c r="L2094" s="20"/>
    </row>
    <row r="2095" ht="15.75" customHeight="1">
      <c r="A2095" s="9"/>
      <c r="B2095" s="26"/>
      <c r="C2095" s="24"/>
      <c r="D2095" s="14"/>
      <c r="E2095" s="15"/>
      <c r="F2095" s="16"/>
      <c r="G2095" s="17"/>
      <c r="H2095" s="17"/>
      <c r="I2095" s="18"/>
      <c r="J2095" s="16"/>
      <c r="K2095" s="19"/>
      <c r="L2095" s="20"/>
    </row>
    <row r="2096" ht="15.75" customHeight="1">
      <c r="A2096" s="9"/>
      <c r="B2096" s="26"/>
      <c r="C2096" s="24"/>
      <c r="D2096" s="14"/>
      <c r="E2096" s="15"/>
      <c r="F2096" s="16"/>
      <c r="G2096" s="17"/>
      <c r="H2096" s="17"/>
      <c r="I2096" s="18"/>
      <c r="J2096" s="16"/>
      <c r="K2096" s="19"/>
      <c r="L2096" s="20"/>
    </row>
    <row r="2097" ht="15.75" customHeight="1">
      <c r="A2097" s="9"/>
      <c r="B2097" s="26"/>
      <c r="C2097" s="24"/>
      <c r="D2097" s="14"/>
      <c r="E2097" s="15"/>
      <c r="F2097" s="16"/>
      <c r="G2097" s="17"/>
      <c r="H2097" s="17"/>
      <c r="I2097" s="18"/>
      <c r="J2097" s="16"/>
      <c r="K2097" s="19"/>
      <c r="L2097" s="20"/>
    </row>
    <row r="2098" ht="15.75" customHeight="1">
      <c r="A2098" s="9"/>
      <c r="B2098" s="26"/>
      <c r="C2098" s="24"/>
      <c r="D2098" s="14"/>
      <c r="E2098" s="15"/>
      <c r="F2098" s="16"/>
      <c r="G2098" s="17"/>
      <c r="H2098" s="17"/>
      <c r="I2098" s="18"/>
      <c r="J2098" s="16"/>
      <c r="K2098" s="19"/>
      <c r="L2098" s="20"/>
    </row>
    <row r="2099" ht="15.75" customHeight="1">
      <c r="A2099" s="9"/>
      <c r="B2099" s="26"/>
      <c r="C2099" s="24"/>
      <c r="D2099" s="14"/>
      <c r="E2099" s="15"/>
      <c r="F2099" s="16"/>
      <c r="G2099" s="17"/>
      <c r="H2099" s="17"/>
      <c r="I2099" s="18"/>
      <c r="J2099" s="16"/>
      <c r="K2099" s="19"/>
      <c r="L2099" s="20"/>
    </row>
    <row r="2100" ht="15.75" customHeight="1">
      <c r="A2100" s="9"/>
      <c r="B2100" s="26"/>
      <c r="C2100" s="24"/>
      <c r="D2100" s="14"/>
      <c r="E2100" s="15"/>
      <c r="F2100" s="16"/>
      <c r="G2100" s="17"/>
      <c r="H2100" s="17"/>
      <c r="I2100" s="18"/>
      <c r="J2100" s="16"/>
      <c r="K2100" s="19"/>
      <c r="L2100" s="20"/>
    </row>
    <row r="2101" ht="15.75" customHeight="1">
      <c r="A2101" s="9"/>
      <c r="B2101" s="26"/>
      <c r="C2101" s="24"/>
      <c r="D2101" s="14"/>
      <c r="E2101" s="15"/>
      <c r="F2101" s="16"/>
      <c r="G2101" s="17"/>
      <c r="H2101" s="17"/>
      <c r="I2101" s="18"/>
      <c r="J2101" s="16"/>
      <c r="K2101" s="19"/>
      <c r="L2101" s="20"/>
    </row>
    <row r="2102" ht="15.75" customHeight="1">
      <c r="A2102" s="9"/>
      <c r="B2102" s="26"/>
      <c r="C2102" s="24"/>
      <c r="D2102" s="14"/>
      <c r="E2102" s="15"/>
      <c r="F2102" s="16"/>
      <c r="G2102" s="17"/>
      <c r="H2102" s="17"/>
      <c r="I2102" s="18"/>
      <c r="J2102" s="16"/>
      <c r="K2102" s="19"/>
      <c r="L2102" s="20"/>
    </row>
    <row r="2103" ht="15.75" customHeight="1">
      <c r="A2103" s="9"/>
      <c r="B2103" s="26"/>
      <c r="C2103" s="24"/>
      <c r="D2103" s="14"/>
      <c r="E2103" s="15"/>
      <c r="F2103" s="16"/>
      <c r="G2103" s="17"/>
      <c r="H2103" s="17"/>
      <c r="I2103" s="18"/>
      <c r="J2103" s="16"/>
      <c r="K2103" s="19"/>
      <c r="L2103" s="20"/>
    </row>
    <row r="2104" ht="15.75" customHeight="1">
      <c r="A2104" s="9"/>
      <c r="B2104" s="26"/>
      <c r="C2104" s="24"/>
      <c r="D2104" s="14"/>
      <c r="E2104" s="15"/>
      <c r="F2104" s="16"/>
      <c r="G2104" s="17"/>
      <c r="H2104" s="17"/>
      <c r="I2104" s="18"/>
      <c r="J2104" s="16"/>
      <c r="K2104" s="19"/>
      <c r="L2104" s="20"/>
    </row>
    <row r="2105" ht="15.75" customHeight="1">
      <c r="A2105" s="9"/>
      <c r="B2105" s="26"/>
      <c r="C2105" s="24"/>
      <c r="D2105" s="14"/>
      <c r="E2105" s="15"/>
      <c r="F2105" s="16"/>
      <c r="G2105" s="17"/>
      <c r="H2105" s="17"/>
      <c r="I2105" s="18"/>
      <c r="J2105" s="16"/>
      <c r="K2105" s="19"/>
      <c r="L2105" s="20"/>
    </row>
    <row r="2106" ht="15.75" customHeight="1">
      <c r="A2106" s="9"/>
      <c r="B2106" s="26"/>
      <c r="C2106" s="24"/>
      <c r="D2106" s="14"/>
      <c r="E2106" s="15"/>
      <c r="F2106" s="16"/>
      <c r="G2106" s="17"/>
      <c r="H2106" s="17"/>
      <c r="I2106" s="18"/>
      <c r="J2106" s="16"/>
      <c r="K2106" s="19"/>
      <c r="L2106" s="20"/>
    </row>
    <row r="2107" ht="15.75" customHeight="1">
      <c r="A2107" s="9"/>
      <c r="B2107" s="26"/>
      <c r="C2107" s="24"/>
      <c r="D2107" s="14"/>
      <c r="E2107" s="15"/>
      <c r="F2107" s="16"/>
      <c r="G2107" s="17"/>
      <c r="H2107" s="17"/>
      <c r="I2107" s="18"/>
      <c r="J2107" s="16"/>
      <c r="K2107" s="19"/>
      <c r="L2107" s="20"/>
    </row>
    <row r="2108" ht="15.75" customHeight="1">
      <c r="A2108" s="9"/>
      <c r="B2108" s="26"/>
      <c r="C2108" s="24"/>
      <c r="D2108" s="14"/>
      <c r="E2108" s="15"/>
      <c r="F2108" s="16"/>
      <c r="G2108" s="17"/>
      <c r="H2108" s="17"/>
      <c r="I2108" s="18"/>
      <c r="J2108" s="16"/>
      <c r="K2108" s="19"/>
      <c r="L2108" s="20"/>
    </row>
    <row r="2109" ht="15.75" customHeight="1">
      <c r="A2109" s="9"/>
      <c r="B2109" s="26"/>
      <c r="C2109" s="24"/>
      <c r="D2109" s="14"/>
      <c r="E2109" s="15"/>
      <c r="F2109" s="16"/>
      <c r="G2109" s="17"/>
      <c r="H2109" s="17"/>
      <c r="I2109" s="18"/>
      <c r="J2109" s="16"/>
      <c r="K2109" s="19"/>
      <c r="L2109" s="20"/>
    </row>
    <row r="2110" ht="15.75" customHeight="1">
      <c r="A2110" s="9"/>
      <c r="B2110" s="26"/>
      <c r="C2110" s="24"/>
      <c r="D2110" s="14"/>
      <c r="E2110" s="15"/>
      <c r="F2110" s="16"/>
      <c r="G2110" s="17"/>
      <c r="H2110" s="17"/>
      <c r="I2110" s="18"/>
      <c r="J2110" s="16"/>
      <c r="K2110" s="19"/>
      <c r="L2110" s="20"/>
    </row>
    <row r="2111" ht="15.75" customHeight="1">
      <c r="A2111" s="9"/>
      <c r="B2111" s="26"/>
      <c r="C2111" s="24"/>
      <c r="D2111" s="14"/>
      <c r="E2111" s="15"/>
      <c r="F2111" s="16"/>
      <c r="G2111" s="17"/>
      <c r="H2111" s="17"/>
      <c r="I2111" s="18"/>
      <c r="J2111" s="16"/>
      <c r="K2111" s="19"/>
      <c r="L2111" s="20"/>
    </row>
    <row r="2112" ht="15.75" customHeight="1">
      <c r="A2112" s="9"/>
      <c r="B2112" s="26"/>
      <c r="C2112" s="24"/>
      <c r="D2112" s="14"/>
      <c r="E2112" s="15"/>
      <c r="F2112" s="16"/>
      <c r="G2112" s="17"/>
      <c r="H2112" s="17"/>
      <c r="I2112" s="18"/>
      <c r="J2112" s="16"/>
      <c r="K2112" s="19"/>
      <c r="L2112" s="20"/>
    </row>
    <row r="2113" ht="15.75" customHeight="1">
      <c r="A2113" s="9"/>
      <c r="B2113" s="26"/>
      <c r="C2113" s="24"/>
      <c r="D2113" s="14"/>
      <c r="E2113" s="15"/>
      <c r="F2113" s="16"/>
      <c r="G2113" s="17"/>
      <c r="H2113" s="17"/>
      <c r="I2113" s="18"/>
      <c r="J2113" s="16"/>
      <c r="K2113" s="19"/>
      <c r="L2113" s="20"/>
    </row>
    <row r="2114" ht="15.75" customHeight="1">
      <c r="A2114" s="9"/>
      <c r="B2114" s="26"/>
      <c r="C2114" s="24"/>
      <c r="D2114" s="14"/>
      <c r="E2114" s="15"/>
      <c r="F2114" s="16"/>
      <c r="G2114" s="17"/>
      <c r="H2114" s="17"/>
      <c r="I2114" s="18"/>
      <c r="J2114" s="16"/>
      <c r="K2114" s="19"/>
      <c r="L2114" s="20"/>
    </row>
    <row r="2115" ht="15.75" customHeight="1">
      <c r="A2115" s="9"/>
      <c r="B2115" s="26"/>
      <c r="C2115" s="24"/>
      <c r="D2115" s="14"/>
      <c r="E2115" s="15"/>
      <c r="F2115" s="16"/>
      <c r="G2115" s="17"/>
      <c r="H2115" s="17"/>
      <c r="I2115" s="18"/>
      <c r="J2115" s="16"/>
      <c r="K2115" s="19"/>
      <c r="L2115" s="20"/>
    </row>
    <row r="2116" ht="15.75" customHeight="1">
      <c r="A2116" s="9"/>
      <c r="B2116" s="26"/>
      <c r="C2116" s="24"/>
      <c r="D2116" s="14"/>
      <c r="E2116" s="15"/>
      <c r="F2116" s="16"/>
      <c r="G2116" s="17"/>
      <c r="H2116" s="17"/>
      <c r="I2116" s="18"/>
      <c r="J2116" s="16"/>
      <c r="K2116" s="19"/>
      <c r="L2116" s="20"/>
    </row>
    <row r="2117" ht="15.75" customHeight="1">
      <c r="A2117" s="9"/>
      <c r="B2117" s="26"/>
      <c r="C2117" s="24"/>
      <c r="D2117" s="14"/>
      <c r="E2117" s="15"/>
      <c r="F2117" s="16"/>
      <c r="G2117" s="17"/>
      <c r="H2117" s="17"/>
      <c r="I2117" s="18"/>
      <c r="J2117" s="16"/>
      <c r="K2117" s="19"/>
      <c r="L2117" s="20"/>
    </row>
    <row r="2118" ht="15.75" customHeight="1">
      <c r="A2118" s="9"/>
      <c r="B2118" s="26"/>
      <c r="C2118" s="24"/>
      <c r="D2118" s="14"/>
      <c r="E2118" s="15"/>
      <c r="F2118" s="16"/>
      <c r="G2118" s="17"/>
      <c r="H2118" s="17"/>
      <c r="I2118" s="18"/>
      <c r="J2118" s="16"/>
      <c r="K2118" s="19"/>
      <c r="L2118" s="20"/>
    </row>
    <row r="2119" ht="15.75" customHeight="1">
      <c r="A2119" s="9"/>
      <c r="B2119" s="26"/>
      <c r="C2119" s="24"/>
      <c r="D2119" s="14"/>
      <c r="E2119" s="15"/>
      <c r="F2119" s="16"/>
      <c r="G2119" s="17"/>
      <c r="H2119" s="17"/>
      <c r="I2119" s="18"/>
      <c r="J2119" s="16"/>
      <c r="K2119" s="19"/>
      <c r="L2119" s="20"/>
    </row>
    <row r="2120" ht="15.75" customHeight="1">
      <c r="A2120" s="9"/>
      <c r="B2120" s="26"/>
      <c r="C2120" s="24"/>
      <c r="D2120" s="14"/>
      <c r="E2120" s="15"/>
      <c r="F2120" s="16"/>
      <c r="G2120" s="17"/>
      <c r="H2120" s="17"/>
      <c r="I2120" s="18"/>
      <c r="J2120" s="16"/>
      <c r="K2120" s="19"/>
      <c r="L2120" s="20"/>
    </row>
    <row r="2121" ht="15.75" customHeight="1">
      <c r="A2121" s="9"/>
      <c r="B2121" s="26"/>
      <c r="C2121" s="24"/>
      <c r="D2121" s="14"/>
      <c r="E2121" s="15"/>
      <c r="F2121" s="16"/>
      <c r="G2121" s="17"/>
      <c r="H2121" s="17"/>
      <c r="I2121" s="18"/>
      <c r="J2121" s="16"/>
      <c r="K2121" s="19"/>
      <c r="L2121" s="20"/>
    </row>
    <row r="2122" ht="15.75" customHeight="1">
      <c r="A2122" s="9"/>
      <c r="B2122" s="26"/>
      <c r="C2122" s="24"/>
      <c r="D2122" s="14"/>
      <c r="E2122" s="15"/>
      <c r="F2122" s="16"/>
      <c r="G2122" s="17"/>
      <c r="H2122" s="17"/>
      <c r="I2122" s="18"/>
      <c r="J2122" s="16"/>
      <c r="K2122" s="19"/>
      <c r="L2122" s="20"/>
    </row>
    <row r="2123" ht="15.75" customHeight="1">
      <c r="A2123" s="9"/>
      <c r="B2123" s="26"/>
      <c r="C2123" s="24"/>
      <c r="D2123" s="14"/>
      <c r="E2123" s="15"/>
      <c r="F2123" s="16"/>
      <c r="G2123" s="17"/>
      <c r="H2123" s="17"/>
      <c r="I2123" s="18"/>
      <c r="J2123" s="16"/>
      <c r="K2123" s="19"/>
      <c r="L2123" s="20"/>
    </row>
    <row r="2124" ht="15.75" customHeight="1">
      <c r="A2124" s="9"/>
      <c r="B2124" s="26"/>
      <c r="C2124" s="24"/>
      <c r="D2124" s="14"/>
      <c r="E2124" s="15"/>
      <c r="F2124" s="16"/>
      <c r="G2124" s="17"/>
      <c r="H2124" s="17"/>
      <c r="I2124" s="18"/>
      <c r="J2124" s="16"/>
      <c r="K2124" s="19"/>
      <c r="L2124" s="20"/>
    </row>
    <row r="2125" ht="15.75" customHeight="1">
      <c r="A2125" s="9"/>
      <c r="B2125" s="26"/>
      <c r="C2125" s="24"/>
      <c r="D2125" s="14"/>
      <c r="E2125" s="15"/>
      <c r="F2125" s="16"/>
      <c r="G2125" s="17"/>
      <c r="H2125" s="17"/>
      <c r="I2125" s="18"/>
      <c r="J2125" s="16"/>
      <c r="K2125" s="19"/>
      <c r="L2125" s="20"/>
    </row>
    <row r="2126" ht="15.75" customHeight="1">
      <c r="A2126" s="9"/>
      <c r="B2126" s="26"/>
      <c r="C2126" s="24"/>
      <c r="D2126" s="14"/>
      <c r="E2126" s="15"/>
      <c r="F2126" s="16"/>
      <c r="G2126" s="17"/>
      <c r="H2126" s="17"/>
      <c r="I2126" s="18"/>
      <c r="J2126" s="16"/>
      <c r="K2126" s="19"/>
      <c r="L2126" s="20"/>
    </row>
    <row r="2127" ht="15.75" customHeight="1">
      <c r="A2127" s="9"/>
      <c r="B2127" s="26"/>
      <c r="C2127" s="24"/>
      <c r="D2127" s="14"/>
      <c r="E2127" s="15"/>
      <c r="F2127" s="16"/>
      <c r="G2127" s="17"/>
      <c r="H2127" s="17"/>
      <c r="I2127" s="18"/>
      <c r="J2127" s="16"/>
      <c r="K2127" s="19"/>
      <c r="L2127" s="20"/>
    </row>
    <row r="2128" ht="15.75" customHeight="1">
      <c r="A2128" s="9"/>
      <c r="B2128" s="26"/>
      <c r="C2128" s="24"/>
      <c r="D2128" s="14"/>
      <c r="E2128" s="15"/>
      <c r="F2128" s="16"/>
      <c r="G2128" s="17"/>
      <c r="H2128" s="17"/>
      <c r="I2128" s="18"/>
      <c r="J2128" s="16"/>
      <c r="K2128" s="19"/>
      <c r="L2128" s="20"/>
    </row>
    <row r="2129" ht="15.75" customHeight="1">
      <c r="A2129" s="9"/>
      <c r="B2129" s="26"/>
      <c r="C2129" s="24"/>
      <c r="D2129" s="14"/>
      <c r="E2129" s="15"/>
      <c r="F2129" s="16"/>
      <c r="G2129" s="17"/>
      <c r="H2129" s="17"/>
      <c r="I2129" s="18"/>
      <c r="J2129" s="16"/>
      <c r="K2129" s="19"/>
      <c r="L2129" s="20"/>
    </row>
    <row r="2130" ht="15.75" customHeight="1">
      <c r="A2130" s="9"/>
      <c r="B2130" s="26"/>
      <c r="C2130" s="24"/>
      <c r="D2130" s="14"/>
      <c r="E2130" s="15"/>
      <c r="F2130" s="16"/>
      <c r="G2130" s="17"/>
      <c r="H2130" s="17"/>
      <c r="I2130" s="18"/>
      <c r="J2130" s="16"/>
      <c r="K2130" s="19"/>
      <c r="L2130" s="20"/>
    </row>
    <row r="2131" ht="15.75" customHeight="1">
      <c r="A2131" s="9"/>
      <c r="B2131" s="26"/>
      <c r="C2131" s="24"/>
      <c r="D2131" s="14"/>
      <c r="E2131" s="15"/>
      <c r="F2131" s="16"/>
      <c r="G2131" s="17"/>
      <c r="H2131" s="17"/>
      <c r="I2131" s="18"/>
      <c r="J2131" s="16"/>
      <c r="K2131" s="19"/>
      <c r="L2131" s="20"/>
    </row>
    <row r="2132" ht="15.75" customHeight="1">
      <c r="A2132" s="9"/>
      <c r="B2132" s="26"/>
      <c r="C2132" s="24"/>
      <c r="D2132" s="14"/>
      <c r="E2132" s="15"/>
      <c r="F2132" s="16"/>
      <c r="G2132" s="17"/>
      <c r="H2132" s="17"/>
      <c r="I2132" s="18"/>
      <c r="J2132" s="16"/>
      <c r="K2132" s="19"/>
      <c r="L2132" s="20"/>
    </row>
    <row r="2133" ht="15.75" customHeight="1">
      <c r="A2133" s="9"/>
      <c r="B2133" s="26"/>
      <c r="C2133" s="24"/>
      <c r="D2133" s="14"/>
      <c r="E2133" s="15"/>
      <c r="F2133" s="16"/>
      <c r="G2133" s="17"/>
      <c r="H2133" s="17"/>
      <c r="I2133" s="18"/>
      <c r="J2133" s="16"/>
      <c r="K2133" s="19"/>
      <c r="L2133" s="20"/>
    </row>
    <row r="2134" ht="15.75" customHeight="1">
      <c r="A2134" s="9"/>
      <c r="B2134" s="26"/>
      <c r="C2134" s="24"/>
      <c r="D2134" s="14"/>
      <c r="E2134" s="15"/>
      <c r="F2134" s="16"/>
      <c r="G2134" s="17"/>
      <c r="H2134" s="17"/>
      <c r="I2134" s="18"/>
      <c r="J2134" s="16"/>
      <c r="K2134" s="19"/>
      <c r="L2134" s="20"/>
    </row>
    <row r="2135" ht="15.75" customHeight="1">
      <c r="A2135" s="9"/>
      <c r="B2135" s="26"/>
      <c r="C2135" s="24"/>
      <c r="D2135" s="14"/>
      <c r="E2135" s="15"/>
      <c r="F2135" s="16"/>
      <c r="G2135" s="17"/>
      <c r="H2135" s="17"/>
      <c r="I2135" s="18"/>
      <c r="J2135" s="16"/>
      <c r="K2135" s="19"/>
      <c r="L2135" s="20"/>
    </row>
    <row r="2136" ht="15.75" customHeight="1">
      <c r="A2136" s="9"/>
      <c r="B2136" s="26"/>
      <c r="C2136" s="24"/>
      <c r="D2136" s="14"/>
      <c r="E2136" s="15"/>
      <c r="F2136" s="16"/>
      <c r="G2136" s="17"/>
      <c r="H2136" s="17"/>
      <c r="I2136" s="18"/>
      <c r="J2136" s="16"/>
      <c r="K2136" s="19"/>
      <c r="L2136" s="20"/>
    </row>
    <row r="2137" ht="15.75" customHeight="1">
      <c r="A2137" s="9"/>
      <c r="B2137" s="26"/>
      <c r="C2137" s="24"/>
      <c r="D2137" s="14"/>
      <c r="E2137" s="15"/>
      <c r="F2137" s="16"/>
      <c r="G2137" s="17"/>
      <c r="H2137" s="17"/>
      <c r="I2137" s="18"/>
      <c r="J2137" s="16"/>
      <c r="K2137" s="19"/>
      <c r="L2137" s="20"/>
    </row>
    <row r="2138" ht="15.75" customHeight="1">
      <c r="A2138" s="9"/>
      <c r="B2138" s="26"/>
      <c r="C2138" s="24"/>
      <c r="D2138" s="14"/>
      <c r="E2138" s="15"/>
      <c r="F2138" s="16"/>
      <c r="G2138" s="17"/>
      <c r="H2138" s="17"/>
      <c r="I2138" s="18"/>
      <c r="J2138" s="16"/>
      <c r="K2138" s="19"/>
      <c r="L2138" s="20"/>
    </row>
    <row r="2139" ht="15.75" customHeight="1">
      <c r="A2139" s="9"/>
      <c r="B2139" s="26"/>
      <c r="C2139" s="24"/>
      <c r="D2139" s="14"/>
      <c r="E2139" s="15"/>
      <c r="F2139" s="16"/>
      <c r="G2139" s="17"/>
      <c r="H2139" s="17"/>
      <c r="I2139" s="18"/>
      <c r="J2139" s="16"/>
      <c r="K2139" s="19"/>
      <c r="L2139" s="20"/>
    </row>
    <row r="2140" ht="15.75" customHeight="1">
      <c r="A2140" s="9"/>
      <c r="B2140" s="26"/>
      <c r="C2140" s="24"/>
      <c r="D2140" s="14"/>
      <c r="E2140" s="15"/>
      <c r="F2140" s="16"/>
      <c r="G2140" s="17"/>
      <c r="H2140" s="17"/>
      <c r="I2140" s="18"/>
      <c r="J2140" s="16"/>
      <c r="K2140" s="19"/>
      <c r="L2140" s="20"/>
    </row>
    <row r="2141" ht="15.75" customHeight="1">
      <c r="A2141" s="9"/>
      <c r="B2141" s="26"/>
      <c r="C2141" s="24"/>
      <c r="D2141" s="14"/>
      <c r="E2141" s="15"/>
      <c r="F2141" s="16"/>
      <c r="G2141" s="17"/>
      <c r="H2141" s="17"/>
      <c r="I2141" s="18"/>
      <c r="J2141" s="16"/>
      <c r="K2141" s="19"/>
      <c r="L2141" s="20"/>
    </row>
    <row r="2142" ht="15.75" customHeight="1">
      <c r="A2142" s="9"/>
      <c r="B2142" s="26"/>
      <c r="C2142" s="24"/>
      <c r="D2142" s="14"/>
      <c r="E2142" s="15"/>
      <c r="F2142" s="16"/>
      <c r="G2142" s="17"/>
      <c r="H2142" s="17"/>
      <c r="I2142" s="18"/>
      <c r="J2142" s="16"/>
      <c r="K2142" s="19"/>
      <c r="L2142" s="20"/>
    </row>
    <row r="2143" ht="15.75" customHeight="1">
      <c r="A2143" s="9"/>
      <c r="B2143" s="26"/>
      <c r="C2143" s="24"/>
      <c r="D2143" s="14"/>
      <c r="E2143" s="15"/>
      <c r="F2143" s="16"/>
      <c r="G2143" s="17"/>
      <c r="H2143" s="17"/>
      <c r="I2143" s="18"/>
      <c r="J2143" s="16"/>
      <c r="K2143" s="19"/>
      <c r="L2143" s="20"/>
    </row>
    <row r="2144" ht="15.75" customHeight="1">
      <c r="A2144" s="9"/>
      <c r="B2144" s="26"/>
      <c r="C2144" s="24"/>
      <c r="D2144" s="14"/>
      <c r="E2144" s="15"/>
      <c r="F2144" s="16"/>
      <c r="G2144" s="17"/>
      <c r="H2144" s="17"/>
      <c r="I2144" s="18"/>
      <c r="J2144" s="16"/>
      <c r="K2144" s="19"/>
      <c r="L2144" s="20"/>
    </row>
    <row r="2145" ht="15.75" customHeight="1">
      <c r="A2145" s="9"/>
      <c r="B2145" s="26"/>
      <c r="C2145" s="24"/>
      <c r="D2145" s="14"/>
      <c r="E2145" s="15"/>
      <c r="F2145" s="16"/>
      <c r="G2145" s="17"/>
      <c r="H2145" s="17"/>
      <c r="I2145" s="18"/>
      <c r="J2145" s="16"/>
      <c r="K2145" s="19"/>
      <c r="L2145" s="20"/>
    </row>
    <row r="2146" ht="15.75" customHeight="1">
      <c r="A2146" s="9"/>
      <c r="B2146" s="26"/>
      <c r="C2146" s="24"/>
      <c r="D2146" s="14"/>
      <c r="E2146" s="15"/>
      <c r="F2146" s="16"/>
      <c r="G2146" s="17"/>
      <c r="H2146" s="17"/>
      <c r="I2146" s="18"/>
      <c r="J2146" s="16"/>
      <c r="K2146" s="19"/>
      <c r="L2146" s="20"/>
    </row>
    <row r="2147" ht="15.75" customHeight="1">
      <c r="A2147" s="9"/>
      <c r="B2147" s="26"/>
      <c r="C2147" s="24"/>
      <c r="D2147" s="14"/>
      <c r="E2147" s="15"/>
      <c r="F2147" s="16"/>
      <c r="G2147" s="17"/>
      <c r="H2147" s="17"/>
      <c r="I2147" s="18"/>
      <c r="J2147" s="16"/>
      <c r="K2147" s="19"/>
      <c r="L2147" s="20"/>
    </row>
    <row r="2148" ht="15.75" customHeight="1">
      <c r="A2148" s="9"/>
      <c r="B2148" s="26"/>
      <c r="C2148" s="24"/>
      <c r="D2148" s="14"/>
      <c r="E2148" s="15"/>
      <c r="F2148" s="16"/>
      <c r="G2148" s="17"/>
      <c r="H2148" s="17"/>
      <c r="I2148" s="18"/>
      <c r="J2148" s="16"/>
      <c r="K2148" s="19"/>
      <c r="L2148" s="20"/>
    </row>
    <row r="2149" ht="15.75" customHeight="1">
      <c r="A2149" s="9"/>
      <c r="B2149" s="26"/>
      <c r="C2149" s="24"/>
      <c r="D2149" s="14"/>
      <c r="E2149" s="15"/>
      <c r="F2149" s="16"/>
      <c r="G2149" s="17"/>
      <c r="H2149" s="17"/>
      <c r="I2149" s="18"/>
      <c r="J2149" s="16"/>
      <c r="K2149" s="19"/>
      <c r="L2149" s="20"/>
    </row>
    <row r="2150" ht="15.75" customHeight="1">
      <c r="A2150" s="9"/>
      <c r="B2150" s="26"/>
      <c r="C2150" s="24"/>
      <c r="D2150" s="14"/>
      <c r="E2150" s="15"/>
      <c r="F2150" s="16"/>
      <c r="G2150" s="17"/>
      <c r="H2150" s="17"/>
      <c r="I2150" s="18"/>
      <c r="J2150" s="16"/>
      <c r="K2150" s="19"/>
      <c r="L2150" s="20"/>
    </row>
    <row r="2151" ht="15.75" customHeight="1">
      <c r="A2151" s="9"/>
      <c r="B2151" s="26"/>
      <c r="C2151" s="24"/>
      <c r="D2151" s="14"/>
      <c r="E2151" s="15"/>
      <c r="F2151" s="16"/>
      <c r="G2151" s="17"/>
      <c r="H2151" s="17"/>
      <c r="I2151" s="18"/>
      <c r="J2151" s="16"/>
      <c r="K2151" s="19"/>
      <c r="L2151" s="20"/>
    </row>
    <row r="2152" ht="15.75" customHeight="1">
      <c r="A2152" s="9"/>
      <c r="B2152" s="26"/>
      <c r="C2152" s="24"/>
      <c r="D2152" s="14"/>
      <c r="E2152" s="15"/>
      <c r="F2152" s="16"/>
      <c r="G2152" s="17"/>
      <c r="H2152" s="17"/>
      <c r="I2152" s="18"/>
      <c r="J2152" s="16"/>
      <c r="K2152" s="19"/>
      <c r="L2152" s="20"/>
    </row>
    <row r="2153" ht="15.75" customHeight="1">
      <c r="A2153" s="9"/>
      <c r="B2153" s="26"/>
      <c r="C2153" s="24"/>
      <c r="D2153" s="14"/>
      <c r="E2153" s="15"/>
      <c r="F2153" s="16"/>
      <c r="G2153" s="17"/>
      <c r="H2153" s="17"/>
      <c r="I2153" s="18"/>
      <c r="J2153" s="16"/>
      <c r="K2153" s="19"/>
      <c r="L2153" s="20"/>
    </row>
    <row r="2154" ht="15.75" customHeight="1">
      <c r="A2154" s="9"/>
      <c r="B2154" s="26"/>
      <c r="C2154" s="24"/>
      <c r="D2154" s="14"/>
      <c r="E2154" s="15"/>
      <c r="F2154" s="16"/>
      <c r="G2154" s="17"/>
      <c r="H2154" s="17"/>
      <c r="I2154" s="18"/>
      <c r="J2154" s="16"/>
      <c r="K2154" s="19"/>
      <c r="L2154" s="20"/>
    </row>
    <row r="2155" ht="15.75" customHeight="1">
      <c r="A2155" s="9"/>
      <c r="B2155" s="26"/>
      <c r="C2155" s="24"/>
      <c r="D2155" s="14"/>
      <c r="E2155" s="15"/>
      <c r="F2155" s="16"/>
      <c r="G2155" s="17"/>
      <c r="H2155" s="17"/>
      <c r="I2155" s="18"/>
      <c r="J2155" s="16"/>
      <c r="K2155" s="19"/>
      <c r="L2155" s="20"/>
    </row>
    <row r="2156" ht="15.75" customHeight="1">
      <c r="A2156" s="9"/>
      <c r="B2156" s="26"/>
      <c r="C2156" s="24"/>
      <c r="D2156" s="14"/>
      <c r="E2156" s="15"/>
      <c r="F2156" s="16"/>
      <c r="G2156" s="17"/>
      <c r="H2156" s="17"/>
      <c r="I2156" s="18"/>
      <c r="J2156" s="16"/>
      <c r="K2156" s="19"/>
      <c r="L2156" s="20"/>
    </row>
    <row r="2157" ht="15.75" customHeight="1">
      <c r="A2157" s="9"/>
      <c r="B2157" s="26"/>
      <c r="C2157" s="24"/>
      <c r="D2157" s="14"/>
      <c r="E2157" s="15"/>
      <c r="F2157" s="16"/>
      <c r="G2157" s="17"/>
      <c r="H2157" s="17"/>
      <c r="I2157" s="18"/>
      <c r="J2157" s="16"/>
      <c r="K2157" s="19"/>
      <c r="L2157" s="20"/>
    </row>
    <row r="2158" ht="15.75" customHeight="1">
      <c r="A2158" s="9"/>
      <c r="B2158" s="26"/>
      <c r="C2158" s="24"/>
      <c r="D2158" s="14"/>
      <c r="E2158" s="15"/>
      <c r="F2158" s="16"/>
      <c r="G2158" s="17"/>
      <c r="H2158" s="17"/>
      <c r="I2158" s="18"/>
      <c r="J2158" s="16"/>
      <c r="K2158" s="19"/>
      <c r="L2158" s="20"/>
    </row>
    <row r="2159" ht="15.75" customHeight="1">
      <c r="A2159" s="9"/>
      <c r="B2159" s="26"/>
      <c r="C2159" s="24"/>
      <c r="D2159" s="14"/>
      <c r="E2159" s="15"/>
      <c r="F2159" s="16"/>
      <c r="G2159" s="17"/>
      <c r="H2159" s="17"/>
      <c r="I2159" s="18"/>
      <c r="J2159" s="16"/>
      <c r="K2159" s="19"/>
      <c r="L2159" s="20"/>
    </row>
    <row r="2160" ht="15.75" customHeight="1">
      <c r="A2160" s="9"/>
      <c r="B2160" s="26"/>
      <c r="C2160" s="24"/>
      <c r="D2160" s="14"/>
      <c r="E2160" s="15"/>
      <c r="F2160" s="16"/>
      <c r="G2160" s="17"/>
      <c r="H2160" s="17"/>
      <c r="I2160" s="18"/>
      <c r="J2160" s="16"/>
      <c r="K2160" s="19"/>
      <c r="L2160" s="20"/>
    </row>
    <row r="2161" ht="15.75" customHeight="1">
      <c r="A2161" s="9"/>
      <c r="B2161" s="26"/>
      <c r="C2161" s="24"/>
      <c r="D2161" s="14"/>
      <c r="E2161" s="15"/>
      <c r="F2161" s="16"/>
      <c r="G2161" s="17"/>
      <c r="H2161" s="17"/>
      <c r="I2161" s="18"/>
      <c r="J2161" s="16"/>
      <c r="K2161" s="19"/>
      <c r="L2161" s="20"/>
    </row>
    <row r="2162" ht="15.75" customHeight="1">
      <c r="A2162" s="9"/>
      <c r="B2162" s="26"/>
      <c r="C2162" s="24"/>
      <c r="D2162" s="14"/>
      <c r="E2162" s="15"/>
      <c r="F2162" s="16"/>
      <c r="G2162" s="17"/>
      <c r="H2162" s="17"/>
      <c r="I2162" s="18"/>
      <c r="J2162" s="16"/>
      <c r="K2162" s="19"/>
      <c r="L2162" s="20"/>
    </row>
    <row r="2163" ht="15.75" customHeight="1">
      <c r="A2163" s="9"/>
      <c r="B2163" s="26"/>
      <c r="C2163" s="24"/>
      <c r="D2163" s="14"/>
      <c r="E2163" s="15"/>
      <c r="F2163" s="16"/>
      <c r="G2163" s="17"/>
      <c r="H2163" s="17"/>
      <c r="I2163" s="18"/>
      <c r="J2163" s="16"/>
      <c r="K2163" s="19"/>
      <c r="L2163" s="20"/>
    </row>
    <row r="2164" ht="15.75" customHeight="1">
      <c r="A2164" s="9"/>
      <c r="B2164" s="26"/>
      <c r="C2164" s="24"/>
      <c r="D2164" s="14"/>
      <c r="E2164" s="15"/>
      <c r="F2164" s="16"/>
      <c r="G2164" s="17"/>
      <c r="H2164" s="17"/>
      <c r="I2164" s="18"/>
      <c r="J2164" s="16"/>
      <c r="K2164" s="19"/>
      <c r="L2164" s="20"/>
    </row>
    <row r="2165" ht="15.75" customHeight="1">
      <c r="A2165" s="9"/>
      <c r="B2165" s="26"/>
      <c r="C2165" s="24"/>
      <c r="D2165" s="14"/>
      <c r="E2165" s="15"/>
      <c r="F2165" s="16"/>
      <c r="G2165" s="17"/>
      <c r="H2165" s="17"/>
      <c r="I2165" s="18"/>
      <c r="J2165" s="16"/>
      <c r="K2165" s="19"/>
      <c r="L2165" s="20"/>
    </row>
    <row r="2166" ht="15.75" customHeight="1">
      <c r="A2166" s="9"/>
      <c r="B2166" s="26"/>
      <c r="C2166" s="24"/>
      <c r="D2166" s="14"/>
      <c r="E2166" s="15"/>
      <c r="F2166" s="16"/>
      <c r="G2166" s="17"/>
      <c r="H2166" s="17"/>
      <c r="I2166" s="18"/>
      <c r="J2166" s="16"/>
      <c r="K2166" s="19"/>
      <c r="L2166" s="20"/>
    </row>
    <row r="2167" ht="15.75" customHeight="1">
      <c r="A2167" s="9"/>
      <c r="B2167" s="26"/>
      <c r="C2167" s="24"/>
      <c r="D2167" s="14"/>
      <c r="E2167" s="15"/>
      <c r="F2167" s="16"/>
      <c r="G2167" s="17"/>
      <c r="H2167" s="17"/>
      <c r="I2167" s="18"/>
      <c r="J2167" s="16"/>
      <c r="K2167" s="19"/>
      <c r="L2167" s="20"/>
    </row>
    <row r="2168" ht="15.75" customHeight="1">
      <c r="A2168" s="9"/>
      <c r="B2168" s="26"/>
      <c r="C2168" s="24"/>
      <c r="D2168" s="14"/>
      <c r="E2168" s="15"/>
      <c r="F2168" s="16"/>
      <c r="G2168" s="17"/>
      <c r="H2168" s="17"/>
      <c r="I2168" s="18"/>
      <c r="J2168" s="16"/>
      <c r="K2168" s="19"/>
      <c r="L2168" s="20"/>
    </row>
    <row r="2169" ht="15.75" customHeight="1">
      <c r="A2169" s="9"/>
      <c r="B2169" s="26"/>
      <c r="C2169" s="24"/>
      <c r="D2169" s="14"/>
      <c r="E2169" s="15"/>
      <c r="F2169" s="16"/>
      <c r="G2169" s="17"/>
      <c r="H2169" s="17"/>
      <c r="I2169" s="18"/>
      <c r="J2169" s="16"/>
      <c r="K2169" s="19"/>
      <c r="L2169" s="20"/>
    </row>
    <row r="2170" ht="15.75" customHeight="1">
      <c r="A2170" s="9"/>
      <c r="B2170" s="26"/>
      <c r="C2170" s="24"/>
      <c r="D2170" s="14"/>
      <c r="E2170" s="15"/>
      <c r="F2170" s="16"/>
      <c r="G2170" s="17"/>
      <c r="H2170" s="17"/>
      <c r="I2170" s="18"/>
      <c r="J2170" s="16"/>
      <c r="K2170" s="19"/>
      <c r="L2170" s="20"/>
    </row>
    <row r="2171" ht="15.75" customHeight="1">
      <c r="A2171" s="9"/>
      <c r="B2171" s="26"/>
      <c r="C2171" s="24"/>
      <c r="D2171" s="14"/>
      <c r="E2171" s="15"/>
      <c r="F2171" s="16"/>
      <c r="G2171" s="17"/>
      <c r="H2171" s="17"/>
      <c r="I2171" s="18"/>
      <c r="J2171" s="16"/>
      <c r="K2171" s="19"/>
      <c r="L2171" s="20"/>
    </row>
    <row r="2172" ht="15.75" customHeight="1">
      <c r="A2172" s="9"/>
      <c r="B2172" s="26"/>
      <c r="C2172" s="24"/>
      <c r="D2172" s="14"/>
      <c r="E2172" s="15"/>
      <c r="F2172" s="16"/>
      <c r="G2172" s="17"/>
      <c r="H2172" s="17"/>
      <c r="I2172" s="18"/>
      <c r="J2172" s="16"/>
      <c r="K2172" s="19"/>
      <c r="L2172" s="20"/>
    </row>
    <row r="2173" ht="15.75" customHeight="1">
      <c r="A2173" s="9"/>
      <c r="B2173" s="26"/>
      <c r="C2173" s="24"/>
      <c r="D2173" s="14"/>
      <c r="E2173" s="15"/>
      <c r="F2173" s="16"/>
      <c r="G2173" s="17"/>
      <c r="H2173" s="17"/>
      <c r="I2173" s="18"/>
      <c r="J2173" s="16"/>
      <c r="K2173" s="19"/>
      <c r="L2173" s="20"/>
    </row>
    <row r="2174" ht="15.75" customHeight="1">
      <c r="A2174" s="9"/>
      <c r="B2174" s="26"/>
      <c r="C2174" s="24"/>
      <c r="D2174" s="14"/>
      <c r="E2174" s="15"/>
      <c r="F2174" s="16"/>
      <c r="G2174" s="17"/>
      <c r="H2174" s="17"/>
      <c r="I2174" s="18"/>
      <c r="J2174" s="16"/>
      <c r="K2174" s="19"/>
      <c r="L2174" s="20"/>
    </row>
    <row r="2175" ht="15.75" customHeight="1">
      <c r="A2175" s="9"/>
      <c r="B2175" s="26"/>
      <c r="C2175" s="24"/>
      <c r="D2175" s="14"/>
      <c r="E2175" s="15"/>
      <c r="F2175" s="16"/>
      <c r="G2175" s="17"/>
      <c r="H2175" s="17"/>
      <c r="I2175" s="18"/>
      <c r="J2175" s="16"/>
      <c r="K2175" s="19"/>
      <c r="L2175" s="20"/>
    </row>
    <row r="2176" ht="15.75" customHeight="1">
      <c r="A2176" s="9"/>
      <c r="B2176" s="26"/>
      <c r="C2176" s="24"/>
      <c r="D2176" s="14"/>
      <c r="E2176" s="15"/>
      <c r="F2176" s="16"/>
      <c r="G2176" s="17"/>
      <c r="H2176" s="17"/>
      <c r="I2176" s="18"/>
      <c r="J2176" s="16"/>
      <c r="K2176" s="19"/>
      <c r="L2176" s="20"/>
    </row>
    <row r="2177" ht="15.75" customHeight="1">
      <c r="A2177" s="9"/>
      <c r="B2177" s="26"/>
      <c r="C2177" s="24"/>
      <c r="D2177" s="14"/>
      <c r="E2177" s="15"/>
      <c r="F2177" s="16"/>
      <c r="G2177" s="17"/>
      <c r="H2177" s="17"/>
      <c r="I2177" s="18"/>
      <c r="J2177" s="16"/>
      <c r="K2177" s="19"/>
      <c r="L2177" s="20"/>
    </row>
    <row r="2178" ht="15.75" customHeight="1">
      <c r="A2178" s="9"/>
      <c r="B2178" s="26"/>
      <c r="C2178" s="24"/>
      <c r="D2178" s="14"/>
      <c r="E2178" s="15"/>
      <c r="F2178" s="16"/>
      <c r="G2178" s="17"/>
      <c r="H2178" s="17"/>
      <c r="I2178" s="18"/>
      <c r="J2178" s="16"/>
      <c r="K2178" s="19"/>
      <c r="L2178" s="20"/>
    </row>
    <row r="2179" ht="15.75" customHeight="1">
      <c r="A2179" s="9"/>
      <c r="B2179" s="26"/>
      <c r="C2179" s="24"/>
      <c r="D2179" s="14"/>
      <c r="E2179" s="15"/>
      <c r="F2179" s="16"/>
      <c r="G2179" s="17"/>
      <c r="H2179" s="17"/>
      <c r="I2179" s="18"/>
      <c r="J2179" s="16"/>
      <c r="K2179" s="19"/>
      <c r="L2179" s="20"/>
    </row>
  </sheetData>
  <autoFilter ref="$C$1:$Z$116">
    <sortState ref="C1:Z116">
      <sortCondition ref="D1:D116"/>
    </sortState>
  </autoFilter>
  <conditionalFormatting sqref="L2:L2179">
    <cfRule type="cellIs" dxfId="0" priority="1" operator="lessThan">
      <formula>0</formula>
    </cfRule>
  </conditionalFormatting>
  <conditionalFormatting sqref="L2:L2179">
    <cfRule type="cellIs" dxfId="1" priority="2" operator="lessThan">
      <formula>0.1</formula>
    </cfRule>
  </conditionalFormatting>
  <conditionalFormatting sqref="L2:L2179">
    <cfRule type="cellIs" dxfId="2" priority="3" operator="between">
      <formula>0.11</formula>
      <formula>0.25</formula>
    </cfRule>
  </conditionalFormatting>
  <conditionalFormatting sqref="M21">
    <cfRule type="notContainsBlanks" dxfId="3" priority="4">
      <formula>LEN(TRIM(M21))&gt;0</formula>
    </cfRule>
  </conditionalFormatting>
  <conditionalFormatting sqref="L2:L2179">
    <cfRule type="cellIs" dxfId="4" priority="5" operator="greaterThan">
      <formula>0.25</formula>
    </cfRule>
  </conditionalFormatting>
  <dataValidations>
    <dataValidation type="list" allowBlank="1" sqref="A2:A1251">
      <formula1>"Amazon,Flipkart,Shopsy,Meesho"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8C00"/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0.14"/>
    <col customWidth="1" min="3" max="3" width="10.0"/>
    <col customWidth="1" min="4" max="4" width="10.29"/>
    <col customWidth="1" min="5" max="5" width="16.29"/>
    <col customWidth="1" min="6" max="6" width="16.0"/>
    <col customWidth="1" min="7" max="26" width="8.71"/>
  </cols>
  <sheetData>
    <row r="1">
      <c r="A1" s="27" t="s">
        <v>0</v>
      </c>
      <c r="B1" s="27" t="s">
        <v>1872</v>
      </c>
      <c r="C1" s="27" t="s">
        <v>1873</v>
      </c>
      <c r="D1" s="27" t="s">
        <v>1874</v>
      </c>
      <c r="E1" s="27" t="s">
        <v>1875</v>
      </c>
      <c r="F1" s="27" t="s">
        <v>1876</v>
      </c>
    </row>
    <row r="2">
      <c r="A2" s="28" t="s">
        <v>9</v>
      </c>
      <c r="B2" s="29" t="s">
        <v>1877</v>
      </c>
      <c r="C2" s="29">
        <v>0.0</v>
      </c>
      <c r="D2" s="29">
        <v>300.0</v>
      </c>
      <c r="E2" s="29">
        <v>0.0</v>
      </c>
      <c r="F2" s="29">
        <v>5.0</v>
      </c>
    </row>
    <row r="3">
      <c r="A3" s="28" t="s">
        <v>9</v>
      </c>
      <c r="B3" s="29" t="s">
        <v>1877</v>
      </c>
      <c r="C3" s="29">
        <v>301.0</v>
      </c>
      <c r="D3" s="29">
        <v>500.0</v>
      </c>
      <c r="E3" s="29">
        <v>0.05</v>
      </c>
      <c r="F3" s="29">
        <v>12.0</v>
      </c>
    </row>
    <row r="4">
      <c r="A4" s="28" t="s">
        <v>9</v>
      </c>
      <c r="B4" s="29" t="s">
        <v>1877</v>
      </c>
      <c r="C4" s="29">
        <v>501.0</v>
      </c>
      <c r="D4" s="29">
        <v>99999.0</v>
      </c>
      <c r="E4" s="29">
        <v>0.12</v>
      </c>
      <c r="F4" s="29">
        <v>30.0</v>
      </c>
    </row>
    <row r="5">
      <c r="A5" s="28" t="s">
        <v>1162</v>
      </c>
      <c r="B5" s="29" t="s">
        <v>1877</v>
      </c>
      <c r="C5" s="29">
        <v>0.0</v>
      </c>
      <c r="D5" s="29">
        <v>300.0</v>
      </c>
      <c r="E5" s="29">
        <v>0.0</v>
      </c>
      <c r="F5" s="29">
        <v>13.0</v>
      </c>
    </row>
    <row r="6">
      <c r="A6" s="28" t="s">
        <v>1162</v>
      </c>
      <c r="B6" s="29" t="s">
        <v>1877</v>
      </c>
      <c r="C6" s="29">
        <v>301.0</v>
      </c>
      <c r="D6" s="29">
        <v>500.0</v>
      </c>
      <c r="E6" s="29">
        <v>0.1</v>
      </c>
      <c r="F6" s="29">
        <v>16.0</v>
      </c>
    </row>
    <row r="7">
      <c r="A7" s="28" t="s">
        <v>1162</v>
      </c>
      <c r="B7" s="29" t="s">
        <v>1877</v>
      </c>
      <c r="C7" s="29">
        <v>501.0</v>
      </c>
      <c r="D7" s="29">
        <v>99999.0</v>
      </c>
      <c r="E7" s="29">
        <v>0.1</v>
      </c>
      <c r="F7" s="29">
        <v>32.0</v>
      </c>
    </row>
    <row r="8">
      <c r="A8" s="28" t="s">
        <v>1717</v>
      </c>
      <c r="B8" s="29" t="s">
        <v>1877</v>
      </c>
      <c r="C8" s="29">
        <v>0.0</v>
      </c>
      <c r="D8" s="29">
        <v>99999.0</v>
      </c>
      <c r="E8" s="29">
        <v>0.0</v>
      </c>
      <c r="F8" s="29">
        <v>0.0</v>
      </c>
    </row>
    <row r="9">
      <c r="A9" s="28" t="s">
        <v>9</v>
      </c>
      <c r="B9" s="29" t="s">
        <v>1878</v>
      </c>
      <c r="C9" s="29">
        <v>0.0</v>
      </c>
      <c r="D9" s="29">
        <v>300.0</v>
      </c>
      <c r="E9" s="29">
        <v>0.0</v>
      </c>
      <c r="F9" s="29">
        <v>5.0</v>
      </c>
    </row>
    <row r="10">
      <c r="A10" s="28" t="s">
        <v>9</v>
      </c>
      <c r="B10" s="29" t="s">
        <v>1878</v>
      </c>
      <c r="C10" s="29">
        <v>301.0</v>
      </c>
      <c r="D10" s="29">
        <v>500.0</v>
      </c>
      <c r="E10" s="29">
        <v>0.06</v>
      </c>
      <c r="F10" s="29">
        <v>12.0</v>
      </c>
    </row>
    <row r="11">
      <c r="A11" s="28" t="s">
        <v>9</v>
      </c>
      <c r="B11" s="29" t="s">
        <v>1878</v>
      </c>
      <c r="C11" s="29">
        <v>501.0</v>
      </c>
      <c r="D11" s="29">
        <v>1000.0</v>
      </c>
      <c r="E11" s="29">
        <v>0.12</v>
      </c>
      <c r="F11" s="29">
        <v>30.0</v>
      </c>
    </row>
    <row r="12">
      <c r="A12" s="28" t="s">
        <v>9</v>
      </c>
      <c r="B12" s="29" t="s">
        <v>1878</v>
      </c>
      <c r="C12" s="29">
        <v>1001.0</v>
      </c>
      <c r="D12" s="29">
        <v>99999.0</v>
      </c>
      <c r="E12" s="29">
        <v>0.12</v>
      </c>
      <c r="F12" s="29">
        <v>60.0</v>
      </c>
    </row>
    <row r="13">
      <c r="A13" s="28" t="s">
        <v>1162</v>
      </c>
      <c r="B13" s="29" t="s">
        <v>1878</v>
      </c>
      <c r="C13" s="29">
        <v>0.0</v>
      </c>
      <c r="D13" s="29">
        <v>300.0</v>
      </c>
      <c r="E13" s="29">
        <v>0.0</v>
      </c>
      <c r="F13" s="29">
        <v>13.0</v>
      </c>
    </row>
    <row r="14">
      <c r="A14" s="28" t="s">
        <v>1162</v>
      </c>
      <c r="B14" s="29" t="s">
        <v>1878</v>
      </c>
      <c r="C14" s="29">
        <v>301.0</v>
      </c>
      <c r="D14" s="29">
        <v>500.0</v>
      </c>
      <c r="E14" s="29">
        <v>0.1</v>
      </c>
      <c r="F14" s="29">
        <v>16.0</v>
      </c>
    </row>
    <row r="15">
      <c r="A15" s="28" t="s">
        <v>1162</v>
      </c>
      <c r="B15" s="29" t="s">
        <v>1878</v>
      </c>
      <c r="C15" s="29">
        <v>501.0</v>
      </c>
      <c r="D15" s="29">
        <v>99999.0</v>
      </c>
      <c r="E15" s="29">
        <v>0.12</v>
      </c>
      <c r="F15" s="29">
        <v>32.0</v>
      </c>
    </row>
    <row r="16">
      <c r="A16" s="28" t="s">
        <v>1717</v>
      </c>
      <c r="B16" s="29" t="s">
        <v>1878</v>
      </c>
      <c r="C16" s="29">
        <v>0.0</v>
      </c>
      <c r="D16" s="29">
        <v>99999.0</v>
      </c>
      <c r="E16" s="29">
        <v>0.0</v>
      </c>
      <c r="F16" s="29">
        <v>0.0</v>
      </c>
    </row>
    <row r="17">
      <c r="A17" s="28" t="s">
        <v>9</v>
      </c>
      <c r="B17" s="29" t="s">
        <v>1760</v>
      </c>
      <c r="C17" s="29">
        <v>0.0</v>
      </c>
      <c r="D17" s="29">
        <v>300.0</v>
      </c>
      <c r="E17" s="29">
        <v>0.0</v>
      </c>
      <c r="F17" s="29">
        <v>5.0</v>
      </c>
    </row>
    <row r="18">
      <c r="A18" s="28" t="s">
        <v>9</v>
      </c>
      <c r="B18" s="29" t="s">
        <v>1760</v>
      </c>
      <c r="C18" s="29">
        <v>301.0</v>
      </c>
      <c r="D18" s="29">
        <v>500.0</v>
      </c>
      <c r="E18" s="29">
        <v>0.06</v>
      </c>
      <c r="F18" s="29">
        <v>12.0</v>
      </c>
    </row>
    <row r="19">
      <c r="A19" s="28" t="s">
        <v>9</v>
      </c>
      <c r="B19" s="29" t="s">
        <v>1760</v>
      </c>
      <c r="C19" s="29">
        <v>501.0</v>
      </c>
      <c r="D19" s="29">
        <v>99999.0</v>
      </c>
      <c r="E19" s="29">
        <v>0.12</v>
      </c>
      <c r="F19" s="29">
        <v>30.0</v>
      </c>
    </row>
    <row r="20" ht="15.75" customHeight="1">
      <c r="A20" s="28" t="s">
        <v>1162</v>
      </c>
      <c r="B20" s="29" t="s">
        <v>1760</v>
      </c>
      <c r="C20" s="29">
        <v>0.0</v>
      </c>
      <c r="D20" s="29">
        <v>300.0</v>
      </c>
      <c r="E20" s="29">
        <v>0.0</v>
      </c>
      <c r="F20" s="29">
        <v>13.0</v>
      </c>
    </row>
    <row r="21" ht="15.75" customHeight="1">
      <c r="A21" s="28" t="s">
        <v>1162</v>
      </c>
      <c r="B21" s="29" t="s">
        <v>1760</v>
      </c>
      <c r="C21" s="29">
        <v>301.0</v>
      </c>
      <c r="D21" s="29">
        <v>500.0</v>
      </c>
      <c r="E21" s="29">
        <v>0.1</v>
      </c>
      <c r="F21" s="29">
        <v>16.0</v>
      </c>
    </row>
    <row r="22" ht="15.75" customHeight="1">
      <c r="A22" s="28" t="s">
        <v>1162</v>
      </c>
      <c r="B22" s="29" t="s">
        <v>1760</v>
      </c>
      <c r="C22" s="29">
        <v>501.0</v>
      </c>
      <c r="D22" s="29">
        <v>99999.0</v>
      </c>
      <c r="E22" s="29">
        <v>0.12</v>
      </c>
      <c r="F22" s="29">
        <v>32.0</v>
      </c>
    </row>
    <row r="23" ht="15.75" customHeight="1">
      <c r="A23" s="28" t="s">
        <v>1717</v>
      </c>
      <c r="B23" s="29" t="s">
        <v>1760</v>
      </c>
      <c r="C23" s="29">
        <v>0.0</v>
      </c>
      <c r="D23" s="29">
        <v>99999.0</v>
      </c>
      <c r="E23" s="29">
        <v>0.0</v>
      </c>
      <c r="F23" s="29">
        <v>0.0</v>
      </c>
    </row>
    <row r="24" ht="15.75" customHeight="1">
      <c r="A24" s="28" t="s">
        <v>9</v>
      </c>
      <c r="B24" s="29" t="s">
        <v>1739</v>
      </c>
      <c r="C24" s="29">
        <v>0.0</v>
      </c>
      <c r="D24" s="29">
        <v>300.0</v>
      </c>
      <c r="E24" s="29">
        <v>0.0</v>
      </c>
      <c r="F24" s="29">
        <v>5.0</v>
      </c>
    </row>
    <row r="25" ht="15.75" customHeight="1">
      <c r="A25" s="28" t="s">
        <v>9</v>
      </c>
      <c r="B25" s="29" t="s">
        <v>1739</v>
      </c>
      <c r="C25" s="29">
        <v>301.0</v>
      </c>
      <c r="D25" s="29">
        <v>500.0</v>
      </c>
      <c r="E25" s="29">
        <v>0.03</v>
      </c>
      <c r="F25" s="29">
        <v>12.0</v>
      </c>
    </row>
    <row r="26" ht="15.75" customHeight="1">
      <c r="A26" s="28" t="s">
        <v>9</v>
      </c>
      <c r="B26" s="29" t="s">
        <v>1739</v>
      </c>
      <c r="C26" s="29">
        <v>501.0</v>
      </c>
      <c r="D26" s="29">
        <v>99999.0</v>
      </c>
      <c r="E26" s="29">
        <v>0.13</v>
      </c>
      <c r="F26" s="29">
        <v>30.0</v>
      </c>
    </row>
    <row r="27" ht="15.75" customHeight="1">
      <c r="A27" s="28" t="s">
        <v>1162</v>
      </c>
      <c r="B27" s="29" t="s">
        <v>1739</v>
      </c>
      <c r="C27" s="29">
        <v>0.0</v>
      </c>
      <c r="D27" s="29">
        <v>300.0</v>
      </c>
      <c r="E27" s="29">
        <v>0.0</v>
      </c>
      <c r="F27" s="29">
        <v>13.0</v>
      </c>
    </row>
    <row r="28" ht="15.75" customHeight="1">
      <c r="A28" s="28" t="s">
        <v>1162</v>
      </c>
      <c r="B28" s="29" t="s">
        <v>1739</v>
      </c>
      <c r="C28" s="29">
        <v>301.0</v>
      </c>
      <c r="D28" s="29">
        <v>500.0</v>
      </c>
      <c r="E28" s="29">
        <v>0.13</v>
      </c>
      <c r="F28" s="29">
        <v>16.0</v>
      </c>
    </row>
    <row r="29" ht="15.75" customHeight="1">
      <c r="A29" s="28" t="s">
        <v>1162</v>
      </c>
      <c r="B29" s="29" t="s">
        <v>1739</v>
      </c>
      <c r="C29" s="29">
        <v>501.0</v>
      </c>
      <c r="D29" s="29">
        <v>99999.0</v>
      </c>
      <c r="E29" s="29">
        <v>0.13</v>
      </c>
      <c r="F29" s="29">
        <v>32.0</v>
      </c>
    </row>
    <row r="30" ht="15.75" customHeight="1">
      <c r="A30" s="28" t="s">
        <v>1717</v>
      </c>
      <c r="B30" s="29" t="s">
        <v>1739</v>
      </c>
      <c r="C30" s="29">
        <v>0.0</v>
      </c>
      <c r="D30" s="29">
        <v>99999.0</v>
      </c>
      <c r="E30" s="29">
        <v>0.0</v>
      </c>
      <c r="F30" s="29">
        <v>0.0</v>
      </c>
    </row>
    <row r="31" ht="15.75" customHeight="1">
      <c r="A31" s="28" t="s">
        <v>9</v>
      </c>
      <c r="B31" s="29" t="s">
        <v>1819</v>
      </c>
      <c r="C31" s="29">
        <v>0.0</v>
      </c>
      <c r="D31" s="29">
        <v>300.0</v>
      </c>
      <c r="E31" s="29">
        <v>0.0</v>
      </c>
      <c r="F31" s="29">
        <v>5.0</v>
      </c>
    </row>
    <row r="32" ht="15.75" customHeight="1">
      <c r="A32" s="28" t="s">
        <v>9</v>
      </c>
      <c r="B32" s="29" t="s">
        <v>1819</v>
      </c>
      <c r="C32" s="29">
        <v>301.0</v>
      </c>
      <c r="D32" s="29">
        <v>500.0</v>
      </c>
      <c r="E32" s="29">
        <v>0.13</v>
      </c>
      <c r="F32" s="29">
        <v>12.0</v>
      </c>
    </row>
    <row r="33" ht="15.75" customHeight="1">
      <c r="A33" s="28" t="s">
        <v>9</v>
      </c>
      <c r="B33" s="29" t="s">
        <v>1819</v>
      </c>
      <c r="C33" s="29">
        <v>501.0</v>
      </c>
      <c r="D33" s="29">
        <v>1000.0</v>
      </c>
      <c r="E33" s="29">
        <v>0.15</v>
      </c>
      <c r="F33" s="29">
        <v>30.0</v>
      </c>
    </row>
    <row r="34" ht="15.75" customHeight="1">
      <c r="A34" s="28" t="s">
        <v>9</v>
      </c>
      <c r="B34" s="29" t="s">
        <v>1819</v>
      </c>
      <c r="C34" s="29">
        <v>1001.0</v>
      </c>
      <c r="D34" s="29">
        <v>99999.0</v>
      </c>
      <c r="E34" s="29">
        <v>0.17</v>
      </c>
      <c r="F34" s="29">
        <v>30.0</v>
      </c>
    </row>
    <row r="35" ht="15.75" customHeight="1">
      <c r="A35" s="28" t="s">
        <v>1162</v>
      </c>
      <c r="B35" s="29" t="s">
        <v>1819</v>
      </c>
      <c r="C35" s="29">
        <v>0.0</v>
      </c>
      <c r="D35" s="29">
        <v>300.0</v>
      </c>
      <c r="E35" s="29">
        <v>0.0</v>
      </c>
      <c r="F35" s="29">
        <v>13.0</v>
      </c>
    </row>
    <row r="36" ht="15.75" customHeight="1">
      <c r="A36" s="28" t="s">
        <v>1162</v>
      </c>
      <c r="B36" s="29" t="s">
        <v>1819</v>
      </c>
      <c r="C36" s="29">
        <v>301.0</v>
      </c>
      <c r="D36" s="29">
        <v>500.0</v>
      </c>
      <c r="E36" s="29">
        <v>0.15</v>
      </c>
      <c r="F36" s="29">
        <v>16.0</v>
      </c>
    </row>
    <row r="37" ht="15.75" customHeight="1">
      <c r="A37" s="28" t="s">
        <v>1162</v>
      </c>
      <c r="B37" s="29" t="s">
        <v>1819</v>
      </c>
      <c r="C37" s="29">
        <v>501.0</v>
      </c>
      <c r="D37" s="29">
        <v>1000.0</v>
      </c>
      <c r="E37" s="29">
        <v>0.17</v>
      </c>
      <c r="F37" s="29">
        <v>32.0</v>
      </c>
    </row>
    <row r="38" ht="15.75" customHeight="1">
      <c r="A38" s="28" t="s">
        <v>1162</v>
      </c>
      <c r="B38" s="29" t="s">
        <v>1819</v>
      </c>
      <c r="C38" s="29">
        <v>1001.0</v>
      </c>
      <c r="D38" s="29">
        <v>99999.0</v>
      </c>
      <c r="E38" s="29">
        <v>0.19</v>
      </c>
      <c r="F38" s="29">
        <v>62.0</v>
      </c>
    </row>
    <row r="39" ht="15.75" customHeight="1">
      <c r="A39" s="28" t="s">
        <v>1717</v>
      </c>
      <c r="B39" s="29" t="s">
        <v>1819</v>
      </c>
      <c r="C39" s="29">
        <v>0.0</v>
      </c>
      <c r="D39" s="29">
        <v>99999.0</v>
      </c>
      <c r="E39" s="29">
        <v>0.0</v>
      </c>
      <c r="F39" s="29">
        <v>0.0</v>
      </c>
    </row>
    <row r="40" ht="15.75" customHeight="1">
      <c r="A40" s="28" t="s">
        <v>9</v>
      </c>
      <c r="B40" s="29" t="s">
        <v>1834</v>
      </c>
      <c r="C40" s="29">
        <v>0.0</v>
      </c>
      <c r="D40" s="29">
        <v>300.0</v>
      </c>
      <c r="E40" s="29">
        <v>0.0</v>
      </c>
      <c r="F40" s="29">
        <v>5.0</v>
      </c>
    </row>
    <row r="41" ht="15.75" customHeight="1">
      <c r="A41" s="28" t="s">
        <v>9</v>
      </c>
      <c r="B41" s="29" t="s">
        <v>1834</v>
      </c>
      <c r="C41" s="29">
        <v>301.0</v>
      </c>
      <c r="D41" s="29">
        <v>500.0</v>
      </c>
      <c r="E41" s="29">
        <v>0.14</v>
      </c>
      <c r="F41" s="29">
        <v>12.0</v>
      </c>
    </row>
    <row r="42" ht="15.75" customHeight="1">
      <c r="A42" s="28" t="s">
        <v>9</v>
      </c>
      <c r="B42" s="29" t="s">
        <v>1834</v>
      </c>
      <c r="C42" s="29">
        <v>501.0</v>
      </c>
      <c r="D42" s="29">
        <v>1000.0</v>
      </c>
      <c r="E42" s="29">
        <v>0.18</v>
      </c>
      <c r="F42" s="29">
        <v>30.0</v>
      </c>
    </row>
    <row r="43" ht="15.75" customHeight="1">
      <c r="A43" s="28" t="s">
        <v>9</v>
      </c>
      <c r="B43" s="29" t="s">
        <v>1834</v>
      </c>
      <c r="C43" s="29">
        <v>1001.0</v>
      </c>
      <c r="D43" s="29">
        <v>99999.0</v>
      </c>
      <c r="E43" s="29">
        <v>0.2</v>
      </c>
      <c r="F43" s="29">
        <v>60.0</v>
      </c>
    </row>
    <row r="44" ht="15.75" customHeight="1">
      <c r="A44" s="28" t="s">
        <v>1162</v>
      </c>
      <c r="B44" s="29" t="s">
        <v>1834</v>
      </c>
      <c r="C44" s="29">
        <v>0.0</v>
      </c>
      <c r="D44" s="29">
        <v>300.0</v>
      </c>
      <c r="E44" s="29">
        <v>0.0</v>
      </c>
      <c r="F44" s="29">
        <v>13.0</v>
      </c>
    </row>
    <row r="45" ht="15.75" customHeight="1">
      <c r="A45" s="28" t="s">
        <v>1162</v>
      </c>
      <c r="B45" s="29" t="s">
        <v>1834</v>
      </c>
      <c r="C45" s="29">
        <v>301.0</v>
      </c>
      <c r="D45" s="29">
        <v>500.0</v>
      </c>
      <c r="E45" s="29">
        <v>0.15</v>
      </c>
      <c r="F45" s="29">
        <v>16.0</v>
      </c>
    </row>
    <row r="46" ht="15.75" customHeight="1">
      <c r="A46" s="28" t="s">
        <v>1162</v>
      </c>
      <c r="B46" s="29" t="s">
        <v>1834</v>
      </c>
      <c r="C46" s="29">
        <v>501.0</v>
      </c>
      <c r="D46" s="29">
        <v>1000.0</v>
      </c>
      <c r="E46" s="29">
        <v>0.18</v>
      </c>
      <c r="F46" s="29">
        <v>32.0</v>
      </c>
    </row>
    <row r="47" ht="15.75" customHeight="1">
      <c r="A47" s="28" t="s">
        <v>1162</v>
      </c>
      <c r="B47" s="29" t="s">
        <v>1834</v>
      </c>
      <c r="C47" s="29">
        <v>1001.0</v>
      </c>
      <c r="D47" s="29">
        <v>99999.0</v>
      </c>
      <c r="E47" s="29">
        <v>0.22</v>
      </c>
      <c r="F47" s="29">
        <v>62.0</v>
      </c>
    </row>
    <row r="48" ht="15.75" customHeight="1">
      <c r="A48" s="28" t="s">
        <v>1717</v>
      </c>
      <c r="B48" s="29" t="s">
        <v>1834</v>
      </c>
      <c r="C48" s="29">
        <v>0.0</v>
      </c>
      <c r="D48" s="29">
        <v>99999.0</v>
      </c>
      <c r="E48" s="29">
        <v>0.0</v>
      </c>
      <c r="F48" s="29">
        <v>0.0</v>
      </c>
    </row>
    <row r="49" ht="15.75" customHeight="1">
      <c r="A49" s="28" t="s">
        <v>9</v>
      </c>
      <c r="B49" s="29" t="s">
        <v>1775</v>
      </c>
      <c r="C49" s="29">
        <v>0.0</v>
      </c>
      <c r="D49" s="29">
        <v>300.0</v>
      </c>
      <c r="E49" s="29">
        <v>0.0</v>
      </c>
      <c r="F49" s="29">
        <v>5.0</v>
      </c>
    </row>
    <row r="50" ht="15.75" customHeight="1">
      <c r="A50" s="28" t="s">
        <v>9</v>
      </c>
      <c r="B50" s="29" t="s">
        <v>1775</v>
      </c>
      <c r="C50" s="29">
        <v>301.0</v>
      </c>
      <c r="D50" s="29">
        <v>500.0</v>
      </c>
      <c r="E50" s="29">
        <v>0.06</v>
      </c>
      <c r="F50" s="29">
        <v>12.0</v>
      </c>
    </row>
    <row r="51" ht="15.75" customHeight="1">
      <c r="A51" s="28" t="s">
        <v>9</v>
      </c>
      <c r="B51" s="29" t="s">
        <v>1775</v>
      </c>
      <c r="C51" s="29">
        <v>501.0</v>
      </c>
      <c r="D51" s="29">
        <v>99999.0</v>
      </c>
      <c r="E51" s="29">
        <v>0.12</v>
      </c>
      <c r="F51" s="29">
        <v>30.0</v>
      </c>
    </row>
    <row r="52" ht="15.75" customHeight="1">
      <c r="A52" s="28" t="s">
        <v>1162</v>
      </c>
      <c r="B52" s="29" t="s">
        <v>1775</v>
      </c>
      <c r="C52" s="29">
        <v>0.0</v>
      </c>
      <c r="D52" s="29">
        <v>300.0</v>
      </c>
      <c r="E52" s="29">
        <v>0.0</v>
      </c>
      <c r="F52" s="29">
        <v>13.0</v>
      </c>
    </row>
    <row r="53" ht="15.75" customHeight="1">
      <c r="A53" s="28" t="s">
        <v>1162</v>
      </c>
      <c r="B53" s="29" t="s">
        <v>1775</v>
      </c>
      <c r="C53" s="29">
        <v>301.0</v>
      </c>
      <c r="D53" s="29">
        <v>500.0</v>
      </c>
      <c r="E53" s="29">
        <v>0.1</v>
      </c>
      <c r="F53" s="29">
        <v>16.0</v>
      </c>
    </row>
    <row r="54" ht="15.75" customHeight="1">
      <c r="A54" s="28" t="s">
        <v>1162</v>
      </c>
      <c r="B54" s="29" t="s">
        <v>1775</v>
      </c>
      <c r="C54" s="29">
        <v>501.0</v>
      </c>
      <c r="D54" s="29">
        <v>99999.0</v>
      </c>
      <c r="E54" s="29">
        <v>0.12</v>
      </c>
      <c r="F54" s="29">
        <v>32.0</v>
      </c>
    </row>
    <row r="55" ht="15.75" customHeight="1">
      <c r="A55" s="28" t="s">
        <v>1717</v>
      </c>
      <c r="B55" s="29" t="s">
        <v>1775</v>
      </c>
      <c r="C55" s="29">
        <v>0.0</v>
      </c>
      <c r="D55" s="29">
        <v>99999.0</v>
      </c>
      <c r="E55" s="29">
        <v>0.0</v>
      </c>
      <c r="F55" s="29">
        <v>0.0</v>
      </c>
    </row>
    <row r="56" ht="15.75" customHeight="1">
      <c r="A56" s="28" t="s">
        <v>9</v>
      </c>
      <c r="B56" s="29" t="s">
        <v>1825</v>
      </c>
      <c r="C56" s="29">
        <v>0.0</v>
      </c>
      <c r="D56" s="29">
        <v>300.0</v>
      </c>
      <c r="E56" s="29">
        <v>0.0</v>
      </c>
      <c r="F56" s="29">
        <v>5.0</v>
      </c>
    </row>
    <row r="57" ht="15.75" customHeight="1">
      <c r="A57" s="28" t="s">
        <v>9</v>
      </c>
      <c r="B57" s="29" t="s">
        <v>1825</v>
      </c>
      <c r="C57" s="29">
        <v>301.0</v>
      </c>
      <c r="D57" s="29">
        <v>500.0</v>
      </c>
      <c r="E57" s="29">
        <v>0.14</v>
      </c>
      <c r="F57" s="29">
        <v>12.0</v>
      </c>
    </row>
    <row r="58" ht="15.75" customHeight="1">
      <c r="A58" s="28" t="s">
        <v>9</v>
      </c>
      <c r="B58" s="29" t="s">
        <v>1825</v>
      </c>
      <c r="C58" s="29">
        <v>501.0</v>
      </c>
      <c r="D58" s="29">
        <v>1000.0</v>
      </c>
      <c r="E58" s="29">
        <v>0.14</v>
      </c>
      <c r="F58" s="29">
        <v>30.0</v>
      </c>
    </row>
    <row r="59" ht="15.75" customHeight="1">
      <c r="A59" s="28" t="s">
        <v>9</v>
      </c>
      <c r="B59" s="29" t="s">
        <v>1825</v>
      </c>
      <c r="C59" s="29">
        <v>1001.0</v>
      </c>
      <c r="D59" s="29">
        <v>99999.0</v>
      </c>
      <c r="E59" s="29">
        <v>0.14</v>
      </c>
      <c r="F59" s="29">
        <v>60.0</v>
      </c>
    </row>
    <row r="60" ht="15.75" customHeight="1">
      <c r="A60" s="28" t="s">
        <v>1162</v>
      </c>
      <c r="B60" s="29" t="s">
        <v>1825</v>
      </c>
      <c r="C60" s="29">
        <v>0.0</v>
      </c>
      <c r="D60" s="29">
        <v>1000.0</v>
      </c>
      <c r="E60" s="29">
        <v>0.0</v>
      </c>
      <c r="F60" s="29">
        <v>0.0</v>
      </c>
    </row>
    <row r="61" ht="15.75" customHeight="1">
      <c r="A61" s="28" t="s">
        <v>1162</v>
      </c>
      <c r="B61" s="29" t="s">
        <v>1825</v>
      </c>
      <c r="C61" s="29">
        <v>1001.0</v>
      </c>
      <c r="D61" s="29">
        <v>99999.0</v>
      </c>
      <c r="E61" s="29">
        <v>0.15</v>
      </c>
      <c r="F61" s="29">
        <v>15.0</v>
      </c>
    </row>
    <row r="62" ht="15.75" customHeight="1">
      <c r="A62" s="28" t="s">
        <v>1717</v>
      </c>
      <c r="B62" s="29" t="s">
        <v>1825</v>
      </c>
      <c r="C62" s="29">
        <v>0.0</v>
      </c>
      <c r="D62" s="29">
        <v>99999.0</v>
      </c>
      <c r="E62" s="29">
        <v>0.0</v>
      </c>
      <c r="F62" s="29">
        <v>0.0</v>
      </c>
    </row>
    <row r="63" ht="15.75" customHeight="1">
      <c r="A63" s="28" t="s">
        <v>9</v>
      </c>
      <c r="B63" s="29" t="s">
        <v>1824</v>
      </c>
      <c r="C63" s="29">
        <v>0.0</v>
      </c>
      <c r="D63" s="29">
        <v>300.0</v>
      </c>
      <c r="E63" s="29">
        <v>0.0</v>
      </c>
      <c r="F63" s="29">
        <v>5.0</v>
      </c>
    </row>
    <row r="64" ht="15.75" customHeight="1">
      <c r="A64" s="28" t="s">
        <v>9</v>
      </c>
      <c r="B64" s="29" t="s">
        <v>1824</v>
      </c>
      <c r="C64" s="29">
        <v>301.0</v>
      </c>
      <c r="D64" s="29">
        <v>500.0</v>
      </c>
      <c r="E64" s="29">
        <v>0.18</v>
      </c>
      <c r="F64" s="29">
        <v>12.0</v>
      </c>
    </row>
    <row r="65" ht="15.75" customHeight="1">
      <c r="A65" s="28" t="s">
        <v>9</v>
      </c>
      <c r="B65" s="29" t="s">
        <v>1824</v>
      </c>
      <c r="C65" s="29">
        <v>501.0</v>
      </c>
      <c r="D65" s="29">
        <v>1000.0</v>
      </c>
      <c r="E65" s="29">
        <v>0.18</v>
      </c>
      <c r="F65" s="29">
        <v>30.0</v>
      </c>
    </row>
    <row r="66" ht="15.75" customHeight="1">
      <c r="A66" s="28" t="s">
        <v>9</v>
      </c>
      <c r="B66" s="29" t="s">
        <v>1824</v>
      </c>
      <c r="C66" s="29">
        <v>1001.0</v>
      </c>
      <c r="D66" s="29">
        <v>99999.0</v>
      </c>
      <c r="E66" s="29">
        <v>0.18</v>
      </c>
      <c r="F66" s="29">
        <v>60.0</v>
      </c>
    </row>
    <row r="67" ht="15.75" customHeight="1">
      <c r="A67" s="28" t="s">
        <v>1162</v>
      </c>
      <c r="B67" s="29" t="s">
        <v>1824</v>
      </c>
      <c r="C67" s="29">
        <v>0.0</v>
      </c>
      <c r="D67" s="29">
        <v>1000.0</v>
      </c>
      <c r="E67" s="29">
        <v>0.0</v>
      </c>
      <c r="F67" s="29">
        <v>0.0</v>
      </c>
    </row>
    <row r="68" ht="15.75" customHeight="1">
      <c r="A68" s="28" t="s">
        <v>1162</v>
      </c>
      <c r="B68" s="29" t="s">
        <v>1824</v>
      </c>
      <c r="C68" s="29">
        <v>1001.0</v>
      </c>
      <c r="D68" s="29">
        <v>99999.0</v>
      </c>
      <c r="E68" s="29">
        <v>0.15</v>
      </c>
      <c r="F68" s="29">
        <v>15.0</v>
      </c>
    </row>
    <row r="69" ht="15.75" customHeight="1">
      <c r="A69" s="28" t="s">
        <v>9</v>
      </c>
      <c r="B69" s="29" t="s">
        <v>1841</v>
      </c>
      <c r="C69" s="29">
        <v>0.0</v>
      </c>
      <c r="D69" s="29">
        <v>300.0</v>
      </c>
      <c r="E69" s="29">
        <v>0.0</v>
      </c>
      <c r="F69" s="29">
        <v>5.0</v>
      </c>
    </row>
    <row r="70" ht="15.75" customHeight="1">
      <c r="A70" s="28" t="s">
        <v>9</v>
      </c>
      <c r="B70" s="29" t="s">
        <v>1841</v>
      </c>
      <c r="C70" s="29">
        <v>301.0</v>
      </c>
      <c r="D70" s="29">
        <v>500.0</v>
      </c>
      <c r="E70" s="29">
        <v>0.13</v>
      </c>
      <c r="F70" s="29">
        <v>12.0</v>
      </c>
    </row>
    <row r="71" ht="15.75" customHeight="1">
      <c r="A71" s="28" t="s">
        <v>9</v>
      </c>
      <c r="B71" s="29" t="s">
        <v>1841</v>
      </c>
      <c r="C71" s="29">
        <v>501.0</v>
      </c>
      <c r="D71" s="29">
        <v>1000.0</v>
      </c>
      <c r="E71" s="29">
        <v>0.17</v>
      </c>
      <c r="F71" s="29">
        <v>30.0</v>
      </c>
    </row>
    <row r="72" ht="15.75" customHeight="1">
      <c r="A72" s="28" t="s">
        <v>9</v>
      </c>
      <c r="B72" s="29" t="s">
        <v>1841</v>
      </c>
      <c r="C72" s="29">
        <v>1001.0</v>
      </c>
      <c r="D72" s="29">
        <v>99999.0</v>
      </c>
      <c r="E72" s="29">
        <v>0.19</v>
      </c>
      <c r="F72" s="29">
        <v>60.0</v>
      </c>
    </row>
    <row r="73" ht="15.75" customHeight="1">
      <c r="A73" s="28" t="s">
        <v>9</v>
      </c>
      <c r="B73" s="29" t="s">
        <v>1879</v>
      </c>
      <c r="C73" s="29">
        <v>0.0</v>
      </c>
      <c r="D73" s="29">
        <v>300.0</v>
      </c>
      <c r="E73" s="29">
        <v>0.0</v>
      </c>
      <c r="F73" s="29">
        <v>5.0</v>
      </c>
    </row>
    <row r="74" ht="15.75" customHeight="1">
      <c r="A74" s="28" t="s">
        <v>9</v>
      </c>
      <c r="B74" s="29" t="s">
        <v>1879</v>
      </c>
      <c r="C74" s="29">
        <v>301.0</v>
      </c>
      <c r="D74" s="29">
        <v>1000.0</v>
      </c>
      <c r="E74" s="29">
        <v>0.14</v>
      </c>
      <c r="F74" s="29">
        <v>12.0</v>
      </c>
    </row>
    <row r="75" ht="15.75" customHeight="1">
      <c r="A75" s="28" t="s">
        <v>9</v>
      </c>
      <c r="B75" s="29" t="s">
        <v>1879</v>
      </c>
      <c r="C75" s="29">
        <v>1001.0</v>
      </c>
      <c r="D75" s="29">
        <v>99999.0</v>
      </c>
      <c r="E75" s="29">
        <v>0.14</v>
      </c>
      <c r="F75" s="29">
        <v>30.0</v>
      </c>
    </row>
    <row r="76" ht="15.75" customHeight="1">
      <c r="A76" s="28" t="s">
        <v>1162</v>
      </c>
      <c r="B76" s="29" t="s">
        <v>1841</v>
      </c>
      <c r="C76" s="29">
        <v>0.0</v>
      </c>
      <c r="D76" s="29">
        <v>1000.0</v>
      </c>
      <c r="E76" s="29">
        <v>0.0</v>
      </c>
      <c r="F76" s="29">
        <v>0.0</v>
      </c>
    </row>
    <row r="77" ht="15.75" customHeight="1">
      <c r="A77" s="28" t="s">
        <v>1162</v>
      </c>
      <c r="B77" s="29" t="s">
        <v>1841</v>
      </c>
      <c r="C77" s="29">
        <v>1001.0</v>
      </c>
      <c r="D77" s="29">
        <v>99999.0</v>
      </c>
      <c r="E77" s="29">
        <v>0.15</v>
      </c>
      <c r="F77" s="29">
        <v>15.0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8.71"/>
    <col customWidth="1" min="6" max="6" width="9.43"/>
    <col customWidth="1" min="7" max="26" width="8.71"/>
  </cols>
  <sheetData>
    <row r="1">
      <c r="A1" s="27" t="s">
        <v>3</v>
      </c>
      <c r="B1" s="27" t="s">
        <v>9</v>
      </c>
      <c r="C1" s="27" t="s">
        <v>1162</v>
      </c>
      <c r="D1" s="27" t="s">
        <v>1717</v>
      </c>
      <c r="E1" s="27" t="s">
        <v>1880</v>
      </c>
    </row>
    <row r="2">
      <c r="A2" s="30" t="s">
        <v>179</v>
      </c>
      <c r="B2" s="31" t="str">
        <f>IF(
 COUNTIFS(Channel_Listings!$D:$D,$A2,Channel_Listings!$A:$A,"Amazon",Channel_Listings!$E:$E,"Live")&gt;0,"Live",
 IF(COUNTIFS(Channel_Listings!$D:$D,$A2,Channel_Listings!$A:$A,"Amazon")&gt;0,"Draft","Missing"))
</f>
        <v>Live</v>
      </c>
      <c r="C2" s="31" t="str">
        <f>IF(
 COUNTIFS(Channel_Listings!$D:$D,$A2,Channel_Listings!$A:$A,"Flipkart",Channel_Listings!$E:$E,"Live")&gt;0,"Live",
 IF(COUNTIFS(Channel_Listings!$D:$D,$A2,Channel_Listings!$A:$A,"Flipkart")&gt;0,"Draft","Missing"))
</f>
        <v>Live</v>
      </c>
      <c r="D2" s="31" t="str">
        <f>IF(
 COUNTIFS(Channel_Listings!$D:$D,$A2,Channel_Listings!$A:$A,"Meesho",Channel_Listings!$E:$E,"Live")&gt;0,"Live",
 IF(COUNTIFS(Channel_Listings!$D:$D,$A2,Channel_Listings!$A:$A,"Meesho")&gt;0,"Draft","Missing"))
</f>
        <v>Missing</v>
      </c>
      <c r="E2" s="32" t="s">
        <v>1881</v>
      </c>
    </row>
    <row r="3">
      <c r="A3" s="30" t="s">
        <v>181</v>
      </c>
      <c r="B3" s="31" t="str">
        <f>IF(
 COUNTIFS(Channel_Listings!$D:$D,$A3,Channel_Listings!$A:$A,"Amazon",Channel_Listings!$E:$E,"Live")&gt;0,"Live",
 IF(COUNTIFS(Channel_Listings!$D:$D,$A3,Channel_Listings!$A:$A,"Amazon")&gt;0,"Draft","Missing"))
</f>
        <v>Live</v>
      </c>
      <c r="C3" s="31" t="str">
        <f>IF(
 COUNTIFS(Channel_Listings!$D:$D,$A3,Channel_Listings!$A:$A,"Flipkart",Channel_Listings!$E:$E,"Live")&gt;0,"Live",
 IF(COUNTIFS(Channel_Listings!$D:$D,$A3,Channel_Listings!$A:$A,"Flipkart")&gt;0,"Draft","Missing"))
</f>
        <v>Live</v>
      </c>
      <c r="D3" s="31" t="str">
        <f>IF(
 COUNTIFS(Channel_Listings!$D:$D,$A3,Channel_Listings!$A:$A,"Meesho",Channel_Listings!$E:$E,"Live")&gt;0,"Live",
 IF(COUNTIFS(Channel_Listings!$D:$D,$A3,Channel_Listings!$A:$A,"Meesho")&gt;0,"Draft","Missing"))
</f>
        <v>Missing</v>
      </c>
      <c r="E3" s="32" t="s">
        <v>1881</v>
      </c>
    </row>
    <row r="4">
      <c r="A4" s="30" t="s">
        <v>183</v>
      </c>
      <c r="B4" s="31" t="str">
        <f>IF(
 COUNTIFS(Channel_Listings!$D:$D,$A4,Channel_Listings!$A:$A,"Amazon",Channel_Listings!$E:$E,"Live")&gt;0,"Live",
 IF(COUNTIFS(Channel_Listings!$D:$D,$A4,Channel_Listings!$A:$A,"Amazon")&gt;0,"Draft","Missing"))
</f>
        <v>Live</v>
      </c>
      <c r="C4" s="31" t="str">
        <f>IF(
 COUNTIFS(Channel_Listings!$D:$D,$A4,Channel_Listings!$A:$A,"Flipkart",Channel_Listings!$E:$E,"Live")&gt;0,"Live",
 IF(COUNTIFS(Channel_Listings!$D:$D,$A4,Channel_Listings!$A:$A,"Flipkart")&gt;0,"Draft","Missing"))
</f>
        <v>Live</v>
      </c>
      <c r="D4" s="31" t="str">
        <f>IF(
 COUNTIFS(Channel_Listings!$D:$D,$A4,Channel_Listings!$A:$A,"Meesho",Channel_Listings!$E:$E,"Live")&gt;0,"Live",
 IF(COUNTIFS(Channel_Listings!$D:$D,$A4,Channel_Listings!$A:$A,"Meesho")&gt;0,"Draft","Missing"))
</f>
        <v>Missing</v>
      </c>
      <c r="E4" s="32" t="s">
        <v>1881</v>
      </c>
    </row>
    <row r="5">
      <c r="A5" s="30" t="s">
        <v>185</v>
      </c>
      <c r="B5" s="31" t="str">
        <f>IF(
 COUNTIFS(Channel_Listings!$D:$D,$A5,Channel_Listings!$A:$A,"Amazon",Channel_Listings!$E:$E,"Live")&gt;0,"Live",
 IF(COUNTIFS(Channel_Listings!$D:$D,$A5,Channel_Listings!$A:$A,"Amazon")&gt;0,"Draft","Missing"))
</f>
        <v>Live</v>
      </c>
      <c r="C5" s="31" t="str">
        <f>IF(
 COUNTIFS(Channel_Listings!$D:$D,$A5,Channel_Listings!$A:$A,"Flipkart",Channel_Listings!$E:$E,"Live")&gt;0,"Live",
 IF(COUNTIFS(Channel_Listings!$D:$D,$A5,Channel_Listings!$A:$A,"Flipkart")&gt;0,"Draft","Missing"))
</f>
        <v>Live</v>
      </c>
      <c r="D5" s="31" t="str">
        <f>IF(
 COUNTIFS(Channel_Listings!$D:$D,$A5,Channel_Listings!$A:$A,"Meesho",Channel_Listings!$E:$E,"Live")&gt;0,"Live",
 IF(COUNTIFS(Channel_Listings!$D:$D,$A5,Channel_Listings!$A:$A,"Meesho")&gt;0,"Draft","Missing"))
</f>
        <v>Missing</v>
      </c>
      <c r="E5" s="32" t="s">
        <v>1881</v>
      </c>
    </row>
    <row r="6">
      <c r="A6" s="30" t="s">
        <v>187</v>
      </c>
      <c r="B6" s="31" t="str">
        <f>IF(
 COUNTIFS(Channel_Listings!$D:$D,$A6,Channel_Listings!$A:$A,"Amazon",Channel_Listings!$E:$E,"Live")&gt;0,"Live",
 IF(COUNTIFS(Channel_Listings!$D:$D,$A6,Channel_Listings!$A:$A,"Amazon")&gt;0,"Draft","Missing"))
</f>
        <v>Live</v>
      </c>
      <c r="C6" s="31" t="str">
        <f>IF(
 COUNTIFS(Channel_Listings!$D:$D,$A6,Channel_Listings!$A:$A,"Flipkart",Channel_Listings!$E:$E,"Live")&gt;0,"Live",
 IF(COUNTIFS(Channel_Listings!$D:$D,$A6,Channel_Listings!$A:$A,"Flipkart")&gt;0,"Draft","Missing"))
</f>
        <v>Live</v>
      </c>
      <c r="D6" s="31" t="str">
        <f>IF(
 COUNTIFS(Channel_Listings!$D:$D,$A6,Channel_Listings!$A:$A,"Meesho",Channel_Listings!$E:$E,"Live")&gt;0,"Live",
 IF(COUNTIFS(Channel_Listings!$D:$D,$A6,Channel_Listings!$A:$A,"Meesho")&gt;0,"Draft","Missing"))
</f>
        <v>Missing</v>
      </c>
      <c r="E6" s="32" t="s">
        <v>1881</v>
      </c>
    </row>
    <row r="7">
      <c r="A7" s="30" t="s">
        <v>189</v>
      </c>
      <c r="B7" s="31" t="str">
        <f>IF(
 COUNTIFS(Channel_Listings!$D:$D,$A7,Channel_Listings!$A:$A,"Amazon",Channel_Listings!$E:$E,"Live")&gt;0,"Live",
 IF(COUNTIFS(Channel_Listings!$D:$D,$A7,Channel_Listings!$A:$A,"Amazon")&gt;0,"Draft","Missing"))
</f>
        <v>Live</v>
      </c>
      <c r="C7" s="31" t="str">
        <f>IF(
 COUNTIFS(Channel_Listings!$D:$D,$A7,Channel_Listings!$A:$A,"Flipkart",Channel_Listings!$E:$E,"Live")&gt;0,"Live",
 IF(COUNTIFS(Channel_Listings!$D:$D,$A7,Channel_Listings!$A:$A,"Flipkart")&gt;0,"Draft","Missing"))
</f>
        <v>Live</v>
      </c>
      <c r="D7" s="31" t="str">
        <f>IF(
 COUNTIFS(Channel_Listings!$D:$D,$A7,Channel_Listings!$A:$A,"Meesho",Channel_Listings!$E:$E,"Live")&gt;0,"Live",
 IF(COUNTIFS(Channel_Listings!$D:$D,$A7,Channel_Listings!$A:$A,"Meesho")&gt;0,"Draft","Missing"))
</f>
        <v>Missing</v>
      </c>
      <c r="E7" s="32" t="s">
        <v>1881</v>
      </c>
    </row>
    <row r="8">
      <c r="A8" s="30" t="s">
        <v>191</v>
      </c>
      <c r="B8" s="31" t="str">
        <f>IF(
 COUNTIFS(Channel_Listings!$D:$D,$A8,Channel_Listings!$A:$A,"Amazon",Channel_Listings!$E:$E,"Live")&gt;0,"Live",
 IF(COUNTIFS(Channel_Listings!$D:$D,$A8,Channel_Listings!$A:$A,"Amazon")&gt;0,"Draft","Missing"))
</f>
        <v>Live</v>
      </c>
      <c r="C8" s="31" t="str">
        <f>IF(
 COUNTIFS(Channel_Listings!$D:$D,$A8,Channel_Listings!$A:$A,"Flipkart",Channel_Listings!$E:$E,"Live")&gt;0,"Live",
 IF(COUNTIFS(Channel_Listings!$D:$D,$A8,Channel_Listings!$A:$A,"Flipkart")&gt;0,"Draft","Missing"))
</f>
        <v>Live</v>
      </c>
      <c r="D8" s="31" t="str">
        <f>IF(
 COUNTIFS(Channel_Listings!$D:$D,$A8,Channel_Listings!$A:$A,"Meesho",Channel_Listings!$E:$E,"Live")&gt;0,"Live",
 IF(COUNTIFS(Channel_Listings!$D:$D,$A8,Channel_Listings!$A:$A,"Meesho")&gt;0,"Draft","Missing"))
</f>
        <v>Missing</v>
      </c>
      <c r="E8" s="32" t="s">
        <v>1881</v>
      </c>
    </row>
    <row r="9">
      <c r="A9" s="30" t="s">
        <v>193</v>
      </c>
      <c r="B9" s="31" t="str">
        <f>IF(
 COUNTIFS(Channel_Listings!$D:$D,$A9,Channel_Listings!$A:$A,"Amazon",Channel_Listings!$E:$E,"Live")&gt;0,"Live",
 IF(COUNTIFS(Channel_Listings!$D:$D,$A9,Channel_Listings!$A:$A,"Amazon")&gt;0,"Draft","Missing"))
</f>
        <v>Live</v>
      </c>
      <c r="C9" s="31" t="str">
        <f>IF(
 COUNTIFS(Channel_Listings!$D:$D,$A9,Channel_Listings!$A:$A,"Flipkart",Channel_Listings!$E:$E,"Live")&gt;0,"Live",
 IF(COUNTIFS(Channel_Listings!$D:$D,$A9,Channel_Listings!$A:$A,"Flipkart")&gt;0,"Draft","Missing"))
</f>
        <v>Live</v>
      </c>
      <c r="D9" s="31" t="str">
        <f>IF(
 COUNTIFS(Channel_Listings!$D:$D,$A9,Channel_Listings!$A:$A,"Meesho",Channel_Listings!$E:$E,"Live")&gt;0,"Live",
 IF(COUNTIFS(Channel_Listings!$D:$D,$A9,Channel_Listings!$A:$A,"Meesho")&gt;0,"Draft","Missing"))
</f>
        <v>Missing</v>
      </c>
      <c r="E9" s="32" t="s">
        <v>1881</v>
      </c>
    </row>
    <row r="10">
      <c r="A10" s="30" t="s">
        <v>195</v>
      </c>
      <c r="B10" s="31" t="str">
        <f>IF(
 COUNTIFS(Channel_Listings!$D:$D,$A10,Channel_Listings!$A:$A,"Amazon",Channel_Listings!$E:$E,"Live")&gt;0,"Live",
 IF(COUNTIFS(Channel_Listings!$D:$D,$A10,Channel_Listings!$A:$A,"Amazon")&gt;0,"Draft","Missing"))
</f>
        <v>Live</v>
      </c>
      <c r="C10" s="31" t="str">
        <f>IF(
 COUNTIFS(Channel_Listings!$D:$D,$A10,Channel_Listings!$A:$A,"Flipkart",Channel_Listings!$E:$E,"Live")&gt;0,"Live",
 IF(COUNTIFS(Channel_Listings!$D:$D,$A10,Channel_Listings!$A:$A,"Flipkart")&gt;0,"Draft","Missing"))
</f>
        <v>Live</v>
      </c>
      <c r="D10" s="31" t="str">
        <f>IF(
 COUNTIFS(Channel_Listings!$D:$D,$A10,Channel_Listings!$A:$A,"Meesho",Channel_Listings!$E:$E,"Live")&gt;0,"Live",
 IF(COUNTIFS(Channel_Listings!$D:$D,$A10,Channel_Listings!$A:$A,"Meesho")&gt;0,"Draft","Missing"))
</f>
        <v>Missing</v>
      </c>
      <c r="E10" s="32" t="s">
        <v>1881</v>
      </c>
    </row>
    <row r="11">
      <c r="A11" s="30" t="s">
        <v>197</v>
      </c>
      <c r="B11" s="31" t="str">
        <f>IF(
 COUNTIFS(Channel_Listings!$D:$D,$A11,Channel_Listings!$A:$A,"Amazon",Channel_Listings!$E:$E,"Live")&gt;0,"Live",
 IF(COUNTIFS(Channel_Listings!$D:$D,$A11,Channel_Listings!$A:$A,"Amazon")&gt;0,"Draft","Missing"))
</f>
        <v>Live</v>
      </c>
      <c r="C11" s="31" t="str">
        <f>IF(
 COUNTIFS(Channel_Listings!$D:$D,$A11,Channel_Listings!$A:$A,"Flipkart",Channel_Listings!$E:$E,"Live")&gt;0,"Live",
 IF(COUNTIFS(Channel_Listings!$D:$D,$A11,Channel_Listings!$A:$A,"Flipkart")&gt;0,"Draft","Missing"))
</f>
        <v>Live</v>
      </c>
      <c r="D11" s="31" t="str">
        <f>IF(
 COUNTIFS(Channel_Listings!$D:$D,$A11,Channel_Listings!$A:$A,"Meesho",Channel_Listings!$E:$E,"Live")&gt;0,"Live",
 IF(COUNTIFS(Channel_Listings!$D:$D,$A11,Channel_Listings!$A:$A,"Meesho")&gt;0,"Draft","Missing"))
</f>
        <v>Missing</v>
      </c>
      <c r="E11" s="32" t="s">
        <v>1881</v>
      </c>
    </row>
    <row r="12">
      <c r="A12" s="30" t="s">
        <v>199</v>
      </c>
      <c r="B12" s="31" t="str">
        <f>IF(
 COUNTIFS(Channel_Listings!$D:$D,$A12,Channel_Listings!$A:$A,"Amazon",Channel_Listings!$E:$E,"Live")&gt;0,"Live",
 IF(COUNTIFS(Channel_Listings!$D:$D,$A12,Channel_Listings!$A:$A,"Amazon")&gt;0,"Draft","Missing"))
</f>
        <v>Live</v>
      </c>
      <c r="C12" s="31" t="str">
        <f>IF(
 COUNTIFS(Channel_Listings!$D:$D,$A12,Channel_Listings!$A:$A,"Flipkart",Channel_Listings!$E:$E,"Live")&gt;0,"Live",
 IF(COUNTIFS(Channel_Listings!$D:$D,$A12,Channel_Listings!$A:$A,"Flipkart")&gt;0,"Draft","Missing"))
</f>
        <v>Live</v>
      </c>
      <c r="D12" s="31" t="str">
        <f>IF(
 COUNTIFS(Channel_Listings!$D:$D,$A12,Channel_Listings!$A:$A,"Meesho",Channel_Listings!$E:$E,"Live")&gt;0,"Live",
 IF(COUNTIFS(Channel_Listings!$D:$D,$A12,Channel_Listings!$A:$A,"Meesho")&gt;0,"Draft","Missing"))
</f>
        <v>Missing</v>
      </c>
      <c r="E12" s="32" t="s">
        <v>1881</v>
      </c>
    </row>
    <row r="13">
      <c r="A13" s="30" t="s">
        <v>201</v>
      </c>
      <c r="B13" s="31" t="str">
        <f>IF(
 COUNTIFS(Channel_Listings!$D:$D,$A13,Channel_Listings!$A:$A,"Amazon",Channel_Listings!$E:$E,"Live")&gt;0,"Live",
 IF(COUNTIFS(Channel_Listings!$D:$D,$A13,Channel_Listings!$A:$A,"Amazon")&gt;0,"Draft","Missing"))
</f>
        <v>Live</v>
      </c>
      <c r="C13" s="31" t="str">
        <f>IF(
 COUNTIFS(Channel_Listings!$D:$D,$A13,Channel_Listings!$A:$A,"Flipkart",Channel_Listings!$E:$E,"Live")&gt;0,"Live",
 IF(COUNTIFS(Channel_Listings!$D:$D,$A13,Channel_Listings!$A:$A,"Flipkart")&gt;0,"Draft","Missing"))
</f>
        <v>Live</v>
      </c>
      <c r="D13" s="31" t="str">
        <f>IF(
 COUNTIFS(Channel_Listings!$D:$D,$A13,Channel_Listings!$A:$A,"Meesho",Channel_Listings!$E:$E,"Live")&gt;0,"Live",
 IF(COUNTIFS(Channel_Listings!$D:$D,$A13,Channel_Listings!$A:$A,"Meesho")&gt;0,"Draft","Missing"))
</f>
        <v>Missing</v>
      </c>
      <c r="E13" s="32" t="s">
        <v>1881</v>
      </c>
    </row>
    <row r="14">
      <c r="A14" s="30" t="s">
        <v>203</v>
      </c>
      <c r="B14" s="31" t="str">
        <f>IF(
 COUNTIFS(Channel_Listings!$D:$D,$A14,Channel_Listings!$A:$A,"Amazon",Channel_Listings!$E:$E,"Live")&gt;0,"Live",
 IF(COUNTIFS(Channel_Listings!$D:$D,$A14,Channel_Listings!$A:$A,"Amazon")&gt;0,"Draft","Missing"))
</f>
        <v>Live</v>
      </c>
      <c r="C14" s="31" t="str">
        <f>IF(
 COUNTIFS(Channel_Listings!$D:$D,$A14,Channel_Listings!$A:$A,"Flipkart",Channel_Listings!$E:$E,"Live")&gt;0,"Live",
 IF(COUNTIFS(Channel_Listings!$D:$D,$A14,Channel_Listings!$A:$A,"Flipkart")&gt;0,"Draft","Missing"))
</f>
        <v>Missing</v>
      </c>
      <c r="D14" s="31" t="str">
        <f>IF(
 COUNTIFS(Channel_Listings!$D:$D,$A14,Channel_Listings!$A:$A,"Meesho",Channel_Listings!$E:$E,"Live")&gt;0,"Live",
 IF(COUNTIFS(Channel_Listings!$D:$D,$A14,Channel_Listings!$A:$A,"Meesho")&gt;0,"Draft","Missing"))
</f>
        <v>Missing</v>
      </c>
      <c r="E14" s="32" t="s">
        <v>1881</v>
      </c>
    </row>
    <row r="15">
      <c r="A15" s="30" t="s">
        <v>205</v>
      </c>
      <c r="B15" s="31" t="str">
        <f>IF(
 COUNTIFS(Channel_Listings!$D:$D,$A15,Channel_Listings!$A:$A,"Amazon",Channel_Listings!$E:$E,"Live")&gt;0,"Live",
 IF(COUNTIFS(Channel_Listings!$D:$D,$A15,Channel_Listings!$A:$A,"Amazon")&gt;0,"Draft","Missing"))
</f>
        <v>Live</v>
      </c>
      <c r="C15" s="31" t="str">
        <f>IF(
 COUNTIFS(Channel_Listings!$D:$D,$A15,Channel_Listings!$A:$A,"Flipkart",Channel_Listings!$E:$E,"Live")&gt;0,"Live",
 IF(COUNTIFS(Channel_Listings!$D:$D,$A15,Channel_Listings!$A:$A,"Flipkart")&gt;0,"Draft","Missing"))
</f>
        <v>Missing</v>
      </c>
      <c r="D15" s="31" t="str">
        <f>IF(
 COUNTIFS(Channel_Listings!$D:$D,$A15,Channel_Listings!$A:$A,"Meesho",Channel_Listings!$E:$E,"Live")&gt;0,"Live",
 IF(COUNTIFS(Channel_Listings!$D:$D,$A15,Channel_Listings!$A:$A,"Meesho")&gt;0,"Draft","Missing"))
</f>
        <v>Missing</v>
      </c>
      <c r="E15" s="32" t="s">
        <v>1881</v>
      </c>
    </row>
    <row r="16">
      <c r="A16" s="30" t="s">
        <v>207</v>
      </c>
      <c r="B16" s="31" t="str">
        <f>IF(
 COUNTIFS(Channel_Listings!$D:$D,$A16,Channel_Listings!$A:$A,"Amazon",Channel_Listings!$E:$E,"Live")&gt;0,"Live",
 IF(COUNTIFS(Channel_Listings!$D:$D,$A16,Channel_Listings!$A:$A,"Amazon")&gt;0,"Draft","Missing"))
</f>
        <v>Live</v>
      </c>
      <c r="C16" s="31" t="str">
        <f>IF(
 COUNTIFS(Channel_Listings!$D:$D,$A16,Channel_Listings!$A:$A,"Flipkart",Channel_Listings!$E:$E,"Live")&gt;0,"Live",
 IF(COUNTIFS(Channel_Listings!$D:$D,$A16,Channel_Listings!$A:$A,"Flipkart")&gt;0,"Draft","Missing"))
</f>
        <v>Missing</v>
      </c>
      <c r="D16" s="31" t="str">
        <f>IF(
 COUNTIFS(Channel_Listings!$D:$D,$A16,Channel_Listings!$A:$A,"Meesho",Channel_Listings!$E:$E,"Live")&gt;0,"Live",
 IF(COUNTIFS(Channel_Listings!$D:$D,$A16,Channel_Listings!$A:$A,"Meesho")&gt;0,"Draft","Missing"))
</f>
        <v>Missing</v>
      </c>
      <c r="E16" s="32" t="s">
        <v>1881</v>
      </c>
    </row>
    <row r="17">
      <c r="A17" s="30" t="s">
        <v>209</v>
      </c>
      <c r="B17" s="31" t="str">
        <f>IF(
 COUNTIFS(Channel_Listings!$D:$D,$A17,Channel_Listings!$A:$A,"Amazon",Channel_Listings!$E:$E,"Live")&gt;0,"Live",
 IF(COUNTIFS(Channel_Listings!$D:$D,$A17,Channel_Listings!$A:$A,"Amazon")&gt;0,"Draft","Missing"))
</f>
        <v>Live</v>
      </c>
      <c r="C17" s="31" t="str">
        <f>IF(
 COUNTIFS(Channel_Listings!$D:$D,$A17,Channel_Listings!$A:$A,"Flipkart",Channel_Listings!$E:$E,"Live")&gt;0,"Live",
 IF(COUNTIFS(Channel_Listings!$D:$D,$A17,Channel_Listings!$A:$A,"Flipkart")&gt;0,"Draft","Missing"))
</f>
        <v>Missing</v>
      </c>
      <c r="D17" s="31" t="str">
        <f>IF(
 COUNTIFS(Channel_Listings!$D:$D,$A17,Channel_Listings!$A:$A,"Meesho",Channel_Listings!$E:$E,"Live")&gt;0,"Live",
 IF(COUNTIFS(Channel_Listings!$D:$D,$A17,Channel_Listings!$A:$A,"Meesho")&gt;0,"Draft","Missing"))
</f>
        <v>Missing</v>
      </c>
      <c r="E17" s="32" t="s">
        <v>1881</v>
      </c>
    </row>
    <row r="18">
      <c r="A18" s="30" t="s">
        <v>211</v>
      </c>
      <c r="B18" s="31" t="str">
        <f>IF(
 COUNTIFS(Channel_Listings!$D:$D,$A18,Channel_Listings!$A:$A,"Amazon",Channel_Listings!$E:$E,"Live")&gt;0,"Live",
 IF(COUNTIFS(Channel_Listings!$D:$D,$A18,Channel_Listings!$A:$A,"Amazon")&gt;0,"Draft","Missing"))
</f>
        <v>Live</v>
      </c>
      <c r="C18" s="31" t="str">
        <f>IF(
 COUNTIFS(Channel_Listings!$D:$D,$A18,Channel_Listings!$A:$A,"Flipkart",Channel_Listings!$E:$E,"Live")&gt;0,"Live",
 IF(COUNTIFS(Channel_Listings!$D:$D,$A18,Channel_Listings!$A:$A,"Flipkart")&gt;0,"Draft","Missing"))
</f>
        <v>Missing</v>
      </c>
      <c r="D18" s="31" t="str">
        <f>IF(
 COUNTIFS(Channel_Listings!$D:$D,$A18,Channel_Listings!$A:$A,"Meesho",Channel_Listings!$E:$E,"Live")&gt;0,"Live",
 IF(COUNTIFS(Channel_Listings!$D:$D,$A18,Channel_Listings!$A:$A,"Meesho")&gt;0,"Draft","Missing"))
</f>
        <v>Missing</v>
      </c>
      <c r="E18" s="32" t="s">
        <v>1881</v>
      </c>
    </row>
    <row r="19">
      <c r="A19" s="30" t="s">
        <v>213</v>
      </c>
      <c r="B19" s="31" t="str">
        <f>IF(
 COUNTIFS(Channel_Listings!$D:$D,$A19,Channel_Listings!$A:$A,"Amazon",Channel_Listings!$E:$E,"Live")&gt;0,"Live",
 IF(COUNTIFS(Channel_Listings!$D:$D,$A19,Channel_Listings!$A:$A,"Amazon")&gt;0,"Draft","Missing"))
</f>
        <v>Live</v>
      </c>
      <c r="C19" s="31" t="str">
        <f>IF(
 COUNTIFS(Channel_Listings!$D:$D,$A19,Channel_Listings!$A:$A,"Flipkart",Channel_Listings!$E:$E,"Live")&gt;0,"Live",
 IF(COUNTIFS(Channel_Listings!$D:$D,$A19,Channel_Listings!$A:$A,"Flipkart")&gt;0,"Draft","Missing"))
</f>
        <v>Missing</v>
      </c>
      <c r="D19" s="31" t="str">
        <f>IF(
 COUNTIFS(Channel_Listings!$D:$D,$A19,Channel_Listings!$A:$A,"Meesho",Channel_Listings!$E:$E,"Live")&gt;0,"Live",
 IF(COUNTIFS(Channel_Listings!$D:$D,$A19,Channel_Listings!$A:$A,"Meesho")&gt;0,"Draft","Missing"))
</f>
        <v>Missing</v>
      </c>
      <c r="E19" s="32" t="s">
        <v>1881</v>
      </c>
    </row>
    <row r="20">
      <c r="A20" s="30" t="s">
        <v>216</v>
      </c>
      <c r="B20" s="31" t="str">
        <f>IF(
 COUNTIFS(Channel_Listings!$D:$D,$A20,Channel_Listings!$A:$A,"Amazon",Channel_Listings!$E:$E,"Live")&gt;0,"Live",
 IF(COUNTIFS(Channel_Listings!$D:$D,$A20,Channel_Listings!$A:$A,"Amazon")&gt;0,"Draft","Missing"))
</f>
        <v>Live</v>
      </c>
      <c r="C20" s="31" t="str">
        <f>IF(
 COUNTIFS(Channel_Listings!$D:$D,$A20,Channel_Listings!$A:$A,"Flipkart",Channel_Listings!$E:$E,"Live")&gt;0,"Live",
 IF(COUNTIFS(Channel_Listings!$D:$D,$A20,Channel_Listings!$A:$A,"Flipkart")&gt;0,"Draft","Missing"))
</f>
        <v>Live</v>
      </c>
      <c r="D20" s="31" t="str">
        <f>IF(
 COUNTIFS(Channel_Listings!$D:$D,$A20,Channel_Listings!$A:$A,"Meesho",Channel_Listings!$E:$E,"Live")&gt;0,"Live",
 IF(COUNTIFS(Channel_Listings!$D:$D,$A20,Channel_Listings!$A:$A,"Meesho")&gt;0,"Draft","Missing"))
</f>
        <v>Missing</v>
      </c>
      <c r="E20" s="32" t="s">
        <v>1881</v>
      </c>
    </row>
    <row r="21" ht="15.75" customHeight="1">
      <c r="A21" s="30" t="s">
        <v>219</v>
      </c>
      <c r="B21" s="31" t="str">
        <f>IF(
 COUNTIFS(Channel_Listings!$D:$D,$A21,Channel_Listings!$A:$A,"Amazon",Channel_Listings!$E:$E,"Live")&gt;0,"Live",
 IF(COUNTIFS(Channel_Listings!$D:$D,$A21,Channel_Listings!$A:$A,"Amazon")&gt;0,"Draft","Missing"))
</f>
        <v>Live</v>
      </c>
      <c r="C21" s="31" t="str">
        <f>IF(
 COUNTIFS(Channel_Listings!$D:$D,$A21,Channel_Listings!$A:$A,"Flipkart",Channel_Listings!$E:$E,"Live")&gt;0,"Live",
 IF(COUNTIFS(Channel_Listings!$D:$D,$A21,Channel_Listings!$A:$A,"Flipkart")&gt;0,"Draft","Missing"))
</f>
        <v>Live</v>
      </c>
      <c r="D21" s="31" t="str">
        <f>IF(
 COUNTIFS(Channel_Listings!$D:$D,$A21,Channel_Listings!$A:$A,"Meesho",Channel_Listings!$E:$E,"Live")&gt;0,"Live",
 IF(COUNTIFS(Channel_Listings!$D:$D,$A21,Channel_Listings!$A:$A,"Meesho")&gt;0,"Draft","Missing"))
</f>
        <v>Missing</v>
      </c>
      <c r="E21" s="32" t="s">
        <v>1881</v>
      </c>
    </row>
    <row r="22" ht="15.75" customHeight="1">
      <c r="A22" s="30" t="s">
        <v>222</v>
      </c>
      <c r="B22" s="31" t="str">
        <f>IF(
 COUNTIFS(Channel_Listings!$D:$D,$A22,Channel_Listings!$A:$A,"Amazon",Channel_Listings!$E:$E,"Live")&gt;0,"Live",
 IF(COUNTIFS(Channel_Listings!$D:$D,$A22,Channel_Listings!$A:$A,"Amazon")&gt;0,"Draft","Missing"))
</f>
        <v>Live</v>
      </c>
      <c r="C22" s="31" t="str">
        <f>IF(
 COUNTIFS(Channel_Listings!$D:$D,$A22,Channel_Listings!$A:$A,"Flipkart",Channel_Listings!$E:$E,"Live")&gt;0,"Live",
 IF(COUNTIFS(Channel_Listings!$D:$D,$A22,Channel_Listings!$A:$A,"Flipkart")&gt;0,"Draft","Missing"))
</f>
        <v>Live</v>
      </c>
      <c r="D22" s="31" t="str">
        <f>IF(
 COUNTIFS(Channel_Listings!$D:$D,$A22,Channel_Listings!$A:$A,"Meesho",Channel_Listings!$E:$E,"Live")&gt;0,"Live",
 IF(COUNTIFS(Channel_Listings!$D:$D,$A22,Channel_Listings!$A:$A,"Meesho")&gt;0,"Draft","Missing"))
</f>
        <v>Missing</v>
      </c>
      <c r="E22" s="32" t="s">
        <v>1881</v>
      </c>
    </row>
    <row r="23" ht="15.75" customHeight="1">
      <c r="A23" s="30" t="s">
        <v>225</v>
      </c>
      <c r="B23" s="31" t="str">
        <f>IF(
 COUNTIFS(Channel_Listings!$D:$D,$A23,Channel_Listings!$A:$A,"Amazon",Channel_Listings!$E:$E,"Live")&gt;0,"Live",
 IF(COUNTIFS(Channel_Listings!$D:$D,$A23,Channel_Listings!$A:$A,"Amazon")&gt;0,"Draft","Missing"))
</f>
        <v>Live</v>
      </c>
      <c r="C23" s="31" t="str">
        <f>IF(
 COUNTIFS(Channel_Listings!$D:$D,$A23,Channel_Listings!$A:$A,"Flipkart",Channel_Listings!$E:$E,"Live")&gt;0,"Live",
 IF(COUNTIFS(Channel_Listings!$D:$D,$A23,Channel_Listings!$A:$A,"Flipkart")&gt;0,"Draft","Missing"))
</f>
        <v>Live</v>
      </c>
      <c r="D23" s="31" t="str">
        <f>IF(
 COUNTIFS(Channel_Listings!$D:$D,$A23,Channel_Listings!$A:$A,"Meesho",Channel_Listings!$E:$E,"Live")&gt;0,"Live",
 IF(COUNTIFS(Channel_Listings!$D:$D,$A23,Channel_Listings!$A:$A,"Meesho")&gt;0,"Draft","Missing"))
</f>
        <v>Missing</v>
      </c>
      <c r="E23" s="32" t="s">
        <v>1881</v>
      </c>
    </row>
    <row r="24" ht="15.75" customHeight="1">
      <c r="A24" s="30" t="s">
        <v>228</v>
      </c>
      <c r="B24" s="31" t="str">
        <f>IF(
 COUNTIFS(Channel_Listings!$D:$D,$A24,Channel_Listings!$A:$A,"Amazon",Channel_Listings!$E:$E,"Live")&gt;0,"Live",
 IF(COUNTIFS(Channel_Listings!$D:$D,$A24,Channel_Listings!$A:$A,"Amazon")&gt;0,"Draft","Missing"))
</f>
        <v>Live</v>
      </c>
      <c r="C24" s="31" t="str">
        <f>IF(
 COUNTIFS(Channel_Listings!$D:$D,$A24,Channel_Listings!$A:$A,"Flipkart",Channel_Listings!$E:$E,"Live")&gt;0,"Live",
 IF(COUNTIFS(Channel_Listings!$D:$D,$A24,Channel_Listings!$A:$A,"Flipkart")&gt;0,"Draft","Missing"))
</f>
        <v>Live</v>
      </c>
      <c r="D24" s="31" t="str">
        <f>IF(
 COUNTIFS(Channel_Listings!$D:$D,$A24,Channel_Listings!$A:$A,"Meesho",Channel_Listings!$E:$E,"Live")&gt;0,"Live",
 IF(COUNTIFS(Channel_Listings!$D:$D,$A24,Channel_Listings!$A:$A,"Meesho")&gt;0,"Draft","Missing"))
</f>
        <v>Missing</v>
      </c>
      <c r="E24" s="32" t="s">
        <v>1881</v>
      </c>
    </row>
    <row r="25" ht="15.75" customHeight="1">
      <c r="A25" s="30" t="s">
        <v>230</v>
      </c>
      <c r="B25" s="31" t="str">
        <f>IF(
 COUNTIFS(Channel_Listings!$D:$D,$A25,Channel_Listings!$A:$A,"Amazon",Channel_Listings!$E:$E,"Live")&gt;0,"Live",
 IF(COUNTIFS(Channel_Listings!$D:$D,$A25,Channel_Listings!$A:$A,"Amazon")&gt;0,"Draft","Missing"))
</f>
        <v>Live</v>
      </c>
      <c r="C25" s="31" t="str">
        <f>IF(
 COUNTIFS(Channel_Listings!$D:$D,$A25,Channel_Listings!$A:$A,"Flipkart",Channel_Listings!$E:$E,"Live")&gt;0,"Live",
 IF(COUNTIFS(Channel_Listings!$D:$D,$A25,Channel_Listings!$A:$A,"Flipkart")&gt;0,"Draft","Missing"))
</f>
        <v>Missing</v>
      </c>
      <c r="D25" s="31" t="str">
        <f>IF(
 COUNTIFS(Channel_Listings!$D:$D,$A25,Channel_Listings!$A:$A,"Meesho",Channel_Listings!$E:$E,"Live")&gt;0,"Live",
 IF(COUNTIFS(Channel_Listings!$D:$D,$A25,Channel_Listings!$A:$A,"Meesho")&gt;0,"Draft","Missing"))
</f>
        <v>Missing</v>
      </c>
      <c r="E25" s="32" t="s">
        <v>1881</v>
      </c>
    </row>
    <row r="26" ht="15.75" customHeight="1">
      <c r="A26" s="30" t="s">
        <v>232</v>
      </c>
      <c r="B26" s="31" t="str">
        <f>IF(
 COUNTIFS(Channel_Listings!$D:$D,$A26,Channel_Listings!$A:$A,"Amazon",Channel_Listings!$E:$E,"Live")&gt;0,"Live",
 IF(COUNTIFS(Channel_Listings!$D:$D,$A26,Channel_Listings!$A:$A,"Amazon")&gt;0,"Draft","Missing"))
</f>
        <v>Live</v>
      </c>
      <c r="C26" s="31" t="str">
        <f>IF(
 COUNTIFS(Channel_Listings!$D:$D,$A26,Channel_Listings!$A:$A,"Flipkart",Channel_Listings!$E:$E,"Live")&gt;0,"Live",
 IF(COUNTIFS(Channel_Listings!$D:$D,$A26,Channel_Listings!$A:$A,"Flipkart")&gt;0,"Draft","Missing"))
</f>
        <v>Live</v>
      </c>
      <c r="D26" s="31" t="str">
        <f>IF(
 COUNTIFS(Channel_Listings!$D:$D,$A26,Channel_Listings!$A:$A,"Meesho",Channel_Listings!$E:$E,"Live")&gt;0,"Live",
 IF(COUNTIFS(Channel_Listings!$D:$D,$A26,Channel_Listings!$A:$A,"Meesho")&gt;0,"Draft","Missing"))
</f>
        <v>Missing</v>
      </c>
      <c r="E26" s="32" t="s">
        <v>1881</v>
      </c>
    </row>
    <row r="27" ht="15.75" customHeight="1">
      <c r="A27" s="30" t="s">
        <v>234</v>
      </c>
      <c r="B27" s="31" t="str">
        <f>IF(
 COUNTIFS(Channel_Listings!$D:$D,$A27,Channel_Listings!$A:$A,"Amazon",Channel_Listings!$E:$E,"Live")&gt;0,"Live",
 IF(COUNTIFS(Channel_Listings!$D:$D,$A27,Channel_Listings!$A:$A,"Amazon")&gt;0,"Draft","Missing"))
</f>
        <v>Live</v>
      </c>
      <c r="C27" s="31" t="str">
        <f>IF(
 COUNTIFS(Channel_Listings!$D:$D,$A27,Channel_Listings!$A:$A,"Flipkart",Channel_Listings!$E:$E,"Live")&gt;0,"Live",
 IF(COUNTIFS(Channel_Listings!$D:$D,$A27,Channel_Listings!$A:$A,"Flipkart")&gt;0,"Draft","Missing"))
</f>
        <v>Live</v>
      </c>
      <c r="D27" s="31" t="str">
        <f>IF(
 COUNTIFS(Channel_Listings!$D:$D,$A27,Channel_Listings!$A:$A,"Meesho",Channel_Listings!$E:$E,"Live")&gt;0,"Live",
 IF(COUNTIFS(Channel_Listings!$D:$D,$A27,Channel_Listings!$A:$A,"Meesho")&gt;0,"Draft","Missing"))
</f>
        <v>Missing</v>
      </c>
      <c r="E27" s="32" t="s">
        <v>1881</v>
      </c>
    </row>
    <row r="28" ht="15.75" customHeight="1">
      <c r="A28" s="30" t="s">
        <v>236</v>
      </c>
      <c r="B28" s="31" t="str">
        <f>IF(
 COUNTIFS(Channel_Listings!$D:$D,$A28,Channel_Listings!$A:$A,"Amazon",Channel_Listings!$E:$E,"Live")&gt;0,"Live",
 IF(COUNTIFS(Channel_Listings!$D:$D,$A28,Channel_Listings!$A:$A,"Amazon")&gt;0,"Draft","Missing"))
</f>
        <v>Live</v>
      </c>
      <c r="C28" s="31" t="str">
        <f>IF(
 COUNTIFS(Channel_Listings!$D:$D,$A28,Channel_Listings!$A:$A,"Flipkart",Channel_Listings!$E:$E,"Live")&gt;0,"Live",
 IF(COUNTIFS(Channel_Listings!$D:$D,$A28,Channel_Listings!$A:$A,"Flipkart")&gt;0,"Draft","Missing"))
</f>
        <v>Live</v>
      </c>
      <c r="D28" s="31" t="str">
        <f>IF(
 COUNTIFS(Channel_Listings!$D:$D,$A28,Channel_Listings!$A:$A,"Meesho",Channel_Listings!$E:$E,"Live")&gt;0,"Live",
 IF(COUNTIFS(Channel_Listings!$D:$D,$A28,Channel_Listings!$A:$A,"Meesho")&gt;0,"Draft","Missing"))
</f>
        <v>Missing</v>
      </c>
      <c r="E28" s="32" t="s">
        <v>1881</v>
      </c>
    </row>
    <row r="29" ht="15.75" customHeight="1">
      <c r="A29" s="30" t="s">
        <v>1200</v>
      </c>
      <c r="B29" s="31" t="str">
        <f>IF(
 COUNTIFS(Channel_Listings!$D:$D,$A29,Channel_Listings!$A:$A,"Amazon",Channel_Listings!$E:$E,"Live")&gt;0,"Live",
 IF(COUNTIFS(Channel_Listings!$D:$D,$A29,Channel_Listings!$A:$A,"Amazon")&gt;0,"Draft","Missing"))
</f>
        <v>Missing</v>
      </c>
      <c r="C29" s="31" t="str">
        <f>IF(
 COUNTIFS(Channel_Listings!$D:$D,$A29,Channel_Listings!$A:$A,"Flipkart",Channel_Listings!$E:$E,"Live")&gt;0,"Live",
 IF(COUNTIFS(Channel_Listings!$D:$D,$A29,Channel_Listings!$A:$A,"Flipkart")&gt;0,"Draft","Missing"))
</f>
        <v>Live</v>
      </c>
      <c r="D29" s="31" t="str">
        <f>IF(
 COUNTIFS(Channel_Listings!$D:$D,$A29,Channel_Listings!$A:$A,"Meesho",Channel_Listings!$E:$E,"Live")&gt;0,"Live",
 IF(COUNTIFS(Channel_Listings!$D:$D,$A29,Channel_Listings!$A:$A,"Meesho")&gt;0,"Draft","Missing"))
</f>
        <v>Missing</v>
      </c>
      <c r="E29" s="32" t="s">
        <v>1881</v>
      </c>
    </row>
    <row r="30" ht="15.75" customHeight="1">
      <c r="A30" s="30" t="s">
        <v>1202</v>
      </c>
      <c r="B30" s="31" t="str">
        <f>IF(
 COUNTIFS(Channel_Listings!$D:$D,$A30,Channel_Listings!$A:$A,"Amazon",Channel_Listings!$E:$E,"Live")&gt;0,"Live",
 IF(COUNTIFS(Channel_Listings!$D:$D,$A30,Channel_Listings!$A:$A,"Amazon")&gt;0,"Draft","Missing"))
</f>
        <v>Missing</v>
      </c>
      <c r="C30" s="31" t="str">
        <f>IF(
 COUNTIFS(Channel_Listings!$D:$D,$A30,Channel_Listings!$A:$A,"Flipkart",Channel_Listings!$E:$E,"Live")&gt;0,"Live",
 IF(COUNTIFS(Channel_Listings!$D:$D,$A30,Channel_Listings!$A:$A,"Flipkart")&gt;0,"Draft","Missing"))
</f>
        <v>Live</v>
      </c>
      <c r="D30" s="31" t="str">
        <f>IF(
 COUNTIFS(Channel_Listings!$D:$D,$A30,Channel_Listings!$A:$A,"Meesho",Channel_Listings!$E:$E,"Live")&gt;0,"Live",
 IF(COUNTIFS(Channel_Listings!$D:$D,$A30,Channel_Listings!$A:$A,"Meesho")&gt;0,"Draft","Missing"))
</f>
        <v>Missing</v>
      </c>
      <c r="E30" s="32" t="s">
        <v>1881</v>
      </c>
    </row>
    <row r="31" ht="15.75" customHeight="1">
      <c r="A31" s="30" t="s">
        <v>238</v>
      </c>
      <c r="B31" s="31" t="str">
        <f>IF(
 COUNTIFS(Channel_Listings!$D:$D,$A31,Channel_Listings!$A:$A,"Amazon",Channel_Listings!$E:$E,"Live")&gt;0,"Live",
 IF(COUNTIFS(Channel_Listings!$D:$D,$A31,Channel_Listings!$A:$A,"Amazon")&gt;0,"Draft","Missing"))
</f>
        <v>Live</v>
      </c>
      <c r="C31" s="31" t="str">
        <f>IF(
 COUNTIFS(Channel_Listings!$D:$D,$A31,Channel_Listings!$A:$A,"Flipkart",Channel_Listings!$E:$E,"Live")&gt;0,"Live",
 IF(COUNTIFS(Channel_Listings!$D:$D,$A31,Channel_Listings!$A:$A,"Flipkart")&gt;0,"Draft","Missing"))
</f>
        <v>Missing</v>
      </c>
      <c r="D31" s="31" t="str">
        <f>IF(
 COUNTIFS(Channel_Listings!$D:$D,$A31,Channel_Listings!$A:$A,"Meesho",Channel_Listings!$E:$E,"Live")&gt;0,"Live",
 IF(COUNTIFS(Channel_Listings!$D:$D,$A31,Channel_Listings!$A:$A,"Meesho")&gt;0,"Draft","Missing"))
</f>
        <v>Missing</v>
      </c>
      <c r="E31" s="32" t="s">
        <v>1881</v>
      </c>
    </row>
    <row r="32" ht="15.75" customHeight="1">
      <c r="A32" s="30" t="s">
        <v>240</v>
      </c>
      <c r="B32" s="31" t="str">
        <f>IF(
 COUNTIFS(Channel_Listings!$D:$D,$A32,Channel_Listings!$A:$A,"Amazon",Channel_Listings!$E:$E,"Live")&gt;0,"Live",
 IF(COUNTIFS(Channel_Listings!$D:$D,$A32,Channel_Listings!$A:$A,"Amazon")&gt;0,"Draft","Missing"))
</f>
        <v>Live</v>
      </c>
      <c r="C32" s="31" t="str">
        <f>IF(
 COUNTIFS(Channel_Listings!$D:$D,$A32,Channel_Listings!$A:$A,"Flipkart",Channel_Listings!$E:$E,"Live")&gt;0,"Live",
 IF(COUNTIFS(Channel_Listings!$D:$D,$A32,Channel_Listings!$A:$A,"Flipkart")&gt;0,"Draft","Missing"))
</f>
        <v>Live</v>
      </c>
      <c r="D32" s="31" t="str">
        <f>IF(
 COUNTIFS(Channel_Listings!$D:$D,$A32,Channel_Listings!$A:$A,"Meesho",Channel_Listings!$E:$E,"Live")&gt;0,"Live",
 IF(COUNTIFS(Channel_Listings!$D:$D,$A32,Channel_Listings!$A:$A,"Meesho")&gt;0,"Draft","Missing"))
</f>
        <v>Missing</v>
      </c>
      <c r="E32" s="32" t="s">
        <v>1881</v>
      </c>
    </row>
    <row r="33" ht="15.75" customHeight="1">
      <c r="A33" s="30" t="s">
        <v>242</v>
      </c>
      <c r="B33" s="31" t="str">
        <f>IF(
 COUNTIFS(Channel_Listings!$D:$D,$A33,Channel_Listings!$A:$A,"Amazon",Channel_Listings!$E:$E,"Live")&gt;0,"Live",
 IF(COUNTIFS(Channel_Listings!$D:$D,$A33,Channel_Listings!$A:$A,"Amazon")&gt;0,"Draft","Missing"))
</f>
        <v>Live</v>
      </c>
      <c r="C33" s="31" t="str">
        <f>IF(
 COUNTIFS(Channel_Listings!$D:$D,$A33,Channel_Listings!$A:$A,"Flipkart",Channel_Listings!$E:$E,"Live")&gt;0,"Live",
 IF(COUNTIFS(Channel_Listings!$D:$D,$A33,Channel_Listings!$A:$A,"Flipkart")&gt;0,"Draft","Missing"))
</f>
        <v>Missing</v>
      </c>
      <c r="D33" s="31" t="str">
        <f>IF(
 COUNTIFS(Channel_Listings!$D:$D,$A33,Channel_Listings!$A:$A,"Meesho",Channel_Listings!$E:$E,"Live")&gt;0,"Live",
 IF(COUNTIFS(Channel_Listings!$D:$D,$A33,Channel_Listings!$A:$A,"Meesho")&gt;0,"Draft","Missing"))
</f>
        <v>Missing</v>
      </c>
      <c r="E33" s="32" t="s">
        <v>1881</v>
      </c>
    </row>
    <row r="34" ht="15.75" customHeight="1">
      <c r="A34" s="30" t="s">
        <v>244</v>
      </c>
      <c r="B34" s="31" t="str">
        <f>IF(
 COUNTIFS(Channel_Listings!$D:$D,$A34,Channel_Listings!$A:$A,"Amazon",Channel_Listings!$E:$E,"Live")&gt;0,"Live",
 IF(COUNTIFS(Channel_Listings!$D:$D,$A34,Channel_Listings!$A:$A,"Amazon")&gt;0,"Draft","Missing"))
</f>
        <v>Live</v>
      </c>
      <c r="C34" s="31" t="str">
        <f>IF(
 COUNTIFS(Channel_Listings!$D:$D,$A34,Channel_Listings!$A:$A,"Flipkart",Channel_Listings!$E:$E,"Live")&gt;0,"Live",
 IF(COUNTIFS(Channel_Listings!$D:$D,$A34,Channel_Listings!$A:$A,"Flipkart")&gt;0,"Draft","Missing"))
</f>
        <v>Missing</v>
      </c>
      <c r="D34" s="31" t="str">
        <f>IF(
 COUNTIFS(Channel_Listings!$D:$D,$A34,Channel_Listings!$A:$A,"Meesho",Channel_Listings!$E:$E,"Live")&gt;0,"Live",
 IF(COUNTIFS(Channel_Listings!$D:$D,$A34,Channel_Listings!$A:$A,"Meesho")&gt;0,"Draft","Missing"))
</f>
        <v>Missing</v>
      </c>
      <c r="E34" s="32" t="s">
        <v>1881</v>
      </c>
    </row>
    <row r="35" ht="15.75" customHeight="1">
      <c r="A35" s="30" t="s">
        <v>246</v>
      </c>
      <c r="B35" s="31" t="str">
        <f>IF(
 COUNTIFS(Channel_Listings!$D:$D,$A35,Channel_Listings!$A:$A,"Amazon",Channel_Listings!$E:$E,"Live")&gt;0,"Live",
 IF(COUNTIFS(Channel_Listings!$D:$D,$A35,Channel_Listings!$A:$A,"Amazon")&gt;0,"Draft","Missing"))
</f>
        <v>Live</v>
      </c>
      <c r="C35" s="31" t="str">
        <f>IF(
 COUNTIFS(Channel_Listings!$D:$D,$A35,Channel_Listings!$A:$A,"Flipkart",Channel_Listings!$E:$E,"Live")&gt;0,"Live",
 IF(COUNTIFS(Channel_Listings!$D:$D,$A35,Channel_Listings!$A:$A,"Flipkart")&gt;0,"Draft","Missing"))
</f>
        <v>Missing</v>
      </c>
      <c r="D35" s="31" t="str">
        <f>IF(
 COUNTIFS(Channel_Listings!$D:$D,$A35,Channel_Listings!$A:$A,"Meesho",Channel_Listings!$E:$E,"Live")&gt;0,"Live",
 IF(COUNTIFS(Channel_Listings!$D:$D,$A35,Channel_Listings!$A:$A,"Meesho")&gt;0,"Draft","Missing"))
</f>
        <v>Missing</v>
      </c>
      <c r="E35" s="32" t="s">
        <v>1881</v>
      </c>
    </row>
    <row r="36" ht="15.75" customHeight="1">
      <c r="A36" s="30" t="s">
        <v>248</v>
      </c>
      <c r="B36" s="31" t="str">
        <f>IF(
 COUNTIFS(Channel_Listings!$D:$D,$A36,Channel_Listings!$A:$A,"Amazon",Channel_Listings!$E:$E,"Live")&gt;0,"Live",
 IF(COUNTIFS(Channel_Listings!$D:$D,$A36,Channel_Listings!$A:$A,"Amazon")&gt;0,"Draft","Missing"))
</f>
        <v>Live</v>
      </c>
      <c r="C36" s="31" t="str">
        <f>IF(
 COUNTIFS(Channel_Listings!$D:$D,$A36,Channel_Listings!$A:$A,"Flipkart",Channel_Listings!$E:$E,"Live")&gt;0,"Live",
 IF(COUNTIFS(Channel_Listings!$D:$D,$A36,Channel_Listings!$A:$A,"Flipkart")&gt;0,"Draft","Missing"))
</f>
        <v>Missing</v>
      </c>
      <c r="D36" s="31" t="str">
        <f>IF(
 COUNTIFS(Channel_Listings!$D:$D,$A36,Channel_Listings!$A:$A,"Meesho",Channel_Listings!$E:$E,"Live")&gt;0,"Live",
 IF(COUNTIFS(Channel_Listings!$D:$D,$A36,Channel_Listings!$A:$A,"Meesho")&gt;0,"Draft","Missing"))
</f>
        <v>Missing</v>
      </c>
      <c r="E36" s="32" t="s">
        <v>1881</v>
      </c>
    </row>
    <row r="37" ht="15.75" customHeight="1">
      <c r="A37" s="30" t="s">
        <v>250</v>
      </c>
      <c r="B37" s="31" t="str">
        <f>IF(
 COUNTIFS(Channel_Listings!$D:$D,$A37,Channel_Listings!$A:$A,"Amazon",Channel_Listings!$E:$E,"Live")&gt;0,"Live",
 IF(COUNTIFS(Channel_Listings!$D:$D,$A37,Channel_Listings!$A:$A,"Amazon")&gt;0,"Draft","Missing"))
</f>
        <v>Live</v>
      </c>
      <c r="C37" s="31" t="str">
        <f>IF(
 COUNTIFS(Channel_Listings!$D:$D,$A37,Channel_Listings!$A:$A,"Flipkart",Channel_Listings!$E:$E,"Live")&gt;0,"Live",
 IF(COUNTIFS(Channel_Listings!$D:$D,$A37,Channel_Listings!$A:$A,"Flipkart")&gt;0,"Draft","Missing"))
</f>
        <v>Missing</v>
      </c>
      <c r="D37" s="31" t="str">
        <f>IF(
 COUNTIFS(Channel_Listings!$D:$D,$A37,Channel_Listings!$A:$A,"Meesho",Channel_Listings!$E:$E,"Live")&gt;0,"Live",
 IF(COUNTIFS(Channel_Listings!$D:$D,$A37,Channel_Listings!$A:$A,"Meesho")&gt;0,"Draft","Missing"))
</f>
        <v>Missing</v>
      </c>
      <c r="E37" s="32" t="s">
        <v>1881</v>
      </c>
    </row>
    <row r="38" ht="15.75" customHeight="1">
      <c r="A38" s="30" t="s">
        <v>252</v>
      </c>
      <c r="B38" s="31" t="str">
        <f>IF(
 COUNTIFS(Channel_Listings!$D:$D,$A38,Channel_Listings!$A:$A,"Amazon",Channel_Listings!$E:$E,"Live")&gt;0,"Live",
 IF(COUNTIFS(Channel_Listings!$D:$D,$A38,Channel_Listings!$A:$A,"Amazon")&gt;0,"Draft","Missing"))
</f>
        <v>Live</v>
      </c>
      <c r="C38" s="31" t="str">
        <f>IF(
 COUNTIFS(Channel_Listings!$D:$D,$A38,Channel_Listings!$A:$A,"Flipkart",Channel_Listings!$E:$E,"Live")&gt;0,"Live",
 IF(COUNTIFS(Channel_Listings!$D:$D,$A38,Channel_Listings!$A:$A,"Flipkart")&gt;0,"Draft","Missing"))
</f>
        <v>Missing</v>
      </c>
      <c r="D38" s="31" t="str">
        <f>IF(
 COUNTIFS(Channel_Listings!$D:$D,$A38,Channel_Listings!$A:$A,"Meesho",Channel_Listings!$E:$E,"Live")&gt;0,"Live",
 IF(COUNTIFS(Channel_Listings!$D:$D,$A38,Channel_Listings!$A:$A,"Meesho")&gt;0,"Draft","Missing"))
</f>
        <v>Missing</v>
      </c>
      <c r="E38" s="32" t="s">
        <v>1881</v>
      </c>
    </row>
    <row r="39" ht="15.75" customHeight="1">
      <c r="A39" s="30" t="s">
        <v>254</v>
      </c>
      <c r="B39" s="31" t="str">
        <f>IF(
 COUNTIFS(Channel_Listings!$D:$D,$A39,Channel_Listings!$A:$A,"Amazon",Channel_Listings!$E:$E,"Live")&gt;0,"Live",
 IF(COUNTIFS(Channel_Listings!$D:$D,$A39,Channel_Listings!$A:$A,"Amazon")&gt;0,"Draft","Missing"))
</f>
        <v>Live</v>
      </c>
      <c r="C39" s="31" t="str">
        <f>IF(
 COUNTIFS(Channel_Listings!$D:$D,$A39,Channel_Listings!$A:$A,"Flipkart",Channel_Listings!$E:$E,"Live")&gt;0,"Live",
 IF(COUNTIFS(Channel_Listings!$D:$D,$A39,Channel_Listings!$A:$A,"Flipkart")&gt;0,"Draft","Missing"))
</f>
        <v>Missing</v>
      </c>
      <c r="D39" s="31" t="str">
        <f>IF(
 COUNTIFS(Channel_Listings!$D:$D,$A39,Channel_Listings!$A:$A,"Meesho",Channel_Listings!$E:$E,"Live")&gt;0,"Live",
 IF(COUNTIFS(Channel_Listings!$D:$D,$A39,Channel_Listings!$A:$A,"Meesho")&gt;0,"Draft","Missing"))
</f>
        <v>Missing</v>
      </c>
      <c r="E39" s="32" t="s">
        <v>1881</v>
      </c>
    </row>
    <row r="40" ht="15.75" customHeight="1">
      <c r="A40" s="30" t="s">
        <v>272</v>
      </c>
      <c r="B40" s="31" t="str">
        <f>IF(
 COUNTIFS(Channel_Listings!$D:$D,$A40,Channel_Listings!$A:$A,"Amazon",Channel_Listings!$E:$E,"Live")&gt;0,"Live",
 IF(COUNTIFS(Channel_Listings!$D:$D,$A40,Channel_Listings!$A:$A,"Amazon")&gt;0,"Draft","Missing"))
</f>
        <v>Missing</v>
      </c>
      <c r="C40" s="31" t="str">
        <f>IF(
 COUNTIFS(Channel_Listings!$D:$D,$A40,Channel_Listings!$A:$A,"Flipkart",Channel_Listings!$E:$E,"Live")&gt;0,"Live",
 IF(COUNTIFS(Channel_Listings!$D:$D,$A40,Channel_Listings!$A:$A,"Flipkart")&gt;0,"Draft","Missing"))
</f>
        <v>Missing</v>
      </c>
      <c r="D40" s="31" t="str">
        <f>IF(
 COUNTIFS(Channel_Listings!$D:$D,$A40,Channel_Listings!$A:$A,"Meesho",Channel_Listings!$E:$E,"Live")&gt;0,"Live",
 IF(COUNTIFS(Channel_Listings!$D:$D,$A40,Channel_Listings!$A:$A,"Meesho")&gt;0,"Draft","Missing"))
</f>
        <v>Missing</v>
      </c>
      <c r="E40" s="32" t="s">
        <v>1881</v>
      </c>
    </row>
    <row r="41" ht="15.75" customHeight="1">
      <c r="A41" s="30" t="s">
        <v>273</v>
      </c>
      <c r="B41" s="31" t="str">
        <f>IF(
 COUNTIFS(Channel_Listings!$D:$D,$A41,Channel_Listings!$A:$A,"Amazon",Channel_Listings!$E:$E,"Live")&gt;0,"Live",
 IF(COUNTIFS(Channel_Listings!$D:$D,$A41,Channel_Listings!$A:$A,"Amazon")&gt;0,"Draft","Missing"))
</f>
        <v>Live</v>
      </c>
      <c r="C41" s="31" t="str">
        <f>IF(
 COUNTIFS(Channel_Listings!$D:$D,$A41,Channel_Listings!$A:$A,"Flipkart",Channel_Listings!$E:$E,"Live")&gt;0,"Live",
 IF(COUNTIFS(Channel_Listings!$D:$D,$A41,Channel_Listings!$A:$A,"Flipkart")&gt;0,"Draft","Missing"))
</f>
        <v>Missing</v>
      </c>
      <c r="D41" s="31" t="str">
        <f>IF(
 COUNTIFS(Channel_Listings!$D:$D,$A41,Channel_Listings!$A:$A,"Meesho",Channel_Listings!$E:$E,"Live")&gt;0,"Live",
 IF(COUNTIFS(Channel_Listings!$D:$D,$A41,Channel_Listings!$A:$A,"Meesho")&gt;0,"Draft","Missing"))
</f>
        <v>Missing</v>
      </c>
      <c r="E41" s="32" t="s">
        <v>1881</v>
      </c>
    </row>
    <row r="42" ht="15.75" customHeight="1">
      <c r="A42" s="30" t="s">
        <v>283</v>
      </c>
      <c r="B42" s="31" t="str">
        <f>IF(
 COUNTIFS(Channel_Listings!$D:$D,$A42,Channel_Listings!$A:$A,"Amazon",Channel_Listings!$E:$E,"Live")&gt;0,"Live",
 IF(COUNTIFS(Channel_Listings!$D:$D,$A42,Channel_Listings!$A:$A,"Amazon")&gt;0,"Draft","Missing"))
</f>
        <v>Live</v>
      </c>
      <c r="C42" s="31" t="str">
        <f>IF(
 COUNTIFS(Channel_Listings!$D:$D,$A42,Channel_Listings!$A:$A,"Flipkart",Channel_Listings!$E:$E,"Live")&gt;0,"Live",
 IF(COUNTIFS(Channel_Listings!$D:$D,$A42,Channel_Listings!$A:$A,"Flipkart")&gt;0,"Draft","Missing"))
</f>
        <v>Live</v>
      </c>
      <c r="D42" s="31" t="str">
        <f>IF(
 COUNTIFS(Channel_Listings!$D:$D,$A42,Channel_Listings!$A:$A,"Meesho",Channel_Listings!$E:$E,"Live")&gt;0,"Live",
 IF(COUNTIFS(Channel_Listings!$D:$D,$A42,Channel_Listings!$A:$A,"Meesho")&gt;0,"Draft","Missing"))
</f>
        <v>Missing</v>
      </c>
      <c r="E42" s="32" t="s">
        <v>1881</v>
      </c>
    </row>
    <row r="43" ht="15.75" customHeight="1">
      <c r="A43" s="30" t="s">
        <v>281</v>
      </c>
      <c r="B43" s="31" t="str">
        <f>IF(
 COUNTIFS(Channel_Listings!$D:$D,$A43,Channel_Listings!$A:$A,"Amazon",Channel_Listings!$E:$E,"Live")&gt;0,"Live",
 IF(COUNTIFS(Channel_Listings!$D:$D,$A43,Channel_Listings!$A:$A,"Amazon")&gt;0,"Draft","Missing"))
</f>
        <v>Live</v>
      </c>
      <c r="C43" s="31" t="str">
        <f>IF(
 COUNTIFS(Channel_Listings!$D:$D,$A43,Channel_Listings!$A:$A,"Flipkart",Channel_Listings!$E:$E,"Live")&gt;0,"Live",
 IF(COUNTIFS(Channel_Listings!$D:$D,$A43,Channel_Listings!$A:$A,"Flipkart")&gt;0,"Draft","Missing"))
</f>
        <v>Live</v>
      </c>
      <c r="D43" s="31" t="str">
        <f>IF(
 COUNTIFS(Channel_Listings!$D:$D,$A43,Channel_Listings!$A:$A,"Meesho",Channel_Listings!$E:$E,"Live")&gt;0,"Live",
 IF(COUNTIFS(Channel_Listings!$D:$D,$A43,Channel_Listings!$A:$A,"Meesho")&gt;0,"Draft","Missing"))
</f>
        <v>Missing</v>
      </c>
      <c r="E43" s="32" t="s">
        <v>1881</v>
      </c>
    </row>
    <row r="44" ht="15.75" customHeight="1">
      <c r="A44" s="30" t="s">
        <v>286</v>
      </c>
      <c r="B44" s="31" t="str">
        <f>IF(
 COUNTIFS(Channel_Listings!$D:$D,$A44,Channel_Listings!$A:$A,"Amazon",Channel_Listings!$E:$E,"Live")&gt;0,"Live",
 IF(COUNTIFS(Channel_Listings!$D:$D,$A44,Channel_Listings!$A:$A,"Amazon")&gt;0,"Draft","Missing"))
</f>
        <v>Live</v>
      </c>
      <c r="C44" s="31" t="str">
        <f>IF(
 COUNTIFS(Channel_Listings!$D:$D,$A44,Channel_Listings!$A:$A,"Flipkart",Channel_Listings!$E:$E,"Live")&gt;0,"Live",
 IF(COUNTIFS(Channel_Listings!$D:$D,$A44,Channel_Listings!$A:$A,"Flipkart")&gt;0,"Draft","Missing"))
</f>
        <v>Live</v>
      </c>
      <c r="D44" s="31" t="str">
        <f>IF(
 COUNTIFS(Channel_Listings!$D:$D,$A44,Channel_Listings!$A:$A,"Meesho",Channel_Listings!$E:$E,"Live")&gt;0,"Live",
 IF(COUNTIFS(Channel_Listings!$D:$D,$A44,Channel_Listings!$A:$A,"Meesho")&gt;0,"Draft","Missing"))
</f>
        <v>Missing</v>
      </c>
      <c r="E44" s="32" t="s">
        <v>1881</v>
      </c>
    </row>
    <row r="45" ht="15.75" customHeight="1">
      <c r="A45" s="30" t="s">
        <v>288</v>
      </c>
      <c r="B45" s="31" t="str">
        <f>IF(
 COUNTIFS(Channel_Listings!$D:$D,$A45,Channel_Listings!$A:$A,"Amazon",Channel_Listings!$E:$E,"Live")&gt;0,"Live",
 IF(COUNTIFS(Channel_Listings!$D:$D,$A45,Channel_Listings!$A:$A,"Amazon")&gt;0,"Draft","Missing"))
</f>
        <v>Live</v>
      </c>
      <c r="C45" s="31" t="str">
        <f>IF(
 COUNTIFS(Channel_Listings!$D:$D,$A45,Channel_Listings!$A:$A,"Flipkart",Channel_Listings!$E:$E,"Live")&gt;0,"Live",
 IF(COUNTIFS(Channel_Listings!$D:$D,$A45,Channel_Listings!$A:$A,"Flipkart")&gt;0,"Draft","Missing"))
</f>
        <v>Live</v>
      </c>
      <c r="D45" s="31" t="str">
        <f>IF(
 COUNTIFS(Channel_Listings!$D:$D,$A45,Channel_Listings!$A:$A,"Meesho",Channel_Listings!$E:$E,"Live")&gt;0,"Live",
 IF(COUNTIFS(Channel_Listings!$D:$D,$A45,Channel_Listings!$A:$A,"Meesho")&gt;0,"Draft","Missing"))
</f>
        <v>Missing</v>
      </c>
      <c r="E45" s="32" t="s">
        <v>1881</v>
      </c>
    </row>
    <row r="46" ht="15.75" customHeight="1">
      <c r="A46" s="30" t="s">
        <v>265</v>
      </c>
      <c r="B46" s="31" t="str">
        <f>IF(
 COUNTIFS(Channel_Listings!$D:$D,$A46,Channel_Listings!$A:$A,"Amazon",Channel_Listings!$E:$E,"Live")&gt;0,"Live",
 IF(COUNTIFS(Channel_Listings!$D:$D,$A46,Channel_Listings!$A:$A,"Amazon")&gt;0,"Draft","Missing"))
</f>
        <v>Live</v>
      </c>
      <c r="C46" s="31" t="str">
        <f>IF(
 COUNTIFS(Channel_Listings!$D:$D,$A46,Channel_Listings!$A:$A,"Flipkart",Channel_Listings!$E:$E,"Live")&gt;0,"Live",
 IF(COUNTIFS(Channel_Listings!$D:$D,$A46,Channel_Listings!$A:$A,"Flipkart")&gt;0,"Draft","Missing"))
</f>
        <v>Missing</v>
      </c>
      <c r="D46" s="31" t="str">
        <f>IF(
 COUNTIFS(Channel_Listings!$D:$D,$A46,Channel_Listings!$A:$A,"Meesho",Channel_Listings!$E:$E,"Live")&gt;0,"Live",
 IF(COUNTIFS(Channel_Listings!$D:$D,$A46,Channel_Listings!$A:$A,"Meesho")&gt;0,"Draft","Missing"))
</f>
        <v>Missing</v>
      </c>
      <c r="E46" s="32" t="s">
        <v>1881</v>
      </c>
    </row>
    <row r="47" ht="15.75" customHeight="1">
      <c r="A47" s="30" t="s">
        <v>291</v>
      </c>
      <c r="B47" s="31" t="str">
        <f>IF(
 COUNTIFS(Channel_Listings!$D:$D,$A47,Channel_Listings!$A:$A,"Amazon",Channel_Listings!$E:$E,"Live")&gt;0,"Live",
 IF(COUNTIFS(Channel_Listings!$D:$D,$A47,Channel_Listings!$A:$A,"Amazon")&gt;0,"Draft","Missing"))
</f>
        <v>Live</v>
      </c>
      <c r="C47" s="31" t="str">
        <f>IF(
 COUNTIFS(Channel_Listings!$D:$D,$A47,Channel_Listings!$A:$A,"Flipkart",Channel_Listings!$E:$E,"Live")&gt;0,"Live",
 IF(COUNTIFS(Channel_Listings!$D:$D,$A47,Channel_Listings!$A:$A,"Flipkart")&gt;0,"Draft","Missing"))
</f>
        <v>Live</v>
      </c>
      <c r="D47" s="31" t="str">
        <f>IF(
 COUNTIFS(Channel_Listings!$D:$D,$A47,Channel_Listings!$A:$A,"Meesho",Channel_Listings!$E:$E,"Live")&gt;0,"Live",
 IF(COUNTIFS(Channel_Listings!$D:$D,$A47,Channel_Listings!$A:$A,"Meesho")&gt;0,"Draft","Missing"))
</f>
        <v>Missing</v>
      </c>
      <c r="E47" s="32" t="s">
        <v>1881</v>
      </c>
    </row>
    <row r="48" ht="15.75" customHeight="1">
      <c r="A48" s="30" t="s">
        <v>293</v>
      </c>
      <c r="B48" s="31" t="str">
        <f>IF(
 COUNTIFS(Channel_Listings!$D:$D,$A48,Channel_Listings!$A:$A,"Amazon",Channel_Listings!$E:$E,"Live")&gt;0,"Live",
 IF(COUNTIFS(Channel_Listings!$D:$D,$A48,Channel_Listings!$A:$A,"Amazon")&gt;0,"Draft","Missing"))
</f>
        <v>Live</v>
      </c>
      <c r="C48" s="31" t="str">
        <f>IF(
 COUNTIFS(Channel_Listings!$D:$D,$A48,Channel_Listings!$A:$A,"Flipkart",Channel_Listings!$E:$E,"Live")&gt;0,"Live",
 IF(COUNTIFS(Channel_Listings!$D:$D,$A48,Channel_Listings!$A:$A,"Flipkart")&gt;0,"Draft","Missing"))
</f>
        <v>Live</v>
      </c>
      <c r="D48" s="31" t="str">
        <f>IF(
 COUNTIFS(Channel_Listings!$D:$D,$A48,Channel_Listings!$A:$A,"Meesho",Channel_Listings!$E:$E,"Live")&gt;0,"Live",
 IF(COUNTIFS(Channel_Listings!$D:$D,$A48,Channel_Listings!$A:$A,"Meesho")&gt;0,"Draft","Missing"))
</f>
        <v>Missing</v>
      </c>
      <c r="E48" s="32" t="s">
        <v>1881</v>
      </c>
    </row>
    <row r="49" ht="15.75" customHeight="1">
      <c r="A49" s="30" t="s">
        <v>257</v>
      </c>
      <c r="B49" s="31" t="str">
        <f>IF(
 COUNTIFS(Channel_Listings!$D:$D,$A49,Channel_Listings!$A:$A,"Amazon",Channel_Listings!$E:$E,"Live")&gt;0,"Live",
 IF(COUNTIFS(Channel_Listings!$D:$D,$A49,Channel_Listings!$A:$A,"Amazon")&gt;0,"Draft","Missing"))
</f>
        <v>Live</v>
      </c>
      <c r="C49" s="31" t="str">
        <f>IF(
 COUNTIFS(Channel_Listings!$D:$D,$A49,Channel_Listings!$A:$A,"Flipkart",Channel_Listings!$E:$E,"Live")&gt;0,"Live",
 IF(COUNTIFS(Channel_Listings!$D:$D,$A49,Channel_Listings!$A:$A,"Flipkart")&gt;0,"Draft","Missing"))
</f>
        <v>Live</v>
      </c>
      <c r="D49" s="31" t="str">
        <f>IF(
 COUNTIFS(Channel_Listings!$D:$D,$A49,Channel_Listings!$A:$A,"Meesho",Channel_Listings!$E:$E,"Live")&gt;0,"Live",
 IF(COUNTIFS(Channel_Listings!$D:$D,$A49,Channel_Listings!$A:$A,"Meesho")&gt;0,"Draft","Missing"))
</f>
        <v>Missing</v>
      </c>
      <c r="E49" s="32" t="s">
        <v>1881</v>
      </c>
    </row>
    <row r="50" ht="15.75" customHeight="1">
      <c r="A50" s="30" t="s">
        <v>259</v>
      </c>
      <c r="B50" s="31" t="str">
        <f>IF(
 COUNTIFS(Channel_Listings!$D:$D,$A50,Channel_Listings!$A:$A,"Amazon",Channel_Listings!$E:$E,"Live")&gt;0,"Live",
 IF(COUNTIFS(Channel_Listings!$D:$D,$A50,Channel_Listings!$A:$A,"Amazon")&gt;0,"Draft","Missing"))
</f>
        <v>Live</v>
      </c>
      <c r="C50" s="31" t="str">
        <f>IF(
 COUNTIFS(Channel_Listings!$D:$D,$A50,Channel_Listings!$A:$A,"Flipkart",Channel_Listings!$E:$E,"Live")&gt;0,"Live",
 IF(COUNTIFS(Channel_Listings!$D:$D,$A50,Channel_Listings!$A:$A,"Flipkart")&gt;0,"Draft","Missing"))
</f>
        <v>Live</v>
      </c>
      <c r="D50" s="31" t="str">
        <f>IF(
 COUNTIFS(Channel_Listings!$D:$D,$A50,Channel_Listings!$A:$A,"Meesho",Channel_Listings!$E:$E,"Live")&gt;0,"Live",
 IF(COUNTIFS(Channel_Listings!$D:$D,$A50,Channel_Listings!$A:$A,"Meesho")&gt;0,"Draft","Missing"))
</f>
        <v>Missing</v>
      </c>
      <c r="E50" s="32" t="s">
        <v>1881</v>
      </c>
    </row>
    <row r="51" ht="15.75" customHeight="1">
      <c r="A51" s="30" t="s">
        <v>263</v>
      </c>
      <c r="B51" s="31" t="str">
        <f>IF(
 COUNTIFS(Channel_Listings!$D:$D,$A51,Channel_Listings!$A:$A,"Amazon",Channel_Listings!$E:$E,"Live")&gt;0,"Live",
 IF(COUNTIFS(Channel_Listings!$D:$D,$A51,Channel_Listings!$A:$A,"Amazon")&gt;0,"Draft","Missing"))
</f>
        <v>Live</v>
      </c>
      <c r="C51" s="31" t="str">
        <f>IF(
 COUNTIFS(Channel_Listings!$D:$D,$A51,Channel_Listings!$A:$A,"Flipkart",Channel_Listings!$E:$E,"Live")&gt;0,"Live",
 IF(COUNTIFS(Channel_Listings!$D:$D,$A51,Channel_Listings!$A:$A,"Flipkart")&gt;0,"Draft","Missing"))
</f>
        <v>Live</v>
      </c>
      <c r="D51" s="31" t="str">
        <f>IF(
 COUNTIFS(Channel_Listings!$D:$D,$A51,Channel_Listings!$A:$A,"Meesho",Channel_Listings!$E:$E,"Live")&gt;0,"Live",
 IF(COUNTIFS(Channel_Listings!$D:$D,$A51,Channel_Listings!$A:$A,"Meesho")&gt;0,"Draft","Missing"))
</f>
        <v>Missing</v>
      </c>
      <c r="E51" s="32" t="s">
        <v>1881</v>
      </c>
    </row>
    <row r="52" ht="15.75" customHeight="1">
      <c r="A52" s="30" t="s">
        <v>1207</v>
      </c>
      <c r="B52" s="31" t="str">
        <f>IF(
 COUNTIFS(Channel_Listings!$D:$D,$A52,Channel_Listings!$A:$A,"Amazon",Channel_Listings!$E:$E,"Live")&gt;0,"Live",
 IF(COUNTIFS(Channel_Listings!$D:$D,$A52,Channel_Listings!$A:$A,"Amazon")&gt;0,"Draft","Missing"))
</f>
        <v>Missing</v>
      </c>
      <c r="C52" s="31" t="str">
        <f>IF(
 COUNTIFS(Channel_Listings!$D:$D,$A52,Channel_Listings!$A:$A,"Flipkart",Channel_Listings!$E:$E,"Live")&gt;0,"Live",
 IF(COUNTIFS(Channel_Listings!$D:$D,$A52,Channel_Listings!$A:$A,"Flipkart")&gt;0,"Draft","Missing"))
</f>
        <v>Live</v>
      </c>
      <c r="D52" s="31" t="str">
        <f>IF(
 COUNTIFS(Channel_Listings!$D:$D,$A52,Channel_Listings!$A:$A,"Meesho",Channel_Listings!$E:$E,"Live")&gt;0,"Live",
 IF(COUNTIFS(Channel_Listings!$D:$D,$A52,Channel_Listings!$A:$A,"Meesho")&gt;0,"Draft","Missing"))
</f>
        <v>Missing</v>
      </c>
      <c r="E52" s="32" t="s">
        <v>1881</v>
      </c>
    </row>
    <row r="53" ht="15.75" customHeight="1">
      <c r="A53" s="30" t="s">
        <v>267</v>
      </c>
      <c r="B53" s="31" t="str">
        <f>IF(
 COUNTIFS(Channel_Listings!$D:$D,$A53,Channel_Listings!$A:$A,"Amazon",Channel_Listings!$E:$E,"Live")&gt;0,"Live",
 IF(COUNTIFS(Channel_Listings!$D:$D,$A53,Channel_Listings!$A:$A,"Amazon")&gt;0,"Draft","Missing"))
</f>
        <v>Live</v>
      </c>
      <c r="C53" s="31" t="str">
        <f>IF(
 COUNTIFS(Channel_Listings!$D:$D,$A53,Channel_Listings!$A:$A,"Flipkart",Channel_Listings!$E:$E,"Live")&gt;0,"Live",
 IF(COUNTIFS(Channel_Listings!$D:$D,$A53,Channel_Listings!$A:$A,"Flipkart")&gt;0,"Draft","Missing"))
</f>
        <v>Live</v>
      </c>
      <c r="D53" s="31" t="str">
        <f>IF(
 COUNTIFS(Channel_Listings!$D:$D,$A53,Channel_Listings!$A:$A,"Meesho",Channel_Listings!$E:$E,"Live")&gt;0,"Live",
 IF(COUNTIFS(Channel_Listings!$D:$D,$A53,Channel_Listings!$A:$A,"Meesho")&gt;0,"Draft","Missing"))
</f>
        <v>Missing</v>
      </c>
      <c r="E53" s="32" t="s">
        <v>1881</v>
      </c>
    </row>
    <row r="54" ht="15.75" customHeight="1">
      <c r="A54" s="30" t="s">
        <v>305</v>
      </c>
      <c r="B54" s="31" t="str">
        <f>IF(
 COUNTIFS(Channel_Listings!$D:$D,$A54,Channel_Listings!$A:$A,"Amazon",Channel_Listings!$E:$E,"Live")&gt;0,"Live",
 IF(COUNTIFS(Channel_Listings!$D:$D,$A54,Channel_Listings!$A:$A,"Amazon")&gt;0,"Draft","Missing"))
</f>
        <v>Live</v>
      </c>
      <c r="C54" s="31" t="str">
        <f>IF(
 COUNTIFS(Channel_Listings!$D:$D,$A54,Channel_Listings!$A:$A,"Flipkart",Channel_Listings!$E:$E,"Live")&gt;0,"Live",
 IF(COUNTIFS(Channel_Listings!$D:$D,$A54,Channel_Listings!$A:$A,"Flipkart")&gt;0,"Draft","Missing"))
</f>
        <v>Live</v>
      </c>
      <c r="D54" s="31" t="str">
        <f>IF(
 COUNTIFS(Channel_Listings!$D:$D,$A54,Channel_Listings!$A:$A,"Meesho",Channel_Listings!$E:$E,"Live")&gt;0,"Live",
 IF(COUNTIFS(Channel_Listings!$D:$D,$A54,Channel_Listings!$A:$A,"Meesho")&gt;0,"Draft","Missing"))
</f>
        <v>Missing</v>
      </c>
      <c r="E54" s="32" t="s">
        <v>1881</v>
      </c>
    </row>
    <row r="55" ht="15.75" customHeight="1">
      <c r="A55" s="30" t="s">
        <v>307</v>
      </c>
      <c r="B55" s="31" t="str">
        <f>IF(
 COUNTIFS(Channel_Listings!$D:$D,$A55,Channel_Listings!$A:$A,"Amazon",Channel_Listings!$E:$E,"Live")&gt;0,"Live",
 IF(COUNTIFS(Channel_Listings!$D:$D,$A55,Channel_Listings!$A:$A,"Amazon")&gt;0,"Draft","Missing"))
</f>
        <v>Live</v>
      </c>
      <c r="C55" s="31" t="str">
        <f>IF(
 COUNTIFS(Channel_Listings!$D:$D,$A55,Channel_Listings!$A:$A,"Flipkart",Channel_Listings!$E:$E,"Live")&gt;0,"Live",
 IF(COUNTIFS(Channel_Listings!$D:$D,$A55,Channel_Listings!$A:$A,"Flipkart")&gt;0,"Draft","Missing"))
</f>
        <v>Missing</v>
      </c>
      <c r="D55" s="31" t="str">
        <f>IF(
 COUNTIFS(Channel_Listings!$D:$D,$A55,Channel_Listings!$A:$A,"Meesho",Channel_Listings!$E:$E,"Live")&gt;0,"Live",
 IF(COUNTIFS(Channel_Listings!$D:$D,$A55,Channel_Listings!$A:$A,"Meesho")&gt;0,"Draft","Missing"))
</f>
        <v>Missing</v>
      </c>
      <c r="E55" s="32" t="s">
        <v>1881</v>
      </c>
    </row>
    <row r="56" ht="15.75" customHeight="1">
      <c r="A56" s="30" t="s">
        <v>309</v>
      </c>
      <c r="B56" s="31" t="str">
        <f>IF(
 COUNTIFS(Channel_Listings!$D:$D,$A56,Channel_Listings!$A:$A,"Amazon",Channel_Listings!$E:$E,"Live")&gt;0,"Live",
 IF(COUNTIFS(Channel_Listings!$D:$D,$A56,Channel_Listings!$A:$A,"Amazon")&gt;0,"Draft","Missing"))
</f>
        <v>Live</v>
      </c>
      <c r="C56" s="31" t="str">
        <f>IF(
 COUNTIFS(Channel_Listings!$D:$D,$A56,Channel_Listings!$A:$A,"Flipkart",Channel_Listings!$E:$E,"Live")&gt;0,"Live",
 IF(COUNTIFS(Channel_Listings!$D:$D,$A56,Channel_Listings!$A:$A,"Flipkart")&gt;0,"Draft","Missing"))
</f>
        <v>Missing</v>
      </c>
      <c r="D56" s="31" t="str">
        <f>IF(
 COUNTIFS(Channel_Listings!$D:$D,$A56,Channel_Listings!$A:$A,"Meesho",Channel_Listings!$E:$E,"Live")&gt;0,"Live",
 IF(COUNTIFS(Channel_Listings!$D:$D,$A56,Channel_Listings!$A:$A,"Meesho")&gt;0,"Draft","Missing"))
</f>
        <v>Missing</v>
      </c>
      <c r="E56" s="32" t="s">
        <v>1881</v>
      </c>
    </row>
    <row r="57" ht="15.75" customHeight="1">
      <c r="A57" s="30" t="s">
        <v>311</v>
      </c>
      <c r="B57" s="31" t="str">
        <f>IF(
 COUNTIFS(Channel_Listings!$D:$D,$A57,Channel_Listings!$A:$A,"Amazon",Channel_Listings!$E:$E,"Live")&gt;0,"Live",
 IF(COUNTIFS(Channel_Listings!$D:$D,$A57,Channel_Listings!$A:$A,"Amazon")&gt;0,"Draft","Missing"))
</f>
        <v>Live</v>
      </c>
      <c r="C57" s="31" t="str">
        <f>IF(
 COUNTIFS(Channel_Listings!$D:$D,$A57,Channel_Listings!$A:$A,"Flipkart",Channel_Listings!$E:$E,"Live")&gt;0,"Live",
 IF(COUNTIFS(Channel_Listings!$D:$D,$A57,Channel_Listings!$A:$A,"Flipkart")&gt;0,"Draft","Missing"))
</f>
        <v>Live</v>
      </c>
      <c r="D57" s="31" t="str">
        <f>IF(
 COUNTIFS(Channel_Listings!$D:$D,$A57,Channel_Listings!$A:$A,"Meesho",Channel_Listings!$E:$E,"Live")&gt;0,"Live",
 IF(COUNTIFS(Channel_Listings!$D:$D,$A57,Channel_Listings!$A:$A,"Meesho")&gt;0,"Draft","Missing"))
</f>
        <v>Missing</v>
      </c>
      <c r="E57" s="32" t="s">
        <v>1881</v>
      </c>
    </row>
    <row r="58" ht="15.75" customHeight="1">
      <c r="A58" s="30" t="s">
        <v>313</v>
      </c>
      <c r="B58" s="31" t="str">
        <f>IF(
 COUNTIFS(Channel_Listings!$D:$D,$A58,Channel_Listings!$A:$A,"Amazon",Channel_Listings!$E:$E,"Live")&gt;0,"Live",
 IF(COUNTIFS(Channel_Listings!$D:$D,$A58,Channel_Listings!$A:$A,"Amazon")&gt;0,"Draft","Missing"))
</f>
        <v>Live</v>
      </c>
      <c r="C58" s="31" t="str">
        <f>IF(
 COUNTIFS(Channel_Listings!$D:$D,$A58,Channel_Listings!$A:$A,"Flipkart",Channel_Listings!$E:$E,"Live")&gt;0,"Live",
 IF(COUNTIFS(Channel_Listings!$D:$D,$A58,Channel_Listings!$A:$A,"Flipkart")&gt;0,"Draft","Missing"))
</f>
        <v>Live</v>
      </c>
      <c r="D58" s="31" t="str">
        <f>IF(
 COUNTIFS(Channel_Listings!$D:$D,$A58,Channel_Listings!$A:$A,"Meesho",Channel_Listings!$E:$E,"Live")&gt;0,"Live",
 IF(COUNTIFS(Channel_Listings!$D:$D,$A58,Channel_Listings!$A:$A,"Meesho")&gt;0,"Draft","Missing"))
</f>
        <v>Missing</v>
      </c>
      <c r="E58" s="32" t="s">
        <v>1881</v>
      </c>
    </row>
    <row r="59" ht="15.75" customHeight="1">
      <c r="A59" s="30" t="s">
        <v>261</v>
      </c>
      <c r="B59" s="31" t="str">
        <f>IF(
 COUNTIFS(Channel_Listings!$D:$D,$A59,Channel_Listings!$A:$A,"Amazon",Channel_Listings!$E:$E,"Live")&gt;0,"Live",
 IF(COUNTIFS(Channel_Listings!$D:$D,$A59,Channel_Listings!$A:$A,"Amazon")&gt;0,"Draft","Missing"))
</f>
        <v>Live</v>
      </c>
      <c r="C59" s="31" t="str">
        <f>IF(
 COUNTIFS(Channel_Listings!$D:$D,$A59,Channel_Listings!$A:$A,"Flipkart",Channel_Listings!$E:$E,"Live")&gt;0,"Live",
 IF(COUNTIFS(Channel_Listings!$D:$D,$A59,Channel_Listings!$A:$A,"Flipkart")&gt;0,"Draft","Missing"))
</f>
        <v>Missing</v>
      </c>
      <c r="D59" s="31" t="str">
        <f>IF(
 COUNTIFS(Channel_Listings!$D:$D,$A59,Channel_Listings!$A:$A,"Meesho",Channel_Listings!$E:$E,"Live")&gt;0,"Live",
 IF(COUNTIFS(Channel_Listings!$D:$D,$A59,Channel_Listings!$A:$A,"Meesho")&gt;0,"Draft","Missing"))
</f>
        <v>Missing</v>
      </c>
      <c r="E59" s="32" t="s">
        <v>1881</v>
      </c>
    </row>
    <row r="60" ht="15.75" customHeight="1">
      <c r="A60" s="30" t="s">
        <v>316</v>
      </c>
      <c r="B60" s="31" t="str">
        <f>IF(
 COUNTIFS(Channel_Listings!$D:$D,$A60,Channel_Listings!$A:$A,"Amazon",Channel_Listings!$E:$E,"Live")&gt;0,"Live",
 IF(COUNTIFS(Channel_Listings!$D:$D,$A60,Channel_Listings!$A:$A,"Amazon")&gt;0,"Draft","Missing"))
</f>
        <v>Live</v>
      </c>
      <c r="C60" s="31" t="str">
        <f>IF(
 COUNTIFS(Channel_Listings!$D:$D,$A60,Channel_Listings!$A:$A,"Flipkart",Channel_Listings!$E:$E,"Live")&gt;0,"Live",
 IF(COUNTIFS(Channel_Listings!$D:$D,$A60,Channel_Listings!$A:$A,"Flipkart")&gt;0,"Draft","Missing"))
</f>
        <v>Live</v>
      </c>
      <c r="D60" s="31" t="str">
        <f>IF(
 COUNTIFS(Channel_Listings!$D:$D,$A60,Channel_Listings!$A:$A,"Meesho",Channel_Listings!$E:$E,"Live")&gt;0,"Live",
 IF(COUNTIFS(Channel_Listings!$D:$D,$A60,Channel_Listings!$A:$A,"Meesho")&gt;0,"Draft","Missing"))
</f>
        <v>Missing</v>
      </c>
      <c r="E60" s="32" t="s">
        <v>1881</v>
      </c>
    </row>
    <row r="61" ht="15.75" customHeight="1">
      <c r="A61" s="30" t="s">
        <v>269</v>
      </c>
      <c r="B61" s="31" t="str">
        <f>IF(
 COUNTIFS(Channel_Listings!$D:$D,$A61,Channel_Listings!$A:$A,"Amazon",Channel_Listings!$E:$E,"Live")&gt;0,"Live",
 IF(COUNTIFS(Channel_Listings!$D:$D,$A61,Channel_Listings!$A:$A,"Amazon")&gt;0,"Draft","Missing"))
</f>
        <v>Live</v>
      </c>
      <c r="C61" s="31" t="str">
        <f>IF(
 COUNTIFS(Channel_Listings!$D:$D,$A61,Channel_Listings!$A:$A,"Flipkart",Channel_Listings!$E:$E,"Live")&gt;0,"Live",
 IF(COUNTIFS(Channel_Listings!$D:$D,$A61,Channel_Listings!$A:$A,"Flipkart")&gt;0,"Draft","Missing"))
</f>
        <v>Live</v>
      </c>
      <c r="D61" s="31" t="str">
        <f>IF(
 COUNTIFS(Channel_Listings!$D:$D,$A61,Channel_Listings!$A:$A,"Meesho",Channel_Listings!$E:$E,"Live")&gt;0,"Live",
 IF(COUNTIFS(Channel_Listings!$D:$D,$A61,Channel_Listings!$A:$A,"Meesho")&gt;0,"Draft","Missing"))
</f>
        <v>Missing</v>
      </c>
      <c r="E61" s="32" t="s">
        <v>1881</v>
      </c>
    </row>
    <row r="62" ht="15.75" customHeight="1">
      <c r="A62" s="30" t="s">
        <v>319</v>
      </c>
      <c r="B62" s="31" t="str">
        <f>IF(
 COUNTIFS(Channel_Listings!$D:$D,$A62,Channel_Listings!$A:$A,"Amazon",Channel_Listings!$E:$E,"Live")&gt;0,"Live",
 IF(COUNTIFS(Channel_Listings!$D:$D,$A62,Channel_Listings!$A:$A,"Amazon")&gt;0,"Draft","Missing"))
</f>
        <v>Live</v>
      </c>
      <c r="C62" s="31" t="str">
        <f>IF(
 COUNTIFS(Channel_Listings!$D:$D,$A62,Channel_Listings!$A:$A,"Flipkart",Channel_Listings!$E:$E,"Live")&gt;0,"Live",
 IF(COUNTIFS(Channel_Listings!$D:$D,$A62,Channel_Listings!$A:$A,"Flipkart")&gt;0,"Draft","Missing"))
</f>
        <v>Missing</v>
      </c>
      <c r="D62" s="31" t="str">
        <f>IF(
 COUNTIFS(Channel_Listings!$D:$D,$A62,Channel_Listings!$A:$A,"Meesho",Channel_Listings!$E:$E,"Live")&gt;0,"Live",
 IF(COUNTIFS(Channel_Listings!$D:$D,$A62,Channel_Listings!$A:$A,"Meesho")&gt;0,"Draft","Missing"))
</f>
        <v>Missing</v>
      </c>
      <c r="E62" s="32" t="s">
        <v>1881</v>
      </c>
    </row>
    <row r="63" ht="15.75" customHeight="1">
      <c r="A63" s="30" t="s">
        <v>321</v>
      </c>
      <c r="B63" s="31" t="str">
        <f>IF(
 COUNTIFS(Channel_Listings!$D:$D,$A63,Channel_Listings!$A:$A,"Amazon",Channel_Listings!$E:$E,"Live")&gt;0,"Live",
 IF(COUNTIFS(Channel_Listings!$D:$D,$A63,Channel_Listings!$A:$A,"Amazon")&gt;0,"Draft","Missing"))
</f>
        <v>Live</v>
      </c>
      <c r="C63" s="31" t="str">
        <f>IF(
 COUNTIFS(Channel_Listings!$D:$D,$A63,Channel_Listings!$A:$A,"Flipkart",Channel_Listings!$E:$E,"Live")&gt;0,"Live",
 IF(COUNTIFS(Channel_Listings!$D:$D,$A63,Channel_Listings!$A:$A,"Flipkart")&gt;0,"Draft","Missing"))
</f>
        <v>Live</v>
      </c>
      <c r="D63" s="31" t="str">
        <f>IF(
 COUNTIFS(Channel_Listings!$D:$D,$A63,Channel_Listings!$A:$A,"Meesho",Channel_Listings!$E:$E,"Live")&gt;0,"Live",
 IF(COUNTIFS(Channel_Listings!$D:$D,$A63,Channel_Listings!$A:$A,"Meesho")&gt;0,"Draft","Missing"))
</f>
        <v>Missing</v>
      </c>
      <c r="E63" s="32" t="s">
        <v>1881</v>
      </c>
    </row>
    <row r="64" ht="15.75" customHeight="1">
      <c r="A64" s="30" t="s">
        <v>333</v>
      </c>
      <c r="B64" s="31" t="str">
        <f>IF(
 COUNTIFS(Channel_Listings!$D:$D,$A64,Channel_Listings!$A:$A,"Amazon",Channel_Listings!$E:$E,"Live")&gt;0,"Live",
 IF(COUNTIFS(Channel_Listings!$D:$D,$A64,Channel_Listings!$A:$A,"Amazon")&gt;0,"Draft","Missing"))
</f>
        <v>Live</v>
      </c>
      <c r="C64" s="31" t="str">
        <f>IF(
 COUNTIFS(Channel_Listings!$D:$D,$A64,Channel_Listings!$A:$A,"Flipkart",Channel_Listings!$E:$E,"Live")&gt;0,"Live",
 IF(COUNTIFS(Channel_Listings!$D:$D,$A64,Channel_Listings!$A:$A,"Flipkart")&gt;0,"Draft","Missing"))
</f>
        <v>Live</v>
      </c>
      <c r="D64" s="31" t="str">
        <f>IF(
 COUNTIFS(Channel_Listings!$D:$D,$A64,Channel_Listings!$A:$A,"Meesho",Channel_Listings!$E:$E,"Live")&gt;0,"Live",
 IF(COUNTIFS(Channel_Listings!$D:$D,$A64,Channel_Listings!$A:$A,"Meesho")&gt;0,"Draft","Missing"))
</f>
        <v>Missing</v>
      </c>
      <c r="E64" s="32" t="s">
        <v>1881</v>
      </c>
    </row>
    <row r="65" ht="15.75" customHeight="1">
      <c r="A65" s="30" t="s">
        <v>524</v>
      </c>
      <c r="B65" s="31" t="str">
        <f>IF(
 COUNTIFS(Channel_Listings!$D:$D,$A65,Channel_Listings!$A:$A,"Amazon",Channel_Listings!$E:$E,"Live")&gt;0,"Live",
 IF(COUNTIFS(Channel_Listings!$D:$D,$A65,Channel_Listings!$A:$A,"Amazon")&gt;0,"Draft","Missing"))
</f>
        <v>Live</v>
      </c>
      <c r="C65" s="31" t="str">
        <f>IF(
 COUNTIFS(Channel_Listings!$D:$D,$A65,Channel_Listings!$A:$A,"Flipkart",Channel_Listings!$E:$E,"Live")&gt;0,"Live",
 IF(COUNTIFS(Channel_Listings!$D:$D,$A65,Channel_Listings!$A:$A,"Flipkart")&gt;0,"Draft","Missing"))
</f>
        <v>Live</v>
      </c>
      <c r="D65" s="31" t="str">
        <f>IF(
 COUNTIFS(Channel_Listings!$D:$D,$A65,Channel_Listings!$A:$A,"Meesho",Channel_Listings!$E:$E,"Live")&gt;0,"Live",
 IF(COUNTIFS(Channel_Listings!$D:$D,$A65,Channel_Listings!$A:$A,"Meesho")&gt;0,"Draft","Missing"))
</f>
        <v>Missing</v>
      </c>
      <c r="E65" s="32" t="s">
        <v>1882</v>
      </c>
    </row>
    <row r="66" ht="15.75" customHeight="1">
      <c r="A66" s="30" t="s">
        <v>391</v>
      </c>
      <c r="B66" s="31" t="str">
        <f>IF(
 COUNTIFS(Channel_Listings!$D:$D,$A66,Channel_Listings!$A:$A,"Amazon",Channel_Listings!$E:$E,"Live")&gt;0,"Live",
 IF(COUNTIFS(Channel_Listings!$D:$D,$A66,Channel_Listings!$A:$A,"Amazon")&gt;0,"Draft","Missing"))
</f>
        <v>Live</v>
      </c>
      <c r="C66" s="31" t="str">
        <f>IF(
 COUNTIFS(Channel_Listings!$D:$D,$A66,Channel_Listings!$A:$A,"Flipkart",Channel_Listings!$E:$E,"Live")&gt;0,"Live",
 IF(COUNTIFS(Channel_Listings!$D:$D,$A66,Channel_Listings!$A:$A,"Flipkart")&gt;0,"Draft","Missing"))
</f>
        <v>Live</v>
      </c>
      <c r="D66" s="31" t="str">
        <f>IF(
 COUNTIFS(Channel_Listings!$D:$D,$A66,Channel_Listings!$A:$A,"Meesho",Channel_Listings!$E:$E,"Live")&gt;0,"Live",
 IF(COUNTIFS(Channel_Listings!$D:$D,$A66,Channel_Listings!$A:$A,"Meesho")&gt;0,"Draft","Missing"))
</f>
        <v>Missing</v>
      </c>
      <c r="E66" s="32" t="s">
        <v>1882</v>
      </c>
    </row>
    <row r="67" ht="15.75" customHeight="1">
      <c r="A67" s="30" t="s">
        <v>1304</v>
      </c>
      <c r="B67" s="31" t="str">
        <f>IF(
 COUNTIFS(Channel_Listings!$D:$D,$A67,Channel_Listings!$A:$A,"Amazon",Channel_Listings!$E:$E,"Live")&gt;0,"Live",
 IF(COUNTIFS(Channel_Listings!$D:$D,$A67,Channel_Listings!$A:$A,"Amazon")&gt;0,"Draft","Missing"))
</f>
        <v>Missing</v>
      </c>
      <c r="C67" s="31" t="str">
        <f>IF(
 COUNTIFS(Channel_Listings!$D:$D,$A67,Channel_Listings!$A:$A,"Flipkart",Channel_Listings!$E:$E,"Live")&gt;0,"Live",
 IF(COUNTIFS(Channel_Listings!$D:$D,$A67,Channel_Listings!$A:$A,"Flipkart")&gt;0,"Draft","Missing"))
</f>
        <v>Live</v>
      </c>
      <c r="D67" s="31" t="str">
        <f>IF(
 COUNTIFS(Channel_Listings!$D:$D,$A67,Channel_Listings!$A:$A,"Meesho",Channel_Listings!$E:$E,"Live")&gt;0,"Live",
 IF(COUNTIFS(Channel_Listings!$D:$D,$A67,Channel_Listings!$A:$A,"Meesho")&gt;0,"Draft","Missing"))
</f>
        <v>Missing</v>
      </c>
    </row>
    <row r="68" ht="15.75" customHeight="1">
      <c r="A68" s="30" t="s">
        <v>353</v>
      </c>
      <c r="B68" s="31" t="str">
        <f>IF(
 COUNTIFS(Channel_Listings!$D:$D,$A68,Channel_Listings!$A:$A,"Amazon",Channel_Listings!$E:$E,"Live")&gt;0,"Live",
 IF(COUNTIFS(Channel_Listings!$D:$D,$A68,Channel_Listings!$A:$A,"Amazon")&gt;0,"Draft","Missing"))
</f>
        <v>Live</v>
      </c>
      <c r="C68" s="31" t="str">
        <f>IF(
 COUNTIFS(Channel_Listings!$D:$D,$A68,Channel_Listings!$A:$A,"Flipkart",Channel_Listings!$E:$E,"Live")&gt;0,"Live",
 IF(COUNTIFS(Channel_Listings!$D:$D,$A68,Channel_Listings!$A:$A,"Flipkart")&gt;0,"Draft","Missing"))
</f>
        <v>Live</v>
      </c>
      <c r="D68" s="31" t="str">
        <f>IF(
 COUNTIFS(Channel_Listings!$D:$D,$A68,Channel_Listings!$A:$A,"Meesho",Channel_Listings!$E:$E,"Live")&gt;0,"Live",
 IF(COUNTIFS(Channel_Listings!$D:$D,$A68,Channel_Listings!$A:$A,"Meesho")&gt;0,"Draft","Missing"))
</f>
        <v>Missing</v>
      </c>
      <c r="E68" s="32" t="s">
        <v>1882</v>
      </c>
    </row>
    <row r="69" ht="15.75" customHeight="1">
      <c r="A69" s="30" t="s">
        <v>534</v>
      </c>
      <c r="B69" s="31" t="str">
        <f>IF(
 COUNTIFS(Channel_Listings!$D:$D,$A69,Channel_Listings!$A:$A,"Amazon",Channel_Listings!$E:$E,"Live")&gt;0,"Live",
 IF(COUNTIFS(Channel_Listings!$D:$D,$A69,Channel_Listings!$A:$A,"Amazon")&gt;0,"Draft","Missing"))
</f>
        <v>Live</v>
      </c>
      <c r="C69" s="31" t="str">
        <f>IF(
 COUNTIFS(Channel_Listings!$D:$D,$A69,Channel_Listings!$A:$A,"Flipkart",Channel_Listings!$E:$E,"Live")&gt;0,"Live",
 IF(COUNTIFS(Channel_Listings!$D:$D,$A69,Channel_Listings!$A:$A,"Flipkart")&gt;0,"Draft","Missing"))
</f>
        <v>Live</v>
      </c>
      <c r="D69" s="31" t="str">
        <f>IF(
 COUNTIFS(Channel_Listings!$D:$D,$A69,Channel_Listings!$A:$A,"Meesho",Channel_Listings!$E:$E,"Live")&gt;0,"Live",
 IF(COUNTIFS(Channel_Listings!$D:$D,$A69,Channel_Listings!$A:$A,"Meesho")&gt;0,"Draft","Missing"))
</f>
        <v>Missing</v>
      </c>
      <c r="E69" s="32" t="s">
        <v>1882</v>
      </c>
    </row>
    <row r="70" ht="15.75" customHeight="1">
      <c r="A70" s="30" t="s">
        <v>536</v>
      </c>
      <c r="B70" s="31" t="str">
        <f>IF(
 COUNTIFS(Channel_Listings!$D:$D,$A70,Channel_Listings!$A:$A,"Amazon",Channel_Listings!$E:$E,"Live")&gt;0,"Live",
 IF(COUNTIFS(Channel_Listings!$D:$D,$A70,Channel_Listings!$A:$A,"Amazon")&gt;0,"Draft","Missing"))
</f>
        <v>Live</v>
      </c>
      <c r="C70" s="31" t="str">
        <f>IF(
 COUNTIFS(Channel_Listings!$D:$D,$A70,Channel_Listings!$A:$A,"Flipkart",Channel_Listings!$E:$E,"Live")&gt;0,"Live",
 IF(COUNTIFS(Channel_Listings!$D:$D,$A70,Channel_Listings!$A:$A,"Flipkart")&gt;0,"Draft","Missing"))
</f>
        <v>Live</v>
      </c>
      <c r="D70" s="31" t="str">
        <f>IF(
 COUNTIFS(Channel_Listings!$D:$D,$A70,Channel_Listings!$A:$A,"Meesho",Channel_Listings!$E:$E,"Live")&gt;0,"Live",
 IF(COUNTIFS(Channel_Listings!$D:$D,$A70,Channel_Listings!$A:$A,"Meesho")&gt;0,"Draft","Missing"))
</f>
        <v>Missing</v>
      </c>
      <c r="E70" s="32" t="s">
        <v>1882</v>
      </c>
    </row>
    <row r="71" ht="15.75" customHeight="1">
      <c r="A71" s="30" t="s">
        <v>354</v>
      </c>
      <c r="B71" s="31" t="str">
        <f>IF(
 COUNTIFS(Channel_Listings!$D:$D,$A71,Channel_Listings!$A:$A,"Amazon",Channel_Listings!$E:$E,"Live")&gt;0,"Live",
 IF(COUNTIFS(Channel_Listings!$D:$D,$A71,Channel_Listings!$A:$A,"Amazon")&gt;0,"Draft","Missing"))
</f>
        <v>Live</v>
      </c>
      <c r="C71" s="31" t="str">
        <f>IF(
 COUNTIFS(Channel_Listings!$D:$D,$A71,Channel_Listings!$A:$A,"Flipkart",Channel_Listings!$E:$E,"Live")&gt;0,"Live",
 IF(COUNTIFS(Channel_Listings!$D:$D,$A71,Channel_Listings!$A:$A,"Flipkart")&gt;0,"Draft","Missing"))
</f>
        <v>Live</v>
      </c>
      <c r="D71" s="31" t="str">
        <f>IF(
 COUNTIFS(Channel_Listings!$D:$D,$A71,Channel_Listings!$A:$A,"Meesho",Channel_Listings!$E:$E,"Live")&gt;0,"Live",
 IF(COUNTIFS(Channel_Listings!$D:$D,$A71,Channel_Listings!$A:$A,"Meesho")&gt;0,"Draft","Missing"))
</f>
        <v>Missing</v>
      </c>
      <c r="E71" s="32" t="s">
        <v>1882</v>
      </c>
    </row>
    <row r="72" ht="15.75" customHeight="1">
      <c r="A72" s="30" t="s">
        <v>358</v>
      </c>
      <c r="B72" s="31" t="str">
        <f>IF(
 COUNTIFS(Channel_Listings!$D:$D,$A72,Channel_Listings!$A:$A,"Amazon",Channel_Listings!$E:$E,"Live")&gt;0,"Live",
 IF(COUNTIFS(Channel_Listings!$D:$D,$A72,Channel_Listings!$A:$A,"Amazon")&gt;0,"Draft","Missing"))
</f>
        <v>Live</v>
      </c>
      <c r="C72" s="31" t="str">
        <f>IF(
 COUNTIFS(Channel_Listings!$D:$D,$A72,Channel_Listings!$A:$A,"Flipkart",Channel_Listings!$E:$E,"Live")&gt;0,"Live",
 IF(COUNTIFS(Channel_Listings!$D:$D,$A72,Channel_Listings!$A:$A,"Flipkart")&gt;0,"Draft","Missing"))
</f>
        <v>Live</v>
      </c>
      <c r="D72" s="31" t="str">
        <f>IF(
 COUNTIFS(Channel_Listings!$D:$D,$A72,Channel_Listings!$A:$A,"Meesho",Channel_Listings!$E:$E,"Live")&gt;0,"Live",
 IF(COUNTIFS(Channel_Listings!$D:$D,$A72,Channel_Listings!$A:$A,"Meesho")&gt;0,"Draft","Missing"))
</f>
        <v>Missing</v>
      </c>
      <c r="E72" s="32" t="s">
        <v>1882</v>
      </c>
    </row>
    <row r="73" ht="15.75" customHeight="1">
      <c r="A73" s="30" t="s">
        <v>355</v>
      </c>
      <c r="B73" s="31" t="str">
        <f>IF(
 COUNTIFS(Channel_Listings!$D:$D,$A73,Channel_Listings!$A:$A,"Amazon",Channel_Listings!$E:$E,"Live")&gt;0,"Live",
 IF(COUNTIFS(Channel_Listings!$D:$D,$A73,Channel_Listings!$A:$A,"Amazon")&gt;0,"Draft","Missing"))
</f>
        <v>Live</v>
      </c>
      <c r="C73" s="31" t="str">
        <f>IF(
 COUNTIFS(Channel_Listings!$D:$D,$A73,Channel_Listings!$A:$A,"Flipkart",Channel_Listings!$E:$E,"Live")&gt;0,"Live",
 IF(COUNTIFS(Channel_Listings!$D:$D,$A73,Channel_Listings!$A:$A,"Flipkart")&gt;0,"Draft","Missing"))
</f>
        <v>Live</v>
      </c>
      <c r="D73" s="31" t="str">
        <f>IF(
 COUNTIFS(Channel_Listings!$D:$D,$A73,Channel_Listings!$A:$A,"Meesho",Channel_Listings!$E:$E,"Live")&gt;0,"Live",
 IF(COUNTIFS(Channel_Listings!$D:$D,$A73,Channel_Listings!$A:$A,"Meesho")&gt;0,"Draft","Missing"))
</f>
        <v>Missing</v>
      </c>
      <c r="E73" s="32" t="s">
        <v>1882</v>
      </c>
    </row>
    <row r="74" ht="15.75" customHeight="1">
      <c r="A74" s="30" t="s">
        <v>541</v>
      </c>
      <c r="B74" s="31" t="str">
        <f>IF(
 COUNTIFS(Channel_Listings!$D:$D,$A74,Channel_Listings!$A:$A,"Amazon",Channel_Listings!$E:$E,"Live")&gt;0,"Live",
 IF(COUNTIFS(Channel_Listings!$D:$D,$A74,Channel_Listings!$A:$A,"Amazon")&gt;0,"Draft","Missing"))
</f>
        <v>Live</v>
      </c>
      <c r="C74" s="31" t="str">
        <f>IF(
 COUNTIFS(Channel_Listings!$D:$D,$A74,Channel_Listings!$A:$A,"Flipkart",Channel_Listings!$E:$E,"Live")&gt;0,"Live",
 IF(COUNTIFS(Channel_Listings!$D:$D,$A74,Channel_Listings!$A:$A,"Flipkart")&gt;0,"Draft","Missing"))
</f>
        <v>Live</v>
      </c>
      <c r="D74" s="31" t="str">
        <f>IF(
 COUNTIFS(Channel_Listings!$D:$D,$A74,Channel_Listings!$A:$A,"Meesho",Channel_Listings!$E:$E,"Live")&gt;0,"Live",
 IF(COUNTIFS(Channel_Listings!$D:$D,$A74,Channel_Listings!$A:$A,"Meesho")&gt;0,"Draft","Missing"))
</f>
        <v>Missing</v>
      </c>
      <c r="E74" s="32" t="s">
        <v>1882</v>
      </c>
    </row>
    <row r="75" ht="15.75" customHeight="1">
      <c r="A75" s="30" t="s">
        <v>356</v>
      </c>
      <c r="B75" s="31" t="str">
        <f>IF(
 COUNTIFS(Channel_Listings!$D:$D,$A75,Channel_Listings!$A:$A,"Amazon",Channel_Listings!$E:$E,"Live")&gt;0,"Live",
 IF(COUNTIFS(Channel_Listings!$D:$D,$A75,Channel_Listings!$A:$A,"Amazon")&gt;0,"Draft","Missing"))
</f>
        <v>Live</v>
      </c>
      <c r="C75" s="31" t="str">
        <f>IF(
 COUNTIFS(Channel_Listings!$D:$D,$A75,Channel_Listings!$A:$A,"Flipkart",Channel_Listings!$E:$E,"Live")&gt;0,"Live",
 IF(COUNTIFS(Channel_Listings!$D:$D,$A75,Channel_Listings!$A:$A,"Flipkart")&gt;0,"Draft","Missing"))
</f>
        <v>Live</v>
      </c>
      <c r="D75" s="31" t="str">
        <f>IF(
 COUNTIFS(Channel_Listings!$D:$D,$A75,Channel_Listings!$A:$A,"Meesho",Channel_Listings!$E:$E,"Live")&gt;0,"Live",
 IF(COUNTIFS(Channel_Listings!$D:$D,$A75,Channel_Listings!$A:$A,"Meesho")&gt;0,"Draft","Missing"))
</f>
        <v>Missing</v>
      </c>
      <c r="E75" s="32" t="s">
        <v>1882</v>
      </c>
    </row>
    <row r="76" ht="15.75" customHeight="1">
      <c r="A76" s="30" t="s">
        <v>359</v>
      </c>
      <c r="B76" s="31" t="str">
        <f>IF(
 COUNTIFS(Channel_Listings!$D:$D,$A76,Channel_Listings!$A:$A,"Amazon",Channel_Listings!$E:$E,"Live")&gt;0,"Live",
 IF(COUNTIFS(Channel_Listings!$D:$D,$A76,Channel_Listings!$A:$A,"Amazon")&gt;0,"Draft","Missing"))
</f>
        <v>Live</v>
      </c>
      <c r="C76" s="31" t="str">
        <f>IF(
 COUNTIFS(Channel_Listings!$D:$D,$A76,Channel_Listings!$A:$A,"Flipkart",Channel_Listings!$E:$E,"Live")&gt;0,"Live",
 IF(COUNTIFS(Channel_Listings!$D:$D,$A76,Channel_Listings!$A:$A,"Flipkart")&gt;0,"Draft","Missing"))
</f>
        <v>Live</v>
      </c>
      <c r="D76" s="31" t="str">
        <f>IF(
 COUNTIFS(Channel_Listings!$D:$D,$A76,Channel_Listings!$A:$A,"Meesho",Channel_Listings!$E:$E,"Live")&gt;0,"Live",
 IF(COUNTIFS(Channel_Listings!$D:$D,$A76,Channel_Listings!$A:$A,"Meesho")&gt;0,"Draft","Missing"))
</f>
        <v>Live</v>
      </c>
      <c r="E76" s="32" t="s">
        <v>1883</v>
      </c>
    </row>
    <row r="77" ht="15.75" customHeight="1">
      <c r="A77" s="30" t="s">
        <v>361</v>
      </c>
      <c r="B77" s="31" t="str">
        <f>IF(
 COUNTIFS(Channel_Listings!$D:$D,$A77,Channel_Listings!$A:$A,"Amazon",Channel_Listings!$E:$E,"Live")&gt;0,"Live",
 IF(COUNTIFS(Channel_Listings!$D:$D,$A77,Channel_Listings!$A:$A,"Amazon")&gt;0,"Draft","Missing"))
</f>
        <v>Live</v>
      </c>
      <c r="C77" s="31" t="str">
        <f>IF(
 COUNTIFS(Channel_Listings!$D:$D,$A77,Channel_Listings!$A:$A,"Flipkart",Channel_Listings!$E:$E,"Live")&gt;0,"Live",
 IF(COUNTIFS(Channel_Listings!$D:$D,$A77,Channel_Listings!$A:$A,"Flipkart")&gt;0,"Draft","Missing"))
</f>
        <v>Live</v>
      </c>
      <c r="D77" s="31" t="str">
        <f>IF(
 COUNTIFS(Channel_Listings!$D:$D,$A77,Channel_Listings!$A:$A,"Meesho",Channel_Listings!$E:$E,"Live")&gt;0,"Live",
 IF(COUNTIFS(Channel_Listings!$D:$D,$A77,Channel_Listings!$A:$A,"Meesho")&gt;0,"Draft","Missing"))
</f>
        <v>Live</v>
      </c>
      <c r="E77" s="32" t="s">
        <v>1883</v>
      </c>
    </row>
    <row r="78" ht="15.75" customHeight="1">
      <c r="A78" s="33" t="s">
        <v>363</v>
      </c>
      <c r="B78" s="31" t="str">
        <f>IF(
 COUNTIFS(Channel_Listings!$D:$D,$A78,Channel_Listings!$A:$A,"Amazon",Channel_Listings!$E:$E,"Live")&gt;0,"Live",
 IF(COUNTIFS(Channel_Listings!$D:$D,$A78,Channel_Listings!$A:$A,"Amazon")&gt;0,"Draft","Missing"))
</f>
        <v>Live</v>
      </c>
      <c r="C78" s="31" t="str">
        <f>IF(
 COUNTIFS(Channel_Listings!$D:$D,$A78,Channel_Listings!$A:$A,"Flipkart",Channel_Listings!$E:$E,"Live")&gt;0,"Live",
 IF(COUNTIFS(Channel_Listings!$D:$D,$A78,Channel_Listings!$A:$A,"Flipkart")&gt;0,"Draft","Missing"))
</f>
        <v>Missing</v>
      </c>
      <c r="D78" s="31" t="str">
        <f>IF(
 COUNTIFS(Channel_Listings!$D:$D,$A78,Channel_Listings!$A:$A,"Meesho",Channel_Listings!$E:$E,"Live")&gt;0,"Live",
 IF(COUNTIFS(Channel_Listings!$D:$D,$A78,Channel_Listings!$A:$A,"Meesho")&gt;0,"Draft","Missing"))
</f>
        <v>Live</v>
      </c>
      <c r="E78" s="32" t="s">
        <v>1883</v>
      </c>
    </row>
    <row r="79" ht="15.75" customHeight="1">
      <c r="A79" s="30" t="s">
        <v>365</v>
      </c>
      <c r="B79" s="31" t="str">
        <f>IF(
 COUNTIFS(Channel_Listings!$D:$D,$A79,Channel_Listings!$A:$A,"Amazon",Channel_Listings!$E:$E,"Live")&gt;0,"Live",
 IF(COUNTIFS(Channel_Listings!$D:$D,$A79,Channel_Listings!$A:$A,"Amazon")&gt;0,"Draft","Missing"))
</f>
        <v>Live</v>
      </c>
      <c r="C79" s="31" t="str">
        <f>IF(
 COUNTIFS(Channel_Listings!$D:$D,$A79,Channel_Listings!$A:$A,"Flipkart",Channel_Listings!$E:$E,"Live")&gt;0,"Live",
 IF(COUNTIFS(Channel_Listings!$D:$D,$A79,Channel_Listings!$A:$A,"Flipkart")&gt;0,"Draft","Missing"))
</f>
        <v>Live</v>
      </c>
      <c r="D79" s="31" t="str">
        <f>IF(
 COUNTIFS(Channel_Listings!$D:$D,$A79,Channel_Listings!$A:$A,"Meesho",Channel_Listings!$E:$E,"Live")&gt;0,"Live",
 IF(COUNTIFS(Channel_Listings!$D:$D,$A79,Channel_Listings!$A:$A,"Meesho")&gt;0,"Draft","Missing"))
</f>
        <v>Missing</v>
      </c>
      <c r="E79" s="32" t="s">
        <v>1883</v>
      </c>
    </row>
    <row r="80" ht="15.75" customHeight="1">
      <c r="A80" s="30" t="s">
        <v>367</v>
      </c>
      <c r="B80" s="31" t="str">
        <f>IF(
 COUNTIFS(Channel_Listings!$D:$D,$A80,Channel_Listings!$A:$A,"Amazon",Channel_Listings!$E:$E,"Live")&gt;0,"Live",
 IF(COUNTIFS(Channel_Listings!$D:$D,$A80,Channel_Listings!$A:$A,"Amazon")&gt;0,"Draft","Missing"))
</f>
        <v>Live</v>
      </c>
      <c r="C80" s="31" t="str">
        <f>IF(
 COUNTIFS(Channel_Listings!$D:$D,$A80,Channel_Listings!$A:$A,"Flipkart",Channel_Listings!$E:$E,"Live")&gt;0,"Live",
 IF(COUNTIFS(Channel_Listings!$D:$D,$A80,Channel_Listings!$A:$A,"Flipkart")&gt;0,"Draft","Missing"))
</f>
        <v>Missing</v>
      </c>
      <c r="D80" s="31" t="str">
        <f>IF(
 COUNTIFS(Channel_Listings!$D:$D,$A80,Channel_Listings!$A:$A,"Meesho",Channel_Listings!$E:$E,"Live")&gt;0,"Live",
 IF(COUNTIFS(Channel_Listings!$D:$D,$A80,Channel_Listings!$A:$A,"Meesho")&gt;0,"Draft","Missing"))
</f>
        <v>Live</v>
      </c>
      <c r="E80" s="32" t="s">
        <v>1883</v>
      </c>
    </row>
    <row r="81" ht="15.75" customHeight="1">
      <c r="A81" s="30" t="s">
        <v>335</v>
      </c>
      <c r="B81" s="31" t="str">
        <f>IF(
 COUNTIFS(Channel_Listings!$D:$D,$A81,Channel_Listings!$A:$A,"Amazon",Channel_Listings!$E:$E,"Live")&gt;0,"Live",
 IF(COUNTIFS(Channel_Listings!$D:$D,$A81,Channel_Listings!$A:$A,"Amazon")&gt;0,"Draft","Missing"))
</f>
        <v>Live</v>
      </c>
      <c r="C81" s="31" t="str">
        <f>IF(
 COUNTIFS(Channel_Listings!$D:$D,$A81,Channel_Listings!$A:$A,"Flipkart",Channel_Listings!$E:$E,"Live")&gt;0,"Live",
 IF(COUNTIFS(Channel_Listings!$D:$D,$A81,Channel_Listings!$A:$A,"Flipkart")&gt;0,"Draft","Missing"))
</f>
        <v>Missing</v>
      </c>
      <c r="D81" s="31" t="str">
        <f>IF(
 COUNTIFS(Channel_Listings!$D:$D,$A81,Channel_Listings!$A:$A,"Meesho",Channel_Listings!$E:$E,"Live")&gt;0,"Live",
 IF(COUNTIFS(Channel_Listings!$D:$D,$A81,Channel_Listings!$A:$A,"Meesho")&gt;0,"Draft","Missing"))
</f>
        <v>Missing</v>
      </c>
    </row>
    <row r="82" ht="15.75" customHeight="1">
      <c r="A82" s="30" t="s">
        <v>338</v>
      </c>
      <c r="B82" s="31" t="str">
        <f>IF(
 COUNTIFS(Channel_Listings!$D:$D,$A82,Channel_Listings!$A:$A,"Amazon",Channel_Listings!$E:$E,"Live")&gt;0,"Live",
 IF(COUNTIFS(Channel_Listings!$D:$D,$A82,Channel_Listings!$A:$A,"Amazon")&gt;0,"Draft","Missing"))
</f>
        <v>Live</v>
      </c>
      <c r="C82" s="31" t="str">
        <f>IF(
 COUNTIFS(Channel_Listings!$D:$D,$A82,Channel_Listings!$A:$A,"Flipkart",Channel_Listings!$E:$E,"Live")&gt;0,"Live",
 IF(COUNTIFS(Channel_Listings!$D:$D,$A82,Channel_Listings!$A:$A,"Flipkart")&gt;0,"Draft","Missing"))
</f>
        <v>Missing</v>
      </c>
      <c r="D82" s="31" t="str">
        <f>IF(
 COUNTIFS(Channel_Listings!$D:$D,$A82,Channel_Listings!$A:$A,"Meesho",Channel_Listings!$E:$E,"Live")&gt;0,"Live",
 IF(COUNTIFS(Channel_Listings!$D:$D,$A82,Channel_Listings!$A:$A,"Meesho")&gt;0,"Draft","Missing"))
</f>
        <v>Missing</v>
      </c>
    </row>
    <row r="83" ht="15.75" customHeight="1">
      <c r="A83" s="30" t="s">
        <v>368</v>
      </c>
      <c r="B83" s="31" t="str">
        <f>IF(
 COUNTIFS(Channel_Listings!$D:$D,$A83,Channel_Listings!$A:$A,"Amazon",Channel_Listings!$E:$E,"Live")&gt;0,"Live",
 IF(COUNTIFS(Channel_Listings!$D:$D,$A83,Channel_Listings!$A:$A,"Amazon")&gt;0,"Draft","Missing"))
</f>
        <v>Live</v>
      </c>
      <c r="C83" s="31" t="str">
        <f>IF(
 COUNTIFS(Channel_Listings!$D:$D,$A83,Channel_Listings!$A:$A,"Flipkart",Channel_Listings!$E:$E,"Live")&gt;0,"Live",
 IF(COUNTIFS(Channel_Listings!$D:$D,$A83,Channel_Listings!$A:$A,"Flipkart")&gt;0,"Draft","Missing"))
</f>
        <v>Missing</v>
      </c>
      <c r="D83" s="31" t="str">
        <f>IF(
 COUNTIFS(Channel_Listings!$D:$D,$A83,Channel_Listings!$A:$A,"Meesho",Channel_Listings!$E:$E,"Live")&gt;0,"Live",
 IF(COUNTIFS(Channel_Listings!$D:$D,$A83,Channel_Listings!$A:$A,"Meesho")&gt;0,"Draft","Missing"))
</f>
        <v>Missing</v>
      </c>
    </row>
    <row r="84" ht="15.75" customHeight="1">
      <c r="A84" s="30" t="s">
        <v>1310</v>
      </c>
      <c r="B84" s="31" t="str">
        <f>IF(
 COUNTIFS(Channel_Listings!$D:$D,$A84,Channel_Listings!$A:$A,"Amazon",Channel_Listings!$E:$E,"Live")&gt;0,"Live",
 IF(COUNTIFS(Channel_Listings!$D:$D,$A84,Channel_Listings!$A:$A,"Amazon")&gt;0,"Draft","Missing"))
</f>
        <v>Missing</v>
      </c>
      <c r="C84" s="31" t="str">
        <f>IF(
 COUNTIFS(Channel_Listings!$D:$D,$A84,Channel_Listings!$A:$A,"Flipkart",Channel_Listings!$E:$E,"Live")&gt;0,"Live",
 IF(COUNTIFS(Channel_Listings!$D:$D,$A84,Channel_Listings!$A:$A,"Flipkart")&gt;0,"Draft","Missing"))
</f>
        <v>Live</v>
      </c>
      <c r="D84" s="31" t="str">
        <f>IF(
 COUNTIFS(Channel_Listings!$D:$D,$A84,Channel_Listings!$A:$A,"Meesho",Channel_Listings!$E:$E,"Live")&gt;0,"Live",
 IF(COUNTIFS(Channel_Listings!$D:$D,$A84,Channel_Listings!$A:$A,"Meesho")&gt;0,"Draft","Missing"))
</f>
        <v>Missing</v>
      </c>
    </row>
    <row r="85" ht="15.75" customHeight="1">
      <c r="A85" s="30" t="s">
        <v>369</v>
      </c>
      <c r="B85" s="31" t="str">
        <f>IF(
 COUNTIFS(Channel_Listings!$D:$D,$A85,Channel_Listings!$A:$A,"Amazon",Channel_Listings!$E:$E,"Live")&gt;0,"Live",
 IF(COUNTIFS(Channel_Listings!$D:$D,$A85,Channel_Listings!$A:$A,"Amazon")&gt;0,"Draft","Missing"))
</f>
        <v>Live</v>
      </c>
      <c r="C85" s="31" t="str">
        <f>IF(
 COUNTIFS(Channel_Listings!$D:$D,$A85,Channel_Listings!$A:$A,"Flipkart",Channel_Listings!$E:$E,"Live")&gt;0,"Live",
 IF(COUNTIFS(Channel_Listings!$D:$D,$A85,Channel_Listings!$A:$A,"Flipkart")&gt;0,"Draft","Missing"))
</f>
        <v>Live</v>
      </c>
      <c r="D85" s="31" t="str">
        <f>IF(
 COUNTIFS(Channel_Listings!$D:$D,$A85,Channel_Listings!$A:$A,"Meesho",Channel_Listings!$E:$E,"Live")&gt;0,"Live",
 IF(COUNTIFS(Channel_Listings!$D:$D,$A85,Channel_Listings!$A:$A,"Meesho")&gt;0,"Draft","Missing"))
</f>
        <v>Missing</v>
      </c>
    </row>
    <row r="86" ht="15.75" customHeight="1">
      <c r="A86" s="30" t="s">
        <v>372</v>
      </c>
      <c r="B86" s="31" t="str">
        <f>IF(
 COUNTIFS(Channel_Listings!$D:$D,$A86,Channel_Listings!$A:$A,"Amazon",Channel_Listings!$E:$E,"Live")&gt;0,"Live",
 IF(COUNTIFS(Channel_Listings!$D:$D,$A86,Channel_Listings!$A:$A,"Amazon")&gt;0,"Draft","Missing"))
</f>
        <v>Live</v>
      </c>
      <c r="C86" s="31" t="str">
        <f>IF(
 COUNTIFS(Channel_Listings!$D:$D,$A86,Channel_Listings!$A:$A,"Flipkart",Channel_Listings!$E:$E,"Live")&gt;0,"Live",
 IF(COUNTIFS(Channel_Listings!$D:$D,$A86,Channel_Listings!$A:$A,"Flipkart")&gt;0,"Draft","Missing"))
</f>
        <v>Live</v>
      </c>
      <c r="D86" s="31" t="str">
        <f>IF(
 COUNTIFS(Channel_Listings!$D:$D,$A86,Channel_Listings!$A:$A,"Meesho",Channel_Listings!$E:$E,"Live")&gt;0,"Live",
 IF(COUNTIFS(Channel_Listings!$D:$D,$A86,Channel_Listings!$A:$A,"Meesho")&gt;0,"Draft","Missing"))
</f>
        <v>Live</v>
      </c>
    </row>
    <row r="87" ht="15.75" customHeight="1">
      <c r="A87" s="30" t="s">
        <v>1600</v>
      </c>
      <c r="B87" s="31" t="str">
        <f>IF(
 COUNTIFS(Channel_Listings!$D:$D,$A87,Channel_Listings!$A:$A,"Amazon",Channel_Listings!$E:$E,"Live")&gt;0,"Live",
 IF(COUNTIFS(Channel_Listings!$D:$D,$A87,Channel_Listings!$A:$A,"Amazon")&gt;0,"Draft","Missing"))
</f>
        <v>Missing</v>
      </c>
      <c r="C87" s="31" t="str">
        <f>IF(
 COUNTIFS(Channel_Listings!$D:$D,$A87,Channel_Listings!$A:$A,"Flipkart",Channel_Listings!$E:$E,"Live")&gt;0,"Live",
 IF(COUNTIFS(Channel_Listings!$D:$D,$A87,Channel_Listings!$A:$A,"Flipkart")&gt;0,"Draft","Missing"))
</f>
        <v>Live</v>
      </c>
      <c r="D87" s="31" t="str">
        <f>IF(
 COUNTIFS(Channel_Listings!$D:$D,$A87,Channel_Listings!$A:$A,"Meesho",Channel_Listings!$E:$E,"Live")&gt;0,"Live",
 IF(COUNTIFS(Channel_Listings!$D:$D,$A87,Channel_Listings!$A:$A,"Meesho")&gt;0,"Draft","Missing"))
</f>
        <v>Missing</v>
      </c>
    </row>
    <row r="88" ht="15.75" customHeight="1">
      <c r="A88" s="30" t="s">
        <v>374</v>
      </c>
      <c r="B88" s="31" t="str">
        <f>IF(
 COUNTIFS(Channel_Listings!$D:$D,$A88,Channel_Listings!$A:$A,"Amazon",Channel_Listings!$E:$E,"Live")&gt;0,"Live",
 IF(COUNTIFS(Channel_Listings!$D:$D,$A88,Channel_Listings!$A:$A,"Amazon")&gt;0,"Draft","Missing"))
</f>
        <v>Live</v>
      </c>
      <c r="C88" s="31" t="str">
        <f>IF(
 COUNTIFS(Channel_Listings!$D:$D,$A88,Channel_Listings!$A:$A,"Flipkart",Channel_Listings!$E:$E,"Live")&gt;0,"Live",
 IF(COUNTIFS(Channel_Listings!$D:$D,$A88,Channel_Listings!$A:$A,"Flipkart")&gt;0,"Draft","Missing"))
</f>
        <v>Missing</v>
      </c>
      <c r="D88" s="31" t="str">
        <f>IF(
 COUNTIFS(Channel_Listings!$D:$D,$A88,Channel_Listings!$A:$A,"Meesho",Channel_Listings!$E:$E,"Live")&gt;0,"Live",
 IF(COUNTIFS(Channel_Listings!$D:$D,$A88,Channel_Listings!$A:$A,"Meesho")&gt;0,"Draft","Missing"))
</f>
        <v>Missing</v>
      </c>
      <c r="E88" s="32" t="s">
        <v>1883</v>
      </c>
    </row>
    <row r="89" ht="15.75" customHeight="1">
      <c r="A89" s="30" t="s">
        <v>377</v>
      </c>
      <c r="B89" s="31" t="str">
        <f>IF(
 COUNTIFS(Channel_Listings!$D:$D,$A89,Channel_Listings!$A:$A,"Amazon",Channel_Listings!$E:$E,"Live")&gt;0,"Live",
 IF(COUNTIFS(Channel_Listings!$D:$D,$A89,Channel_Listings!$A:$A,"Amazon")&gt;0,"Draft","Missing"))
</f>
        <v>Live</v>
      </c>
      <c r="C89" s="31" t="str">
        <f>IF(
 COUNTIFS(Channel_Listings!$D:$D,$A89,Channel_Listings!$A:$A,"Flipkart",Channel_Listings!$E:$E,"Live")&gt;0,"Live",
 IF(COUNTIFS(Channel_Listings!$D:$D,$A89,Channel_Listings!$A:$A,"Flipkart")&gt;0,"Draft","Missing"))
</f>
        <v>Live</v>
      </c>
      <c r="D89" s="31" t="str">
        <f>IF(
 COUNTIFS(Channel_Listings!$D:$D,$A89,Channel_Listings!$A:$A,"Meesho",Channel_Listings!$E:$E,"Live")&gt;0,"Live",
 IF(COUNTIFS(Channel_Listings!$D:$D,$A89,Channel_Listings!$A:$A,"Meesho")&gt;0,"Draft","Missing"))
</f>
        <v>Live</v>
      </c>
      <c r="E89" s="32" t="s">
        <v>1883</v>
      </c>
    </row>
    <row r="90" ht="15.75" customHeight="1">
      <c r="A90" s="30" t="s">
        <v>460</v>
      </c>
      <c r="B90" s="31" t="str">
        <f>IF(
 COUNTIFS(Channel_Listings!$D:$D,$A90,Channel_Listings!$A:$A,"Amazon",Channel_Listings!$E:$E,"Live")&gt;0,"Live",
 IF(COUNTIFS(Channel_Listings!$D:$D,$A90,Channel_Listings!$A:$A,"Amazon")&gt;0,"Draft","Missing"))
</f>
        <v>Live</v>
      </c>
      <c r="C90" s="31" t="str">
        <f>IF(
 COUNTIFS(Channel_Listings!$D:$D,$A90,Channel_Listings!$A:$A,"Flipkart",Channel_Listings!$E:$E,"Live")&gt;0,"Live",
 IF(COUNTIFS(Channel_Listings!$D:$D,$A90,Channel_Listings!$A:$A,"Flipkart")&gt;0,"Draft","Missing"))
</f>
        <v>Live</v>
      </c>
      <c r="D90" s="31" t="str">
        <f>IF(
 COUNTIFS(Channel_Listings!$D:$D,$A90,Channel_Listings!$A:$A,"Meesho",Channel_Listings!$E:$E,"Live")&gt;0,"Live",
 IF(COUNTIFS(Channel_Listings!$D:$D,$A90,Channel_Listings!$A:$A,"Meesho")&gt;0,"Draft","Missing"))
</f>
        <v>Live</v>
      </c>
      <c r="E90" s="32" t="s">
        <v>1883</v>
      </c>
    </row>
    <row r="91" ht="15.75" customHeight="1">
      <c r="A91" s="30" t="s">
        <v>520</v>
      </c>
      <c r="B91" s="31" t="str">
        <f>IF(
 COUNTIFS(Channel_Listings!$D:$D,$A91,Channel_Listings!$A:$A,"Amazon",Channel_Listings!$E:$E,"Live")&gt;0,"Live",
 IF(COUNTIFS(Channel_Listings!$D:$D,$A91,Channel_Listings!$A:$A,"Amazon")&gt;0,"Draft","Missing"))
</f>
        <v>Live</v>
      </c>
      <c r="C91" s="31" t="str">
        <f>IF(
 COUNTIFS(Channel_Listings!$D:$D,$A91,Channel_Listings!$A:$A,"Flipkart",Channel_Listings!$E:$E,"Live")&gt;0,"Live",
 IF(COUNTIFS(Channel_Listings!$D:$D,$A91,Channel_Listings!$A:$A,"Flipkart")&gt;0,"Draft","Missing"))
</f>
        <v>Missing</v>
      </c>
      <c r="D91" s="31" t="str">
        <f>IF(
 COUNTIFS(Channel_Listings!$D:$D,$A91,Channel_Listings!$A:$A,"Meesho",Channel_Listings!$E:$E,"Live")&gt;0,"Live",
 IF(COUNTIFS(Channel_Listings!$D:$D,$A91,Channel_Listings!$A:$A,"Meesho")&gt;0,"Draft","Missing"))
</f>
        <v>Missing</v>
      </c>
      <c r="E91" s="32" t="s">
        <v>1883</v>
      </c>
    </row>
    <row r="92" ht="15.75" customHeight="1">
      <c r="A92" s="30" t="s">
        <v>376</v>
      </c>
      <c r="B92" s="31" t="str">
        <f>IF(
 COUNTIFS(Channel_Listings!$D:$D,$A92,Channel_Listings!$A:$A,"Amazon",Channel_Listings!$E:$E,"Live")&gt;0,"Live",
 IF(COUNTIFS(Channel_Listings!$D:$D,$A92,Channel_Listings!$A:$A,"Amazon")&gt;0,"Draft","Missing"))
</f>
        <v>Live</v>
      </c>
      <c r="C92" s="31" t="str">
        <f>IF(
 COUNTIFS(Channel_Listings!$D:$D,$A92,Channel_Listings!$A:$A,"Flipkart",Channel_Listings!$E:$E,"Live")&gt;0,"Live",
 IF(COUNTIFS(Channel_Listings!$D:$D,$A92,Channel_Listings!$A:$A,"Flipkart")&gt;0,"Draft","Missing"))
</f>
        <v>Live</v>
      </c>
      <c r="D92" s="31" t="str">
        <f>IF(
 COUNTIFS(Channel_Listings!$D:$D,$A92,Channel_Listings!$A:$A,"Meesho",Channel_Listings!$E:$E,"Live")&gt;0,"Live",
 IF(COUNTIFS(Channel_Listings!$D:$D,$A92,Channel_Listings!$A:$A,"Meesho")&gt;0,"Draft","Missing"))
</f>
        <v>Missing</v>
      </c>
      <c r="E92" s="32" t="s">
        <v>1883</v>
      </c>
    </row>
    <row r="93" ht="15.75" customHeight="1">
      <c r="A93" s="30" t="s">
        <v>378</v>
      </c>
      <c r="B93" s="31" t="str">
        <f>IF(
 COUNTIFS(Channel_Listings!$D:$D,$A93,Channel_Listings!$A:$A,"Amazon",Channel_Listings!$E:$E,"Live")&gt;0,"Live",
 IF(COUNTIFS(Channel_Listings!$D:$D,$A93,Channel_Listings!$A:$A,"Amazon")&gt;0,"Draft","Missing"))
</f>
        <v>Live</v>
      </c>
      <c r="C93" s="31" t="str">
        <f>IF(
 COUNTIFS(Channel_Listings!$D:$D,$A93,Channel_Listings!$A:$A,"Flipkart",Channel_Listings!$E:$E,"Live")&gt;0,"Live",
 IF(COUNTIFS(Channel_Listings!$D:$D,$A93,Channel_Listings!$A:$A,"Flipkart")&gt;0,"Draft","Missing"))
</f>
        <v>Live</v>
      </c>
      <c r="D93" s="31" t="str">
        <f>IF(
 COUNTIFS(Channel_Listings!$D:$D,$A93,Channel_Listings!$A:$A,"Meesho",Channel_Listings!$E:$E,"Live")&gt;0,"Live",
 IF(COUNTIFS(Channel_Listings!$D:$D,$A93,Channel_Listings!$A:$A,"Meesho")&gt;0,"Draft","Missing"))
</f>
        <v>Live</v>
      </c>
      <c r="E93" s="32" t="s">
        <v>1883</v>
      </c>
    </row>
    <row r="94" ht="15.75" customHeight="1">
      <c r="A94" s="30" t="s">
        <v>379</v>
      </c>
      <c r="B94" s="31" t="str">
        <f>IF(
 COUNTIFS(Channel_Listings!$D:$D,$A94,Channel_Listings!$A:$A,"Amazon",Channel_Listings!$E:$E,"Live")&gt;0,"Live",
 IF(COUNTIFS(Channel_Listings!$D:$D,$A94,Channel_Listings!$A:$A,"Amazon")&gt;0,"Draft","Missing"))
</f>
        <v>Live</v>
      </c>
      <c r="C94" s="31" t="str">
        <f>IF(
 COUNTIFS(Channel_Listings!$D:$D,$A94,Channel_Listings!$A:$A,"Flipkart",Channel_Listings!$E:$E,"Live")&gt;0,"Live",
 IF(COUNTIFS(Channel_Listings!$D:$D,$A94,Channel_Listings!$A:$A,"Flipkart")&gt;0,"Draft","Missing"))
</f>
        <v>Live</v>
      </c>
      <c r="D94" s="31" t="str">
        <f>IF(
 COUNTIFS(Channel_Listings!$D:$D,$A94,Channel_Listings!$A:$A,"Meesho",Channel_Listings!$E:$E,"Live")&gt;0,"Live",
 IF(COUNTIFS(Channel_Listings!$D:$D,$A94,Channel_Listings!$A:$A,"Meesho")&gt;0,"Draft","Missing"))
</f>
        <v>Live</v>
      </c>
      <c r="E94" s="32" t="s">
        <v>1883</v>
      </c>
    </row>
    <row r="95" ht="15.75" customHeight="1">
      <c r="A95" s="30" t="s">
        <v>380</v>
      </c>
      <c r="B95" s="31" t="str">
        <f>IF(
 COUNTIFS(Channel_Listings!$D:$D,$A95,Channel_Listings!$A:$A,"Amazon",Channel_Listings!$E:$E,"Live")&gt;0,"Live",
 IF(COUNTIFS(Channel_Listings!$D:$D,$A95,Channel_Listings!$A:$A,"Amazon")&gt;0,"Draft","Missing"))
</f>
        <v>Live</v>
      </c>
      <c r="C95" s="31" t="str">
        <f>IF(
 COUNTIFS(Channel_Listings!$D:$D,$A95,Channel_Listings!$A:$A,"Flipkart",Channel_Listings!$E:$E,"Live")&gt;0,"Live",
 IF(COUNTIFS(Channel_Listings!$D:$D,$A95,Channel_Listings!$A:$A,"Flipkart")&gt;0,"Draft","Missing"))
</f>
        <v>Live</v>
      </c>
      <c r="D95" s="31" t="str">
        <f>IF(
 COUNTIFS(Channel_Listings!$D:$D,$A95,Channel_Listings!$A:$A,"Meesho",Channel_Listings!$E:$E,"Live")&gt;0,"Live",
 IF(COUNTIFS(Channel_Listings!$D:$D,$A95,Channel_Listings!$A:$A,"Meesho")&gt;0,"Draft","Missing"))
</f>
        <v>Missing</v>
      </c>
      <c r="E95" s="32" t="s">
        <v>1883</v>
      </c>
    </row>
    <row r="96" ht="15.75" customHeight="1">
      <c r="A96" s="30" t="s">
        <v>381</v>
      </c>
      <c r="B96" s="31" t="str">
        <f>IF(
 COUNTIFS(Channel_Listings!$D:$D,$A96,Channel_Listings!$A:$A,"Amazon",Channel_Listings!$E:$E,"Live")&gt;0,"Live",
 IF(COUNTIFS(Channel_Listings!$D:$D,$A96,Channel_Listings!$A:$A,"Amazon")&gt;0,"Draft","Missing"))
</f>
        <v>Live</v>
      </c>
      <c r="C96" s="31" t="str">
        <f>IF(
 COUNTIFS(Channel_Listings!$D:$D,$A96,Channel_Listings!$A:$A,"Flipkart",Channel_Listings!$E:$E,"Live")&gt;0,"Live",
 IF(COUNTIFS(Channel_Listings!$D:$D,$A96,Channel_Listings!$A:$A,"Flipkart")&gt;0,"Draft","Missing"))
</f>
        <v>Live</v>
      </c>
      <c r="D96" s="31" t="str">
        <f>IF(
 COUNTIFS(Channel_Listings!$D:$D,$A96,Channel_Listings!$A:$A,"Meesho",Channel_Listings!$E:$E,"Live")&gt;0,"Live",
 IF(COUNTIFS(Channel_Listings!$D:$D,$A96,Channel_Listings!$A:$A,"Meesho")&gt;0,"Draft","Missing"))
</f>
        <v>Missing</v>
      </c>
      <c r="E96" s="32" t="s">
        <v>1883</v>
      </c>
    </row>
    <row r="97" ht="15.75" customHeight="1">
      <c r="A97" s="30" t="s">
        <v>382</v>
      </c>
      <c r="B97" s="31" t="str">
        <f>IF(
 COUNTIFS(Channel_Listings!$D:$D,$A97,Channel_Listings!$A:$A,"Amazon",Channel_Listings!$E:$E,"Live")&gt;0,"Live",
 IF(COUNTIFS(Channel_Listings!$D:$D,$A97,Channel_Listings!$A:$A,"Amazon")&gt;0,"Draft","Missing"))
</f>
        <v>Live</v>
      </c>
      <c r="C97" s="31" t="str">
        <f>IF(
 COUNTIFS(Channel_Listings!$D:$D,$A97,Channel_Listings!$A:$A,"Flipkart",Channel_Listings!$E:$E,"Live")&gt;0,"Live",
 IF(COUNTIFS(Channel_Listings!$D:$D,$A97,Channel_Listings!$A:$A,"Flipkart")&gt;0,"Draft","Missing"))
</f>
        <v>Live</v>
      </c>
      <c r="D97" s="31" t="str">
        <f>IF(
 COUNTIFS(Channel_Listings!$D:$D,$A97,Channel_Listings!$A:$A,"Meesho",Channel_Listings!$E:$E,"Live")&gt;0,"Live",
 IF(COUNTIFS(Channel_Listings!$D:$D,$A97,Channel_Listings!$A:$A,"Meesho")&gt;0,"Draft","Missing"))
</f>
        <v>Live</v>
      </c>
      <c r="E97" s="32" t="s">
        <v>1883</v>
      </c>
    </row>
    <row r="98" ht="15.75" customHeight="1">
      <c r="A98" s="30" t="s">
        <v>383</v>
      </c>
      <c r="B98" s="31" t="str">
        <f>IF(
 COUNTIFS(Channel_Listings!$D:$D,$A98,Channel_Listings!$A:$A,"Amazon",Channel_Listings!$E:$E,"Live")&gt;0,"Live",
 IF(COUNTIFS(Channel_Listings!$D:$D,$A98,Channel_Listings!$A:$A,"Amazon")&gt;0,"Draft","Missing"))
</f>
        <v>Live</v>
      </c>
      <c r="C98" s="31" t="str">
        <f>IF(
 COUNTIFS(Channel_Listings!$D:$D,$A98,Channel_Listings!$A:$A,"Flipkart",Channel_Listings!$E:$E,"Live")&gt;0,"Live",
 IF(COUNTIFS(Channel_Listings!$D:$D,$A98,Channel_Listings!$A:$A,"Flipkart")&gt;0,"Draft","Missing"))
</f>
        <v>Live</v>
      </c>
      <c r="D98" s="31" t="str">
        <f>IF(
 COUNTIFS(Channel_Listings!$D:$D,$A98,Channel_Listings!$A:$A,"Meesho",Channel_Listings!$E:$E,"Live")&gt;0,"Live",
 IF(COUNTIFS(Channel_Listings!$D:$D,$A98,Channel_Listings!$A:$A,"Meesho")&gt;0,"Draft","Missing"))
</f>
        <v>Live</v>
      </c>
      <c r="E98" s="32" t="s">
        <v>1883</v>
      </c>
    </row>
    <row r="99" ht="15.75" customHeight="1">
      <c r="A99" s="30" t="s">
        <v>384</v>
      </c>
      <c r="B99" s="31" t="str">
        <f>IF(
 COUNTIFS(Channel_Listings!$D:$D,$A99,Channel_Listings!$A:$A,"Amazon",Channel_Listings!$E:$E,"Live")&gt;0,"Live",
 IF(COUNTIFS(Channel_Listings!$D:$D,$A99,Channel_Listings!$A:$A,"Amazon")&gt;0,"Draft","Missing"))
</f>
        <v>Live</v>
      </c>
      <c r="C99" s="31" t="str">
        <f>IF(
 COUNTIFS(Channel_Listings!$D:$D,$A99,Channel_Listings!$A:$A,"Flipkart",Channel_Listings!$E:$E,"Live")&gt;0,"Live",
 IF(COUNTIFS(Channel_Listings!$D:$D,$A99,Channel_Listings!$A:$A,"Flipkart")&gt;0,"Draft","Missing"))
</f>
        <v>Live</v>
      </c>
      <c r="D99" s="31" t="str">
        <f>IF(
 COUNTIFS(Channel_Listings!$D:$D,$A99,Channel_Listings!$A:$A,"Meesho",Channel_Listings!$E:$E,"Live")&gt;0,"Live",
 IF(COUNTIFS(Channel_Listings!$D:$D,$A99,Channel_Listings!$A:$A,"Meesho")&gt;0,"Draft","Missing"))
</f>
        <v>Missing</v>
      </c>
      <c r="E99" s="32" t="s">
        <v>1883</v>
      </c>
    </row>
    <row r="100" ht="15.75" customHeight="1">
      <c r="A100" s="30" t="s">
        <v>546</v>
      </c>
      <c r="B100" s="31" t="str">
        <f>IF(
 COUNTIFS(Channel_Listings!$D:$D,$A100,Channel_Listings!$A:$A,"Amazon",Channel_Listings!$E:$E,"Live")&gt;0,"Live",
 IF(COUNTIFS(Channel_Listings!$D:$D,$A100,Channel_Listings!$A:$A,"Amazon")&gt;0,"Draft","Missing"))
</f>
        <v>Live</v>
      </c>
      <c r="C100" s="31" t="str">
        <f>IF(
 COUNTIFS(Channel_Listings!$D:$D,$A100,Channel_Listings!$A:$A,"Flipkart",Channel_Listings!$E:$E,"Live")&gt;0,"Live",
 IF(COUNTIFS(Channel_Listings!$D:$D,$A100,Channel_Listings!$A:$A,"Flipkart")&gt;0,"Draft","Missing"))
</f>
        <v>Live</v>
      </c>
      <c r="D100" s="31" t="str">
        <f>IF(
 COUNTIFS(Channel_Listings!$D:$D,$A100,Channel_Listings!$A:$A,"Meesho",Channel_Listings!$E:$E,"Live")&gt;0,"Live",
 IF(COUNTIFS(Channel_Listings!$D:$D,$A100,Channel_Listings!$A:$A,"Meesho")&gt;0,"Draft","Missing"))
</f>
        <v>Missing</v>
      </c>
      <c r="E100" s="32" t="s">
        <v>1883</v>
      </c>
    </row>
    <row r="101" ht="15.75" customHeight="1">
      <c r="A101" s="30" t="s">
        <v>137</v>
      </c>
      <c r="B101" s="31" t="str">
        <f>IF(
 COUNTIFS(Channel_Listings!$D:$D,$A101,Channel_Listings!$A:$A,"Amazon",Channel_Listings!$E:$E,"Live")&gt;0,"Live",
 IF(COUNTIFS(Channel_Listings!$D:$D,$A101,Channel_Listings!$A:$A,"Amazon")&gt;0,"Draft","Missing"))
</f>
        <v>Live</v>
      </c>
      <c r="C101" s="31" t="str">
        <f>IF(
 COUNTIFS(Channel_Listings!$D:$D,$A101,Channel_Listings!$A:$A,"Flipkart",Channel_Listings!$E:$E,"Live")&gt;0,"Live",
 IF(COUNTIFS(Channel_Listings!$D:$D,$A101,Channel_Listings!$A:$A,"Flipkart")&gt;0,"Draft","Missing"))
</f>
        <v>Live</v>
      </c>
      <c r="D101" s="31" t="str">
        <f>IF(
 COUNTIFS(Channel_Listings!$D:$D,$A101,Channel_Listings!$A:$A,"Meesho",Channel_Listings!$E:$E,"Live")&gt;0,"Live",
 IF(COUNTIFS(Channel_Listings!$D:$D,$A101,Channel_Listings!$A:$A,"Meesho")&gt;0,"Draft","Missing"))
</f>
        <v>Missing</v>
      </c>
      <c r="E101" s="32" t="s">
        <v>1883</v>
      </c>
    </row>
    <row r="102" ht="15.75" customHeight="1">
      <c r="A102" s="30" t="s">
        <v>385</v>
      </c>
      <c r="B102" s="31" t="str">
        <f>IF(
 COUNTIFS(Channel_Listings!$D:$D,$A102,Channel_Listings!$A:$A,"Amazon",Channel_Listings!$E:$E,"Live")&gt;0,"Live",
 IF(COUNTIFS(Channel_Listings!$D:$D,$A102,Channel_Listings!$A:$A,"Amazon")&gt;0,"Draft","Missing"))
</f>
        <v>Live</v>
      </c>
      <c r="C102" s="31" t="str">
        <f>IF(
 COUNTIFS(Channel_Listings!$D:$D,$A102,Channel_Listings!$A:$A,"Flipkart",Channel_Listings!$E:$E,"Live")&gt;0,"Live",
 IF(COUNTIFS(Channel_Listings!$D:$D,$A102,Channel_Listings!$A:$A,"Flipkart")&gt;0,"Draft","Missing"))
</f>
        <v>Missing</v>
      </c>
      <c r="D102" s="31" t="str">
        <f>IF(
 COUNTIFS(Channel_Listings!$D:$D,$A102,Channel_Listings!$A:$A,"Meesho",Channel_Listings!$E:$E,"Live")&gt;0,"Live",
 IF(COUNTIFS(Channel_Listings!$D:$D,$A102,Channel_Listings!$A:$A,"Meesho")&gt;0,"Draft","Missing"))
</f>
        <v>Missing</v>
      </c>
      <c r="E102" s="32" t="s">
        <v>1883</v>
      </c>
    </row>
    <row r="103" ht="15.75" customHeight="1">
      <c r="A103" s="30" t="s">
        <v>16</v>
      </c>
      <c r="B103" s="31" t="str">
        <f>IF(
 COUNTIFS(Channel_Listings!$D:$D,$A103,Channel_Listings!$A:$A,"Amazon",Channel_Listings!$E:$E,"Live")&gt;0,"Live",
 IF(COUNTIFS(Channel_Listings!$D:$D,$A103,Channel_Listings!$A:$A,"Amazon")&gt;0,"Draft","Missing"))
</f>
        <v>Live</v>
      </c>
      <c r="C103" s="31" t="str">
        <f>IF(
 COUNTIFS(Channel_Listings!$D:$D,$A103,Channel_Listings!$A:$A,"Flipkart",Channel_Listings!$E:$E,"Live")&gt;0,"Live",
 IF(COUNTIFS(Channel_Listings!$D:$D,$A103,Channel_Listings!$A:$A,"Flipkart")&gt;0,"Draft","Missing"))
</f>
        <v>Live</v>
      </c>
      <c r="D103" s="31" t="str">
        <f>IF(
 COUNTIFS(Channel_Listings!$D:$D,$A103,Channel_Listings!$A:$A,"Meesho",Channel_Listings!$E:$E,"Live")&gt;0,"Live",
 IF(COUNTIFS(Channel_Listings!$D:$D,$A103,Channel_Listings!$A:$A,"Meesho")&gt;0,"Draft","Missing"))
</f>
        <v>Live</v>
      </c>
      <c r="E103" s="32" t="s">
        <v>1883</v>
      </c>
    </row>
    <row r="104" ht="15.75" customHeight="1">
      <c r="A104" s="30" t="s">
        <v>548</v>
      </c>
      <c r="B104" s="31" t="str">
        <f>IF(
 COUNTIFS(Channel_Listings!$D:$D,$A104,Channel_Listings!$A:$A,"Amazon",Channel_Listings!$E:$E,"Live")&gt;0,"Live",
 IF(COUNTIFS(Channel_Listings!$D:$D,$A104,Channel_Listings!$A:$A,"Amazon")&gt;0,"Draft","Missing"))
</f>
        <v>Live</v>
      </c>
      <c r="C104" s="31" t="str">
        <f>IF(
 COUNTIFS(Channel_Listings!$D:$D,$A104,Channel_Listings!$A:$A,"Flipkart",Channel_Listings!$E:$E,"Live")&gt;0,"Live",
 IF(COUNTIFS(Channel_Listings!$D:$D,$A104,Channel_Listings!$A:$A,"Flipkart")&gt;0,"Draft","Missing"))
</f>
        <v>Live</v>
      </c>
      <c r="D104" s="31" t="str">
        <f>IF(
 COUNTIFS(Channel_Listings!$D:$D,$A104,Channel_Listings!$A:$A,"Meesho",Channel_Listings!$E:$E,"Live")&gt;0,"Live",
 IF(COUNTIFS(Channel_Listings!$D:$D,$A104,Channel_Listings!$A:$A,"Meesho")&gt;0,"Draft","Missing"))
</f>
        <v>Missing</v>
      </c>
      <c r="E104" s="32" t="s">
        <v>1881</v>
      </c>
    </row>
    <row r="105" ht="15.75" customHeight="1">
      <c r="A105" s="30" t="s">
        <v>551</v>
      </c>
      <c r="B105" s="31" t="str">
        <f>IF(
 COUNTIFS(Channel_Listings!$D:$D,$A105,Channel_Listings!$A:$A,"Amazon",Channel_Listings!$E:$E,"Live")&gt;0,"Live",
 IF(COUNTIFS(Channel_Listings!$D:$D,$A105,Channel_Listings!$A:$A,"Amazon")&gt;0,"Draft","Missing"))
</f>
        <v>Live</v>
      </c>
      <c r="C105" s="31" t="str">
        <f>IF(
 COUNTIFS(Channel_Listings!$D:$D,$A105,Channel_Listings!$A:$A,"Flipkart",Channel_Listings!$E:$E,"Live")&gt;0,"Live",
 IF(COUNTIFS(Channel_Listings!$D:$D,$A105,Channel_Listings!$A:$A,"Flipkart")&gt;0,"Draft","Missing"))
</f>
        <v>Live</v>
      </c>
      <c r="D105" s="31" t="str">
        <f>IF(
 COUNTIFS(Channel_Listings!$D:$D,$A105,Channel_Listings!$A:$A,"Meesho",Channel_Listings!$E:$E,"Live")&gt;0,"Live",
 IF(COUNTIFS(Channel_Listings!$D:$D,$A105,Channel_Listings!$A:$A,"Meesho")&gt;0,"Draft","Missing"))
</f>
        <v>Missing</v>
      </c>
      <c r="E105" s="32" t="s">
        <v>1881</v>
      </c>
    </row>
    <row r="106" ht="15.75" customHeight="1">
      <c r="A106" s="30" t="s">
        <v>553</v>
      </c>
      <c r="B106" s="31" t="str">
        <f>IF(
 COUNTIFS(Channel_Listings!$D:$D,$A106,Channel_Listings!$A:$A,"Amazon",Channel_Listings!$E:$E,"Live")&gt;0,"Live",
 IF(COUNTIFS(Channel_Listings!$D:$D,$A106,Channel_Listings!$A:$A,"Amazon")&gt;0,"Draft","Missing"))
</f>
        <v>Live</v>
      </c>
      <c r="C106" s="31" t="str">
        <f>IF(
 COUNTIFS(Channel_Listings!$D:$D,$A106,Channel_Listings!$A:$A,"Flipkart",Channel_Listings!$E:$E,"Live")&gt;0,"Live",
 IF(COUNTIFS(Channel_Listings!$D:$D,$A106,Channel_Listings!$A:$A,"Flipkart")&gt;0,"Draft","Missing"))
</f>
        <v>Live</v>
      </c>
      <c r="D106" s="31" t="str">
        <f>IF(
 COUNTIFS(Channel_Listings!$D:$D,$A106,Channel_Listings!$A:$A,"Meesho",Channel_Listings!$E:$E,"Live")&gt;0,"Live",
 IF(COUNTIFS(Channel_Listings!$D:$D,$A106,Channel_Listings!$A:$A,"Meesho")&gt;0,"Draft","Missing"))
</f>
        <v>Missing</v>
      </c>
      <c r="E106" s="32" t="s">
        <v>1881</v>
      </c>
    </row>
    <row r="107" ht="15.75" customHeight="1">
      <c r="A107" s="30" t="s">
        <v>555</v>
      </c>
      <c r="B107" s="31" t="str">
        <f>IF(
 COUNTIFS(Channel_Listings!$D:$D,$A107,Channel_Listings!$A:$A,"Amazon",Channel_Listings!$E:$E,"Live")&gt;0,"Live",
 IF(COUNTIFS(Channel_Listings!$D:$D,$A107,Channel_Listings!$A:$A,"Amazon")&gt;0,"Draft","Missing"))
</f>
        <v>Live</v>
      </c>
      <c r="C107" s="31" t="str">
        <f>IF(
 COUNTIFS(Channel_Listings!$D:$D,$A107,Channel_Listings!$A:$A,"Flipkart",Channel_Listings!$E:$E,"Live")&gt;0,"Live",
 IF(COUNTIFS(Channel_Listings!$D:$D,$A107,Channel_Listings!$A:$A,"Flipkart")&gt;0,"Draft","Missing"))
</f>
        <v>Live</v>
      </c>
      <c r="D107" s="31" t="str">
        <f>IF(
 COUNTIFS(Channel_Listings!$D:$D,$A107,Channel_Listings!$A:$A,"Meesho",Channel_Listings!$E:$E,"Live")&gt;0,"Live",
 IF(COUNTIFS(Channel_Listings!$D:$D,$A107,Channel_Listings!$A:$A,"Meesho")&gt;0,"Draft","Missing"))
</f>
        <v>Missing</v>
      </c>
      <c r="E107" s="32" t="s">
        <v>1881</v>
      </c>
    </row>
    <row r="108" ht="15.75" customHeight="1">
      <c r="A108" s="30" t="s">
        <v>557</v>
      </c>
      <c r="B108" s="31" t="str">
        <f>IF(
 COUNTIFS(Channel_Listings!$D:$D,$A108,Channel_Listings!$A:$A,"Amazon",Channel_Listings!$E:$E,"Live")&gt;0,"Live",
 IF(COUNTIFS(Channel_Listings!$D:$D,$A108,Channel_Listings!$A:$A,"Amazon")&gt;0,"Draft","Missing"))
</f>
        <v>Live</v>
      </c>
      <c r="C108" s="31" t="str">
        <f>IF(
 COUNTIFS(Channel_Listings!$D:$D,$A108,Channel_Listings!$A:$A,"Flipkart",Channel_Listings!$E:$E,"Live")&gt;0,"Live",
 IF(COUNTIFS(Channel_Listings!$D:$D,$A108,Channel_Listings!$A:$A,"Flipkart")&gt;0,"Draft","Missing"))
</f>
        <v>Live</v>
      </c>
      <c r="D108" s="31" t="str">
        <f>IF(
 COUNTIFS(Channel_Listings!$D:$D,$A108,Channel_Listings!$A:$A,"Meesho",Channel_Listings!$E:$E,"Live")&gt;0,"Live",
 IF(COUNTIFS(Channel_Listings!$D:$D,$A108,Channel_Listings!$A:$A,"Meesho")&gt;0,"Draft","Missing"))
</f>
        <v>Missing</v>
      </c>
      <c r="E108" s="32" t="s">
        <v>1881</v>
      </c>
    </row>
    <row r="109" ht="15.75" customHeight="1">
      <c r="A109" s="30" t="s">
        <v>559</v>
      </c>
      <c r="B109" s="31" t="str">
        <f>IF(
 COUNTIFS(Channel_Listings!$D:$D,$A109,Channel_Listings!$A:$A,"Amazon",Channel_Listings!$E:$E,"Live")&gt;0,"Live",
 IF(COUNTIFS(Channel_Listings!$D:$D,$A109,Channel_Listings!$A:$A,"Amazon")&gt;0,"Draft","Missing"))
</f>
        <v>Live</v>
      </c>
      <c r="C109" s="31" t="str">
        <f>IF(
 COUNTIFS(Channel_Listings!$D:$D,$A109,Channel_Listings!$A:$A,"Flipkart",Channel_Listings!$E:$E,"Live")&gt;0,"Live",
 IF(COUNTIFS(Channel_Listings!$D:$D,$A109,Channel_Listings!$A:$A,"Flipkart")&gt;0,"Draft","Missing"))
</f>
        <v>Live</v>
      </c>
      <c r="D109" s="31" t="str">
        <f>IF(
 COUNTIFS(Channel_Listings!$D:$D,$A109,Channel_Listings!$A:$A,"Meesho",Channel_Listings!$E:$E,"Live")&gt;0,"Live",
 IF(COUNTIFS(Channel_Listings!$D:$D,$A109,Channel_Listings!$A:$A,"Meesho")&gt;0,"Draft","Missing"))
</f>
        <v>Missing</v>
      </c>
      <c r="E109" s="32" t="s">
        <v>1881</v>
      </c>
    </row>
    <row r="110" ht="15.75" customHeight="1">
      <c r="A110" s="30" t="s">
        <v>561</v>
      </c>
      <c r="B110" s="31" t="str">
        <f>IF(
 COUNTIFS(Channel_Listings!$D:$D,$A110,Channel_Listings!$A:$A,"Amazon",Channel_Listings!$E:$E,"Live")&gt;0,"Live",
 IF(COUNTIFS(Channel_Listings!$D:$D,$A110,Channel_Listings!$A:$A,"Amazon")&gt;0,"Draft","Missing"))
</f>
        <v>Live</v>
      </c>
      <c r="C110" s="31" t="str">
        <f>IF(
 COUNTIFS(Channel_Listings!$D:$D,$A110,Channel_Listings!$A:$A,"Flipkart",Channel_Listings!$E:$E,"Live")&gt;0,"Live",
 IF(COUNTIFS(Channel_Listings!$D:$D,$A110,Channel_Listings!$A:$A,"Flipkart")&gt;0,"Draft","Missing"))
</f>
        <v>Live</v>
      </c>
      <c r="D110" s="31" t="str">
        <f>IF(
 COUNTIFS(Channel_Listings!$D:$D,$A110,Channel_Listings!$A:$A,"Meesho",Channel_Listings!$E:$E,"Live")&gt;0,"Live",
 IF(COUNTIFS(Channel_Listings!$D:$D,$A110,Channel_Listings!$A:$A,"Meesho")&gt;0,"Draft","Missing"))
</f>
        <v>Missing</v>
      </c>
      <c r="E110" s="32" t="s">
        <v>1881</v>
      </c>
    </row>
    <row r="111" ht="15.75" customHeight="1">
      <c r="A111" s="30" t="s">
        <v>563</v>
      </c>
      <c r="B111" s="31" t="str">
        <f>IF(
 COUNTIFS(Channel_Listings!$D:$D,$A111,Channel_Listings!$A:$A,"Amazon",Channel_Listings!$E:$E,"Live")&gt;0,"Live",
 IF(COUNTIFS(Channel_Listings!$D:$D,$A111,Channel_Listings!$A:$A,"Amazon")&gt;0,"Draft","Missing"))
</f>
        <v>Live</v>
      </c>
      <c r="C111" s="31" t="str">
        <f>IF(
 COUNTIFS(Channel_Listings!$D:$D,$A111,Channel_Listings!$A:$A,"Flipkart",Channel_Listings!$E:$E,"Live")&gt;0,"Live",
 IF(COUNTIFS(Channel_Listings!$D:$D,$A111,Channel_Listings!$A:$A,"Flipkart")&gt;0,"Draft","Missing"))
</f>
        <v>Live</v>
      </c>
      <c r="D111" s="31" t="str">
        <f>IF(
 COUNTIFS(Channel_Listings!$D:$D,$A111,Channel_Listings!$A:$A,"Meesho",Channel_Listings!$E:$E,"Live")&gt;0,"Live",
 IF(COUNTIFS(Channel_Listings!$D:$D,$A111,Channel_Listings!$A:$A,"Meesho")&gt;0,"Draft","Missing"))
</f>
        <v>Missing</v>
      </c>
      <c r="E111" s="32" t="s">
        <v>1881</v>
      </c>
    </row>
    <row r="112" ht="15.75" customHeight="1">
      <c r="A112" s="30" t="s">
        <v>565</v>
      </c>
      <c r="B112" s="31" t="str">
        <f>IF(
 COUNTIFS(Channel_Listings!$D:$D,$A112,Channel_Listings!$A:$A,"Amazon",Channel_Listings!$E:$E,"Live")&gt;0,"Live",
 IF(COUNTIFS(Channel_Listings!$D:$D,$A112,Channel_Listings!$A:$A,"Amazon")&gt;0,"Draft","Missing"))
</f>
        <v>Live</v>
      </c>
      <c r="C112" s="31" t="str">
        <f>IF(
 COUNTIFS(Channel_Listings!$D:$D,$A112,Channel_Listings!$A:$A,"Flipkart",Channel_Listings!$E:$E,"Live")&gt;0,"Live",
 IF(COUNTIFS(Channel_Listings!$D:$D,$A112,Channel_Listings!$A:$A,"Flipkart")&gt;0,"Draft","Missing"))
</f>
        <v>Live</v>
      </c>
      <c r="D112" s="31" t="str">
        <f>IF(
 COUNTIFS(Channel_Listings!$D:$D,$A112,Channel_Listings!$A:$A,"Meesho",Channel_Listings!$E:$E,"Live")&gt;0,"Live",
 IF(COUNTIFS(Channel_Listings!$D:$D,$A112,Channel_Listings!$A:$A,"Meesho")&gt;0,"Draft","Missing"))
</f>
        <v>Missing</v>
      </c>
      <c r="E112" s="32" t="s">
        <v>1881</v>
      </c>
    </row>
    <row r="113" ht="15.75" customHeight="1">
      <c r="A113" s="30" t="s">
        <v>567</v>
      </c>
      <c r="B113" s="31" t="str">
        <f>IF(
 COUNTIFS(Channel_Listings!$D:$D,$A113,Channel_Listings!$A:$A,"Amazon",Channel_Listings!$E:$E,"Live")&gt;0,"Live",
 IF(COUNTIFS(Channel_Listings!$D:$D,$A113,Channel_Listings!$A:$A,"Amazon")&gt;0,"Draft","Missing"))
</f>
        <v>Live</v>
      </c>
      <c r="C113" s="31" t="str">
        <f>IF(
 COUNTIFS(Channel_Listings!$D:$D,$A113,Channel_Listings!$A:$A,"Flipkart",Channel_Listings!$E:$E,"Live")&gt;0,"Live",
 IF(COUNTIFS(Channel_Listings!$D:$D,$A113,Channel_Listings!$A:$A,"Flipkart")&gt;0,"Draft","Missing"))
</f>
        <v>Live</v>
      </c>
      <c r="D113" s="31" t="str">
        <f>IF(
 COUNTIFS(Channel_Listings!$D:$D,$A113,Channel_Listings!$A:$A,"Meesho",Channel_Listings!$E:$E,"Live")&gt;0,"Live",
 IF(COUNTIFS(Channel_Listings!$D:$D,$A113,Channel_Listings!$A:$A,"Meesho")&gt;0,"Draft","Missing"))
</f>
        <v>Missing</v>
      </c>
      <c r="E113" s="32" t="s">
        <v>1881</v>
      </c>
    </row>
    <row r="114" ht="15.75" customHeight="1">
      <c r="A114" s="30" t="s">
        <v>569</v>
      </c>
      <c r="B114" s="31" t="str">
        <f>IF(
 COUNTIFS(Channel_Listings!$D:$D,$A114,Channel_Listings!$A:$A,"Amazon",Channel_Listings!$E:$E,"Live")&gt;0,"Live",
 IF(COUNTIFS(Channel_Listings!$D:$D,$A114,Channel_Listings!$A:$A,"Amazon")&gt;0,"Draft","Missing"))
</f>
        <v>Live</v>
      </c>
      <c r="C114" s="31" t="str">
        <f>IF(
 COUNTIFS(Channel_Listings!$D:$D,$A114,Channel_Listings!$A:$A,"Flipkart",Channel_Listings!$E:$E,"Live")&gt;0,"Live",
 IF(COUNTIFS(Channel_Listings!$D:$D,$A114,Channel_Listings!$A:$A,"Flipkart")&gt;0,"Draft","Missing"))
</f>
        <v>Live</v>
      </c>
      <c r="D114" s="31" t="str">
        <f>IF(
 COUNTIFS(Channel_Listings!$D:$D,$A114,Channel_Listings!$A:$A,"Meesho",Channel_Listings!$E:$E,"Live")&gt;0,"Live",
 IF(COUNTIFS(Channel_Listings!$D:$D,$A114,Channel_Listings!$A:$A,"Meesho")&gt;0,"Draft","Missing"))
</f>
        <v>Missing</v>
      </c>
      <c r="E114" s="32" t="s">
        <v>1881</v>
      </c>
    </row>
    <row r="115" ht="15.75" customHeight="1">
      <c r="A115" s="30" t="s">
        <v>571</v>
      </c>
      <c r="B115" s="31" t="str">
        <f>IF(
 COUNTIFS(Channel_Listings!$D:$D,$A115,Channel_Listings!$A:$A,"Amazon",Channel_Listings!$E:$E,"Live")&gt;0,"Live",
 IF(COUNTIFS(Channel_Listings!$D:$D,$A115,Channel_Listings!$A:$A,"Amazon")&gt;0,"Draft","Missing"))
</f>
        <v>Live</v>
      </c>
      <c r="C115" s="31" t="str">
        <f>IF(
 COUNTIFS(Channel_Listings!$D:$D,$A115,Channel_Listings!$A:$A,"Flipkart",Channel_Listings!$E:$E,"Live")&gt;0,"Live",
 IF(COUNTIFS(Channel_Listings!$D:$D,$A115,Channel_Listings!$A:$A,"Flipkart")&gt;0,"Draft","Missing"))
</f>
        <v>Live</v>
      </c>
      <c r="D115" s="31" t="str">
        <f>IF(
 COUNTIFS(Channel_Listings!$D:$D,$A115,Channel_Listings!$A:$A,"Meesho",Channel_Listings!$E:$E,"Live")&gt;0,"Live",
 IF(COUNTIFS(Channel_Listings!$D:$D,$A115,Channel_Listings!$A:$A,"Meesho")&gt;0,"Draft","Missing"))
</f>
        <v>Missing</v>
      </c>
      <c r="E115" s="32" t="s">
        <v>1881</v>
      </c>
    </row>
    <row r="116" ht="15.75" customHeight="1">
      <c r="A116" s="30" t="s">
        <v>573</v>
      </c>
      <c r="B116" s="31" t="str">
        <f>IF(
 COUNTIFS(Channel_Listings!$D:$D,$A116,Channel_Listings!$A:$A,"Amazon",Channel_Listings!$E:$E,"Live")&gt;0,"Live",
 IF(COUNTIFS(Channel_Listings!$D:$D,$A116,Channel_Listings!$A:$A,"Amazon")&gt;0,"Draft","Missing"))
</f>
        <v>Live</v>
      </c>
      <c r="C116" s="31" t="str">
        <f>IF(
 COUNTIFS(Channel_Listings!$D:$D,$A116,Channel_Listings!$A:$A,"Flipkart",Channel_Listings!$E:$E,"Live")&gt;0,"Live",
 IF(COUNTIFS(Channel_Listings!$D:$D,$A116,Channel_Listings!$A:$A,"Flipkart")&gt;0,"Draft","Missing"))
</f>
        <v>Live</v>
      </c>
      <c r="D116" s="31" t="str">
        <f>IF(
 COUNTIFS(Channel_Listings!$D:$D,$A116,Channel_Listings!$A:$A,"Meesho",Channel_Listings!$E:$E,"Live")&gt;0,"Live",
 IF(COUNTIFS(Channel_Listings!$D:$D,$A116,Channel_Listings!$A:$A,"Meesho")&gt;0,"Draft","Missing"))
</f>
        <v>Missing</v>
      </c>
      <c r="E116" s="32" t="s">
        <v>1881</v>
      </c>
    </row>
    <row r="117" ht="15.75" customHeight="1">
      <c r="A117" s="30" t="s">
        <v>575</v>
      </c>
      <c r="B117" s="31" t="str">
        <f>IF(
 COUNTIFS(Channel_Listings!$D:$D,$A117,Channel_Listings!$A:$A,"Amazon",Channel_Listings!$E:$E,"Live")&gt;0,"Live",
 IF(COUNTIFS(Channel_Listings!$D:$D,$A117,Channel_Listings!$A:$A,"Amazon")&gt;0,"Draft","Missing"))
</f>
        <v>Live</v>
      </c>
      <c r="C117" s="31" t="str">
        <f>IF(
 COUNTIFS(Channel_Listings!$D:$D,$A117,Channel_Listings!$A:$A,"Flipkart",Channel_Listings!$E:$E,"Live")&gt;0,"Live",
 IF(COUNTIFS(Channel_Listings!$D:$D,$A117,Channel_Listings!$A:$A,"Flipkart")&gt;0,"Draft","Missing"))
</f>
        <v>Live</v>
      </c>
      <c r="D117" s="31" t="str">
        <f>IF(
 COUNTIFS(Channel_Listings!$D:$D,$A117,Channel_Listings!$A:$A,"Meesho",Channel_Listings!$E:$E,"Live")&gt;0,"Live",
 IF(COUNTIFS(Channel_Listings!$D:$D,$A117,Channel_Listings!$A:$A,"Meesho")&gt;0,"Draft","Missing"))
</f>
        <v>Missing</v>
      </c>
      <c r="E117" s="32" t="s">
        <v>1881</v>
      </c>
    </row>
    <row r="118" ht="15.75" customHeight="1">
      <c r="A118" s="30" t="s">
        <v>577</v>
      </c>
      <c r="B118" s="31" t="str">
        <f>IF(
 COUNTIFS(Channel_Listings!$D:$D,$A118,Channel_Listings!$A:$A,"Amazon",Channel_Listings!$E:$E,"Live")&gt;0,"Live",
 IF(COUNTIFS(Channel_Listings!$D:$D,$A118,Channel_Listings!$A:$A,"Amazon")&gt;0,"Draft","Missing"))
</f>
        <v>Live</v>
      </c>
      <c r="C118" s="31" t="str">
        <f>IF(
 COUNTIFS(Channel_Listings!$D:$D,$A118,Channel_Listings!$A:$A,"Flipkart",Channel_Listings!$E:$E,"Live")&gt;0,"Live",
 IF(COUNTIFS(Channel_Listings!$D:$D,$A118,Channel_Listings!$A:$A,"Flipkart")&gt;0,"Draft","Missing"))
</f>
        <v>Live</v>
      </c>
      <c r="D118" s="31" t="str">
        <f>IF(
 COUNTIFS(Channel_Listings!$D:$D,$A118,Channel_Listings!$A:$A,"Meesho",Channel_Listings!$E:$E,"Live")&gt;0,"Live",
 IF(COUNTIFS(Channel_Listings!$D:$D,$A118,Channel_Listings!$A:$A,"Meesho")&gt;0,"Draft","Missing"))
</f>
        <v>Missing</v>
      </c>
      <c r="E118" s="32" t="s">
        <v>1881</v>
      </c>
    </row>
    <row r="119" ht="15.75" customHeight="1">
      <c r="A119" s="30" t="s">
        <v>580</v>
      </c>
      <c r="B119" s="31" t="str">
        <f>IF(
 COUNTIFS(Channel_Listings!$D:$D,$A119,Channel_Listings!$A:$A,"Amazon",Channel_Listings!$E:$E,"Live")&gt;0,"Live",
 IF(COUNTIFS(Channel_Listings!$D:$D,$A119,Channel_Listings!$A:$A,"Amazon")&gt;0,"Draft","Missing"))
</f>
        <v>Live</v>
      </c>
      <c r="C119" s="31" t="str">
        <f>IF(
 COUNTIFS(Channel_Listings!$D:$D,$A119,Channel_Listings!$A:$A,"Flipkart",Channel_Listings!$E:$E,"Live")&gt;0,"Live",
 IF(COUNTIFS(Channel_Listings!$D:$D,$A119,Channel_Listings!$A:$A,"Flipkart")&gt;0,"Draft","Missing"))
</f>
        <v>Live</v>
      </c>
      <c r="D119" s="31" t="str">
        <f>IF(
 COUNTIFS(Channel_Listings!$D:$D,$A119,Channel_Listings!$A:$A,"Meesho",Channel_Listings!$E:$E,"Live")&gt;0,"Live",
 IF(COUNTIFS(Channel_Listings!$D:$D,$A119,Channel_Listings!$A:$A,"Meesho")&gt;0,"Draft","Missing"))
</f>
        <v>Missing</v>
      </c>
      <c r="E119" s="32" t="s">
        <v>1881</v>
      </c>
    </row>
    <row r="120" ht="15.75" customHeight="1">
      <c r="A120" s="30" t="s">
        <v>582</v>
      </c>
      <c r="B120" s="31" t="str">
        <f>IF(
 COUNTIFS(Channel_Listings!$D:$D,$A120,Channel_Listings!$A:$A,"Amazon",Channel_Listings!$E:$E,"Live")&gt;0,"Live",
 IF(COUNTIFS(Channel_Listings!$D:$D,$A120,Channel_Listings!$A:$A,"Amazon")&gt;0,"Draft","Missing"))
</f>
        <v>Live</v>
      </c>
      <c r="C120" s="31" t="str">
        <f>IF(
 COUNTIFS(Channel_Listings!$D:$D,$A120,Channel_Listings!$A:$A,"Flipkart",Channel_Listings!$E:$E,"Live")&gt;0,"Live",
 IF(COUNTIFS(Channel_Listings!$D:$D,$A120,Channel_Listings!$A:$A,"Flipkart")&gt;0,"Draft","Missing"))
</f>
        <v>Live</v>
      </c>
      <c r="D120" s="31" t="str">
        <f>IF(
 COUNTIFS(Channel_Listings!$D:$D,$A120,Channel_Listings!$A:$A,"Meesho",Channel_Listings!$E:$E,"Live")&gt;0,"Live",
 IF(COUNTIFS(Channel_Listings!$D:$D,$A120,Channel_Listings!$A:$A,"Meesho")&gt;0,"Draft","Missing"))
</f>
        <v>Missing</v>
      </c>
      <c r="E120" s="32" t="s">
        <v>1881</v>
      </c>
    </row>
    <row r="121" ht="15.75" customHeight="1">
      <c r="A121" s="30" t="s">
        <v>584</v>
      </c>
      <c r="B121" s="31" t="str">
        <f>IF(
 COUNTIFS(Channel_Listings!$D:$D,$A121,Channel_Listings!$A:$A,"Amazon",Channel_Listings!$E:$E,"Live")&gt;0,"Live",
 IF(COUNTIFS(Channel_Listings!$D:$D,$A121,Channel_Listings!$A:$A,"Amazon")&gt;0,"Draft","Missing"))
</f>
        <v>Live</v>
      </c>
      <c r="C121" s="31" t="str">
        <f>IF(
 COUNTIFS(Channel_Listings!$D:$D,$A121,Channel_Listings!$A:$A,"Flipkart",Channel_Listings!$E:$E,"Live")&gt;0,"Live",
 IF(COUNTIFS(Channel_Listings!$D:$D,$A121,Channel_Listings!$A:$A,"Flipkart")&gt;0,"Draft","Missing"))
</f>
        <v>Live</v>
      </c>
      <c r="D121" s="31" t="str">
        <f>IF(
 COUNTIFS(Channel_Listings!$D:$D,$A121,Channel_Listings!$A:$A,"Meesho",Channel_Listings!$E:$E,"Live")&gt;0,"Live",
 IF(COUNTIFS(Channel_Listings!$D:$D,$A121,Channel_Listings!$A:$A,"Meesho")&gt;0,"Draft","Missing"))
</f>
        <v>Missing</v>
      </c>
      <c r="E121" s="32" t="s">
        <v>1881</v>
      </c>
    </row>
    <row r="122" ht="15.75" customHeight="1">
      <c r="A122" s="30" t="s">
        <v>586</v>
      </c>
      <c r="B122" s="31" t="str">
        <f>IF(
 COUNTIFS(Channel_Listings!$D:$D,$A122,Channel_Listings!$A:$A,"Amazon",Channel_Listings!$E:$E,"Live")&gt;0,"Live",
 IF(COUNTIFS(Channel_Listings!$D:$D,$A122,Channel_Listings!$A:$A,"Amazon")&gt;0,"Draft","Missing"))
</f>
        <v>Live</v>
      </c>
      <c r="C122" s="31" t="str">
        <f>IF(
 COUNTIFS(Channel_Listings!$D:$D,$A122,Channel_Listings!$A:$A,"Flipkart",Channel_Listings!$E:$E,"Live")&gt;0,"Live",
 IF(COUNTIFS(Channel_Listings!$D:$D,$A122,Channel_Listings!$A:$A,"Flipkart")&gt;0,"Draft","Missing"))
</f>
        <v>Live</v>
      </c>
      <c r="D122" s="31" t="str">
        <f>IF(
 COUNTIFS(Channel_Listings!$D:$D,$A122,Channel_Listings!$A:$A,"Meesho",Channel_Listings!$E:$E,"Live")&gt;0,"Live",
 IF(COUNTIFS(Channel_Listings!$D:$D,$A122,Channel_Listings!$A:$A,"Meesho")&gt;0,"Draft","Missing"))
</f>
        <v>Missing</v>
      </c>
      <c r="E122" s="32" t="s">
        <v>1881</v>
      </c>
    </row>
    <row r="123" ht="15.75" customHeight="1">
      <c r="A123" s="30" t="s">
        <v>588</v>
      </c>
      <c r="B123" s="31" t="str">
        <f>IF(
 COUNTIFS(Channel_Listings!$D:$D,$A123,Channel_Listings!$A:$A,"Amazon",Channel_Listings!$E:$E,"Live")&gt;0,"Live",
 IF(COUNTIFS(Channel_Listings!$D:$D,$A123,Channel_Listings!$A:$A,"Amazon")&gt;0,"Draft","Missing"))
</f>
        <v>Live</v>
      </c>
      <c r="C123" s="31" t="str">
        <f>IF(
 COUNTIFS(Channel_Listings!$D:$D,$A123,Channel_Listings!$A:$A,"Flipkart",Channel_Listings!$E:$E,"Live")&gt;0,"Live",
 IF(COUNTIFS(Channel_Listings!$D:$D,$A123,Channel_Listings!$A:$A,"Flipkart")&gt;0,"Draft","Missing"))
</f>
        <v>Live</v>
      </c>
      <c r="D123" s="31" t="str">
        <f>IF(
 COUNTIFS(Channel_Listings!$D:$D,$A123,Channel_Listings!$A:$A,"Meesho",Channel_Listings!$E:$E,"Live")&gt;0,"Live",
 IF(COUNTIFS(Channel_Listings!$D:$D,$A123,Channel_Listings!$A:$A,"Meesho")&gt;0,"Draft","Missing"))
</f>
        <v>Missing</v>
      </c>
      <c r="E123" s="32" t="s">
        <v>1881</v>
      </c>
    </row>
    <row r="124" ht="15.75" customHeight="1">
      <c r="A124" s="30" t="s">
        <v>591</v>
      </c>
      <c r="B124" s="31" t="str">
        <f>IF(
 COUNTIFS(Channel_Listings!$D:$D,$A124,Channel_Listings!$A:$A,"Amazon",Channel_Listings!$E:$E,"Live")&gt;0,"Live",
 IF(COUNTIFS(Channel_Listings!$D:$D,$A124,Channel_Listings!$A:$A,"Amazon")&gt;0,"Draft","Missing"))
</f>
        <v>Live</v>
      </c>
      <c r="C124" s="31" t="str">
        <f>IF(
 COUNTIFS(Channel_Listings!$D:$D,$A124,Channel_Listings!$A:$A,"Flipkart",Channel_Listings!$E:$E,"Live")&gt;0,"Live",
 IF(COUNTIFS(Channel_Listings!$D:$D,$A124,Channel_Listings!$A:$A,"Flipkart")&gt;0,"Draft","Missing"))
</f>
        <v>Live</v>
      </c>
      <c r="D124" s="31" t="str">
        <f>IF(
 COUNTIFS(Channel_Listings!$D:$D,$A124,Channel_Listings!$A:$A,"Meesho",Channel_Listings!$E:$E,"Live")&gt;0,"Live",
 IF(COUNTIFS(Channel_Listings!$D:$D,$A124,Channel_Listings!$A:$A,"Meesho")&gt;0,"Draft","Missing"))
</f>
        <v>Missing</v>
      </c>
      <c r="E124" s="32" t="s">
        <v>1881</v>
      </c>
    </row>
    <row r="125" ht="15.75" customHeight="1">
      <c r="A125" s="30" t="s">
        <v>594</v>
      </c>
      <c r="B125" s="31" t="str">
        <f>IF(
 COUNTIFS(Channel_Listings!$D:$D,$A125,Channel_Listings!$A:$A,"Amazon",Channel_Listings!$E:$E,"Live")&gt;0,"Live",
 IF(COUNTIFS(Channel_Listings!$D:$D,$A125,Channel_Listings!$A:$A,"Amazon")&gt;0,"Draft","Missing"))
</f>
        <v>Live</v>
      </c>
      <c r="C125" s="31" t="str">
        <f>IF(
 COUNTIFS(Channel_Listings!$D:$D,$A125,Channel_Listings!$A:$A,"Flipkart",Channel_Listings!$E:$E,"Live")&gt;0,"Live",
 IF(COUNTIFS(Channel_Listings!$D:$D,$A125,Channel_Listings!$A:$A,"Flipkart")&gt;0,"Draft","Missing"))
</f>
        <v>Live</v>
      </c>
      <c r="D125" s="31" t="str">
        <f>IF(
 COUNTIFS(Channel_Listings!$D:$D,$A125,Channel_Listings!$A:$A,"Meesho",Channel_Listings!$E:$E,"Live")&gt;0,"Live",
 IF(COUNTIFS(Channel_Listings!$D:$D,$A125,Channel_Listings!$A:$A,"Meesho")&gt;0,"Draft","Missing"))
</f>
        <v>Missing</v>
      </c>
      <c r="E125" s="32" t="s">
        <v>1881</v>
      </c>
    </row>
    <row r="126" ht="15.75" customHeight="1">
      <c r="A126" s="30" t="s">
        <v>1396</v>
      </c>
      <c r="B126" s="31" t="str">
        <f>IF(
 COUNTIFS(Channel_Listings!$D:$D,$A126,Channel_Listings!$A:$A,"Amazon",Channel_Listings!$E:$E,"Live")&gt;0,"Live",
 IF(COUNTIFS(Channel_Listings!$D:$D,$A126,Channel_Listings!$A:$A,"Amazon")&gt;0,"Draft","Missing"))
</f>
        <v>Missing</v>
      </c>
      <c r="C126" s="31" t="str">
        <f>IF(
 COUNTIFS(Channel_Listings!$D:$D,$A126,Channel_Listings!$A:$A,"Flipkart",Channel_Listings!$E:$E,"Live")&gt;0,"Live",
 IF(COUNTIFS(Channel_Listings!$D:$D,$A126,Channel_Listings!$A:$A,"Flipkart")&gt;0,"Draft","Missing"))
</f>
        <v>Live</v>
      </c>
      <c r="D126" s="31" t="str">
        <f>IF(
 COUNTIFS(Channel_Listings!$D:$D,$A126,Channel_Listings!$A:$A,"Meesho",Channel_Listings!$E:$E,"Live")&gt;0,"Live",
 IF(COUNTIFS(Channel_Listings!$D:$D,$A126,Channel_Listings!$A:$A,"Meesho")&gt;0,"Draft","Missing"))
</f>
        <v>Missing</v>
      </c>
      <c r="E126" s="32" t="s">
        <v>1881</v>
      </c>
    </row>
    <row r="127" ht="15.75" customHeight="1">
      <c r="A127" s="30" t="s">
        <v>393</v>
      </c>
      <c r="B127" s="31" t="str">
        <f>IF(
 COUNTIFS(Channel_Listings!$D:$D,$A127,Channel_Listings!$A:$A,"Amazon",Channel_Listings!$E:$E,"Live")&gt;0,"Live",
 IF(COUNTIFS(Channel_Listings!$D:$D,$A127,Channel_Listings!$A:$A,"Amazon")&gt;0,"Draft","Missing"))
</f>
        <v>Live</v>
      </c>
      <c r="C127" s="31" t="str">
        <f>IF(
 COUNTIFS(Channel_Listings!$D:$D,$A127,Channel_Listings!$A:$A,"Flipkart",Channel_Listings!$E:$E,"Live")&gt;0,"Live",
 IF(COUNTIFS(Channel_Listings!$D:$D,$A127,Channel_Listings!$A:$A,"Flipkart")&gt;0,"Draft","Missing"))
</f>
        <v>Live</v>
      </c>
      <c r="D127" s="31" t="str">
        <f>IF(
 COUNTIFS(Channel_Listings!$D:$D,$A127,Channel_Listings!$A:$A,"Meesho",Channel_Listings!$E:$E,"Live")&gt;0,"Live",
 IF(COUNTIFS(Channel_Listings!$D:$D,$A127,Channel_Listings!$A:$A,"Meesho")&gt;0,"Draft","Missing"))
</f>
        <v>Live</v>
      </c>
      <c r="E127" s="32" t="s">
        <v>1883</v>
      </c>
    </row>
    <row r="128" ht="15.75" customHeight="1">
      <c r="A128" s="30" t="s">
        <v>396</v>
      </c>
      <c r="B128" s="31" t="str">
        <f>IF(
 COUNTIFS(Channel_Listings!$D:$D,$A128,Channel_Listings!$A:$A,"Amazon",Channel_Listings!$E:$E,"Live")&gt;0,"Live",
 IF(COUNTIFS(Channel_Listings!$D:$D,$A128,Channel_Listings!$A:$A,"Amazon")&gt;0,"Draft","Missing"))
</f>
        <v>Live</v>
      </c>
      <c r="C128" s="31" t="str">
        <f>IF(
 COUNTIFS(Channel_Listings!$D:$D,$A128,Channel_Listings!$A:$A,"Flipkart",Channel_Listings!$E:$E,"Live")&gt;0,"Live",
 IF(COUNTIFS(Channel_Listings!$D:$D,$A128,Channel_Listings!$A:$A,"Flipkart")&gt;0,"Draft","Missing"))
</f>
        <v>Live</v>
      </c>
      <c r="D128" s="31" t="str">
        <f>IF(
 COUNTIFS(Channel_Listings!$D:$D,$A128,Channel_Listings!$A:$A,"Meesho",Channel_Listings!$E:$E,"Live")&gt;0,"Live",
 IF(COUNTIFS(Channel_Listings!$D:$D,$A128,Channel_Listings!$A:$A,"Meesho")&gt;0,"Draft","Missing"))
</f>
        <v>Live</v>
      </c>
      <c r="E128" s="32" t="s">
        <v>1883</v>
      </c>
    </row>
    <row r="129" ht="15.75" customHeight="1">
      <c r="A129" s="30" t="s">
        <v>400</v>
      </c>
      <c r="B129" s="31" t="str">
        <f>IF(
 COUNTIFS(Channel_Listings!$D:$D,$A129,Channel_Listings!$A:$A,"Amazon",Channel_Listings!$E:$E,"Live")&gt;0,"Live",
 IF(COUNTIFS(Channel_Listings!$D:$D,$A129,Channel_Listings!$A:$A,"Amazon")&gt;0,"Draft","Missing"))
</f>
        <v>Live</v>
      </c>
      <c r="C129" s="31" t="str">
        <f>IF(
 COUNTIFS(Channel_Listings!$D:$D,$A129,Channel_Listings!$A:$A,"Flipkart",Channel_Listings!$E:$E,"Live")&gt;0,"Live",
 IF(COUNTIFS(Channel_Listings!$D:$D,$A129,Channel_Listings!$A:$A,"Flipkart")&gt;0,"Draft","Missing"))
</f>
        <v>Live</v>
      </c>
      <c r="D129" s="31" t="str">
        <f>IF(
 COUNTIFS(Channel_Listings!$D:$D,$A129,Channel_Listings!$A:$A,"Meesho",Channel_Listings!$E:$E,"Live")&gt;0,"Live",
 IF(COUNTIFS(Channel_Listings!$D:$D,$A129,Channel_Listings!$A:$A,"Meesho")&gt;0,"Draft","Missing"))
</f>
        <v>Live</v>
      </c>
      <c r="E129" s="32" t="s">
        <v>1883</v>
      </c>
    </row>
    <row r="130" ht="15.75" customHeight="1">
      <c r="A130" s="30" t="s">
        <v>403</v>
      </c>
      <c r="B130" s="31" t="str">
        <f>IF(
 COUNTIFS(Channel_Listings!$D:$D,$A130,Channel_Listings!$A:$A,"Amazon",Channel_Listings!$E:$E,"Live")&gt;0,"Live",
 IF(COUNTIFS(Channel_Listings!$D:$D,$A130,Channel_Listings!$A:$A,"Amazon")&gt;0,"Draft","Missing"))
</f>
        <v>Live</v>
      </c>
      <c r="C130" s="31" t="str">
        <f>IF(
 COUNTIFS(Channel_Listings!$D:$D,$A130,Channel_Listings!$A:$A,"Flipkart",Channel_Listings!$E:$E,"Live")&gt;0,"Live",
 IF(COUNTIFS(Channel_Listings!$D:$D,$A130,Channel_Listings!$A:$A,"Flipkart")&gt;0,"Draft","Missing"))
</f>
        <v>Live</v>
      </c>
      <c r="D130" s="31" t="str">
        <f>IF(
 COUNTIFS(Channel_Listings!$D:$D,$A130,Channel_Listings!$A:$A,"Meesho",Channel_Listings!$E:$E,"Live")&gt;0,"Live",
 IF(COUNTIFS(Channel_Listings!$D:$D,$A130,Channel_Listings!$A:$A,"Meesho")&gt;0,"Draft","Missing"))
</f>
        <v>Live</v>
      </c>
      <c r="E130" s="32" t="s">
        <v>1883</v>
      </c>
    </row>
    <row r="131" ht="15.75" customHeight="1">
      <c r="A131" s="30" t="s">
        <v>600</v>
      </c>
      <c r="B131" s="31" t="str">
        <f>IF(
 COUNTIFS(Channel_Listings!$D:$D,$A131,Channel_Listings!$A:$A,"Amazon",Channel_Listings!$E:$E,"Live")&gt;0,"Live",
 IF(COUNTIFS(Channel_Listings!$D:$D,$A131,Channel_Listings!$A:$A,"Amazon")&gt;0,"Draft","Missing"))
</f>
        <v>Live</v>
      </c>
      <c r="C131" s="31" t="str">
        <f>IF(
 COUNTIFS(Channel_Listings!$D:$D,$A131,Channel_Listings!$A:$A,"Flipkart",Channel_Listings!$E:$E,"Live")&gt;0,"Live",
 IF(COUNTIFS(Channel_Listings!$D:$D,$A131,Channel_Listings!$A:$A,"Flipkart")&gt;0,"Draft","Missing"))
</f>
        <v>Live</v>
      </c>
      <c r="D131" s="31" t="str">
        <f>IF(
 COUNTIFS(Channel_Listings!$D:$D,$A131,Channel_Listings!$A:$A,"Meesho",Channel_Listings!$E:$E,"Live")&gt;0,"Live",
 IF(COUNTIFS(Channel_Listings!$D:$D,$A131,Channel_Listings!$A:$A,"Meesho")&gt;0,"Draft","Missing"))
</f>
        <v>Live</v>
      </c>
    </row>
    <row r="132" ht="15.75" customHeight="1">
      <c r="A132" s="30" t="s">
        <v>602</v>
      </c>
      <c r="B132" s="31" t="str">
        <f>IF(
 COUNTIFS(Channel_Listings!$D:$D,$A132,Channel_Listings!$A:$A,"Amazon",Channel_Listings!$E:$E,"Live")&gt;0,"Live",
 IF(COUNTIFS(Channel_Listings!$D:$D,$A132,Channel_Listings!$A:$A,"Amazon")&gt;0,"Draft","Missing"))
</f>
        <v>Live</v>
      </c>
      <c r="C132" s="31" t="str">
        <f>IF(
 COUNTIFS(Channel_Listings!$D:$D,$A132,Channel_Listings!$A:$A,"Flipkart",Channel_Listings!$E:$E,"Live")&gt;0,"Live",
 IF(COUNTIFS(Channel_Listings!$D:$D,$A132,Channel_Listings!$A:$A,"Flipkart")&gt;0,"Draft","Missing"))
</f>
        <v>Live</v>
      </c>
      <c r="D132" s="31" t="str">
        <f>IF(
 COUNTIFS(Channel_Listings!$D:$D,$A132,Channel_Listings!$A:$A,"Meesho",Channel_Listings!$E:$E,"Live")&gt;0,"Live",
 IF(COUNTIFS(Channel_Listings!$D:$D,$A132,Channel_Listings!$A:$A,"Meesho")&gt;0,"Draft","Missing"))
</f>
        <v>Live</v>
      </c>
    </row>
    <row r="133" ht="15.75" customHeight="1">
      <c r="A133" s="30" t="s">
        <v>605</v>
      </c>
      <c r="B133" s="31" t="str">
        <f>IF(
 COUNTIFS(Channel_Listings!$D:$D,$A133,Channel_Listings!$A:$A,"Amazon",Channel_Listings!$E:$E,"Live")&gt;0,"Live",
 IF(COUNTIFS(Channel_Listings!$D:$D,$A133,Channel_Listings!$A:$A,"Amazon")&gt;0,"Draft","Missing"))
</f>
        <v>Live</v>
      </c>
      <c r="C133" s="31" t="str">
        <f>IF(
 COUNTIFS(Channel_Listings!$D:$D,$A133,Channel_Listings!$A:$A,"Flipkart",Channel_Listings!$E:$E,"Live")&gt;0,"Live",
 IF(COUNTIFS(Channel_Listings!$D:$D,$A133,Channel_Listings!$A:$A,"Flipkart")&gt;0,"Draft","Missing"))
</f>
        <v>Live</v>
      </c>
      <c r="D133" s="31" t="str">
        <f>IF(
 COUNTIFS(Channel_Listings!$D:$D,$A133,Channel_Listings!$A:$A,"Meesho",Channel_Listings!$E:$E,"Live")&gt;0,"Live",
 IF(COUNTIFS(Channel_Listings!$D:$D,$A133,Channel_Listings!$A:$A,"Meesho")&gt;0,"Draft","Missing"))
</f>
        <v>Live</v>
      </c>
    </row>
    <row r="134" ht="15.75" customHeight="1">
      <c r="A134" s="32" t="s">
        <v>607</v>
      </c>
      <c r="B134" s="31" t="str">
        <f>IF(
 COUNTIFS(Channel_Listings!$D:$D,$A134,Channel_Listings!$A:$A,"Amazon",Channel_Listings!$E:$E,"Live")&gt;0,"Live",
 IF(COUNTIFS(Channel_Listings!$D:$D,$A134,Channel_Listings!$A:$A,"Amazon")&gt;0,"Draft","Missing"))
</f>
        <v>Live</v>
      </c>
      <c r="C134" s="31" t="str">
        <f>IF(
 COUNTIFS(Channel_Listings!$D:$D,$A134,Channel_Listings!$A:$A,"Flipkart",Channel_Listings!$E:$E,"Live")&gt;0,"Live",
 IF(COUNTIFS(Channel_Listings!$D:$D,$A134,Channel_Listings!$A:$A,"Flipkart")&gt;0,"Draft","Missing"))
</f>
        <v>Live</v>
      </c>
      <c r="D134" s="31" t="str">
        <f>IF(
 COUNTIFS(Channel_Listings!$D:$D,$A134,Channel_Listings!$A:$A,"Meesho",Channel_Listings!$E:$E,"Live")&gt;0,"Live",
 IF(COUNTIFS(Channel_Listings!$D:$D,$A134,Channel_Listings!$A:$A,"Meesho")&gt;0,"Draft","Missing"))
</f>
        <v>Live</v>
      </c>
    </row>
    <row r="135" ht="15.75" customHeight="1">
      <c r="A135" s="32" t="s">
        <v>610</v>
      </c>
      <c r="B135" s="31" t="str">
        <f>IF(
 COUNTIFS(Channel_Listings!$D:$D,$A135,Channel_Listings!$A:$A,"Amazon",Channel_Listings!$E:$E,"Live")&gt;0,"Live",
 IF(COUNTIFS(Channel_Listings!$D:$D,$A135,Channel_Listings!$A:$A,"Amazon")&gt;0,"Draft","Missing"))
</f>
        <v>Live</v>
      </c>
      <c r="C135" s="31" t="str">
        <f>IF(
 COUNTIFS(Channel_Listings!$D:$D,$A135,Channel_Listings!$A:$A,"Flipkart",Channel_Listings!$E:$E,"Live")&gt;0,"Live",
 IF(COUNTIFS(Channel_Listings!$D:$D,$A135,Channel_Listings!$A:$A,"Flipkart")&gt;0,"Draft","Missing"))
</f>
        <v>Missing</v>
      </c>
      <c r="D135" s="31" t="str">
        <f>IF(
 COUNTIFS(Channel_Listings!$D:$D,$A135,Channel_Listings!$A:$A,"Meesho",Channel_Listings!$E:$E,"Live")&gt;0,"Live",
 IF(COUNTIFS(Channel_Listings!$D:$D,$A135,Channel_Listings!$A:$A,"Meesho")&gt;0,"Draft","Missing"))
</f>
        <v>Missing</v>
      </c>
    </row>
    <row r="136" ht="15.75" customHeight="1">
      <c r="A136" s="32" t="s">
        <v>613</v>
      </c>
      <c r="B136" s="31" t="str">
        <f>IF(
 COUNTIFS(Channel_Listings!$D:$D,$A136,Channel_Listings!$A:$A,"Amazon",Channel_Listings!$E:$E,"Live")&gt;0,"Live",
 IF(COUNTIFS(Channel_Listings!$D:$D,$A136,Channel_Listings!$A:$A,"Amazon")&gt;0,"Draft","Missing"))
</f>
        <v>Live</v>
      </c>
      <c r="C136" s="31" t="str">
        <f>IF(
 COUNTIFS(Channel_Listings!$D:$D,$A136,Channel_Listings!$A:$A,"Flipkart",Channel_Listings!$E:$E,"Live")&gt;0,"Live",
 IF(COUNTIFS(Channel_Listings!$D:$D,$A136,Channel_Listings!$A:$A,"Flipkart")&gt;0,"Draft","Missing"))
</f>
        <v>Live</v>
      </c>
      <c r="D136" s="31" t="str">
        <f>IF(
 COUNTIFS(Channel_Listings!$D:$D,$A136,Channel_Listings!$A:$A,"Meesho",Channel_Listings!$E:$E,"Live")&gt;0,"Live",
 IF(COUNTIFS(Channel_Listings!$D:$D,$A136,Channel_Listings!$A:$A,"Meesho")&gt;0,"Draft","Missing"))
</f>
        <v>Live</v>
      </c>
    </row>
    <row r="137" ht="15.75" customHeight="1">
      <c r="A137" s="30" t="s">
        <v>387</v>
      </c>
      <c r="B137" s="31" t="str">
        <f>IF(
 COUNTIFS(Channel_Listings!$D:$D,$A137,Channel_Listings!$A:$A,"Amazon",Channel_Listings!$E:$E,"Live")&gt;0,"Live",
 IF(COUNTIFS(Channel_Listings!$D:$D,$A137,Channel_Listings!$A:$A,"Amazon")&gt;0,"Draft","Missing"))
</f>
        <v>Live</v>
      </c>
      <c r="C137" s="31" t="str">
        <f>IF(
 COUNTIFS(Channel_Listings!$D:$D,$A137,Channel_Listings!$A:$A,"Flipkart",Channel_Listings!$E:$E,"Live")&gt;0,"Live",
 IF(COUNTIFS(Channel_Listings!$D:$D,$A137,Channel_Listings!$A:$A,"Flipkart")&gt;0,"Draft","Missing"))
</f>
        <v>Live</v>
      </c>
      <c r="D137" s="31" t="str">
        <f>IF(
 COUNTIFS(Channel_Listings!$D:$D,$A137,Channel_Listings!$A:$A,"Meesho",Channel_Listings!$E:$E,"Live")&gt;0,"Live",
 IF(COUNTIFS(Channel_Listings!$D:$D,$A137,Channel_Listings!$A:$A,"Meesho")&gt;0,"Draft","Missing"))
</f>
        <v>Live</v>
      </c>
    </row>
    <row r="138" ht="15.75" customHeight="1">
      <c r="A138" s="30" t="s">
        <v>389</v>
      </c>
      <c r="B138" s="31" t="str">
        <f>IF(
 COUNTIFS(Channel_Listings!$D:$D,$A138,Channel_Listings!$A:$A,"Amazon",Channel_Listings!$E:$E,"Live")&gt;0,"Live",
 IF(COUNTIFS(Channel_Listings!$D:$D,$A138,Channel_Listings!$A:$A,"Amazon")&gt;0,"Draft","Missing"))
</f>
        <v>Live</v>
      </c>
      <c r="C138" s="31" t="str">
        <f>IF(
 COUNTIFS(Channel_Listings!$D:$D,$A138,Channel_Listings!$A:$A,"Flipkart",Channel_Listings!$E:$E,"Live")&gt;0,"Live",
 IF(COUNTIFS(Channel_Listings!$D:$D,$A138,Channel_Listings!$A:$A,"Flipkart")&gt;0,"Draft","Missing"))
</f>
        <v>Live</v>
      </c>
      <c r="D138" s="31" t="str">
        <f>IF(
 COUNTIFS(Channel_Listings!$D:$D,$A138,Channel_Listings!$A:$A,"Meesho",Channel_Listings!$E:$E,"Live")&gt;0,"Live",
 IF(COUNTIFS(Channel_Listings!$D:$D,$A138,Channel_Listings!$A:$A,"Meesho")&gt;0,"Draft","Missing"))
</f>
        <v>Live</v>
      </c>
    </row>
    <row r="139" ht="15.75" customHeight="1">
      <c r="A139" s="33" t="s">
        <v>416</v>
      </c>
      <c r="B139" s="31" t="str">
        <f>IF(
 COUNTIFS(Channel_Listings!$D:$D,$A139,Channel_Listings!$A:$A,"Amazon",Channel_Listings!$E:$E,"Live")&gt;0,"Live",
 IF(COUNTIFS(Channel_Listings!$D:$D,$A139,Channel_Listings!$A:$A,"Amazon")&gt;0,"Draft","Missing"))
</f>
        <v>Live</v>
      </c>
      <c r="C139" s="31" t="str">
        <f>IF(
 COUNTIFS(Channel_Listings!$D:$D,$A139,Channel_Listings!$A:$A,"Flipkart",Channel_Listings!$E:$E,"Live")&gt;0,"Live",
 IF(COUNTIFS(Channel_Listings!$D:$D,$A139,Channel_Listings!$A:$A,"Flipkart")&gt;0,"Draft","Missing"))
</f>
        <v>Live</v>
      </c>
      <c r="D139" s="31" t="str">
        <f>IF(
 COUNTIFS(Channel_Listings!$D:$D,$A139,Channel_Listings!$A:$A,"Meesho",Channel_Listings!$E:$E,"Live")&gt;0,"Live",
 IF(COUNTIFS(Channel_Listings!$D:$D,$A139,Channel_Listings!$A:$A,"Meesho")&gt;0,"Draft","Missing"))
</f>
        <v>Missing</v>
      </c>
    </row>
    <row r="140" ht="15.75" customHeight="1">
      <c r="A140" s="33" t="s">
        <v>418</v>
      </c>
      <c r="B140" s="31" t="str">
        <f>IF(
 COUNTIFS(Channel_Listings!$D:$D,$A140,Channel_Listings!$A:$A,"Amazon",Channel_Listings!$E:$E,"Live")&gt;0,"Live",
 IF(COUNTIFS(Channel_Listings!$D:$D,$A140,Channel_Listings!$A:$A,"Amazon")&gt;0,"Draft","Missing"))
</f>
        <v>Live</v>
      </c>
      <c r="C140" s="31" t="str">
        <f>IF(
 COUNTIFS(Channel_Listings!$D:$D,$A140,Channel_Listings!$A:$A,"Flipkart",Channel_Listings!$E:$E,"Live")&gt;0,"Live",
 IF(COUNTIFS(Channel_Listings!$D:$D,$A140,Channel_Listings!$A:$A,"Flipkart")&gt;0,"Draft","Missing"))
</f>
        <v>Live</v>
      </c>
      <c r="D140" s="31" t="str">
        <f>IF(
 COUNTIFS(Channel_Listings!$D:$D,$A140,Channel_Listings!$A:$A,"Meesho",Channel_Listings!$E:$E,"Live")&gt;0,"Live",
 IF(COUNTIFS(Channel_Listings!$D:$D,$A140,Channel_Listings!$A:$A,"Meesho")&gt;0,"Draft","Missing"))
</f>
        <v>Missing</v>
      </c>
    </row>
    <row r="141" ht="15.75" customHeight="1">
      <c r="A141" s="33" t="s">
        <v>420</v>
      </c>
      <c r="B141" s="31" t="str">
        <f>IF(
 COUNTIFS(Channel_Listings!$D:$D,$A141,Channel_Listings!$A:$A,"Amazon",Channel_Listings!$E:$E,"Live")&gt;0,"Live",
 IF(COUNTIFS(Channel_Listings!$D:$D,$A141,Channel_Listings!$A:$A,"Amazon")&gt;0,"Draft","Missing"))
</f>
        <v>Live</v>
      </c>
      <c r="C141" s="31" t="str">
        <f>IF(
 COUNTIFS(Channel_Listings!$D:$D,$A141,Channel_Listings!$A:$A,"Flipkart",Channel_Listings!$E:$E,"Live")&gt;0,"Live",
 IF(COUNTIFS(Channel_Listings!$D:$D,$A141,Channel_Listings!$A:$A,"Flipkart")&gt;0,"Draft","Missing"))
</f>
        <v>Live</v>
      </c>
      <c r="D141" s="31" t="str">
        <f>IF(
 COUNTIFS(Channel_Listings!$D:$D,$A141,Channel_Listings!$A:$A,"Meesho",Channel_Listings!$E:$E,"Live")&gt;0,"Live",
 IF(COUNTIFS(Channel_Listings!$D:$D,$A141,Channel_Listings!$A:$A,"Meesho")&gt;0,"Draft","Missing"))
</f>
        <v>Live</v>
      </c>
    </row>
    <row r="142" ht="15.75" customHeight="1">
      <c r="A142" s="33" t="s">
        <v>422</v>
      </c>
      <c r="B142" s="31" t="str">
        <f>IF(
 COUNTIFS(Channel_Listings!$D:$D,$A142,Channel_Listings!$A:$A,"Amazon",Channel_Listings!$E:$E,"Live")&gt;0,"Live",
 IF(COUNTIFS(Channel_Listings!$D:$D,$A142,Channel_Listings!$A:$A,"Amazon")&gt;0,"Draft","Missing"))
</f>
        <v>Live</v>
      </c>
      <c r="C142" s="31" t="str">
        <f>IF(
 COUNTIFS(Channel_Listings!$D:$D,$A142,Channel_Listings!$A:$A,"Flipkart",Channel_Listings!$E:$E,"Live")&gt;0,"Live",
 IF(COUNTIFS(Channel_Listings!$D:$D,$A142,Channel_Listings!$A:$A,"Flipkart")&gt;0,"Draft","Missing"))
</f>
        <v>Live</v>
      </c>
      <c r="D142" s="31" t="str">
        <f>IF(
 COUNTIFS(Channel_Listings!$D:$D,$A142,Channel_Listings!$A:$A,"Meesho",Channel_Listings!$E:$E,"Live")&gt;0,"Live",
 IF(COUNTIFS(Channel_Listings!$D:$D,$A142,Channel_Listings!$A:$A,"Meesho")&gt;0,"Draft","Missing"))
</f>
        <v>Missing</v>
      </c>
    </row>
    <row r="143" ht="15.75" customHeight="1">
      <c r="A143" s="33" t="s">
        <v>424</v>
      </c>
      <c r="B143" s="31" t="str">
        <f>IF(
 COUNTIFS(Channel_Listings!$D:$D,$A143,Channel_Listings!$A:$A,"Amazon",Channel_Listings!$E:$E,"Live")&gt;0,"Live",
 IF(COUNTIFS(Channel_Listings!$D:$D,$A143,Channel_Listings!$A:$A,"Amazon")&gt;0,"Draft","Missing"))
</f>
        <v>Live</v>
      </c>
      <c r="C143" s="31" t="str">
        <f>IF(
 COUNTIFS(Channel_Listings!$D:$D,$A143,Channel_Listings!$A:$A,"Flipkart",Channel_Listings!$E:$E,"Live")&gt;0,"Live",
 IF(COUNTIFS(Channel_Listings!$D:$D,$A143,Channel_Listings!$A:$A,"Flipkart")&gt;0,"Draft","Missing"))
</f>
        <v>Live</v>
      </c>
      <c r="D143" s="31" t="str">
        <f>IF(
 COUNTIFS(Channel_Listings!$D:$D,$A143,Channel_Listings!$A:$A,"Meesho",Channel_Listings!$E:$E,"Live")&gt;0,"Live",
 IF(COUNTIFS(Channel_Listings!$D:$D,$A143,Channel_Listings!$A:$A,"Meesho")&gt;0,"Draft","Missing"))
</f>
        <v>Missing</v>
      </c>
    </row>
    <row r="144" ht="15.75" customHeight="1">
      <c r="A144" s="33" t="s">
        <v>426</v>
      </c>
      <c r="B144" s="31" t="str">
        <f>IF(
 COUNTIFS(Channel_Listings!$D:$D,$A144,Channel_Listings!$A:$A,"Amazon",Channel_Listings!$E:$E,"Live")&gt;0,"Live",
 IF(COUNTIFS(Channel_Listings!$D:$D,$A144,Channel_Listings!$A:$A,"Amazon")&gt;0,"Draft","Missing"))
</f>
        <v>Live</v>
      </c>
      <c r="C144" s="31" t="str">
        <f>IF(
 COUNTIFS(Channel_Listings!$D:$D,$A144,Channel_Listings!$A:$A,"Flipkart",Channel_Listings!$E:$E,"Live")&gt;0,"Live",
 IF(COUNTIFS(Channel_Listings!$D:$D,$A144,Channel_Listings!$A:$A,"Flipkart")&gt;0,"Draft","Missing"))
</f>
        <v>Live</v>
      </c>
      <c r="D144" s="31" t="str">
        <f>IF(
 COUNTIFS(Channel_Listings!$D:$D,$A144,Channel_Listings!$A:$A,"Meesho",Channel_Listings!$E:$E,"Live")&gt;0,"Live",
 IF(COUNTIFS(Channel_Listings!$D:$D,$A144,Channel_Listings!$A:$A,"Meesho")&gt;0,"Draft","Missing"))
</f>
        <v>Live</v>
      </c>
    </row>
    <row r="145" ht="15.75" customHeight="1">
      <c r="A145" s="33" t="s">
        <v>428</v>
      </c>
      <c r="B145" s="31" t="str">
        <f>IF(
 COUNTIFS(Channel_Listings!$D:$D,$A145,Channel_Listings!$A:$A,"Amazon",Channel_Listings!$E:$E,"Live")&gt;0,"Live",
 IF(COUNTIFS(Channel_Listings!$D:$D,$A145,Channel_Listings!$A:$A,"Amazon")&gt;0,"Draft","Missing"))
</f>
        <v>Live</v>
      </c>
      <c r="C145" s="31" t="str">
        <f>IF(
 COUNTIFS(Channel_Listings!$D:$D,$A145,Channel_Listings!$A:$A,"Flipkart",Channel_Listings!$E:$E,"Live")&gt;0,"Live",
 IF(COUNTIFS(Channel_Listings!$D:$D,$A145,Channel_Listings!$A:$A,"Flipkart")&gt;0,"Draft","Missing"))
</f>
        <v>Live</v>
      </c>
      <c r="D145" s="31" t="str">
        <f>IF(
 COUNTIFS(Channel_Listings!$D:$D,$A145,Channel_Listings!$A:$A,"Meesho",Channel_Listings!$E:$E,"Live")&gt;0,"Live",
 IF(COUNTIFS(Channel_Listings!$D:$D,$A145,Channel_Listings!$A:$A,"Meesho")&gt;0,"Draft","Missing"))
</f>
        <v>Missing</v>
      </c>
    </row>
    <row r="146" ht="15.75" customHeight="1">
      <c r="A146" s="33" t="s">
        <v>430</v>
      </c>
      <c r="B146" s="31" t="str">
        <f>IF(
 COUNTIFS(Channel_Listings!$D:$D,$A146,Channel_Listings!$A:$A,"Amazon",Channel_Listings!$E:$E,"Live")&gt;0,"Live",
 IF(COUNTIFS(Channel_Listings!$D:$D,$A146,Channel_Listings!$A:$A,"Amazon")&gt;0,"Draft","Missing"))
</f>
        <v>Live</v>
      </c>
      <c r="C146" s="31" t="str">
        <f>IF(
 COUNTIFS(Channel_Listings!$D:$D,$A146,Channel_Listings!$A:$A,"Flipkart",Channel_Listings!$E:$E,"Live")&gt;0,"Live",
 IF(COUNTIFS(Channel_Listings!$D:$D,$A146,Channel_Listings!$A:$A,"Flipkart")&gt;0,"Draft","Missing"))
</f>
        <v>Live</v>
      </c>
      <c r="D146" s="31" t="str">
        <f>IF(
 COUNTIFS(Channel_Listings!$D:$D,$A146,Channel_Listings!$A:$A,"Meesho",Channel_Listings!$E:$E,"Live")&gt;0,"Live",
 IF(COUNTIFS(Channel_Listings!$D:$D,$A146,Channel_Listings!$A:$A,"Meesho")&gt;0,"Draft","Missing"))
</f>
        <v>Missing</v>
      </c>
    </row>
    <row r="147" ht="15.75" customHeight="1">
      <c r="A147" s="33" t="s">
        <v>432</v>
      </c>
      <c r="B147" s="31" t="str">
        <f>IF(
 COUNTIFS(Channel_Listings!$D:$D,$A147,Channel_Listings!$A:$A,"Amazon",Channel_Listings!$E:$E,"Live")&gt;0,"Live",
 IF(COUNTIFS(Channel_Listings!$D:$D,$A147,Channel_Listings!$A:$A,"Amazon")&gt;0,"Draft","Missing"))
</f>
        <v>Live</v>
      </c>
      <c r="C147" s="31" t="str">
        <f>IF(
 COUNTIFS(Channel_Listings!$D:$D,$A147,Channel_Listings!$A:$A,"Flipkart",Channel_Listings!$E:$E,"Live")&gt;0,"Live",
 IF(COUNTIFS(Channel_Listings!$D:$D,$A147,Channel_Listings!$A:$A,"Flipkart")&gt;0,"Draft","Missing"))
</f>
        <v>Live</v>
      </c>
      <c r="D147" s="31" t="str">
        <f>IF(
 COUNTIFS(Channel_Listings!$D:$D,$A147,Channel_Listings!$A:$A,"Meesho",Channel_Listings!$E:$E,"Live")&gt;0,"Live",
 IF(COUNTIFS(Channel_Listings!$D:$D,$A147,Channel_Listings!$A:$A,"Meesho")&gt;0,"Draft","Missing"))
</f>
        <v>Live</v>
      </c>
    </row>
    <row r="148" ht="15.75" customHeight="1">
      <c r="A148" s="33" t="s">
        <v>434</v>
      </c>
      <c r="B148" s="31" t="str">
        <f>IF(
 COUNTIFS(Channel_Listings!$D:$D,$A148,Channel_Listings!$A:$A,"Amazon",Channel_Listings!$E:$E,"Live")&gt;0,"Live",
 IF(COUNTIFS(Channel_Listings!$D:$D,$A148,Channel_Listings!$A:$A,"Amazon")&gt;0,"Draft","Missing"))
</f>
        <v>Live</v>
      </c>
      <c r="C148" s="31" t="str">
        <f>IF(
 COUNTIFS(Channel_Listings!$D:$D,$A148,Channel_Listings!$A:$A,"Flipkart",Channel_Listings!$E:$E,"Live")&gt;0,"Live",
 IF(COUNTIFS(Channel_Listings!$D:$D,$A148,Channel_Listings!$A:$A,"Flipkart")&gt;0,"Draft","Missing"))
</f>
        <v>Live</v>
      </c>
      <c r="D148" s="31" t="str">
        <f>IF(
 COUNTIFS(Channel_Listings!$D:$D,$A148,Channel_Listings!$A:$A,"Meesho",Channel_Listings!$E:$E,"Live")&gt;0,"Live",
 IF(COUNTIFS(Channel_Listings!$D:$D,$A148,Channel_Listings!$A:$A,"Meesho")&gt;0,"Draft","Missing"))
</f>
        <v>Missing</v>
      </c>
    </row>
    <row r="149" ht="15.75" customHeight="1">
      <c r="A149" s="33" t="s">
        <v>436</v>
      </c>
      <c r="B149" s="31" t="str">
        <f>IF(
 COUNTIFS(Channel_Listings!$D:$D,$A149,Channel_Listings!$A:$A,"Amazon",Channel_Listings!$E:$E,"Live")&gt;0,"Live",
 IF(COUNTIFS(Channel_Listings!$D:$D,$A149,Channel_Listings!$A:$A,"Amazon")&gt;0,"Draft","Missing"))
</f>
        <v>Live</v>
      </c>
      <c r="C149" s="31" t="str">
        <f>IF(
 COUNTIFS(Channel_Listings!$D:$D,$A149,Channel_Listings!$A:$A,"Flipkart",Channel_Listings!$E:$E,"Live")&gt;0,"Live",
 IF(COUNTIFS(Channel_Listings!$D:$D,$A149,Channel_Listings!$A:$A,"Flipkart")&gt;0,"Draft","Missing"))
</f>
        <v>Live</v>
      </c>
      <c r="D149" s="31" t="str">
        <f>IF(
 COUNTIFS(Channel_Listings!$D:$D,$A149,Channel_Listings!$A:$A,"Meesho",Channel_Listings!$E:$E,"Live")&gt;0,"Live",
 IF(COUNTIFS(Channel_Listings!$D:$D,$A149,Channel_Listings!$A:$A,"Meesho")&gt;0,"Draft","Missing"))
</f>
        <v>Missing</v>
      </c>
    </row>
    <row r="150" ht="15.75" customHeight="1">
      <c r="A150" s="33" t="s">
        <v>438</v>
      </c>
      <c r="B150" s="31" t="str">
        <f>IF(
 COUNTIFS(Channel_Listings!$D:$D,$A150,Channel_Listings!$A:$A,"Amazon",Channel_Listings!$E:$E,"Live")&gt;0,"Live",
 IF(COUNTIFS(Channel_Listings!$D:$D,$A150,Channel_Listings!$A:$A,"Amazon")&gt;0,"Draft","Missing"))
</f>
        <v>Live</v>
      </c>
      <c r="C150" s="31" t="str">
        <f>IF(
 COUNTIFS(Channel_Listings!$D:$D,$A150,Channel_Listings!$A:$A,"Flipkart",Channel_Listings!$E:$E,"Live")&gt;0,"Live",
 IF(COUNTIFS(Channel_Listings!$D:$D,$A150,Channel_Listings!$A:$A,"Flipkart")&gt;0,"Draft","Missing"))
</f>
        <v>Live</v>
      </c>
      <c r="D150" s="31" t="str">
        <f>IF(
 COUNTIFS(Channel_Listings!$D:$D,$A150,Channel_Listings!$A:$A,"Meesho",Channel_Listings!$E:$E,"Live")&gt;0,"Live",
 IF(COUNTIFS(Channel_Listings!$D:$D,$A150,Channel_Listings!$A:$A,"Meesho")&gt;0,"Draft","Missing"))
</f>
        <v>Live</v>
      </c>
    </row>
    <row r="151" ht="15.75" customHeight="1">
      <c r="A151" s="33" t="s">
        <v>440</v>
      </c>
      <c r="B151" s="31" t="str">
        <f>IF(
 COUNTIFS(Channel_Listings!$D:$D,$A151,Channel_Listings!$A:$A,"Amazon",Channel_Listings!$E:$E,"Live")&gt;0,"Live",
 IF(COUNTIFS(Channel_Listings!$D:$D,$A151,Channel_Listings!$A:$A,"Amazon")&gt;0,"Draft","Missing"))
</f>
        <v>Live</v>
      </c>
      <c r="C151" s="31" t="str">
        <f>IF(
 COUNTIFS(Channel_Listings!$D:$D,$A151,Channel_Listings!$A:$A,"Flipkart",Channel_Listings!$E:$E,"Live")&gt;0,"Live",
 IF(COUNTIFS(Channel_Listings!$D:$D,$A151,Channel_Listings!$A:$A,"Flipkart")&gt;0,"Draft","Missing"))
</f>
        <v>Live</v>
      </c>
      <c r="D151" s="31" t="str">
        <f>IF(
 COUNTIFS(Channel_Listings!$D:$D,$A151,Channel_Listings!$A:$A,"Meesho",Channel_Listings!$E:$E,"Live")&gt;0,"Live",
 IF(COUNTIFS(Channel_Listings!$D:$D,$A151,Channel_Listings!$A:$A,"Meesho")&gt;0,"Draft","Missing"))
</f>
        <v>Missing</v>
      </c>
    </row>
    <row r="152" ht="15.75" customHeight="1">
      <c r="A152" s="33" t="s">
        <v>442</v>
      </c>
      <c r="B152" s="31" t="str">
        <f>IF(
 COUNTIFS(Channel_Listings!$D:$D,$A152,Channel_Listings!$A:$A,"Amazon",Channel_Listings!$E:$E,"Live")&gt;0,"Live",
 IF(COUNTIFS(Channel_Listings!$D:$D,$A152,Channel_Listings!$A:$A,"Amazon")&gt;0,"Draft","Missing"))
</f>
        <v>Live</v>
      </c>
      <c r="C152" s="31" t="str">
        <f>IF(
 COUNTIFS(Channel_Listings!$D:$D,$A152,Channel_Listings!$A:$A,"Flipkart",Channel_Listings!$E:$E,"Live")&gt;0,"Live",
 IF(COUNTIFS(Channel_Listings!$D:$D,$A152,Channel_Listings!$A:$A,"Flipkart")&gt;0,"Draft","Missing"))
</f>
        <v>Live</v>
      </c>
      <c r="D152" s="31" t="str">
        <f>IF(
 COUNTIFS(Channel_Listings!$D:$D,$A152,Channel_Listings!$A:$A,"Meesho",Channel_Listings!$E:$E,"Live")&gt;0,"Live",
 IF(COUNTIFS(Channel_Listings!$D:$D,$A152,Channel_Listings!$A:$A,"Meesho")&gt;0,"Draft","Missing"))
</f>
        <v>Missing</v>
      </c>
    </row>
    <row r="153" ht="15.75" customHeight="1">
      <c r="A153" s="33" t="s">
        <v>444</v>
      </c>
      <c r="B153" s="31" t="str">
        <f>IF(
 COUNTIFS(Channel_Listings!$D:$D,$A153,Channel_Listings!$A:$A,"Amazon",Channel_Listings!$E:$E,"Live")&gt;0,"Live",
 IF(COUNTIFS(Channel_Listings!$D:$D,$A153,Channel_Listings!$A:$A,"Amazon")&gt;0,"Draft","Missing"))
</f>
        <v>Live</v>
      </c>
      <c r="C153" s="31" t="str">
        <f>IF(
 COUNTIFS(Channel_Listings!$D:$D,$A153,Channel_Listings!$A:$A,"Flipkart",Channel_Listings!$E:$E,"Live")&gt;0,"Live",
 IF(COUNTIFS(Channel_Listings!$D:$D,$A153,Channel_Listings!$A:$A,"Flipkart")&gt;0,"Draft","Missing"))
</f>
        <v>Live</v>
      </c>
      <c r="D153" s="31" t="str">
        <f>IF(
 COUNTIFS(Channel_Listings!$D:$D,$A153,Channel_Listings!$A:$A,"Meesho",Channel_Listings!$E:$E,"Live")&gt;0,"Live",
 IF(COUNTIFS(Channel_Listings!$D:$D,$A153,Channel_Listings!$A:$A,"Meesho")&gt;0,"Draft","Missing"))
</f>
        <v>Live</v>
      </c>
    </row>
    <row r="154" ht="15.75" customHeight="1">
      <c r="A154" s="33" t="s">
        <v>446</v>
      </c>
      <c r="B154" s="31" t="str">
        <f>IF(
 COUNTIFS(Channel_Listings!$D:$D,$A154,Channel_Listings!$A:$A,"Amazon",Channel_Listings!$E:$E,"Live")&gt;0,"Live",
 IF(COUNTIFS(Channel_Listings!$D:$D,$A154,Channel_Listings!$A:$A,"Amazon")&gt;0,"Draft","Missing"))
</f>
        <v>Live</v>
      </c>
      <c r="C154" s="31" t="str">
        <f>IF(
 COUNTIFS(Channel_Listings!$D:$D,$A154,Channel_Listings!$A:$A,"Flipkart",Channel_Listings!$E:$E,"Live")&gt;0,"Live",
 IF(COUNTIFS(Channel_Listings!$D:$D,$A154,Channel_Listings!$A:$A,"Flipkart")&gt;0,"Draft","Missing"))
</f>
        <v>Live</v>
      </c>
      <c r="D154" s="31" t="str">
        <f>IF(
 COUNTIFS(Channel_Listings!$D:$D,$A154,Channel_Listings!$A:$A,"Meesho",Channel_Listings!$E:$E,"Live")&gt;0,"Live",
 IF(COUNTIFS(Channel_Listings!$D:$D,$A154,Channel_Listings!$A:$A,"Meesho")&gt;0,"Draft","Missing"))
</f>
        <v>Missing</v>
      </c>
    </row>
    <row r="155" ht="15.75" customHeight="1">
      <c r="A155" s="33" t="s">
        <v>448</v>
      </c>
      <c r="B155" s="31" t="str">
        <f>IF(
 COUNTIFS(Channel_Listings!$D:$D,$A155,Channel_Listings!$A:$A,"Amazon",Channel_Listings!$E:$E,"Live")&gt;0,"Live",
 IF(COUNTIFS(Channel_Listings!$D:$D,$A155,Channel_Listings!$A:$A,"Amazon")&gt;0,"Draft","Missing"))
</f>
        <v>Live</v>
      </c>
      <c r="C155" s="31" t="str">
        <f>IF(
 COUNTIFS(Channel_Listings!$D:$D,$A155,Channel_Listings!$A:$A,"Flipkart",Channel_Listings!$E:$E,"Live")&gt;0,"Live",
 IF(COUNTIFS(Channel_Listings!$D:$D,$A155,Channel_Listings!$A:$A,"Flipkart")&gt;0,"Draft","Missing"))
</f>
        <v>Live</v>
      </c>
      <c r="D155" s="31" t="str">
        <f>IF(
 COUNTIFS(Channel_Listings!$D:$D,$A155,Channel_Listings!$A:$A,"Meesho",Channel_Listings!$E:$E,"Live")&gt;0,"Live",
 IF(COUNTIFS(Channel_Listings!$D:$D,$A155,Channel_Listings!$A:$A,"Meesho")&gt;0,"Draft","Missing"))
</f>
        <v>Missing</v>
      </c>
    </row>
    <row r="156" ht="15.75" customHeight="1">
      <c r="A156" s="33" t="s">
        <v>450</v>
      </c>
      <c r="B156" s="31" t="str">
        <f>IF(
 COUNTIFS(Channel_Listings!$D:$D,$A156,Channel_Listings!$A:$A,"Amazon",Channel_Listings!$E:$E,"Live")&gt;0,"Live",
 IF(COUNTIFS(Channel_Listings!$D:$D,$A156,Channel_Listings!$A:$A,"Amazon")&gt;0,"Draft","Missing"))
</f>
        <v>Live</v>
      </c>
      <c r="C156" s="31" t="str">
        <f>IF(
 COUNTIFS(Channel_Listings!$D:$D,$A156,Channel_Listings!$A:$A,"Flipkart",Channel_Listings!$E:$E,"Live")&gt;0,"Live",
 IF(COUNTIFS(Channel_Listings!$D:$D,$A156,Channel_Listings!$A:$A,"Flipkart")&gt;0,"Draft","Missing"))
</f>
        <v>Live</v>
      </c>
      <c r="D156" s="31" t="str">
        <f>IF(
 COUNTIFS(Channel_Listings!$D:$D,$A156,Channel_Listings!$A:$A,"Meesho",Channel_Listings!$E:$E,"Live")&gt;0,"Live",
 IF(COUNTIFS(Channel_Listings!$D:$D,$A156,Channel_Listings!$A:$A,"Meesho")&gt;0,"Draft","Missing"))
</f>
        <v>Live</v>
      </c>
    </row>
    <row r="157" ht="15.75" customHeight="1">
      <c r="A157" s="33" t="s">
        <v>871</v>
      </c>
      <c r="B157" s="31" t="str">
        <f>IF(
 COUNTIFS(Channel_Listings!$D:$D,$A157,Channel_Listings!$A:$A,"Amazon",Channel_Listings!$E:$E,"Live")&gt;0,"Live",
 IF(COUNTIFS(Channel_Listings!$D:$D,$A157,Channel_Listings!$A:$A,"Amazon")&gt;0,"Draft","Missing"))
</f>
        <v>Live</v>
      </c>
      <c r="C157" s="31" t="str">
        <f>IF(
 COUNTIFS(Channel_Listings!$D:$D,$A157,Channel_Listings!$A:$A,"Flipkart",Channel_Listings!$E:$E,"Live")&gt;0,"Live",
 IF(COUNTIFS(Channel_Listings!$D:$D,$A157,Channel_Listings!$A:$A,"Flipkart")&gt;0,"Draft","Missing"))
</f>
        <v>Live</v>
      </c>
      <c r="D157" s="31" t="str">
        <f>IF(
 COUNTIFS(Channel_Listings!$D:$D,$A157,Channel_Listings!$A:$A,"Meesho",Channel_Listings!$E:$E,"Live")&gt;0,"Live",
 IF(COUNTIFS(Channel_Listings!$D:$D,$A157,Channel_Listings!$A:$A,"Meesho")&gt;0,"Draft","Missing"))
</f>
        <v>Missing</v>
      </c>
    </row>
    <row r="158" ht="15.75" customHeight="1">
      <c r="A158" s="33" t="s">
        <v>1002</v>
      </c>
      <c r="B158" s="31" t="str">
        <f>IF(
 COUNTIFS(Channel_Listings!$D:$D,$A158,Channel_Listings!$A:$A,"Amazon",Channel_Listings!$E:$E,"Live")&gt;0,"Live",
 IF(COUNTIFS(Channel_Listings!$D:$D,$A158,Channel_Listings!$A:$A,"Amazon")&gt;0,"Draft","Missing"))
</f>
        <v>Live</v>
      </c>
      <c r="C158" s="31" t="str">
        <f>IF(
 COUNTIFS(Channel_Listings!$D:$D,$A158,Channel_Listings!$A:$A,"Flipkart",Channel_Listings!$E:$E,"Live")&gt;0,"Live",
 IF(COUNTIFS(Channel_Listings!$D:$D,$A158,Channel_Listings!$A:$A,"Flipkart")&gt;0,"Draft","Missing"))
</f>
        <v>Live</v>
      </c>
      <c r="D158" s="31" t="str">
        <f>IF(
 COUNTIFS(Channel_Listings!$D:$D,$A158,Channel_Listings!$A:$A,"Meesho",Channel_Listings!$E:$E,"Live")&gt;0,"Live",
 IF(COUNTIFS(Channel_Listings!$D:$D,$A158,Channel_Listings!$A:$A,"Meesho")&gt;0,"Draft","Missing"))
</f>
        <v>Live</v>
      </c>
    </row>
    <row r="159" ht="15.75" customHeight="1">
      <c r="A159" s="33" t="s">
        <v>998</v>
      </c>
      <c r="B159" s="31" t="str">
        <f>IF(
 COUNTIFS(Channel_Listings!$D:$D,$A159,Channel_Listings!$A:$A,"Amazon",Channel_Listings!$E:$E,"Live")&gt;0,"Live",
 IF(COUNTIFS(Channel_Listings!$D:$D,$A159,Channel_Listings!$A:$A,"Amazon")&gt;0,"Draft","Missing"))
</f>
        <v>Live</v>
      </c>
      <c r="C159" s="31" t="str">
        <f>IF(
 COUNTIFS(Channel_Listings!$D:$D,$A159,Channel_Listings!$A:$A,"Flipkart",Channel_Listings!$E:$E,"Live")&gt;0,"Live",
 IF(COUNTIFS(Channel_Listings!$D:$D,$A159,Channel_Listings!$A:$A,"Flipkart")&gt;0,"Draft","Missing"))
</f>
        <v>Live</v>
      </c>
      <c r="D159" s="31" t="str">
        <f>IF(
 COUNTIFS(Channel_Listings!$D:$D,$A159,Channel_Listings!$A:$A,"Meesho",Channel_Listings!$E:$E,"Live")&gt;0,"Live",
 IF(COUNTIFS(Channel_Listings!$D:$D,$A159,Channel_Listings!$A:$A,"Meesho")&gt;0,"Draft","Missing"))
</f>
        <v>Live</v>
      </c>
    </row>
    <row r="160" ht="15.75" customHeight="1">
      <c r="A160" s="33" t="s">
        <v>1000</v>
      </c>
      <c r="B160" s="31" t="str">
        <f>IF(
 COUNTIFS(Channel_Listings!$D:$D,$A160,Channel_Listings!$A:$A,"Amazon",Channel_Listings!$E:$E,"Live")&gt;0,"Live",
 IF(COUNTIFS(Channel_Listings!$D:$D,$A160,Channel_Listings!$A:$A,"Amazon")&gt;0,"Draft","Missing"))
</f>
        <v>Live</v>
      </c>
      <c r="C160" s="31" t="str">
        <f>IF(
 COUNTIFS(Channel_Listings!$D:$D,$A160,Channel_Listings!$A:$A,"Flipkart",Channel_Listings!$E:$E,"Live")&gt;0,"Live",
 IF(COUNTIFS(Channel_Listings!$D:$D,$A160,Channel_Listings!$A:$A,"Flipkart")&gt;0,"Draft","Missing"))
</f>
        <v>Live</v>
      </c>
      <c r="D160" s="31" t="str">
        <f>IF(
 COUNTIFS(Channel_Listings!$D:$D,$A160,Channel_Listings!$A:$A,"Meesho",Channel_Listings!$E:$E,"Live")&gt;0,"Live",
 IF(COUNTIFS(Channel_Listings!$D:$D,$A160,Channel_Listings!$A:$A,"Meesho")&gt;0,"Draft","Missing"))
</f>
        <v>Live</v>
      </c>
    </row>
    <row r="161" ht="15.75" customHeight="1">
      <c r="A161" s="33" t="s">
        <v>873</v>
      </c>
      <c r="B161" s="31" t="str">
        <f>IF(
 COUNTIFS(Channel_Listings!$D:$D,$A161,Channel_Listings!$A:$A,"Amazon",Channel_Listings!$E:$E,"Live")&gt;0,"Live",
 IF(COUNTIFS(Channel_Listings!$D:$D,$A161,Channel_Listings!$A:$A,"Amazon")&gt;0,"Draft","Missing"))
</f>
        <v>Live</v>
      </c>
      <c r="C161" s="31" t="str">
        <f>IF(
 COUNTIFS(Channel_Listings!$D:$D,$A161,Channel_Listings!$A:$A,"Flipkart",Channel_Listings!$E:$E,"Live")&gt;0,"Live",
 IF(COUNTIFS(Channel_Listings!$D:$D,$A161,Channel_Listings!$A:$A,"Flipkart")&gt;0,"Draft","Missing"))
</f>
        <v>Live</v>
      </c>
      <c r="D161" s="31" t="str">
        <f>IF(
 COUNTIFS(Channel_Listings!$D:$D,$A161,Channel_Listings!$A:$A,"Meesho",Channel_Listings!$E:$E,"Live")&gt;0,"Live",
 IF(COUNTIFS(Channel_Listings!$D:$D,$A161,Channel_Listings!$A:$A,"Meesho")&gt;0,"Draft","Missing"))
</f>
        <v>Missing</v>
      </c>
    </row>
    <row r="162" ht="15.75" customHeight="1">
      <c r="A162" s="33" t="s">
        <v>1009</v>
      </c>
      <c r="B162" s="31" t="str">
        <f>IF(
 COUNTIFS(Channel_Listings!$D:$D,$A162,Channel_Listings!$A:$A,"Amazon",Channel_Listings!$E:$E,"Live")&gt;0,"Live",
 IF(COUNTIFS(Channel_Listings!$D:$D,$A162,Channel_Listings!$A:$A,"Amazon")&gt;0,"Draft","Missing"))
</f>
        <v>Live</v>
      </c>
      <c r="C162" s="31" t="str">
        <f>IF(
 COUNTIFS(Channel_Listings!$D:$D,$A162,Channel_Listings!$A:$A,"Flipkart",Channel_Listings!$E:$E,"Live")&gt;0,"Live",
 IF(COUNTIFS(Channel_Listings!$D:$D,$A162,Channel_Listings!$A:$A,"Flipkart")&gt;0,"Draft","Missing"))
</f>
        <v>Live</v>
      </c>
      <c r="D162" s="31" t="str">
        <f>IF(
 COUNTIFS(Channel_Listings!$D:$D,$A162,Channel_Listings!$A:$A,"Meesho",Channel_Listings!$E:$E,"Live")&gt;0,"Live",
 IF(COUNTIFS(Channel_Listings!$D:$D,$A162,Channel_Listings!$A:$A,"Meesho")&gt;0,"Draft","Missing"))
</f>
        <v>Live</v>
      </c>
    </row>
    <row r="163" ht="15.75" customHeight="1">
      <c r="A163" s="33" t="s">
        <v>1005</v>
      </c>
      <c r="B163" s="31" t="str">
        <f>IF(
 COUNTIFS(Channel_Listings!$D:$D,$A163,Channel_Listings!$A:$A,"Amazon",Channel_Listings!$E:$E,"Live")&gt;0,"Live",
 IF(COUNTIFS(Channel_Listings!$D:$D,$A163,Channel_Listings!$A:$A,"Amazon")&gt;0,"Draft","Missing"))
</f>
        <v>Live</v>
      </c>
      <c r="C163" s="31" t="str">
        <f>IF(
 COUNTIFS(Channel_Listings!$D:$D,$A163,Channel_Listings!$A:$A,"Flipkart",Channel_Listings!$E:$E,"Live")&gt;0,"Live",
 IF(COUNTIFS(Channel_Listings!$D:$D,$A163,Channel_Listings!$A:$A,"Flipkart")&gt;0,"Draft","Missing"))
</f>
        <v>Live</v>
      </c>
      <c r="D163" s="31" t="str">
        <f>IF(
 COUNTIFS(Channel_Listings!$D:$D,$A163,Channel_Listings!$A:$A,"Meesho",Channel_Listings!$E:$E,"Live")&gt;0,"Live",
 IF(COUNTIFS(Channel_Listings!$D:$D,$A163,Channel_Listings!$A:$A,"Meesho")&gt;0,"Draft","Missing"))
</f>
        <v>Live</v>
      </c>
    </row>
    <row r="164" ht="15.75" customHeight="1">
      <c r="A164" s="33" t="s">
        <v>1007</v>
      </c>
      <c r="B164" s="31" t="str">
        <f>IF(
 COUNTIFS(Channel_Listings!$D:$D,$A164,Channel_Listings!$A:$A,"Amazon",Channel_Listings!$E:$E,"Live")&gt;0,"Live",
 IF(COUNTIFS(Channel_Listings!$D:$D,$A164,Channel_Listings!$A:$A,"Amazon")&gt;0,"Draft","Missing"))
</f>
        <v>Live</v>
      </c>
      <c r="C164" s="31" t="str">
        <f>IF(
 COUNTIFS(Channel_Listings!$D:$D,$A164,Channel_Listings!$A:$A,"Flipkart",Channel_Listings!$E:$E,"Live")&gt;0,"Live",
 IF(COUNTIFS(Channel_Listings!$D:$D,$A164,Channel_Listings!$A:$A,"Flipkart")&gt;0,"Draft","Missing"))
</f>
        <v>Live</v>
      </c>
      <c r="D164" s="31" t="str">
        <f>IF(
 COUNTIFS(Channel_Listings!$D:$D,$A164,Channel_Listings!$A:$A,"Meesho",Channel_Listings!$E:$E,"Live")&gt;0,"Live",
 IF(COUNTIFS(Channel_Listings!$D:$D,$A164,Channel_Listings!$A:$A,"Meesho")&gt;0,"Draft","Missing"))
</f>
        <v>Live</v>
      </c>
    </row>
    <row r="165" ht="15.75" customHeight="1">
      <c r="A165" s="33" t="s">
        <v>1011</v>
      </c>
      <c r="B165" s="31" t="str">
        <f>IF(
 COUNTIFS(Channel_Listings!$D:$D,$A165,Channel_Listings!$A:$A,"Amazon",Channel_Listings!$E:$E,"Live")&gt;0,"Live",
 IF(COUNTIFS(Channel_Listings!$D:$D,$A165,Channel_Listings!$A:$A,"Amazon")&gt;0,"Draft","Missing"))
</f>
        <v>Live</v>
      </c>
      <c r="C165" s="31" t="str">
        <f>IF(
 COUNTIFS(Channel_Listings!$D:$D,$A165,Channel_Listings!$A:$A,"Flipkart",Channel_Listings!$E:$E,"Live")&gt;0,"Live",
 IF(COUNTIFS(Channel_Listings!$D:$D,$A165,Channel_Listings!$A:$A,"Flipkart")&gt;0,"Draft","Missing"))
</f>
        <v>Live</v>
      </c>
      <c r="D165" s="31" t="str">
        <f>IF(
 COUNTIFS(Channel_Listings!$D:$D,$A165,Channel_Listings!$A:$A,"Meesho",Channel_Listings!$E:$E,"Live")&gt;0,"Live",
 IF(COUNTIFS(Channel_Listings!$D:$D,$A165,Channel_Listings!$A:$A,"Meesho")&gt;0,"Draft","Missing"))
</f>
        <v>Missing</v>
      </c>
    </row>
    <row r="166" ht="15.75" customHeight="1">
      <c r="A166" s="33" t="s">
        <v>1017</v>
      </c>
      <c r="B166" s="31" t="str">
        <f>IF(
 COUNTIFS(Channel_Listings!$D:$D,$A166,Channel_Listings!$A:$A,"Amazon",Channel_Listings!$E:$E,"Live")&gt;0,"Live",
 IF(COUNTIFS(Channel_Listings!$D:$D,$A166,Channel_Listings!$A:$A,"Amazon")&gt;0,"Draft","Missing"))
</f>
        <v>Live</v>
      </c>
      <c r="C166" s="31" t="str">
        <f>IF(
 COUNTIFS(Channel_Listings!$D:$D,$A166,Channel_Listings!$A:$A,"Flipkart",Channel_Listings!$E:$E,"Live")&gt;0,"Live",
 IF(COUNTIFS(Channel_Listings!$D:$D,$A166,Channel_Listings!$A:$A,"Flipkart")&gt;0,"Draft","Missing"))
</f>
        <v>Live</v>
      </c>
      <c r="D166" s="31" t="str">
        <f>IF(
 COUNTIFS(Channel_Listings!$D:$D,$A166,Channel_Listings!$A:$A,"Meesho",Channel_Listings!$E:$E,"Live")&gt;0,"Live",
 IF(COUNTIFS(Channel_Listings!$D:$D,$A166,Channel_Listings!$A:$A,"Meesho")&gt;0,"Draft","Missing"))
</f>
        <v>Live</v>
      </c>
    </row>
    <row r="167" ht="15.75" customHeight="1">
      <c r="A167" s="33" t="s">
        <v>1013</v>
      </c>
      <c r="B167" s="31" t="str">
        <f>IF(
 COUNTIFS(Channel_Listings!$D:$D,$A167,Channel_Listings!$A:$A,"Amazon",Channel_Listings!$E:$E,"Live")&gt;0,"Live",
 IF(COUNTIFS(Channel_Listings!$D:$D,$A167,Channel_Listings!$A:$A,"Amazon")&gt;0,"Draft","Missing"))
</f>
        <v>Live</v>
      </c>
      <c r="C167" s="31" t="str">
        <f>IF(
 COUNTIFS(Channel_Listings!$D:$D,$A167,Channel_Listings!$A:$A,"Flipkart",Channel_Listings!$E:$E,"Live")&gt;0,"Live",
 IF(COUNTIFS(Channel_Listings!$D:$D,$A167,Channel_Listings!$A:$A,"Flipkart")&gt;0,"Draft","Missing"))
</f>
        <v>Live</v>
      </c>
      <c r="D167" s="31" t="str">
        <f>IF(
 COUNTIFS(Channel_Listings!$D:$D,$A167,Channel_Listings!$A:$A,"Meesho",Channel_Listings!$E:$E,"Live")&gt;0,"Live",
 IF(COUNTIFS(Channel_Listings!$D:$D,$A167,Channel_Listings!$A:$A,"Meesho")&gt;0,"Draft","Missing"))
</f>
        <v>Live</v>
      </c>
    </row>
    <row r="168" ht="15.75" customHeight="1">
      <c r="A168" s="33" t="s">
        <v>1015</v>
      </c>
      <c r="B168" s="31" t="str">
        <f>IF(
 COUNTIFS(Channel_Listings!$D:$D,$A168,Channel_Listings!$A:$A,"Amazon",Channel_Listings!$E:$E,"Live")&gt;0,"Live",
 IF(COUNTIFS(Channel_Listings!$D:$D,$A168,Channel_Listings!$A:$A,"Amazon")&gt;0,"Draft","Missing"))
</f>
        <v>Live</v>
      </c>
      <c r="C168" s="31" t="str">
        <f>IF(
 COUNTIFS(Channel_Listings!$D:$D,$A168,Channel_Listings!$A:$A,"Flipkart",Channel_Listings!$E:$E,"Live")&gt;0,"Live",
 IF(COUNTIFS(Channel_Listings!$D:$D,$A168,Channel_Listings!$A:$A,"Flipkart")&gt;0,"Draft","Missing"))
</f>
        <v>Live</v>
      </c>
      <c r="D168" s="31" t="str">
        <f>IF(
 COUNTIFS(Channel_Listings!$D:$D,$A168,Channel_Listings!$A:$A,"Meesho",Channel_Listings!$E:$E,"Live")&gt;0,"Live",
 IF(COUNTIFS(Channel_Listings!$D:$D,$A168,Channel_Listings!$A:$A,"Meesho")&gt;0,"Draft","Missing"))
</f>
        <v>Live</v>
      </c>
    </row>
    <row r="169" ht="15.75" customHeight="1">
      <c r="A169" s="33" t="s">
        <v>875</v>
      </c>
      <c r="B169" s="31" t="str">
        <f>IF(
 COUNTIFS(Channel_Listings!$D:$D,$A169,Channel_Listings!$A:$A,"Amazon",Channel_Listings!$E:$E,"Live")&gt;0,"Live",
 IF(COUNTIFS(Channel_Listings!$D:$D,$A169,Channel_Listings!$A:$A,"Amazon")&gt;0,"Draft","Missing"))
</f>
        <v>Live</v>
      </c>
      <c r="C169" s="31" t="str">
        <f>IF(
 COUNTIFS(Channel_Listings!$D:$D,$A169,Channel_Listings!$A:$A,"Flipkart",Channel_Listings!$E:$E,"Live")&gt;0,"Live",
 IF(COUNTIFS(Channel_Listings!$D:$D,$A169,Channel_Listings!$A:$A,"Flipkart")&gt;0,"Draft","Missing"))
</f>
        <v>Live</v>
      </c>
      <c r="D169" s="31" t="str">
        <f>IF(
 COUNTIFS(Channel_Listings!$D:$D,$A169,Channel_Listings!$A:$A,"Meesho",Channel_Listings!$E:$E,"Live")&gt;0,"Live",
 IF(COUNTIFS(Channel_Listings!$D:$D,$A169,Channel_Listings!$A:$A,"Meesho")&gt;0,"Draft","Missing"))
</f>
        <v>Missing</v>
      </c>
    </row>
    <row r="170" ht="15.75" customHeight="1">
      <c r="A170" s="33" t="s">
        <v>1024</v>
      </c>
      <c r="B170" s="31" t="str">
        <f>IF(
 COUNTIFS(Channel_Listings!$D:$D,$A170,Channel_Listings!$A:$A,"Amazon",Channel_Listings!$E:$E,"Live")&gt;0,"Live",
 IF(COUNTIFS(Channel_Listings!$D:$D,$A170,Channel_Listings!$A:$A,"Amazon")&gt;0,"Draft","Missing"))
</f>
        <v>Live</v>
      </c>
      <c r="C170" s="31" t="str">
        <f>IF(
 COUNTIFS(Channel_Listings!$D:$D,$A170,Channel_Listings!$A:$A,"Flipkart",Channel_Listings!$E:$E,"Live")&gt;0,"Live",
 IF(COUNTIFS(Channel_Listings!$D:$D,$A170,Channel_Listings!$A:$A,"Flipkart")&gt;0,"Draft","Missing"))
</f>
        <v>Live</v>
      </c>
      <c r="D170" s="31" t="str">
        <f>IF(
 COUNTIFS(Channel_Listings!$D:$D,$A170,Channel_Listings!$A:$A,"Meesho",Channel_Listings!$E:$E,"Live")&gt;0,"Live",
 IF(COUNTIFS(Channel_Listings!$D:$D,$A170,Channel_Listings!$A:$A,"Meesho")&gt;0,"Draft","Missing"))
</f>
        <v>Missing</v>
      </c>
    </row>
    <row r="171" ht="15.75" customHeight="1">
      <c r="A171" s="33" t="s">
        <v>1020</v>
      </c>
      <c r="B171" s="31" t="str">
        <f>IF(
 COUNTIFS(Channel_Listings!$D:$D,$A171,Channel_Listings!$A:$A,"Amazon",Channel_Listings!$E:$E,"Live")&gt;0,"Live",
 IF(COUNTIFS(Channel_Listings!$D:$D,$A171,Channel_Listings!$A:$A,"Amazon")&gt;0,"Draft","Missing"))
</f>
        <v>Live</v>
      </c>
      <c r="C171" s="31" t="str">
        <f>IF(
 COUNTIFS(Channel_Listings!$D:$D,$A171,Channel_Listings!$A:$A,"Flipkart",Channel_Listings!$E:$E,"Live")&gt;0,"Live",
 IF(COUNTIFS(Channel_Listings!$D:$D,$A171,Channel_Listings!$A:$A,"Flipkart")&gt;0,"Draft","Missing"))
</f>
        <v>Live</v>
      </c>
      <c r="D171" s="31" t="str">
        <f>IF(
 COUNTIFS(Channel_Listings!$D:$D,$A171,Channel_Listings!$A:$A,"Meesho",Channel_Listings!$E:$E,"Live")&gt;0,"Live",
 IF(COUNTIFS(Channel_Listings!$D:$D,$A171,Channel_Listings!$A:$A,"Meesho")&gt;0,"Draft","Missing"))
</f>
        <v>Live</v>
      </c>
    </row>
    <row r="172" ht="15.75" customHeight="1">
      <c r="A172" s="33" t="s">
        <v>1022</v>
      </c>
      <c r="B172" s="31" t="str">
        <f>IF(
 COUNTIFS(Channel_Listings!$D:$D,$A172,Channel_Listings!$A:$A,"Amazon",Channel_Listings!$E:$E,"Live")&gt;0,"Live",
 IF(COUNTIFS(Channel_Listings!$D:$D,$A172,Channel_Listings!$A:$A,"Amazon")&gt;0,"Draft","Missing"))
</f>
        <v>Live</v>
      </c>
      <c r="C172" s="31" t="str">
        <f>IF(
 COUNTIFS(Channel_Listings!$D:$D,$A172,Channel_Listings!$A:$A,"Flipkart",Channel_Listings!$E:$E,"Live")&gt;0,"Live",
 IF(COUNTIFS(Channel_Listings!$D:$D,$A172,Channel_Listings!$A:$A,"Flipkart")&gt;0,"Draft","Missing"))
</f>
        <v>Live</v>
      </c>
      <c r="D172" s="31" t="str">
        <f>IF(
 COUNTIFS(Channel_Listings!$D:$D,$A172,Channel_Listings!$A:$A,"Meesho",Channel_Listings!$E:$E,"Live")&gt;0,"Live",
 IF(COUNTIFS(Channel_Listings!$D:$D,$A172,Channel_Listings!$A:$A,"Meesho")&gt;0,"Draft","Missing"))
</f>
        <v>Live</v>
      </c>
    </row>
    <row r="173" ht="15.75" customHeight="1">
      <c r="A173" s="33" t="s">
        <v>25</v>
      </c>
      <c r="B173" s="31" t="str">
        <f>IF(
 COUNTIFS(Channel_Listings!$D:$D,$A173,Channel_Listings!$A:$A,"Amazon",Channel_Listings!$E:$E,"Live")&gt;0,"Live",
 IF(COUNTIFS(Channel_Listings!$D:$D,$A173,Channel_Listings!$A:$A,"Amazon")&gt;0,"Draft","Missing"))
</f>
        <v>Live</v>
      </c>
      <c r="C173" s="31" t="str">
        <f>IF(
 COUNTIFS(Channel_Listings!$D:$D,$A173,Channel_Listings!$A:$A,"Flipkart",Channel_Listings!$E:$E,"Live")&gt;0,"Live",
 IF(COUNTIFS(Channel_Listings!$D:$D,$A173,Channel_Listings!$A:$A,"Flipkart")&gt;0,"Draft","Missing"))
</f>
        <v>Live</v>
      </c>
      <c r="D173" s="31" t="str">
        <f>IF(
 COUNTIFS(Channel_Listings!$D:$D,$A173,Channel_Listings!$A:$A,"Meesho",Channel_Listings!$E:$E,"Live")&gt;0,"Live",
 IF(COUNTIFS(Channel_Listings!$D:$D,$A173,Channel_Listings!$A:$A,"Meesho")&gt;0,"Draft","Missing"))
</f>
        <v>Missing</v>
      </c>
    </row>
    <row r="174" ht="15.75" customHeight="1">
      <c r="A174" s="33" t="s">
        <v>28</v>
      </c>
      <c r="B174" s="31" t="str">
        <f>IF(
 COUNTIFS(Channel_Listings!$D:$D,$A174,Channel_Listings!$A:$A,"Amazon",Channel_Listings!$E:$E,"Live")&gt;0,"Live",
 IF(COUNTIFS(Channel_Listings!$D:$D,$A174,Channel_Listings!$A:$A,"Amazon")&gt;0,"Draft","Missing"))
</f>
        <v>Live</v>
      </c>
      <c r="C174" s="31" t="str">
        <f>IF(
 COUNTIFS(Channel_Listings!$D:$D,$A174,Channel_Listings!$A:$A,"Flipkart",Channel_Listings!$E:$E,"Live")&gt;0,"Live",
 IF(COUNTIFS(Channel_Listings!$D:$D,$A174,Channel_Listings!$A:$A,"Flipkart")&gt;0,"Draft","Missing"))
</f>
        <v>Live</v>
      </c>
      <c r="D174" s="31" t="str">
        <f>IF(
 COUNTIFS(Channel_Listings!$D:$D,$A174,Channel_Listings!$A:$A,"Meesho",Channel_Listings!$E:$E,"Live")&gt;0,"Live",
 IF(COUNTIFS(Channel_Listings!$D:$D,$A174,Channel_Listings!$A:$A,"Meesho")&gt;0,"Draft","Missing"))
</f>
        <v>Missing</v>
      </c>
    </row>
    <row r="175" ht="15.75" customHeight="1">
      <c r="A175" s="33" t="s">
        <v>31</v>
      </c>
      <c r="B175" s="31" t="str">
        <f>IF(
 COUNTIFS(Channel_Listings!$D:$D,$A175,Channel_Listings!$A:$A,"Amazon",Channel_Listings!$E:$E,"Live")&gt;0,"Live",
 IF(COUNTIFS(Channel_Listings!$D:$D,$A175,Channel_Listings!$A:$A,"Amazon")&gt;0,"Draft","Missing"))
</f>
        <v>Live</v>
      </c>
      <c r="C175" s="31" t="str">
        <f>IF(
 COUNTIFS(Channel_Listings!$D:$D,$A175,Channel_Listings!$A:$A,"Flipkart",Channel_Listings!$E:$E,"Live")&gt;0,"Live",
 IF(COUNTIFS(Channel_Listings!$D:$D,$A175,Channel_Listings!$A:$A,"Flipkart")&gt;0,"Draft","Missing"))
</f>
        <v>Live</v>
      </c>
      <c r="D175" s="31" t="str">
        <f>IF(
 COUNTIFS(Channel_Listings!$D:$D,$A175,Channel_Listings!$A:$A,"Meesho",Channel_Listings!$E:$E,"Live")&gt;0,"Live",
 IF(COUNTIFS(Channel_Listings!$D:$D,$A175,Channel_Listings!$A:$A,"Meesho")&gt;0,"Draft","Missing"))
</f>
        <v>Missing</v>
      </c>
    </row>
    <row r="176" ht="15.75" customHeight="1">
      <c r="A176" s="33" t="s">
        <v>34</v>
      </c>
      <c r="B176" s="31" t="str">
        <f>IF(
 COUNTIFS(Channel_Listings!$D:$D,$A176,Channel_Listings!$A:$A,"Amazon",Channel_Listings!$E:$E,"Live")&gt;0,"Live",
 IF(COUNTIFS(Channel_Listings!$D:$D,$A176,Channel_Listings!$A:$A,"Amazon")&gt;0,"Draft","Missing"))
</f>
        <v>Live</v>
      </c>
      <c r="C176" s="31" t="str">
        <f>IF(
 COUNTIFS(Channel_Listings!$D:$D,$A176,Channel_Listings!$A:$A,"Flipkart",Channel_Listings!$E:$E,"Live")&gt;0,"Live",
 IF(COUNTIFS(Channel_Listings!$D:$D,$A176,Channel_Listings!$A:$A,"Flipkart")&gt;0,"Draft","Missing"))
</f>
        <v>Live</v>
      </c>
      <c r="D176" s="31" t="str">
        <f>IF(
 COUNTIFS(Channel_Listings!$D:$D,$A176,Channel_Listings!$A:$A,"Meesho",Channel_Listings!$E:$E,"Live")&gt;0,"Live",
 IF(COUNTIFS(Channel_Listings!$D:$D,$A176,Channel_Listings!$A:$A,"Meesho")&gt;0,"Draft","Missing"))
</f>
        <v>Missing</v>
      </c>
    </row>
    <row r="177" ht="15.75" customHeight="1">
      <c r="A177" s="33" t="s">
        <v>1820</v>
      </c>
      <c r="B177" s="31" t="str">
        <f>IF(
 COUNTIFS(Channel_Listings!$D:$D,$A177,Channel_Listings!$A:$A,"Amazon",Channel_Listings!$E:$E,"Live")&gt;0,"Live",
 IF(COUNTIFS(Channel_Listings!$D:$D,$A177,Channel_Listings!$A:$A,"Amazon")&gt;0,"Draft","Missing"))
</f>
        <v>Live</v>
      </c>
      <c r="C177" s="31" t="str">
        <f>IF(
 COUNTIFS(Channel_Listings!$D:$D,$A177,Channel_Listings!$A:$A,"Flipkart",Channel_Listings!$E:$E,"Live")&gt;0,"Live",
 IF(COUNTIFS(Channel_Listings!$D:$D,$A177,Channel_Listings!$A:$A,"Flipkart")&gt;0,"Draft","Missing"))
</f>
        <v>Live</v>
      </c>
      <c r="D177" s="31" t="str">
        <f>IF(
 COUNTIFS(Channel_Listings!$D:$D,$A177,Channel_Listings!$A:$A,"Meesho",Channel_Listings!$E:$E,"Live")&gt;0,"Live",
 IF(COUNTIFS(Channel_Listings!$D:$D,$A177,Channel_Listings!$A:$A,"Meesho")&gt;0,"Draft","Missing"))
</f>
        <v>Missing</v>
      </c>
    </row>
    <row r="178" ht="15.75" customHeight="1">
      <c r="A178" s="33" t="s">
        <v>1821</v>
      </c>
      <c r="B178" s="31" t="str">
        <f>IF(
 COUNTIFS(Channel_Listings!$D:$D,$A178,Channel_Listings!$A:$A,"Amazon",Channel_Listings!$E:$E,"Live")&gt;0,"Live",
 IF(COUNTIFS(Channel_Listings!$D:$D,$A178,Channel_Listings!$A:$A,"Amazon")&gt;0,"Draft","Missing"))
</f>
        <v>Live</v>
      </c>
      <c r="C178" s="31" t="str">
        <f>IF(
 COUNTIFS(Channel_Listings!$D:$D,$A178,Channel_Listings!$A:$A,"Flipkart",Channel_Listings!$E:$E,"Live")&gt;0,"Live",
 IF(COUNTIFS(Channel_Listings!$D:$D,$A178,Channel_Listings!$A:$A,"Flipkart")&gt;0,"Draft","Missing"))
</f>
        <v>Live</v>
      </c>
      <c r="D178" s="31" t="str">
        <f>IF(
 COUNTIFS(Channel_Listings!$D:$D,$A178,Channel_Listings!$A:$A,"Meesho",Channel_Listings!$E:$E,"Live")&gt;0,"Live",
 IF(COUNTIFS(Channel_Listings!$D:$D,$A178,Channel_Listings!$A:$A,"Meesho")&gt;0,"Draft","Missing"))
</f>
        <v>Missing</v>
      </c>
    </row>
    <row r="179" ht="15.75" customHeight="1">
      <c r="A179" s="33" t="s">
        <v>1822</v>
      </c>
      <c r="B179" s="31" t="str">
        <f>IF(
 COUNTIFS(Channel_Listings!$D:$D,$A179,Channel_Listings!$A:$A,"Amazon",Channel_Listings!$E:$E,"Live")&gt;0,"Live",
 IF(COUNTIFS(Channel_Listings!$D:$D,$A179,Channel_Listings!$A:$A,"Amazon")&gt;0,"Draft","Missing"))
</f>
        <v>Live</v>
      </c>
      <c r="C179" s="31" t="str">
        <f>IF(
 COUNTIFS(Channel_Listings!$D:$D,$A179,Channel_Listings!$A:$A,"Flipkart",Channel_Listings!$E:$E,"Live")&gt;0,"Live",
 IF(COUNTIFS(Channel_Listings!$D:$D,$A179,Channel_Listings!$A:$A,"Flipkart")&gt;0,"Draft","Missing"))
</f>
        <v>Live</v>
      </c>
      <c r="D179" s="31" t="str">
        <f>IF(
 COUNTIFS(Channel_Listings!$D:$D,$A179,Channel_Listings!$A:$A,"Meesho",Channel_Listings!$E:$E,"Live")&gt;0,"Live",
 IF(COUNTIFS(Channel_Listings!$D:$D,$A179,Channel_Listings!$A:$A,"Meesho")&gt;0,"Draft","Missing"))
</f>
        <v>Missing</v>
      </c>
    </row>
    <row r="180" ht="15.75" customHeight="1">
      <c r="A180" s="33" t="s">
        <v>1823</v>
      </c>
      <c r="B180" s="31" t="str">
        <f>IF(
 COUNTIFS(Channel_Listings!$D:$D,$A180,Channel_Listings!$A:$A,"Amazon",Channel_Listings!$E:$E,"Live")&gt;0,"Live",
 IF(COUNTIFS(Channel_Listings!$D:$D,$A180,Channel_Listings!$A:$A,"Amazon")&gt;0,"Draft","Missing"))
</f>
        <v>Live</v>
      </c>
      <c r="C180" s="31" t="str">
        <f>IF(
 COUNTIFS(Channel_Listings!$D:$D,$A180,Channel_Listings!$A:$A,"Flipkart",Channel_Listings!$E:$E,"Live")&gt;0,"Live",
 IF(COUNTIFS(Channel_Listings!$D:$D,$A180,Channel_Listings!$A:$A,"Flipkart")&gt;0,"Draft","Missing"))
</f>
        <v>Live</v>
      </c>
      <c r="D180" s="31" t="str">
        <f>IF(
 COUNTIFS(Channel_Listings!$D:$D,$A180,Channel_Listings!$A:$A,"Meesho",Channel_Listings!$E:$E,"Live")&gt;0,"Live",
 IF(COUNTIFS(Channel_Listings!$D:$D,$A180,Channel_Listings!$A:$A,"Meesho")&gt;0,"Draft","Missing"))
</f>
        <v>Missing</v>
      </c>
    </row>
    <row r="181" ht="15.75" customHeight="1">
      <c r="A181" s="34" t="s">
        <v>901</v>
      </c>
      <c r="B181" s="31" t="str">
        <f>IF(
 COUNTIFS(Channel_Listings!$D:$D,$A181,Channel_Listings!$A:$A,"Amazon",Channel_Listings!$E:$E,"Live")&gt;0,"Live",
 IF(COUNTIFS(Channel_Listings!$D:$D,$A181,Channel_Listings!$A:$A,"Amazon")&gt;0,"Draft","Missing"))
</f>
        <v>Live</v>
      </c>
      <c r="C181" s="31" t="str">
        <f>IF(
 COUNTIFS(Channel_Listings!$D:$D,$A181,Channel_Listings!$A:$A,"Flipkart",Channel_Listings!$E:$E,"Live")&gt;0,"Live",
 IF(COUNTIFS(Channel_Listings!$D:$D,$A181,Channel_Listings!$A:$A,"Flipkart")&gt;0,"Draft","Missing"))
</f>
        <v>Missing</v>
      </c>
      <c r="D181" s="31" t="str">
        <f>IF(
 COUNTIFS(Channel_Listings!$D:$D,$A181,Channel_Listings!$A:$A,"Meesho",Channel_Listings!$E:$E,"Live")&gt;0,"Live",
 IF(COUNTIFS(Channel_Listings!$D:$D,$A181,Channel_Listings!$A:$A,"Meesho")&gt;0,"Draft","Missing"))
</f>
        <v>Missing</v>
      </c>
    </row>
    <row r="182" ht="15.75" customHeight="1">
      <c r="A182" s="34" t="s">
        <v>903</v>
      </c>
      <c r="B182" s="31" t="str">
        <f>IF(
 COUNTIFS(Channel_Listings!$D:$D,$A182,Channel_Listings!$A:$A,"Amazon",Channel_Listings!$E:$E,"Live")&gt;0,"Live",
 IF(COUNTIFS(Channel_Listings!$D:$D,$A182,Channel_Listings!$A:$A,"Amazon")&gt;0,"Draft","Missing"))
</f>
        <v>Live</v>
      </c>
      <c r="C182" s="31" t="str">
        <f>IF(
 COUNTIFS(Channel_Listings!$D:$D,$A182,Channel_Listings!$A:$A,"Flipkart",Channel_Listings!$E:$E,"Live")&gt;0,"Live",
 IF(COUNTIFS(Channel_Listings!$D:$D,$A182,Channel_Listings!$A:$A,"Flipkart")&gt;0,"Draft","Missing"))
</f>
        <v>Live</v>
      </c>
      <c r="D182" s="31" t="str">
        <f>IF(
 COUNTIFS(Channel_Listings!$D:$D,$A182,Channel_Listings!$A:$A,"Meesho",Channel_Listings!$E:$E,"Live")&gt;0,"Live",
 IF(COUNTIFS(Channel_Listings!$D:$D,$A182,Channel_Listings!$A:$A,"Meesho")&gt;0,"Draft","Missing"))
</f>
        <v>Live</v>
      </c>
    </row>
    <row r="183" ht="15.75" customHeight="1">
      <c r="A183" s="34" t="s">
        <v>906</v>
      </c>
      <c r="B183" s="31" t="str">
        <f>IF(
 COUNTIFS(Channel_Listings!$D:$D,$A183,Channel_Listings!$A:$A,"Amazon",Channel_Listings!$E:$E,"Live")&gt;0,"Live",
 IF(COUNTIFS(Channel_Listings!$D:$D,$A183,Channel_Listings!$A:$A,"Amazon")&gt;0,"Draft","Missing"))
</f>
        <v>Live</v>
      </c>
      <c r="C183" s="31" t="str">
        <f>IF(
 COUNTIFS(Channel_Listings!$D:$D,$A183,Channel_Listings!$A:$A,"Flipkart",Channel_Listings!$E:$E,"Live")&gt;0,"Live",
 IF(COUNTIFS(Channel_Listings!$D:$D,$A183,Channel_Listings!$A:$A,"Flipkart")&gt;0,"Draft","Missing"))
</f>
        <v>Live</v>
      </c>
      <c r="D183" s="31" t="str">
        <f>IF(
 COUNTIFS(Channel_Listings!$D:$D,$A183,Channel_Listings!$A:$A,"Meesho",Channel_Listings!$E:$E,"Live")&gt;0,"Live",
 IF(COUNTIFS(Channel_Listings!$D:$D,$A183,Channel_Listings!$A:$A,"Meesho")&gt;0,"Draft","Missing"))
</f>
        <v>Live</v>
      </c>
    </row>
    <row r="184" ht="15.75" customHeight="1">
      <c r="A184" s="34" t="s">
        <v>909</v>
      </c>
      <c r="B184" s="31" t="str">
        <f>IF(
 COUNTIFS(Channel_Listings!$D:$D,$A184,Channel_Listings!$A:$A,"Amazon",Channel_Listings!$E:$E,"Live")&gt;0,"Live",
 IF(COUNTIFS(Channel_Listings!$D:$D,$A184,Channel_Listings!$A:$A,"Amazon")&gt;0,"Draft","Missing"))
</f>
        <v>Live</v>
      </c>
      <c r="C184" s="31" t="str">
        <f>IF(
 COUNTIFS(Channel_Listings!$D:$D,$A184,Channel_Listings!$A:$A,"Flipkart",Channel_Listings!$E:$E,"Live")&gt;0,"Live",
 IF(COUNTIFS(Channel_Listings!$D:$D,$A184,Channel_Listings!$A:$A,"Flipkart")&gt;0,"Draft","Missing"))
</f>
        <v>Live</v>
      </c>
      <c r="D184" s="31" t="str">
        <f>IF(
 COUNTIFS(Channel_Listings!$D:$D,$A184,Channel_Listings!$A:$A,"Meesho",Channel_Listings!$E:$E,"Live")&gt;0,"Live",
 IF(COUNTIFS(Channel_Listings!$D:$D,$A184,Channel_Listings!$A:$A,"Meesho")&gt;0,"Draft","Missing"))
</f>
        <v>Live</v>
      </c>
    </row>
    <row r="185" ht="15.75" customHeight="1">
      <c r="A185" s="34" t="s">
        <v>912</v>
      </c>
      <c r="B185" s="31" t="str">
        <f>IF(
 COUNTIFS(Channel_Listings!$D:$D,$A185,Channel_Listings!$A:$A,"Amazon",Channel_Listings!$E:$E,"Live")&gt;0,"Live",
 IF(COUNTIFS(Channel_Listings!$D:$D,$A185,Channel_Listings!$A:$A,"Amazon")&gt;0,"Draft","Missing"))
</f>
        <v>Live</v>
      </c>
      <c r="C185" s="31" t="str">
        <f>IF(
 COUNTIFS(Channel_Listings!$D:$D,$A185,Channel_Listings!$A:$A,"Flipkart",Channel_Listings!$E:$E,"Live")&gt;0,"Live",
 IF(COUNTIFS(Channel_Listings!$D:$D,$A185,Channel_Listings!$A:$A,"Flipkart")&gt;0,"Draft","Missing"))
</f>
        <v>Missing</v>
      </c>
      <c r="D185" s="31" t="str">
        <f>IF(
 COUNTIFS(Channel_Listings!$D:$D,$A185,Channel_Listings!$A:$A,"Meesho",Channel_Listings!$E:$E,"Live")&gt;0,"Live",
 IF(COUNTIFS(Channel_Listings!$D:$D,$A185,Channel_Listings!$A:$A,"Meesho")&gt;0,"Draft","Missing"))
</f>
        <v>Missing</v>
      </c>
    </row>
    <row r="186" ht="15.75" customHeight="1">
      <c r="A186" s="34" t="s">
        <v>914</v>
      </c>
      <c r="B186" s="31" t="str">
        <f>IF(
 COUNTIFS(Channel_Listings!$D:$D,$A186,Channel_Listings!$A:$A,"Amazon",Channel_Listings!$E:$E,"Live")&gt;0,"Live",
 IF(COUNTIFS(Channel_Listings!$D:$D,$A186,Channel_Listings!$A:$A,"Amazon")&gt;0,"Draft","Missing"))
</f>
        <v>Live</v>
      </c>
      <c r="C186" s="31" t="str">
        <f>IF(
 COUNTIFS(Channel_Listings!$D:$D,$A186,Channel_Listings!$A:$A,"Flipkart",Channel_Listings!$E:$E,"Live")&gt;0,"Live",
 IF(COUNTIFS(Channel_Listings!$D:$D,$A186,Channel_Listings!$A:$A,"Flipkart")&gt;0,"Draft","Missing"))
</f>
        <v>Live</v>
      </c>
      <c r="D186" s="31" t="str">
        <f>IF(
 COUNTIFS(Channel_Listings!$D:$D,$A186,Channel_Listings!$A:$A,"Meesho",Channel_Listings!$E:$E,"Live")&gt;0,"Live",
 IF(COUNTIFS(Channel_Listings!$D:$D,$A186,Channel_Listings!$A:$A,"Meesho")&gt;0,"Draft","Missing"))
</f>
        <v>Live</v>
      </c>
    </row>
    <row r="187" ht="15.75" customHeight="1">
      <c r="A187" s="34" t="s">
        <v>917</v>
      </c>
      <c r="B187" s="31" t="str">
        <f>IF(
 COUNTIFS(Channel_Listings!$D:$D,$A187,Channel_Listings!$A:$A,"Amazon",Channel_Listings!$E:$E,"Live")&gt;0,"Live",
 IF(COUNTIFS(Channel_Listings!$D:$D,$A187,Channel_Listings!$A:$A,"Amazon")&gt;0,"Draft","Missing"))
</f>
        <v>Live</v>
      </c>
      <c r="C187" s="31" t="str">
        <f>IF(
 COUNTIFS(Channel_Listings!$D:$D,$A187,Channel_Listings!$A:$A,"Flipkart",Channel_Listings!$E:$E,"Live")&gt;0,"Live",
 IF(COUNTIFS(Channel_Listings!$D:$D,$A187,Channel_Listings!$A:$A,"Flipkart")&gt;0,"Draft","Missing"))
</f>
        <v>Live</v>
      </c>
      <c r="D187" s="31" t="str">
        <f>IF(
 COUNTIFS(Channel_Listings!$D:$D,$A187,Channel_Listings!$A:$A,"Meesho",Channel_Listings!$E:$E,"Live")&gt;0,"Live",
 IF(COUNTIFS(Channel_Listings!$D:$D,$A187,Channel_Listings!$A:$A,"Meesho")&gt;0,"Draft","Missing"))
</f>
        <v>Live</v>
      </c>
    </row>
    <row r="188" ht="15.75" customHeight="1">
      <c r="A188" s="34" t="s">
        <v>920</v>
      </c>
      <c r="B188" s="31" t="str">
        <f>IF(
 COUNTIFS(Channel_Listings!$D:$D,$A188,Channel_Listings!$A:$A,"Amazon",Channel_Listings!$E:$E,"Live")&gt;0,"Live",
 IF(COUNTIFS(Channel_Listings!$D:$D,$A188,Channel_Listings!$A:$A,"Amazon")&gt;0,"Draft","Missing"))
</f>
        <v>Live</v>
      </c>
      <c r="C188" s="31" t="str">
        <f>IF(
 COUNTIFS(Channel_Listings!$D:$D,$A188,Channel_Listings!$A:$A,"Flipkart",Channel_Listings!$E:$E,"Live")&gt;0,"Live",
 IF(COUNTIFS(Channel_Listings!$D:$D,$A188,Channel_Listings!$A:$A,"Flipkart")&gt;0,"Draft","Missing"))
</f>
        <v>Live</v>
      </c>
      <c r="D188" s="31" t="str">
        <f>IF(
 COUNTIFS(Channel_Listings!$D:$D,$A188,Channel_Listings!$A:$A,"Meesho",Channel_Listings!$E:$E,"Live")&gt;0,"Live",
 IF(COUNTIFS(Channel_Listings!$D:$D,$A188,Channel_Listings!$A:$A,"Meesho")&gt;0,"Draft","Missing"))
</f>
        <v>Live</v>
      </c>
    </row>
    <row r="189" ht="15.75" customHeight="1">
      <c r="A189" s="34" t="s">
        <v>923</v>
      </c>
      <c r="B189" s="31" t="str">
        <f>IF(
 COUNTIFS(Channel_Listings!$D:$D,$A189,Channel_Listings!$A:$A,"Amazon",Channel_Listings!$E:$E,"Live")&gt;0,"Live",
 IF(COUNTIFS(Channel_Listings!$D:$D,$A189,Channel_Listings!$A:$A,"Amazon")&gt;0,"Draft","Missing"))
</f>
        <v>Live</v>
      </c>
      <c r="C189" s="31" t="str">
        <f>IF(
 COUNTIFS(Channel_Listings!$D:$D,$A189,Channel_Listings!$A:$A,"Flipkart",Channel_Listings!$E:$E,"Live")&gt;0,"Live",
 IF(COUNTIFS(Channel_Listings!$D:$D,$A189,Channel_Listings!$A:$A,"Flipkart")&gt;0,"Draft","Missing"))
</f>
        <v>Missing</v>
      </c>
      <c r="D189" s="31" t="str">
        <f>IF(
 COUNTIFS(Channel_Listings!$D:$D,$A189,Channel_Listings!$A:$A,"Meesho",Channel_Listings!$E:$E,"Live")&gt;0,"Live",
 IF(COUNTIFS(Channel_Listings!$D:$D,$A189,Channel_Listings!$A:$A,"Meesho")&gt;0,"Draft","Missing"))
</f>
        <v>Missing</v>
      </c>
    </row>
    <row r="190" ht="15.75" customHeight="1">
      <c r="A190" s="34" t="s">
        <v>925</v>
      </c>
      <c r="B190" s="31" t="str">
        <f>IF(
 COUNTIFS(Channel_Listings!$D:$D,$A190,Channel_Listings!$A:$A,"Amazon",Channel_Listings!$E:$E,"Live")&gt;0,"Live",
 IF(COUNTIFS(Channel_Listings!$D:$D,$A190,Channel_Listings!$A:$A,"Amazon")&gt;0,"Draft","Missing"))
</f>
        <v>Live</v>
      </c>
      <c r="C190" s="31" t="str">
        <f>IF(
 COUNTIFS(Channel_Listings!$D:$D,$A190,Channel_Listings!$A:$A,"Flipkart",Channel_Listings!$E:$E,"Live")&gt;0,"Live",
 IF(COUNTIFS(Channel_Listings!$D:$D,$A190,Channel_Listings!$A:$A,"Flipkart")&gt;0,"Draft","Missing"))
</f>
        <v>Live</v>
      </c>
      <c r="D190" s="31" t="str">
        <f>IF(
 COUNTIFS(Channel_Listings!$D:$D,$A190,Channel_Listings!$A:$A,"Meesho",Channel_Listings!$E:$E,"Live")&gt;0,"Live",
 IF(COUNTIFS(Channel_Listings!$D:$D,$A190,Channel_Listings!$A:$A,"Meesho")&gt;0,"Draft","Missing"))
</f>
        <v>Live</v>
      </c>
    </row>
    <row r="191" ht="15.75" customHeight="1">
      <c r="A191" s="34" t="s">
        <v>928</v>
      </c>
      <c r="B191" s="31" t="str">
        <f>IF(
 COUNTIFS(Channel_Listings!$D:$D,$A191,Channel_Listings!$A:$A,"Amazon",Channel_Listings!$E:$E,"Live")&gt;0,"Live",
 IF(COUNTIFS(Channel_Listings!$D:$D,$A191,Channel_Listings!$A:$A,"Amazon")&gt;0,"Draft","Missing"))
</f>
        <v>Live</v>
      </c>
      <c r="C191" s="31" t="str">
        <f>IF(
 COUNTIFS(Channel_Listings!$D:$D,$A191,Channel_Listings!$A:$A,"Flipkart",Channel_Listings!$E:$E,"Live")&gt;0,"Live",
 IF(COUNTIFS(Channel_Listings!$D:$D,$A191,Channel_Listings!$A:$A,"Flipkart")&gt;0,"Draft","Missing"))
</f>
        <v>Live</v>
      </c>
      <c r="D191" s="31" t="str">
        <f>IF(
 COUNTIFS(Channel_Listings!$D:$D,$A191,Channel_Listings!$A:$A,"Meesho",Channel_Listings!$E:$E,"Live")&gt;0,"Live",
 IF(COUNTIFS(Channel_Listings!$D:$D,$A191,Channel_Listings!$A:$A,"Meesho")&gt;0,"Draft","Missing"))
</f>
        <v>Live</v>
      </c>
    </row>
    <row r="192" ht="15.75" customHeight="1">
      <c r="A192" s="34" t="s">
        <v>931</v>
      </c>
      <c r="B192" s="31" t="str">
        <f>IF(
 COUNTIFS(Channel_Listings!$D:$D,$A192,Channel_Listings!$A:$A,"Amazon",Channel_Listings!$E:$E,"Live")&gt;0,"Live",
 IF(COUNTIFS(Channel_Listings!$D:$D,$A192,Channel_Listings!$A:$A,"Amazon")&gt;0,"Draft","Missing"))
</f>
        <v>Live</v>
      </c>
      <c r="C192" s="31" t="str">
        <f>IF(
 COUNTIFS(Channel_Listings!$D:$D,$A192,Channel_Listings!$A:$A,"Flipkart",Channel_Listings!$E:$E,"Live")&gt;0,"Live",
 IF(COUNTIFS(Channel_Listings!$D:$D,$A192,Channel_Listings!$A:$A,"Flipkart")&gt;0,"Draft","Missing"))
</f>
        <v>Live</v>
      </c>
      <c r="D192" s="31" t="str">
        <f>IF(
 COUNTIFS(Channel_Listings!$D:$D,$A192,Channel_Listings!$A:$A,"Meesho",Channel_Listings!$E:$E,"Live")&gt;0,"Live",
 IF(COUNTIFS(Channel_Listings!$D:$D,$A192,Channel_Listings!$A:$A,"Meesho")&gt;0,"Draft","Missing"))
</f>
        <v>Live</v>
      </c>
    </row>
    <row r="193" ht="15.75" customHeight="1">
      <c r="A193" s="34" t="s">
        <v>936</v>
      </c>
      <c r="B193" s="31" t="str">
        <f>IF(
 COUNTIFS(Channel_Listings!$D:$D,$A193,Channel_Listings!$A:$A,"Amazon",Channel_Listings!$E:$E,"Live")&gt;0,"Live",
 IF(COUNTIFS(Channel_Listings!$D:$D,$A193,Channel_Listings!$A:$A,"Amazon")&gt;0,"Draft","Missing"))
</f>
        <v>Live</v>
      </c>
      <c r="C193" s="31" t="str">
        <f>IF(
 COUNTIFS(Channel_Listings!$D:$D,$A193,Channel_Listings!$A:$A,"Flipkart",Channel_Listings!$E:$E,"Live")&gt;0,"Live",
 IF(COUNTIFS(Channel_Listings!$D:$D,$A193,Channel_Listings!$A:$A,"Flipkart")&gt;0,"Draft","Missing"))
</f>
        <v>Live</v>
      </c>
      <c r="D193" s="31" t="str">
        <f>IF(
 COUNTIFS(Channel_Listings!$D:$D,$A193,Channel_Listings!$A:$A,"Meesho",Channel_Listings!$E:$E,"Live")&gt;0,"Live",
 IF(COUNTIFS(Channel_Listings!$D:$D,$A193,Channel_Listings!$A:$A,"Meesho")&gt;0,"Draft","Missing"))
</f>
        <v>Live</v>
      </c>
    </row>
    <row r="194" ht="15.75" customHeight="1">
      <c r="A194" s="34" t="s">
        <v>939</v>
      </c>
      <c r="B194" s="31" t="str">
        <f>IF(
 COUNTIFS(Channel_Listings!$D:$D,$A194,Channel_Listings!$A:$A,"Amazon",Channel_Listings!$E:$E,"Live")&gt;0,"Live",
 IF(COUNTIFS(Channel_Listings!$D:$D,$A194,Channel_Listings!$A:$A,"Amazon")&gt;0,"Draft","Missing"))
</f>
        <v>Live</v>
      </c>
      <c r="C194" s="31" t="str">
        <f>IF(
 COUNTIFS(Channel_Listings!$D:$D,$A194,Channel_Listings!$A:$A,"Flipkart",Channel_Listings!$E:$E,"Live")&gt;0,"Live",
 IF(COUNTIFS(Channel_Listings!$D:$D,$A194,Channel_Listings!$A:$A,"Flipkart")&gt;0,"Draft","Missing"))
</f>
        <v>Missing</v>
      </c>
      <c r="D194" s="31" t="str">
        <f>IF(
 COUNTIFS(Channel_Listings!$D:$D,$A194,Channel_Listings!$A:$A,"Meesho",Channel_Listings!$E:$E,"Live")&gt;0,"Live",
 IF(COUNTIFS(Channel_Listings!$D:$D,$A194,Channel_Listings!$A:$A,"Meesho")&gt;0,"Draft","Missing"))
</f>
        <v>Live</v>
      </c>
    </row>
    <row r="195" ht="15.75" customHeight="1">
      <c r="A195" s="34" t="s">
        <v>942</v>
      </c>
      <c r="B195" s="31" t="str">
        <f>IF(
 COUNTIFS(Channel_Listings!$D:$D,$A195,Channel_Listings!$A:$A,"Amazon",Channel_Listings!$E:$E,"Live")&gt;0,"Live",
 IF(COUNTIFS(Channel_Listings!$D:$D,$A195,Channel_Listings!$A:$A,"Amazon")&gt;0,"Draft","Missing"))
</f>
        <v>Live</v>
      </c>
      <c r="C195" s="31" t="str">
        <f>IF(
 COUNTIFS(Channel_Listings!$D:$D,$A195,Channel_Listings!$A:$A,"Flipkart",Channel_Listings!$E:$E,"Live")&gt;0,"Live",
 IF(COUNTIFS(Channel_Listings!$D:$D,$A195,Channel_Listings!$A:$A,"Flipkart")&gt;0,"Draft","Missing"))
</f>
        <v>Missing</v>
      </c>
      <c r="D195" s="31" t="str">
        <f>IF(
 COUNTIFS(Channel_Listings!$D:$D,$A195,Channel_Listings!$A:$A,"Meesho",Channel_Listings!$E:$E,"Live")&gt;0,"Live",
 IF(COUNTIFS(Channel_Listings!$D:$D,$A195,Channel_Listings!$A:$A,"Meesho")&gt;0,"Draft","Missing"))
</f>
        <v>Live</v>
      </c>
    </row>
    <row r="196" ht="15.75" customHeight="1">
      <c r="A196" s="34" t="s">
        <v>945</v>
      </c>
      <c r="B196" s="31" t="str">
        <f>IF(
 COUNTIFS(Channel_Listings!$D:$D,$A196,Channel_Listings!$A:$A,"Amazon",Channel_Listings!$E:$E,"Live")&gt;0,"Live",
 IF(COUNTIFS(Channel_Listings!$D:$D,$A196,Channel_Listings!$A:$A,"Amazon")&gt;0,"Draft","Missing"))
</f>
        <v>Live</v>
      </c>
      <c r="C196" s="31" t="str">
        <f>IF(
 COUNTIFS(Channel_Listings!$D:$D,$A196,Channel_Listings!$A:$A,"Flipkart",Channel_Listings!$E:$E,"Live")&gt;0,"Live",
 IF(COUNTIFS(Channel_Listings!$D:$D,$A196,Channel_Listings!$A:$A,"Flipkart")&gt;0,"Draft","Missing"))
</f>
        <v>Missing</v>
      </c>
      <c r="D196" s="31" t="str">
        <f>IF(
 COUNTIFS(Channel_Listings!$D:$D,$A196,Channel_Listings!$A:$A,"Meesho",Channel_Listings!$E:$E,"Live")&gt;0,"Live",
 IF(COUNTIFS(Channel_Listings!$D:$D,$A196,Channel_Listings!$A:$A,"Meesho")&gt;0,"Draft","Missing"))
</f>
        <v>Live</v>
      </c>
    </row>
    <row r="197" ht="15.75" customHeight="1">
      <c r="A197" s="34" t="s">
        <v>948</v>
      </c>
      <c r="B197" s="31" t="str">
        <f>IF(
 COUNTIFS(Channel_Listings!$D:$D,$A197,Channel_Listings!$A:$A,"Amazon",Channel_Listings!$E:$E,"Live")&gt;0,"Live",
 IF(COUNTIFS(Channel_Listings!$D:$D,$A197,Channel_Listings!$A:$A,"Amazon")&gt;0,"Draft","Missing"))
</f>
        <v>Live</v>
      </c>
      <c r="C197" s="31" t="str">
        <f>IF(
 COUNTIFS(Channel_Listings!$D:$D,$A197,Channel_Listings!$A:$A,"Flipkart",Channel_Listings!$E:$E,"Live")&gt;0,"Live",
 IF(COUNTIFS(Channel_Listings!$D:$D,$A197,Channel_Listings!$A:$A,"Flipkart")&gt;0,"Draft","Missing"))
</f>
        <v>Live</v>
      </c>
      <c r="D197" s="31" t="str">
        <f>IF(
 COUNTIFS(Channel_Listings!$D:$D,$A197,Channel_Listings!$A:$A,"Meesho",Channel_Listings!$E:$E,"Live")&gt;0,"Live",
 IF(COUNTIFS(Channel_Listings!$D:$D,$A197,Channel_Listings!$A:$A,"Meesho")&gt;0,"Draft","Missing"))
</f>
        <v>Live</v>
      </c>
    </row>
    <row r="198" ht="15.75" customHeight="1">
      <c r="A198" s="34" t="s">
        <v>951</v>
      </c>
      <c r="B198" s="31" t="str">
        <f>IF(
 COUNTIFS(Channel_Listings!$D:$D,$A198,Channel_Listings!$A:$A,"Amazon",Channel_Listings!$E:$E,"Live")&gt;0,"Live",
 IF(COUNTIFS(Channel_Listings!$D:$D,$A198,Channel_Listings!$A:$A,"Amazon")&gt;0,"Draft","Missing"))
</f>
        <v>Live</v>
      </c>
      <c r="C198" s="31" t="str">
        <f>IF(
 COUNTIFS(Channel_Listings!$D:$D,$A198,Channel_Listings!$A:$A,"Flipkart",Channel_Listings!$E:$E,"Live")&gt;0,"Live",
 IF(COUNTIFS(Channel_Listings!$D:$D,$A198,Channel_Listings!$A:$A,"Flipkart")&gt;0,"Draft","Missing"))
</f>
        <v>Live</v>
      </c>
      <c r="D198" s="31" t="str">
        <f>IF(
 COUNTIFS(Channel_Listings!$D:$D,$A198,Channel_Listings!$A:$A,"Meesho",Channel_Listings!$E:$E,"Live")&gt;0,"Live",
 IF(COUNTIFS(Channel_Listings!$D:$D,$A198,Channel_Listings!$A:$A,"Meesho")&gt;0,"Draft","Missing"))
</f>
        <v>Live</v>
      </c>
    </row>
    <row r="199" ht="15.75" customHeight="1">
      <c r="A199" s="34" t="s">
        <v>954</v>
      </c>
      <c r="B199" s="31" t="str">
        <f>IF(
 COUNTIFS(Channel_Listings!$D:$D,$A199,Channel_Listings!$A:$A,"Amazon",Channel_Listings!$E:$E,"Live")&gt;0,"Live",
 IF(COUNTIFS(Channel_Listings!$D:$D,$A199,Channel_Listings!$A:$A,"Amazon")&gt;0,"Draft","Missing"))
</f>
        <v>Live</v>
      </c>
      <c r="C199" s="31" t="str">
        <f>IF(
 COUNTIFS(Channel_Listings!$D:$D,$A199,Channel_Listings!$A:$A,"Flipkart",Channel_Listings!$E:$E,"Live")&gt;0,"Live",
 IF(COUNTIFS(Channel_Listings!$D:$D,$A199,Channel_Listings!$A:$A,"Flipkart")&gt;0,"Draft","Missing"))
</f>
        <v>Missing</v>
      </c>
      <c r="D199" s="31" t="str">
        <f>IF(
 COUNTIFS(Channel_Listings!$D:$D,$A199,Channel_Listings!$A:$A,"Meesho",Channel_Listings!$E:$E,"Live")&gt;0,"Live",
 IF(COUNTIFS(Channel_Listings!$D:$D,$A199,Channel_Listings!$A:$A,"Meesho")&gt;0,"Draft","Missing"))
</f>
        <v>Live</v>
      </c>
    </row>
    <row r="200" ht="15.75" customHeight="1">
      <c r="A200" s="34" t="s">
        <v>957</v>
      </c>
      <c r="B200" s="31" t="str">
        <f>IF(
 COUNTIFS(Channel_Listings!$D:$D,$A200,Channel_Listings!$A:$A,"Amazon",Channel_Listings!$E:$E,"Live")&gt;0,"Live",
 IF(COUNTIFS(Channel_Listings!$D:$D,$A200,Channel_Listings!$A:$A,"Amazon")&gt;0,"Draft","Missing"))
</f>
        <v>Live</v>
      </c>
      <c r="C200" s="31" t="str">
        <f>IF(
 COUNTIFS(Channel_Listings!$D:$D,$A200,Channel_Listings!$A:$A,"Flipkart",Channel_Listings!$E:$E,"Live")&gt;0,"Live",
 IF(COUNTIFS(Channel_Listings!$D:$D,$A200,Channel_Listings!$A:$A,"Flipkart")&gt;0,"Draft","Missing"))
</f>
        <v>Live</v>
      </c>
      <c r="D200" s="31" t="str">
        <f>IF(
 COUNTIFS(Channel_Listings!$D:$D,$A200,Channel_Listings!$A:$A,"Meesho",Channel_Listings!$E:$E,"Live")&gt;0,"Live",
 IF(COUNTIFS(Channel_Listings!$D:$D,$A200,Channel_Listings!$A:$A,"Meesho")&gt;0,"Draft","Missing"))
</f>
        <v>Live</v>
      </c>
    </row>
    <row r="201" ht="15.75" customHeight="1">
      <c r="A201" s="34" t="s">
        <v>960</v>
      </c>
      <c r="B201" s="31" t="str">
        <f>IF(
 COUNTIFS(Channel_Listings!$D:$D,$A201,Channel_Listings!$A:$A,"Amazon",Channel_Listings!$E:$E,"Live")&gt;0,"Live",
 IF(COUNTIFS(Channel_Listings!$D:$D,$A201,Channel_Listings!$A:$A,"Amazon")&gt;0,"Draft","Missing"))
</f>
        <v>Live</v>
      </c>
      <c r="C201" s="31" t="str">
        <f>IF(
 COUNTIFS(Channel_Listings!$D:$D,$A201,Channel_Listings!$A:$A,"Flipkart",Channel_Listings!$E:$E,"Live")&gt;0,"Live",
 IF(COUNTIFS(Channel_Listings!$D:$D,$A201,Channel_Listings!$A:$A,"Flipkart")&gt;0,"Draft","Missing"))
</f>
        <v>Live</v>
      </c>
      <c r="D201" s="31" t="str">
        <f>IF(
 COUNTIFS(Channel_Listings!$D:$D,$A201,Channel_Listings!$A:$A,"Meesho",Channel_Listings!$E:$E,"Live")&gt;0,"Live",
 IF(COUNTIFS(Channel_Listings!$D:$D,$A201,Channel_Listings!$A:$A,"Meesho")&gt;0,"Draft","Missing"))
</f>
        <v>Live</v>
      </c>
    </row>
    <row r="202" ht="15.75" customHeight="1">
      <c r="A202" s="32" t="s">
        <v>141</v>
      </c>
      <c r="B202" s="31" t="str">
        <f>IF(
 COUNTIFS(Channel_Listings!$D:$D,$A202,Channel_Listings!$A:$A,"Amazon",Channel_Listings!$E:$E,"Live")&gt;0,"Live",
 IF(COUNTIFS(Channel_Listings!$D:$D,$A202,Channel_Listings!$A:$A,"Amazon")&gt;0,"Draft","Missing"))
</f>
        <v>Live</v>
      </c>
      <c r="C202" s="31" t="str">
        <f>IF(
 COUNTIFS(Channel_Listings!$D:$D,$A202,Channel_Listings!$A:$A,"Flipkart",Channel_Listings!$E:$E,"Live")&gt;0,"Live",
 IF(COUNTIFS(Channel_Listings!$D:$D,$A202,Channel_Listings!$A:$A,"Flipkart")&gt;0,"Draft","Missing"))
</f>
        <v>Live</v>
      </c>
      <c r="D202" s="31" t="str">
        <f>IF(
 COUNTIFS(Channel_Listings!$D:$D,$A202,Channel_Listings!$A:$A,"Meesho",Channel_Listings!$E:$E,"Live")&gt;0,"Live",
 IF(COUNTIFS(Channel_Listings!$D:$D,$A202,Channel_Listings!$A:$A,"Meesho")&gt;0,"Draft","Missing"))
</f>
        <v>Missing</v>
      </c>
    </row>
    <row r="203" ht="15.75" customHeight="1">
      <c r="A203" s="32" t="s">
        <v>143</v>
      </c>
      <c r="B203" s="31" t="str">
        <f>IF(
 COUNTIFS(Channel_Listings!$D:$D,$A203,Channel_Listings!$A:$A,"Amazon",Channel_Listings!$E:$E,"Live")&gt;0,"Live",
 IF(COUNTIFS(Channel_Listings!$D:$D,$A203,Channel_Listings!$A:$A,"Amazon")&gt;0,"Draft","Missing"))
</f>
        <v>Live</v>
      </c>
      <c r="C203" s="31" t="str">
        <f>IF(
 COUNTIFS(Channel_Listings!$D:$D,$A203,Channel_Listings!$A:$A,"Flipkart",Channel_Listings!$E:$E,"Live")&gt;0,"Live",
 IF(COUNTIFS(Channel_Listings!$D:$D,$A203,Channel_Listings!$A:$A,"Flipkart")&gt;0,"Draft","Missing"))
</f>
        <v>Missing</v>
      </c>
      <c r="D203" s="31" t="str">
        <f>IF(
 COUNTIFS(Channel_Listings!$D:$D,$A203,Channel_Listings!$A:$A,"Meesho",Channel_Listings!$E:$E,"Live")&gt;0,"Live",
 IF(COUNTIFS(Channel_Listings!$D:$D,$A203,Channel_Listings!$A:$A,"Meesho")&gt;0,"Draft","Missing"))
</f>
        <v>Missing</v>
      </c>
    </row>
    <row r="204" ht="15.75" customHeight="1">
      <c r="A204" s="32" t="s">
        <v>145</v>
      </c>
      <c r="B204" s="31" t="str">
        <f>IF(
 COUNTIFS(Channel_Listings!$D:$D,$A204,Channel_Listings!$A:$A,"Amazon",Channel_Listings!$E:$E,"Live")&gt;0,"Live",
 IF(COUNTIFS(Channel_Listings!$D:$D,$A204,Channel_Listings!$A:$A,"Amazon")&gt;0,"Draft","Missing"))
</f>
        <v>Live</v>
      </c>
      <c r="C204" s="31" t="str">
        <f>IF(
 COUNTIFS(Channel_Listings!$D:$D,$A204,Channel_Listings!$A:$A,"Flipkart",Channel_Listings!$E:$E,"Live")&gt;0,"Live",
 IF(COUNTIFS(Channel_Listings!$D:$D,$A204,Channel_Listings!$A:$A,"Flipkart")&gt;0,"Draft","Missing"))
</f>
        <v>Missing</v>
      </c>
      <c r="D204" s="31" t="str">
        <f>IF(
 COUNTIFS(Channel_Listings!$D:$D,$A204,Channel_Listings!$A:$A,"Meesho",Channel_Listings!$E:$E,"Live")&gt;0,"Live",
 IF(COUNTIFS(Channel_Listings!$D:$D,$A204,Channel_Listings!$A:$A,"Meesho")&gt;0,"Draft","Missing"))
</f>
        <v>Missing</v>
      </c>
    </row>
    <row r="205" ht="15.75" customHeight="1">
      <c r="A205" s="32" t="s">
        <v>147</v>
      </c>
      <c r="B205" s="31" t="str">
        <f>IF(
 COUNTIFS(Channel_Listings!$D:$D,$A205,Channel_Listings!$A:$A,"Amazon",Channel_Listings!$E:$E,"Live")&gt;0,"Live",
 IF(COUNTIFS(Channel_Listings!$D:$D,$A205,Channel_Listings!$A:$A,"Amazon")&gt;0,"Draft","Missing"))
</f>
        <v>Live</v>
      </c>
      <c r="C205" s="31" t="str">
        <f>IF(
 COUNTIFS(Channel_Listings!$D:$D,$A205,Channel_Listings!$A:$A,"Flipkart",Channel_Listings!$E:$E,"Live")&gt;0,"Live",
 IF(COUNTIFS(Channel_Listings!$D:$D,$A205,Channel_Listings!$A:$A,"Flipkart")&gt;0,"Draft","Missing"))
</f>
        <v>Missing</v>
      </c>
      <c r="D205" s="31" t="str">
        <f>IF(
 COUNTIFS(Channel_Listings!$D:$D,$A205,Channel_Listings!$A:$A,"Meesho",Channel_Listings!$E:$E,"Live")&gt;0,"Live",
 IF(COUNTIFS(Channel_Listings!$D:$D,$A205,Channel_Listings!$A:$A,"Meesho")&gt;0,"Draft","Missing"))
</f>
        <v>Missing</v>
      </c>
    </row>
    <row r="206" ht="15.75" customHeight="1">
      <c r="A206" s="32" t="s">
        <v>149</v>
      </c>
      <c r="B206" s="31" t="str">
        <f>IF(
 COUNTIFS(Channel_Listings!$D:$D,$A206,Channel_Listings!$A:$A,"Amazon",Channel_Listings!$E:$E,"Live")&gt;0,"Live",
 IF(COUNTIFS(Channel_Listings!$D:$D,$A206,Channel_Listings!$A:$A,"Amazon")&gt;0,"Draft","Missing"))
</f>
        <v>Live</v>
      </c>
      <c r="C206" s="31" t="str">
        <f>IF(
 COUNTIFS(Channel_Listings!$D:$D,$A206,Channel_Listings!$A:$A,"Flipkart",Channel_Listings!$E:$E,"Live")&gt;0,"Live",
 IF(COUNTIFS(Channel_Listings!$D:$D,$A206,Channel_Listings!$A:$A,"Flipkart")&gt;0,"Draft","Missing"))
</f>
        <v>Missing</v>
      </c>
      <c r="D206" s="31" t="str">
        <f>IF(
 COUNTIFS(Channel_Listings!$D:$D,$A206,Channel_Listings!$A:$A,"Meesho",Channel_Listings!$E:$E,"Live")&gt;0,"Live",
 IF(COUNTIFS(Channel_Listings!$D:$D,$A206,Channel_Listings!$A:$A,"Meesho")&gt;0,"Draft","Missing"))
</f>
        <v>Missing</v>
      </c>
    </row>
    <row r="207" ht="15.75" customHeight="1">
      <c r="A207" s="32" t="s">
        <v>151</v>
      </c>
      <c r="B207" s="31" t="str">
        <f>IF(
 COUNTIFS(Channel_Listings!$D:$D,$A207,Channel_Listings!$A:$A,"Amazon",Channel_Listings!$E:$E,"Live")&gt;0,"Live",
 IF(COUNTIFS(Channel_Listings!$D:$D,$A207,Channel_Listings!$A:$A,"Amazon")&gt;0,"Draft","Missing"))
</f>
        <v>Live</v>
      </c>
      <c r="C207" s="31" t="str">
        <f>IF(
 COUNTIFS(Channel_Listings!$D:$D,$A207,Channel_Listings!$A:$A,"Flipkart",Channel_Listings!$E:$E,"Live")&gt;0,"Live",
 IF(COUNTIFS(Channel_Listings!$D:$D,$A207,Channel_Listings!$A:$A,"Flipkart")&gt;0,"Draft","Missing"))
</f>
        <v>Missing</v>
      </c>
      <c r="D207" s="31" t="str">
        <f>IF(
 COUNTIFS(Channel_Listings!$D:$D,$A207,Channel_Listings!$A:$A,"Meesho",Channel_Listings!$E:$E,"Live")&gt;0,"Live",
 IF(COUNTIFS(Channel_Listings!$D:$D,$A207,Channel_Listings!$A:$A,"Meesho")&gt;0,"Draft","Missing"))
</f>
        <v>Missing</v>
      </c>
    </row>
    <row r="208" ht="15.75" customHeight="1">
      <c r="A208" s="32" t="s">
        <v>153</v>
      </c>
      <c r="B208" s="31" t="str">
        <f>IF(
 COUNTIFS(Channel_Listings!$D:$D,$A208,Channel_Listings!$A:$A,"Amazon",Channel_Listings!$E:$E,"Live")&gt;0,"Live",
 IF(COUNTIFS(Channel_Listings!$D:$D,$A208,Channel_Listings!$A:$A,"Amazon")&gt;0,"Draft","Missing"))
</f>
        <v>Live</v>
      </c>
      <c r="C208" s="31" t="str">
        <f>IF(
 COUNTIFS(Channel_Listings!$D:$D,$A208,Channel_Listings!$A:$A,"Flipkart",Channel_Listings!$E:$E,"Live")&gt;0,"Live",
 IF(COUNTIFS(Channel_Listings!$D:$D,$A208,Channel_Listings!$A:$A,"Flipkart")&gt;0,"Draft","Missing"))
</f>
        <v>Missing</v>
      </c>
      <c r="D208" s="31" t="str">
        <f>IF(
 COUNTIFS(Channel_Listings!$D:$D,$A208,Channel_Listings!$A:$A,"Meesho",Channel_Listings!$E:$E,"Live")&gt;0,"Live",
 IF(COUNTIFS(Channel_Listings!$D:$D,$A208,Channel_Listings!$A:$A,"Meesho")&gt;0,"Draft","Missing"))
</f>
        <v>Missing</v>
      </c>
    </row>
    <row r="209" ht="15.75" customHeight="1">
      <c r="A209" s="32" t="s">
        <v>155</v>
      </c>
      <c r="B209" s="31" t="str">
        <f>IF(
 COUNTIFS(Channel_Listings!$D:$D,$A209,Channel_Listings!$A:$A,"Amazon",Channel_Listings!$E:$E,"Live")&gt;0,"Live",
 IF(COUNTIFS(Channel_Listings!$D:$D,$A209,Channel_Listings!$A:$A,"Amazon")&gt;0,"Draft","Missing"))
</f>
        <v>Live</v>
      </c>
      <c r="C209" s="31" t="str">
        <f>IF(
 COUNTIFS(Channel_Listings!$D:$D,$A209,Channel_Listings!$A:$A,"Flipkart",Channel_Listings!$E:$E,"Live")&gt;0,"Live",
 IF(COUNTIFS(Channel_Listings!$D:$D,$A209,Channel_Listings!$A:$A,"Flipkart")&gt;0,"Draft","Missing"))
</f>
        <v>Missing</v>
      </c>
      <c r="D209" s="31" t="str">
        <f>IF(
 COUNTIFS(Channel_Listings!$D:$D,$A209,Channel_Listings!$A:$A,"Meesho",Channel_Listings!$E:$E,"Live")&gt;0,"Live",
 IF(COUNTIFS(Channel_Listings!$D:$D,$A209,Channel_Listings!$A:$A,"Meesho")&gt;0,"Draft","Missing"))
</f>
        <v>Missing</v>
      </c>
    </row>
    <row r="210" ht="15.75" customHeight="1">
      <c r="A210" s="32" t="s">
        <v>157</v>
      </c>
      <c r="B210" s="31" t="str">
        <f>IF(
 COUNTIFS(Channel_Listings!$D:$D,$A210,Channel_Listings!$A:$A,"Amazon",Channel_Listings!$E:$E,"Live")&gt;0,"Live",
 IF(COUNTIFS(Channel_Listings!$D:$D,$A210,Channel_Listings!$A:$A,"Amazon")&gt;0,"Draft","Missing"))
</f>
        <v>Live</v>
      </c>
      <c r="C210" s="31" t="str">
        <f>IF(
 COUNTIFS(Channel_Listings!$D:$D,$A210,Channel_Listings!$A:$A,"Flipkart",Channel_Listings!$E:$E,"Live")&gt;0,"Live",
 IF(COUNTIFS(Channel_Listings!$D:$D,$A210,Channel_Listings!$A:$A,"Flipkart")&gt;0,"Draft","Missing"))
</f>
        <v>Live</v>
      </c>
      <c r="D210" s="31" t="str">
        <f>IF(
 COUNTIFS(Channel_Listings!$D:$D,$A210,Channel_Listings!$A:$A,"Meesho",Channel_Listings!$E:$E,"Live")&gt;0,"Live",
 IF(COUNTIFS(Channel_Listings!$D:$D,$A210,Channel_Listings!$A:$A,"Meesho")&gt;0,"Draft","Missing"))
</f>
        <v>Missing</v>
      </c>
    </row>
    <row r="211" ht="15.75" customHeight="1">
      <c r="A211" s="32" t="s">
        <v>159</v>
      </c>
      <c r="B211" s="31" t="str">
        <f>IF(
 COUNTIFS(Channel_Listings!$D:$D,$A211,Channel_Listings!$A:$A,"Amazon",Channel_Listings!$E:$E,"Live")&gt;0,"Live",
 IF(COUNTIFS(Channel_Listings!$D:$D,$A211,Channel_Listings!$A:$A,"Amazon")&gt;0,"Draft","Missing"))
</f>
        <v>Live</v>
      </c>
      <c r="C211" s="31" t="str">
        <f>IF(
 COUNTIFS(Channel_Listings!$D:$D,$A211,Channel_Listings!$A:$A,"Flipkart",Channel_Listings!$E:$E,"Live")&gt;0,"Live",
 IF(COUNTIFS(Channel_Listings!$D:$D,$A211,Channel_Listings!$A:$A,"Flipkart")&gt;0,"Draft","Missing"))
</f>
        <v>Missing</v>
      </c>
      <c r="D211" s="31" t="str">
        <f>IF(
 COUNTIFS(Channel_Listings!$D:$D,$A211,Channel_Listings!$A:$A,"Meesho",Channel_Listings!$E:$E,"Live")&gt;0,"Live",
 IF(COUNTIFS(Channel_Listings!$D:$D,$A211,Channel_Listings!$A:$A,"Meesho")&gt;0,"Draft","Missing"))
</f>
        <v>Missing</v>
      </c>
    </row>
    <row r="212" ht="15.75" customHeight="1">
      <c r="A212" s="35" t="s">
        <v>169</v>
      </c>
      <c r="B212" s="31" t="str">
        <f>IF(
 COUNTIFS(Channel_Listings!$D:$D,$A212,Channel_Listings!$A:$A,"Amazon",Channel_Listings!$E:$E,"Live")&gt;0,"Live",
 IF(COUNTIFS(Channel_Listings!$D:$D,$A212,Channel_Listings!$A:$A,"Amazon")&gt;0,"Draft","Missing"))
</f>
        <v>Live</v>
      </c>
      <c r="C212" s="31" t="str">
        <f>IF(
 COUNTIFS(Channel_Listings!$D:$D,$A212,Channel_Listings!$A:$A,"Flipkart",Channel_Listings!$E:$E,"Live")&gt;0,"Live",
 IF(COUNTIFS(Channel_Listings!$D:$D,$A212,Channel_Listings!$A:$A,"Flipkart")&gt;0,"Draft","Missing"))
</f>
        <v>Missing</v>
      </c>
      <c r="D212" s="31" t="str">
        <f>IF(
 COUNTIFS(Channel_Listings!$D:$D,$A212,Channel_Listings!$A:$A,"Meesho",Channel_Listings!$E:$E,"Live")&gt;0,"Live",
 IF(COUNTIFS(Channel_Listings!$D:$D,$A212,Channel_Listings!$A:$A,"Meesho")&gt;0,"Draft","Missing"))
</f>
        <v>Missing</v>
      </c>
    </row>
    <row r="213" ht="15.75" customHeight="1">
      <c r="A213" s="35" t="s">
        <v>171</v>
      </c>
      <c r="B213" s="31" t="str">
        <f>IF(
 COUNTIFS(Channel_Listings!$D:$D,$A213,Channel_Listings!$A:$A,"Amazon",Channel_Listings!$E:$E,"Live")&gt;0,"Live",
 IF(COUNTIFS(Channel_Listings!$D:$D,$A213,Channel_Listings!$A:$A,"Amazon")&gt;0,"Draft","Missing"))
</f>
        <v>Live</v>
      </c>
      <c r="C213" s="31" t="str">
        <f>IF(
 COUNTIFS(Channel_Listings!$D:$D,$A213,Channel_Listings!$A:$A,"Flipkart",Channel_Listings!$E:$E,"Live")&gt;0,"Live",
 IF(COUNTIFS(Channel_Listings!$D:$D,$A213,Channel_Listings!$A:$A,"Flipkart")&gt;0,"Draft","Missing"))
</f>
        <v>Live</v>
      </c>
      <c r="D213" s="31" t="str">
        <f>IF(
 COUNTIFS(Channel_Listings!$D:$D,$A213,Channel_Listings!$A:$A,"Meesho",Channel_Listings!$E:$E,"Live")&gt;0,"Live",
 IF(COUNTIFS(Channel_Listings!$D:$D,$A213,Channel_Listings!$A:$A,"Meesho")&gt;0,"Draft","Missing"))
</f>
        <v>Missing</v>
      </c>
    </row>
    <row r="214" ht="15.75" customHeight="1">
      <c r="A214" s="35" t="s">
        <v>173</v>
      </c>
      <c r="B214" s="31" t="str">
        <f>IF(
 COUNTIFS(Channel_Listings!$D:$D,$A214,Channel_Listings!$A:$A,"Amazon",Channel_Listings!$E:$E,"Live")&gt;0,"Live",
 IF(COUNTIFS(Channel_Listings!$D:$D,$A214,Channel_Listings!$A:$A,"Amazon")&gt;0,"Draft","Missing"))
</f>
        <v>Live</v>
      </c>
      <c r="C214" s="31" t="str">
        <f>IF(
 COUNTIFS(Channel_Listings!$D:$D,$A214,Channel_Listings!$A:$A,"Flipkart",Channel_Listings!$E:$E,"Live")&gt;0,"Live",
 IF(COUNTIFS(Channel_Listings!$D:$D,$A214,Channel_Listings!$A:$A,"Flipkart")&gt;0,"Draft","Missing"))
</f>
        <v>Live</v>
      </c>
      <c r="D214" s="31" t="str">
        <f>IF(
 COUNTIFS(Channel_Listings!$D:$D,$A214,Channel_Listings!$A:$A,"Meesho",Channel_Listings!$E:$E,"Live")&gt;0,"Live",
 IF(COUNTIFS(Channel_Listings!$D:$D,$A214,Channel_Listings!$A:$A,"Meesho")&gt;0,"Draft","Missing"))
</f>
        <v>Missing</v>
      </c>
    </row>
    <row r="215" ht="15.75" customHeight="1">
      <c r="A215" s="35" t="s">
        <v>22</v>
      </c>
      <c r="B215" s="31" t="str">
        <f>IF(
 COUNTIFS(Channel_Listings!$D:$D,$A215,Channel_Listings!$A:$A,"Amazon",Channel_Listings!$E:$E,"Live")&gt;0,"Live",
 IF(COUNTIFS(Channel_Listings!$D:$D,$A215,Channel_Listings!$A:$A,"Amazon")&gt;0,"Draft","Missing"))
</f>
        <v>Live</v>
      </c>
      <c r="C215" s="31" t="str">
        <f>IF(
 COUNTIFS(Channel_Listings!$D:$D,$A215,Channel_Listings!$A:$A,"Flipkart",Channel_Listings!$E:$E,"Live")&gt;0,"Live",
 IF(COUNTIFS(Channel_Listings!$D:$D,$A215,Channel_Listings!$A:$A,"Flipkart")&gt;0,"Draft","Missing"))
</f>
        <v>Live</v>
      </c>
      <c r="D215" s="31" t="str">
        <f>IF(
 COUNTIFS(Channel_Listings!$D:$D,$A215,Channel_Listings!$A:$A,"Meesho",Channel_Listings!$E:$E,"Live")&gt;0,"Live",
 IF(COUNTIFS(Channel_Listings!$D:$D,$A215,Channel_Listings!$A:$A,"Meesho")&gt;0,"Draft","Missing"))
</f>
        <v>Missing</v>
      </c>
    </row>
    <row r="216" ht="15.75" customHeight="1">
      <c r="A216" s="35" t="s">
        <v>14</v>
      </c>
      <c r="B216" s="31" t="str">
        <f>IF(
 COUNTIFS(Channel_Listings!$D:$D,$A216,Channel_Listings!$A:$A,"Amazon",Channel_Listings!$E:$E,"Live")&gt;0,"Live",
 IF(COUNTIFS(Channel_Listings!$D:$D,$A216,Channel_Listings!$A:$A,"Amazon")&gt;0,"Draft","Missing"))
</f>
        <v>Live</v>
      </c>
      <c r="C216" s="31" t="str">
        <f>IF(
 COUNTIFS(Channel_Listings!$D:$D,$A216,Channel_Listings!$A:$A,"Flipkart",Channel_Listings!$E:$E,"Live")&gt;0,"Live",
 IF(COUNTIFS(Channel_Listings!$D:$D,$A216,Channel_Listings!$A:$A,"Flipkart")&gt;0,"Draft","Missing"))
</f>
        <v>Missing</v>
      </c>
      <c r="D216" s="31" t="str">
        <f>IF(
 COUNTIFS(Channel_Listings!$D:$D,$A216,Channel_Listings!$A:$A,"Meesho",Channel_Listings!$E:$E,"Live")&gt;0,"Live",
 IF(COUNTIFS(Channel_Listings!$D:$D,$A216,Channel_Listings!$A:$A,"Meesho")&gt;0,"Draft","Missing"))
</f>
        <v>Missing</v>
      </c>
    </row>
    <row r="217" ht="15.75" customHeight="1">
      <c r="A217" s="35" t="s">
        <v>176</v>
      </c>
      <c r="B217" s="31" t="str">
        <f>IF(
 COUNTIFS(Channel_Listings!$D:$D,$A217,Channel_Listings!$A:$A,"Amazon",Channel_Listings!$E:$E,"Live")&gt;0,"Live",
 IF(COUNTIFS(Channel_Listings!$D:$D,$A217,Channel_Listings!$A:$A,"Amazon")&gt;0,"Draft","Missing"))
</f>
        <v>Live</v>
      </c>
      <c r="C217" s="31" t="str">
        <f>IF(
 COUNTIFS(Channel_Listings!$D:$D,$A217,Channel_Listings!$A:$A,"Flipkart",Channel_Listings!$E:$E,"Live")&gt;0,"Live",
 IF(COUNTIFS(Channel_Listings!$D:$D,$A217,Channel_Listings!$A:$A,"Flipkart")&gt;0,"Draft","Missing"))
</f>
        <v>Missing</v>
      </c>
      <c r="D217" s="31" t="str">
        <f>IF(
 COUNTIFS(Channel_Listings!$D:$D,$A217,Channel_Listings!$A:$A,"Meesho",Channel_Listings!$E:$E,"Live")&gt;0,"Live",
 IF(COUNTIFS(Channel_Listings!$D:$D,$A217,Channel_Listings!$A:$A,"Meesho")&gt;0,"Draft","Missing"))
</f>
        <v>Missing</v>
      </c>
    </row>
    <row r="218" ht="15.75" customHeight="1">
      <c r="A218" s="35" t="s">
        <v>178</v>
      </c>
      <c r="B218" s="31" t="str">
        <f>IF(
 COUNTIFS(Channel_Listings!$D:$D,$A218,Channel_Listings!$A:$A,"Amazon",Channel_Listings!$E:$E,"Live")&gt;0,"Live",
 IF(COUNTIFS(Channel_Listings!$D:$D,$A218,Channel_Listings!$A:$A,"Amazon")&gt;0,"Draft","Missing"))
</f>
        <v>Live</v>
      </c>
      <c r="C218" s="31" t="str">
        <f>IF(
 COUNTIFS(Channel_Listings!$D:$D,$A218,Channel_Listings!$A:$A,"Flipkart",Channel_Listings!$E:$E,"Live")&gt;0,"Live",
 IF(COUNTIFS(Channel_Listings!$D:$D,$A218,Channel_Listings!$A:$A,"Flipkart")&gt;0,"Draft","Missing"))
</f>
        <v>Live</v>
      </c>
      <c r="D218" s="31" t="str">
        <f>IF(
 COUNTIFS(Channel_Listings!$D:$D,$A218,Channel_Listings!$A:$A,"Meesho",Channel_Listings!$E:$E,"Live")&gt;0,"Live",
 IF(COUNTIFS(Channel_Listings!$D:$D,$A218,Channel_Listings!$A:$A,"Meesho")&gt;0,"Draft","Missing"))
</f>
        <v>Missing</v>
      </c>
    </row>
    <row r="219" ht="15.75" customHeight="1">
      <c r="A219" s="34" t="s">
        <v>975</v>
      </c>
      <c r="B219" s="31" t="str">
        <f>IF(
 COUNTIFS(Channel_Listings!$D:$D,$A219,Channel_Listings!$A:$A,"Amazon",Channel_Listings!$E:$E,"Live")&gt;0,"Live",
 IF(COUNTIFS(Channel_Listings!$D:$D,$A219,Channel_Listings!$A:$A,"Amazon")&gt;0,"Draft","Missing"))
</f>
        <v>Live</v>
      </c>
      <c r="C219" s="31" t="str">
        <f>IF(
 COUNTIFS(Channel_Listings!$D:$D,$A219,Channel_Listings!$A:$A,"Flipkart",Channel_Listings!$E:$E,"Live")&gt;0,"Live",
 IF(COUNTIFS(Channel_Listings!$D:$D,$A219,Channel_Listings!$A:$A,"Flipkart")&gt;0,"Draft","Missing"))
</f>
        <v>Missing</v>
      </c>
      <c r="D219" s="31" t="str">
        <f>IF(
 COUNTIFS(Channel_Listings!$D:$D,$A219,Channel_Listings!$A:$A,"Meesho",Channel_Listings!$E:$E,"Live")&gt;0,"Live",
 IF(COUNTIFS(Channel_Listings!$D:$D,$A219,Channel_Listings!$A:$A,"Meesho")&gt;0,"Draft","Missing"))
</f>
        <v>Missing</v>
      </c>
    </row>
    <row r="220" ht="15.75" customHeight="1">
      <c r="A220" s="34" t="s">
        <v>977</v>
      </c>
      <c r="B220" s="31" t="str">
        <f>IF(
 COUNTIFS(Channel_Listings!$D:$D,$A220,Channel_Listings!$A:$A,"Amazon",Channel_Listings!$E:$E,"Live")&gt;0,"Live",
 IF(COUNTIFS(Channel_Listings!$D:$D,$A220,Channel_Listings!$A:$A,"Amazon")&gt;0,"Draft","Missing"))
</f>
        <v>Live</v>
      </c>
      <c r="C220" s="31" t="str">
        <f>IF(
 COUNTIFS(Channel_Listings!$D:$D,$A220,Channel_Listings!$A:$A,"Flipkart",Channel_Listings!$E:$E,"Live")&gt;0,"Live",
 IF(COUNTIFS(Channel_Listings!$D:$D,$A220,Channel_Listings!$A:$A,"Flipkart")&gt;0,"Draft","Missing"))
</f>
        <v>Live</v>
      </c>
      <c r="D220" s="31" t="str">
        <f>IF(
 COUNTIFS(Channel_Listings!$D:$D,$A220,Channel_Listings!$A:$A,"Meesho",Channel_Listings!$E:$E,"Live")&gt;0,"Live",
 IF(COUNTIFS(Channel_Listings!$D:$D,$A220,Channel_Listings!$A:$A,"Meesho")&gt;0,"Draft","Missing"))
</f>
        <v>Missing</v>
      </c>
    </row>
    <row r="221" ht="15.75" customHeight="1">
      <c r="A221" s="34" t="s">
        <v>979</v>
      </c>
      <c r="B221" s="31" t="str">
        <f>IF(
 COUNTIFS(Channel_Listings!$D:$D,$A221,Channel_Listings!$A:$A,"Amazon",Channel_Listings!$E:$E,"Live")&gt;0,"Live",
 IF(COUNTIFS(Channel_Listings!$D:$D,$A221,Channel_Listings!$A:$A,"Amazon")&gt;0,"Draft","Missing"))
</f>
        <v>Live</v>
      </c>
      <c r="C221" s="31" t="str">
        <f>IF(
 COUNTIFS(Channel_Listings!$D:$D,$A221,Channel_Listings!$A:$A,"Flipkart",Channel_Listings!$E:$E,"Live")&gt;0,"Live",
 IF(COUNTIFS(Channel_Listings!$D:$D,$A221,Channel_Listings!$A:$A,"Flipkart")&gt;0,"Draft","Missing"))
</f>
        <v>Missing</v>
      </c>
      <c r="D221" s="31" t="str">
        <f>IF(
 COUNTIFS(Channel_Listings!$D:$D,$A221,Channel_Listings!$A:$A,"Meesho",Channel_Listings!$E:$E,"Live")&gt;0,"Live",
 IF(COUNTIFS(Channel_Listings!$D:$D,$A221,Channel_Listings!$A:$A,"Meesho")&gt;0,"Draft","Missing"))
</f>
        <v>Missing</v>
      </c>
    </row>
    <row r="222" ht="15.75" customHeight="1">
      <c r="A222" s="34" t="s">
        <v>981</v>
      </c>
      <c r="B222" s="31" t="str">
        <f>IF(
 COUNTIFS(Channel_Listings!$D:$D,$A222,Channel_Listings!$A:$A,"Amazon",Channel_Listings!$E:$E,"Live")&gt;0,"Live",
 IF(COUNTIFS(Channel_Listings!$D:$D,$A222,Channel_Listings!$A:$A,"Amazon")&gt;0,"Draft","Missing"))
</f>
        <v>Live</v>
      </c>
      <c r="C222" s="31" t="str">
        <f>IF(
 COUNTIFS(Channel_Listings!$D:$D,$A222,Channel_Listings!$A:$A,"Flipkart",Channel_Listings!$E:$E,"Live")&gt;0,"Live",
 IF(COUNTIFS(Channel_Listings!$D:$D,$A222,Channel_Listings!$A:$A,"Flipkart")&gt;0,"Draft","Missing"))
</f>
        <v>Missing</v>
      </c>
      <c r="D222" s="31" t="str">
        <f>IF(
 COUNTIFS(Channel_Listings!$D:$D,$A222,Channel_Listings!$A:$A,"Meesho",Channel_Listings!$E:$E,"Live")&gt;0,"Live",
 IF(COUNTIFS(Channel_Listings!$D:$D,$A222,Channel_Listings!$A:$A,"Meesho")&gt;0,"Draft","Missing"))
</f>
        <v>Missing</v>
      </c>
    </row>
    <row r="223" ht="15.75" customHeight="1">
      <c r="A223" s="35" t="s">
        <v>161</v>
      </c>
      <c r="B223" s="31" t="str">
        <f>IF(
 COUNTIFS(Channel_Listings!$D:$D,$A223,Channel_Listings!$A:$A,"Amazon",Channel_Listings!$E:$E,"Live")&gt;0,"Live",
 IF(COUNTIFS(Channel_Listings!$D:$D,$A223,Channel_Listings!$A:$A,"Amazon")&gt;0,"Draft","Missing"))
</f>
        <v>Live</v>
      </c>
      <c r="C223" s="31" t="str">
        <f>IF(
 COUNTIFS(Channel_Listings!$D:$D,$A223,Channel_Listings!$A:$A,"Flipkart",Channel_Listings!$E:$E,"Live")&gt;0,"Live",
 IF(COUNTIFS(Channel_Listings!$D:$D,$A223,Channel_Listings!$A:$A,"Flipkart")&gt;0,"Draft","Missing"))
</f>
        <v>Live</v>
      </c>
      <c r="D223" s="31" t="str">
        <f>IF(
 COUNTIFS(Channel_Listings!$D:$D,$A223,Channel_Listings!$A:$A,"Meesho",Channel_Listings!$E:$E,"Live")&gt;0,"Live",
 IF(COUNTIFS(Channel_Listings!$D:$D,$A223,Channel_Listings!$A:$A,"Meesho")&gt;0,"Draft","Missing"))
</f>
        <v>Missing</v>
      </c>
    </row>
    <row r="224" ht="15.75" customHeight="1">
      <c r="A224" s="35" t="s">
        <v>162</v>
      </c>
      <c r="B224" s="31" t="str">
        <f>IF(
 COUNTIFS(Channel_Listings!$D:$D,$A224,Channel_Listings!$A:$A,"Amazon",Channel_Listings!$E:$E,"Live")&gt;0,"Live",
 IF(COUNTIFS(Channel_Listings!$D:$D,$A224,Channel_Listings!$A:$A,"Amazon")&gt;0,"Draft","Missing"))
</f>
        <v>Live</v>
      </c>
      <c r="C224" s="31" t="str">
        <f>IF(
 COUNTIFS(Channel_Listings!$D:$D,$A224,Channel_Listings!$A:$A,"Flipkart",Channel_Listings!$E:$E,"Live")&gt;0,"Live",
 IF(COUNTIFS(Channel_Listings!$D:$D,$A224,Channel_Listings!$A:$A,"Flipkart")&gt;0,"Draft","Missing"))
</f>
        <v>Live</v>
      </c>
      <c r="D224" s="31" t="str">
        <f>IF(
 COUNTIFS(Channel_Listings!$D:$D,$A224,Channel_Listings!$A:$A,"Meesho",Channel_Listings!$E:$E,"Live")&gt;0,"Live",
 IF(COUNTIFS(Channel_Listings!$D:$D,$A224,Channel_Listings!$A:$A,"Meesho")&gt;0,"Draft","Missing"))
</f>
        <v>Missing</v>
      </c>
    </row>
    <row r="225" ht="15.75" customHeight="1">
      <c r="A225" s="35" t="s">
        <v>163</v>
      </c>
      <c r="B225" s="31" t="str">
        <f>IF(
 COUNTIFS(Channel_Listings!$D:$D,$A225,Channel_Listings!$A:$A,"Amazon",Channel_Listings!$E:$E,"Live")&gt;0,"Live",
 IF(COUNTIFS(Channel_Listings!$D:$D,$A225,Channel_Listings!$A:$A,"Amazon")&gt;0,"Draft","Missing"))
</f>
        <v>Live</v>
      </c>
      <c r="C225" s="31" t="str">
        <f>IF(
 COUNTIFS(Channel_Listings!$D:$D,$A225,Channel_Listings!$A:$A,"Flipkart",Channel_Listings!$E:$E,"Live")&gt;0,"Live",
 IF(COUNTIFS(Channel_Listings!$D:$D,$A225,Channel_Listings!$A:$A,"Flipkart")&gt;0,"Draft","Missing"))
</f>
        <v>Live</v>
      </c>
      <c r="D225" s="31" t="str">
        <f>IF(
 COUNTIFS(Channel_Listings!$D:$D,$A225,Channel_Listings!$A:$A,"Meesho",Channel_Listings!$E:$E,"Live")&gt;0,"Live",
 IF(COUNTIFS(Channel_Listings!$D:$D,$A225,Channel_Listings!$A:$A,"Meesho")&gt;0,"Draft","Missing"))
</f>
        <v>Missing</v>
      </c>
    </row>
    <row r="226" ht="15.75" customHeight="1">
      <c r="A226" s="35" t="s">
        <v>164</v>
      </c>
      <c r="B226" s="31" t="str">
        <f>IF(
 COUNTIFS(Channel_Listings!$D:$D,$A226,Channel_Listings!$A:$A,"Amazon",Channel_Listings!$E:$E,"Live")&gt;0,"Live",
 IF(COUNTIFS(Channel_Listings!$D:$D,$A226,Channel_Listings!$A:$A,"Amazon")&gt;0,"Draft","Missing"))
</f>
        <v>Live</v>
      </c>
      <c r="C226" s="31" t="str">
        <f>IF(
 COUNTIFS(Channel_Listings!$D:$D,$A226,Channel_Listings!$A:$A,"Flipkart",Channel_Listings!$E:$E,"Live")&gt;0,"Live",
 IF(COUNTIFS(Channel_Listings!$D:$D,$A226,Channel_Listings!$A:$A,"Flipkart")&gt;0,"Draft","Missing"))
</f>
        <v>Live</v>
      </c>
      <c r="D226" s="31" t="str">
        <f>IF(
 COUNTIFS(Channel_Listings!$D:$D,$A226,Channel_Listings!$A:$A,"Meesho",Channel_Listings!$E:$E,"Live")&gt;0,"Live",
 IF(COUNTIFS(Channel_Listings!$D:$D,$A226,Channel_Listings!$A:$A,"Meesho")&gt;0,"Draft","Missing"))
</f>
        <v>Missing</v>
      </c>
    </row>
    <row r="227" ht="15.75" customHeight="1">
      <c r="A227" s="35" t="s">
        <v>165</v>
      </c>
      <c r="B227" s="31" t="str">
        <f>IF(
 COUNTIFS(Channel_Listings!$D:$D,$A227,Channel_Listings!$A:$A,"Amazon",Channel_Listings!$E:$E,"Live")&gt;0,"Live",
 IF(COUNTIFS(Channel_Listings!$D:$D,$A227,Channel_Listings!$A:$A,"Amazon")&gt;0,"Draft","Missing"))
</f>
        <v>Live</v>
      </c>
      <c r="C227" s="31" t="str">
        <f>IF(
 COUNTIFS(Channel_Listings!$D:$D,$A227,Channel_Listings!$A:$A,"Flipkart",Channel_Listings!$E:$E,"Live")&gt;0,"Live",
 IF(COUNTIFS(Channel_Listings!$D:$D,$A227,Channel_Listings!$A:$A,"Flipkart")&gt;0,"Draft","Missing"))
</f>
        <v>Live</v>
      </c>
      <c r="D227" s="31" t="str">
        <f>IF(
 COUNTIFS(Channel_Listings!$D:$D,$A227,Channel_Listings!$A:$A,"Meesho",Channel_Listings!$E:$E,"Live")&gt;0,"Live",
 IF(COUNTIFS(Channel_Listings!$D:$D,$A227,Channel_Listings!$A:$A,"Meesho")&gt;0,"Draft","Missing"))
</f>
        <v>Missing</v>
      </c>
    </row>
    <row r="228" ht="15.75" customHeight="1">
      <c r="A228" s="35" t="s">
        <v>166</v>
      </c>
      <c r="B228" s="31" t="str">
        <f>IF(
 COUNTIFS(Channel_Listings!$D:$D,$A228,Channel_Listings!$A:$A,"Amazon",Channel_Listings!$E:$E,"Live")&gt;0,"Live",
 IF(COUNTIFS(Channel_Listings!$D:$D,$A228,Channel_Listings!$A:$A,"Amazon")&gt;0,"Draft","Missing"))
</f>
        <v>Live</v>
      </c>
      <c r="C228" s="31" t="str">
        <f>IF(
 COUNTIFS(Channel_Listings!$D:$D,$A228,Channel_Listings!$A:$A,"Flipkart",Channel_Listings!$E:$E,"Live")&gt;0,"Live",
 IF(COUNTIFS(Channel_Listings!$D:$D,$A228,Channel_Listings!$A:$A,"Flipkart")&gt;0,"Draft","Missing"))
</f>
        <v>Live</v>
      </c>
      <c r="D228" s="31" t="str">
        <f>IF(
 COUNTIFS(Channel_Listings!$D:$D,$A228,Channel_Listings!$A:$A,"Meesho",Channel_Listings!$E:$E,"Live")&gt;0,"Live",
 IF(COUNTIFS(Channel_Listings!$D:$D,$A228,Channel_Listings!$A:$A,"Meesho")&gt;0,"Draft","Missing"))
</f>
        <v>Missing</v>
      </c>
    </row>
    <row r="229" ht="15.75" customHeight="1">
      <c r="A229" s="35" t="s">
        <v>410</v>
      </c>
      <c r="B229" s="31" t="str">
        <f>IF(
 COUNTIFS(Channel_Listings!$D:$D,$A229,Channel_Listings!$A:$A,"Amazon",Channel_Listings!$E:$E,"Live")&gt;0,"Live",
 IF(COUNTIFS(Channel_Listings!$D:$D,$A229,Channel_Listings!$A:$A,"Amazon")&gt;0,"Draft","Missing"))
</f>
        <v>Live</v>
      </c>
      <c r="C229" s="31" t="str">
        <f>IF(
 COUNTIFS(Channel_Listings!$D:$D,$A229,Channel_Listings!$A:$A,"Flipkart",Channel_Listings!$E:$E,"Live")&gt;0,"Live",
 IF(COUNTIFS(Channel_Listings!$D:$D,$A229,Channel_Listings!$A:$A,"Flipkart")&gt;0,"Draft","Missing"))
</f>
        <v>Missing</v>
      </c>
      <c r="D229" s="31" t="str">
        <f>IF(
 COUNTIFS(Channel_Listings!$D:$D,$A229,Channel_Listings!$A:$A,"Meesho",Channel_Listings!$E:$E,"Live")&gt;0,"Live",
 IF(COUNTIFS(Channel_Listings!$D:$D,$A229,Channel_Listings!$A:$A,"Meesho")&gt;0,"Draft","Missing"))
</f>
        <v>Missing</v>
      </c>
    </row>
    <row r="230" ht="15.75" customHeight="1">
      <c r="A230" s="35" t="s">
        <v>413</v>
      </c>
      <c r="B230" s="31" t="str">
        <f>IF(
 COUNTIFS(Channel_Listings!$D:$D,$A230,Channel_Listings!$A:$A,"Amazon",Channel_Listings!$E:$E,"Live")&gt;0,"Live",
 IF(COUNTIFS(Channel_Listings!$D:$D,$A230,Channel_Listings!$A:$A,"Amazon")&gt;0,"Draft","Missing"))
</f>
        <v>Live</v>
      </c>
      <c r="C230" s="31" t="str">
        <f>IF(
 COUNTIFS(Channel_Listings!$D:$D,$A230,Channel_Listings!$A:$A,"Flipkart",Channel_Listings!$E:$E,"Live")&gt;0,"Live",
 IF(COUNTIFS(Channel_Listings!$D:$D,$A230,Channel_Listings!$A:$A,"Flipkart")&gt;0,"Draft","Missing"))
</f>
        <v>Live</v>
      </c>
      <c r="D230" s="31" t="str">
        <f>IF(
 COUNTIFS(Channel_Listings!$D:$D,$A230,Channel_Listings!$A:$A,"Meesho",Channel_Listings!$E:$E,"Live")&gt;0,"Live",
 IF(COUNTIFS(Channel_Listings!$D:$D,$A230,Channel_Listings!$A:$A,"Meesho")&gt;0,"Draft","Missing"))
</f>
        <v>Missing</v>
      </c>
    </row>
    <row r="231" ht="15.75" customHeight="1">
      <c r="A231" s="35" t="s">
        <v>452</v>
      </c>
      <c r="B231" s="31" t="str">
        <f>IF(
 COUNTIFS(Channel_Listings!$D:$D,$A231,Channel_Listings!$A:$A,"Amazon",Channel_Listings!$E:$E,"Live")&gt;0,"Live",
 IF(COUNTIFS(Channel_Listings!$D:$D,$A231,Channel_Listings!$A:$A,"Amazon")&gt;0,"Draft","Missing"))
</f>
        <v>Live</v>
      </c>
      <c r="C231" s="31" t="str">
        <f>IF(
 COUNTIFS(Channel_Listings!$D:$D,$A231,Channel_Listings!$A:$A,"Flipkart",Channel_Listings!$E:$E,"Live")&gt;0,"Live",
 IF(COUNTIFS(Channel_Listings!$D:$D,$A231,Channel_Listings!$A:$A,"Flipkart")&gt;0,"Draft","Missing"))
</f>
        <v>Missing</v>
      </c>
      <c r="D231" s="31" t="str">
        <f>IF(
 COUNTIFS(Channel_Listings!$D:$D,$A231,Channel_Listings!$A:$A,"Meesho",Channel_Listings!$E:$E,"Live")&gt;0,"Live",
 IF(COUNTIFS(Channel_Listings!$D:$D,$A231,Channel_Listings!$A:$A,"Meesho")&gt;0,"Draft","Missing"))
</f>
        <v>Missing</v>
      </c>
    </row>
    <row r="232" ht="15.75" customHeight="1">
      <c r="A232" s="35" t="s">
        <v>455</v>
      </c>
      <c r="B232" s="31" t="str">
        <f>IF(
 COUNTIFS(Channel_Listings!$D:$D,$A232,Channel_Listings!$A:$A,"Amazon",Channel_Listings!$E:$E,"Live")&gt;0,"Live",
 IF(COUNTIFS(Channel_Listings!$D:$D,$A232,Channel_Listings!$A:$A,"Amazon")&gt;0,"Draft","Missing"))
</f>
        <v>Live</v>
      </c>
      <c r="C232" s="31" t="str">
        <f>IF(
 COUNTIFS(Channel_Listings!$D:$D,$A232,Channel_Listings!$A:$A,"Flipkart",Channel_Listings!$E:$E,"Live")&gt;0,"Live",
 IF(COUNTIFS(Channel_Listings!$D:$D,$A232,Channel_Listings!$A:$A,"Flipkart")&gt;0,"Draft","Missing"))
</f>
        <v>Live</v>
      </c>
      <c r="D232" s="31" t="str">
        <f>IF(
 COUNTIFS(Channel_Listings!$D:$D,$A232,Channel_Listings!$A:$A,"Meesho",Channel_Listings!$E:$E,"Live")&gt;0,"Live",
 IF(COUNTIFS(Channel_Listings!$D:$D,$A232,Channel_Listings!$A:$A,"Meesho")&gt;0,"Draft","Missing"))
</f>
        <v>Missing</v>
      </c>
    </row>
    <row r="233" ht="15.75" customHeight="1">
      <c r="A233" s="34" t="s">
        <v>472</v>
      </c>
      <c r="B233" s="31" t="str">
        <f>IF(
 COUNTIFS(Channel_Listings!$D:$D,$A233,Channel_Listings!$A:$A,"Amazon",Channel_Listings!$E:$E,"Live")&gt;0,"Live",
 IF(COUNTIFS(Channel_Listings!$D:$D,$A233,Channel_Listings!$A:$A,"Amazon")&gt;0,"Draft","Missing"))
</f>
        <v>Live</v>
      </c>
      <c r="C233" s="31" t="str">
        <f>IF(
 COUNTIFS(Channel_Listings!$D:$D,$A233,Channel_Listings!$A:$A,"Flipkart",Channel_Listings!$E:$E,"Live")&gt;0,"Live",
 IF(COUNTIFS(Channel_Listings!$D:$D,$A233,Channel_Listings!$A:$A,"Flipkart")&gt;0,"Draft","Missing"))
</f>
        <v>Live</v>
      </c>
      <c r="D233" s="31" t="str">
        <f>IF(
 COUNTIFS(Channel_Listings!$D:$D,$A233,Channel_Listings!$A:$A,"Meesho",Channel_Listings!$E:$E,"Live")&gt;0,"Live",
 IF(COUNTIFS(Channel_Listings!$D:$D,$A233,Channel_Listings!$A:$A,"Meesho")&gt;0,"Draft","Missing"))
</f>
        <v>Missing</v>
      </c>
    </row>
    <row r="234" ht="15.75" customHeight="1">
      <c r="A234" s="34" t="s">
        <v>474</v>
      </c>
      <c r="B234" s="31" t="str">
        <f>IF(
 COUNTIFS(Channel_Listings!$D:$D,$A234,Channel_Listings!$A:$A,"Amazon",Channel_Listings!$E:$E,"Live")&gt;0,"Live",
 IF(COUNTIFS(Channel_Listings!$D:$D,$A234,Channel_Listings!$A:$A,"Amazon")&gt;0,"Draft","Missing"))
</f>
        <v>Live</v>
      </c>
      <c r="C234" s="31" t="str">
        <f>IF(
 COUNTIFS(Channel_Listings!$D:$D,$A234,Channel_Listings!$A:$A,"Flipkart",Channel_Listings!$E:$E,"Live")&gt;0,"Live",
 IF(COUNTIFS(Channel_Listings!$D:$D,$A234,Channel_Listings!$A:$A,"Flipkart")&gt;0,"Draft","Missing"))
</f>
        <v>Live</v>
      </c>
      <c r="D234" s="31" t="str">
        <f>IF(
 COUNTIFS(Channel_Listings!$D:$D,$A234,Channel_Listings!$A:$A,"Meesho",Channel_Listings!$E:$E,"Live")&gt;0,"Live",
 IF(COUNTIFS(Channel_Listings!$D:$D,$A234,Channel_Listings!$A:$A,"Meesho")&gt;0,"Draft","Missing"))
</f>
        <v>Missing</v>
      </c>
    </row>
    <row r="235" ht="15.75" customHeight="1">
      <c r="A235" s="34" t="s">
        <v>476</v>
      </c>
      <c r="B235" s="31" t="str">
        <f>IF(
 COUNTIFS(Channel_Listings!$D:$D,$A235,Channel_Listings!$A:$A,"Amazon",Channel_Listings!$E:$E,"Live")&gt;0,"Live",
 IF(COUNTIFS(Channel_Listings!$D:$D,$A235,Channel_Listings!$A:$A,"Amazon")&gt;0,"Draft","Missing"))
</f>
        <v>Live</v>
      </c>
      <c r="C235" s="31" t="str">
        <f>IF(
 COUNTIFS(Channel_Listings!$D:$D,$A235,Channel_Listings!$A:$A,"Flipkart",Channel_Listings!$E:$E,"Live")&gt;0,"Live",
 IF(COUNTIFS(Channel_Listings!$D:$D,$A235,Channel_Listings!$A:$A,"Flipkart")&gt;0,"Draft","Missing"))
</f>
        <v>Live</v>
      </c>
      <c r="D235" s="31" t="str">
        <f>IF(
 COUNTIFS(Channel_Listings!$D:$D,$A235,Channel_Listings!$A:$A,"Meesho",Channel_Listings!$E:$E,"Live")&gt;0,"Live",
 IF(COUNTIFS(Channel_Listings!$D:$D,$A235,Channel_Listings!$A:$A,"Meesho")&gt;0,"Draft","Missing"))
</f>
        <v>Missing</v>
      </c>
    </row>
    <row r="236" ht="15.75" customHeight="1">
      <c r="A236" s="34" t="s">
        <v>478</v>
      </c>
      <c r="B236" s="31" t="str">
        <f>IF(
 COUNTIFS(Channel_Listings!$D:$D,$A236,Channel_Listings!$A:$A,"Amazon",Channel_Listings!$E:$E,"Live")&gt;0,"Live",
 IF(COUNTIFS(Channel_Listings!$D:$D,$A236,Channel_Listings!$A:$A,"Amazon")&gt;0,"Draft","Missing"))
</f>
        <v>Live</v>
      </c>
      <c r="C236" s="31" t="str">
        <f>IF(
 COUNTIFS(Channel_Listings!$D:$D,$A236,Channel_Listings!$A:$A,"Flipkart",Channel_Listings!$E:$E,"Live")&gt;0,"Live",
 IF(COUNTIFS(Channel_Listings!$D:$D,$A236,Channel_Listings!$A:$A,"Flipkart")&gt;0,"Draft","Missing"))
</f>
        <v>Live</v>
      </c>
      <c r="D236" s="31" t="str">
        <f>IF(
 COUNTIFS(Channel_Listings!$D:$D,$A236,Channel_Listings!$A:$A,"Meesho",Channel_Listings!$E:$E,"Live")&gt;0,"Live",
 IF(COUNTIFS(Channel_Listings!$D:$D,$A236,Channel_Listings!$A:$A,"Meesho")&gt;0,"Draft","Missing"))
</f>
        <v>Missing</v>
      </c>
    </row>
    <row r="237" ht="15.75" customHeight="1">
      <c r="A237" s="34" t="s">
        <v>480</v>
      </c>
      <c r="B237" s="31" t="str">
        <f>IF(
 COUNTIFS(Channel_Listings!$D:$D,$A237,Channel_Listings!$A:$A,"Amazon",Channel_Listings!$E:$E,"Live")&gt;0,"Live",
 IF(COUNTIFS(Channel_Listings!$D:$D,$A237,Channel_Listings!$A:$A,"Amazon")&gt;0,"Draft","Missing"))
</f>
        <v>Live</v>
      </c>
      <c r="C237" s="31" t="str">
        <f>IF(
 COUNTIFS(Channel_Listings!$D:$D,$A237,Channel_Listings!$A:$A,"Flipkart",Channel_Listings!$E:$E,"Live")&gt;0,"Live",
 IF(COUNTIFS(Channel_Listings!$D:$D,$A237,Channel_Listings!$A:$A,"Flipkart")&gt;0,"Draft","Missing"))
</f>
        <v>Live</v>
      </c>
      <c r="D237" s="31" t="str">
        <f>IF(
 COUNTIFS(Channel_Listings!$D:$D,$A237,Channel_Listings!$A:$A,"Meesho",Channel_Listings!$E:$E,"Live")&gt;0,"Live",
 IF(COUNTIFS(Channel_Listings!$D:$D,$A237,Channel_Listings!$A:$A,"Meesho")&gt;0,"Draft","Missing"))
</f>
        <v>Missing</v>
      </c>
    </row>
    <row r="238" ht="15.75" customHeight="1">
      <c r="A238" s="35" t="s">
        <v>483</v>
      </c>
      <c r="B238" s="31" t="str">
        <f>IF(
 COUNTIFS(Channel_Listings!$D:$D,$A238,Channel_Listings!$A:$A,"Amazon",Channel_Listings!$E:$E,"Live")&gt;0,"Live",
 IF(COUNTIFS(Channel_Listings!$D:$D,$A238,Channel_Listings!$A:$A,"Amazon")&gt;0,"Draft","Missing"))
</f>
        <v>Live</v>
      </c>
      <c r="C238" s="31" t="str">
        <f>IF(
 COUNTIFS(Channel_Listings!$D:$D,$A238,Channel_Listings!$A:$A,"Flipkart",Channel_Listings!$E:$E,"Live")&gt;0,"Live",
 IF(COUNTIFS(Channel_Listings!$D:$D,$A238,Channel_Listings!$A:$A,"Flipkart")&gt;0,"Draft","Missing"))
</f>
        <v>Live</v>
      </c>
      <c r="D238" s="31" t="str">
        <f>IF(
 COUNTIFS(Channel_Listings!$D:$D,$A238,Channel_Listings!$A:$A,"Meesho",Channel_Listings!$E:$E,"Live")&gt;0,"Live",
 IF(COUNTIFS(Channel_Listings!$D:$D,$A238,Channel_Listings!$A:$A,"Meesho")&gt;0,"Draft","Missing"))
</f>
        <v>Missing</v>
      </c>
    </row>
    <row r="239" ht="15.75" customHeight="1">
      <c r="A239" s="35" t="s">
        <v>486</v>
      </c>
      <c r="B239" s="31" t="str">
        <f>IF(
 COUNTIFS(Channel_Listings!$D:$D,$A239,Channel_Listings!$A:$A,"Amazon",Channel_Listings!$E:$E,"Live")&gt;0,"Live",
 IF(COUNTIFS(Channel_Listings!$D:$D,$A239,Channel_Listings!$A:$A,"Amazon")&gt;0,"Draft","Missing"))
</f>
        <v>Live</v>
      </c>
      <c r="C239" s="31" t="str">
        <f>IF(
 COUNTIFS(Channel_Listings!$D:$D,$A239,Channel_Listings!$A:$A,"Flipkart",Channel_Listings!$E:$E,"Live")&gt;0,"Live",
 IF(COUNTIFS(Channel_Listings!$D:$D,$A239,Channel_Listings!$A:$A,"Flipkart")&gt;0,"Draft","Missing"))
</f>
        <v>Missing</v>
      </c>
      <c r="D239" s="31" t="str">
        <f>IF(
 COUNTIFS(Channel_Listings!$D:$D,$A239,Channel_Listings!$A:$A,"Meesho",Channel_Listings!$E:$E,"Live")&gt;0,"Live",
 IF(COUNTIFS(Channel_Listings!$D:$D,$A239,Channel_Listings!$A:$A,"Meesho")&gt;0,"Draft","Missing"))
</f>
        <v>Missing</v>
      </c>
    </row>
    <row r="240" ht="15.75" customHeight="1">
      <c r="A240" s="35" t="s">
        <v>489</v>
      </c>
      <c r="B240" s="31" t="str">
        <f>IF(
 COUNTIFS(Channel_Listings!$D:$D,$A240,Channel_Listings!$A:$A,"Amazon",Channel_Listings!$E:$E,"Live")&gt;0,"Live",
 IF(COUNTIFS(Channel_Listings!$D:$D,$A240,Channel_Listings!$A:$A,"Amazon")&gt;0,"Draft","Missing"))
</f>
        <v>Live</v>
      </c>
      <c r="C240" s="31" t="str">
        <f>IF(
 COUNTIFS(Channel_Listings!$D:$D,$A240,Channel_Listings!$A:$A,"Flipkart",Channel_Listings!$E:$E,"Live")&gt;0,"Live",
 IF(COUNTIFS(Channel_Listings!$D:$D,$A240,Channel_Listings!$A:$A,"Flipkart")&gt;0,"Draft","Missing"))
</f>
        <v>Live</v>
      </c>
      <c r="D240" s="31" t="str">
        <f>IF(
 COUNTIFS(Channel_Listings!$D:$D,$A240,Channel_Listings!$A:$A,"Meesho",Channel_Listings!$E:$E,"Live")&gt;0,"Live",
 IF(COUNTIFS(Channel_Listings!$D:$D,$A240,Channel_Listings!$A:$A,"Meesho")&gt;0,"Draft","Missing"))
</f>
        <v>Missing</v>
      </c>
    </row>
    <row r="241" ht="15.75" customHeight="1">
      <c r="A241" s="35" t="s">
        <v>492</v>
      </c>
      <c r="B241" s="31" t="str">
        <f>IF(
 COUNTIFS(Channel_Listings!$D:$D,$A241,Channel_Listings!$A:$A,"Amazon",Channel_Listings!$E:$E,"Live")&gt;0,"Live",
 IF(COUNTIFS(Channel_Listings!$D:$D,$A241,Channel_Listings!$A:$A,"Amazon")&gt;0,"Draft","Missing"))
</f>
        <v>Live</v>
      </c>
      <c r="C241" s="31" t="str">
        <f>IF(
 COUNTIFS(Channel_Listings!$D:$D,$A241,Channel_Listings!$A:$A,"Flipkart",Channel_Listings!$E:$E,"Live")&gt;0,"Live",
 IF(COUNTIFS(Channel_Listings!$D:$D,$A241,Channel_Listings!$A:$A,"Flipkart")&gt;0,"Draft","Missing"))
</f>
        <v>Live</v>
      </c>
      <c r="D241" s="31" t="str">
        <f>IF(
 COUNTIFS(Channel_Listings!$D:$D,$A241,Channel_Listings!$A:$A,"Meesho",Channel_Listings!$E:$E,"Live")&gt;0,"Live",
 IF(COUNTIFS(Channel_Listings!$D:$D,$A241,Channel_Listings!$A:$A,"Meesho")&gt;0,"Draft","Missing"))
</f>
        <v>Missing</v>
      </c>
    </row>
    <row r="242" ht="15.75" customHeight="1">
      <c r="A242" s="35" t="s">
        <v>495</v>
      </c>
      <c r="B242" s="31" t="str">
        <f>IF(
 COUNTIFS(Channel_Listings!$D:$D,$A242,Channel_Listings!$A:$A,"Amazon",Channel_Listings!$E:$E,"Live")&gt;0,"Live",
 IF(COUNTIFS(Channel_Listings!$D:$D,$A242,Channel_Listings!$A:$A,"Amazon")&gt;0,"Draft","Missing"))
</f>
        <v>Live</v>
      </c>
      <c r="C242" s="31" t="str">
        <f>IF(
 COUNTIFS(Channel_Listings!$D:$D,$A242,Channel_Listings!$A:$A,"Flipkart",Channel_Listings!$E:$E,"Live")&gt;0,"Live",
 IF(COUNTIFS(Channel_Listings!$D:$D,$A242,Channel_Listings!$A:$A,"Flipkart")&gt;0,"Draft","Missing"))
</f>
        <v>Missing</v>
      </c>
      <c r="D242" s="31" t="str">
        <f>IF(
 COUNTIFS(Channel_Listings!$D:$D,$A242,Channel_Listings!$A:$A,"Meesho",Channel_Listings!$E:$E,"Live")&gt;0,"Live",
 IF(COUNTIFS(Channel_Listings!$D:$D,$A242,Channel_Listings!$A:$A,"Meesho")&gt;0,"Draft","Missing"))
</f>
        <v>Missing</v>
      </c>
    </row>
    <row r="243" ht="15.75" customHeight="1">
      <c r="A243" s="35" t="s">
        <v>498</v>
      </c>
      <c r="B243" s="31" t="str">
        <f>IF(
 COUNTIFS(Channel_Listings!$D:$D,$A243,Channel_Listings!$A:$A,"Amazon",Channel_Listings!$E:$E,"Live")&gt;0,"Live",
 IF(COUNTIFS(Channel_Listings!$D:$D,$A243,Channel_Listings!$A:$A,"Amazon")&gt;0,"Draft","Missing"))
</f>
        <v>Live</v>
      </c>
      <c r="C243" s="31" t="str">
        <f>IF(
 COUNTIFS(Channel_Listings!$D:$D,$A243,Channel_Listings!$A:$A,"Flipkart",Channel_Listings!$E:$E,"Live")&gt;0,"Live",
 IF(COUNTIFS(Channel_Listings!$D:$D,$A243,Channel_Listings!$A:$A,"Flipkart")&gt;0,"Draft","Missing"))
</f>
        <v>Missing</v>
      </c>
      <c r="D243" s="31" t="str">
        <f>IF(
 COUNTIFS(Channel_Listings!$D:$D,$A243,Channel_Listings!$A:$A,"Meesho",Channel_Listings!$E:$E,"Live")&gt;0,"Live",
 IF(COUNTIFS(Channel_Listings!$D:$D,$A243,Channel_Listings!$A:$A,"Meesho")&gt;0,"Draft","Missing"))
</f>
        <v>Missing</v>
      </c>
    </row>
    <row r="244" ht="15.75" customHeight="1">
      <c r="A244" s="35" t="s">
        <v>140</v>
      </c>
      <c r="B244" s="31" t="str">
        <f>IF(
 COUNTIFS(Channel_Listings!$D:$D,$A244,Channel_Listings!$A:$A,"Amazon",Channel_Listings!$E:$E,"Live")&gt;0,"Live",
 IF(COUNTIFS(Channel_Listings!$D:$D,$A244,Channel_Listings!$A:$A,"Amazon")&gt;0,"Draft","Missing"))
</f>
        <v>Live</v>
      </c>
      <c r="C244" s="31" t="str">
        <f>IF(
 COUNTIFS(Channel_Listings!$D:$D,$A244,Channel_Listings!$A:$A,"Flipkart",Channel_Listings!$E:$E,"Live")&gt;0,"Live",
 IF(COUNTIFS(Channel_Listings!$D:$D,$A244,Channel_Listings!$A:$A,"Flipkart")&gt;0,"Draft","Missing"))
</f>
        <v>Live</v>
      </c>
      <c r="D244" s="31" t="str">
        <f>IF(
 COUNTIFS(Channel_Listings!$D:$D,$A244,Channel_Listings!$A:$A,"Meesho",Channel_Listings!$E:$E,"Live")&gt;0,"Live",
 IF(COUNTIFS(Channel_Listings!$D:$D,$A244,Channel_Listings!$A:$A,"Meesho")&gt;0,"Draft","Missing"))
</f>
        <v>Missing</v>
      </c>
    </row>
    <row r="245" ht="15.75" customHeight="1">
      <c r="A245" s="35" t="s">
        <v>505</v>
      </c>
      <c r="B245" s="31" t="str">
        <f>IF(
 COUNTIFS(Channel_Listings!$D:$D,$A245,Channel_Listings!$A:$A,"Amazon",Channel_Listings!$E:$E,"Live")&gt;0,"Live",
 IF(COUNTIFS(Channel_Listings!$D:$D,$A245,Channel_Listings!$A:$A,"Amazon")&gt;0,"Draft","Missing"))
</f>
        <v>Live</v>
      </c>
      <c r="C245" s="31" t="str">
        <f>IF(
 COUNTIFS(Channel_Listings!$D:$D,$A245,Channel_Listings!$A:$A,"Flipkart",Channel_Listings!$E:$E,"Live")&gt;0,"Live",
 IF(COUNTIFS(Channel_Listings!$D:$D,$A245,Channel_Listings!$A:$A,"Flipkart")&gt;0,"Draft","Missing"))
</f>
        <v>Missing</v>
      </c>
      <c r="D245" s="31" t="str">
        <f>IF(
 COUNTIFS(Channel_Listings!$D:$D,$A245,Channel_Listings!$A:$A,"Meesho",Channel_Listings!$E:$E,"Live")&gt;0,"Live",
 IF(COUNTIFS(Channel_Listings!$D:$D,$A245,Channel_Listings!$A:$A,"Meesho")&gt;0,"Draft","Missing"))
</f>
        <v>Missing</v>
      </c>
    </row>
    <row r="246" ht="15.75" customHeight="1">
      <c r="A246" s="35" t="s">
        <v>508</v>
      </c>
      <c r="B246" s="31" t="str">
        <f>IF(
 COUNTIFS(Channel_Listings!$D:$D,$A246,Channel_Listings!$A:$A,"Amazon",Channel_Listings!$E:$E,"Live")&gt;0,"Live",
 IF(COUNTIFS(Channel_Listings!$D:$D,$A246,Channel_Listings!$A:$A,"Amazon")&gt;0,"Draft","Missing"))
</f>
        <v>Live</v>
      </c>
      <c r="C246" s="31" t="str">
        <f>IF(
 COUNTIFS(Channel_Listings!$D:$D,$A246,Channel_Listings!$A:$A,"Flipkart",Channel_Listings!$E:$E,"Live")&gt;0,"Live",
 IF(COUNTIFS(Channel_Listings!$D:$D,$A246,Channel_Listings!$A:$A,"Flipkart")&gt;0,"Draft","Missing"))
</f>
        <v>Missing</v>
      </c>
      <c r="D246" s="31" t="str">
        <f>IF(
 COUNTIFS(Channel_Listings!$D:$D,$A246,Channel_Listings!$A:$A,"Meesho",Channel_Listings!$E:$E,"Live")&gt;0,"Live",
 IF(COUNTIFS(Channel_Listings!$D:$D,$A246,Channel_Listings!$A:$A,"Meesho")&gt;0,"Draft","Missing"))
</f>
        <v>Missing</v>
      </c>
    </row>
    <row r="247" ht="15.75" customHeight="1">
      <c r="A247" s="35" t="s">
        <v>511</v>
      </c>
      <c r="B247" s="31" t="str">
        <f>IF(
 COUNTIFS(Channel_Listings!$D:$D,$A247,Channel_Listings!$A:$A,"Amazon",Channel_Listings!$E:$E,"Live")&gt;0,"Live",
 IF(COUNTIFS(Channel_Listings!$D:$D,$A247,Channel_Listings!$A:$A,"Amazon")&gt;0,"Draft","Missing"))
</f>
        <v>Live</v>
      </c>
      <c r="C247" s="31" t="str">
        <f>IF(
 COUNTIFS(Channel_Listings!$D:$D,$A247,Channel_Listings!$A:$A,"Flipkart",Channel_Listings!$E:$E,"Live")&gt;0,"Live",
 IF(COUNTIFS(Channel_Listings!$D:$D,$A247,Channel_Listings!$A:$A,"Flipkart")&gt;0,"Draft","Missing"))
</f>
        <v>Live</v>
      </c>
      <c r="D247" s="31" t="str">
        <f>IF(
 COUNTIFS(Channel_Listings!$D:$D,$A247,Channel_Listings!$A:$A,"Meesho",Channel_Listings!$E:$E,"Live")&gt;0,"Live",
 IF(COUNTIFS(Channel_Listings!$D:$D,$A247,Channel_Listings!$A:$A,"Meesho")&gt;0,"Draft","Missing"))
</f>
        <v>Missing</v>
      </c>
    </row>
    <row r="248" ht="15.75" customHeight="1">
      <c r="A248" s="35" t="s">
        <v>11</v>
      </c>
      <c r="B248" s="31" t="str">
        <f>IF(
 COUNTIFS(Channel_Listings!$D:$D,$A248,Channel_Listings!$A:$A,"Amazon",Channel_Listings!$E:$E,"Live")&gt;0,"Live",
 IF(COUNTIFS(Channel_Listings!$D:$D,$A248,Channel_Listings!$A:$A,"Amazon")&gt;0,"Draft","Missing"))
</f>
        <v>Live</v>
      </c>
      <c r="C248" s="31" t="str">
        <f>IF(
 COUNTIFS(Channel_Listings!$D:$D,$A248,Channel_Listings!$A:$A,"Flipkart",Channel_Listings!$E:$E,"Live")&gt;0,"Live",
 IF(COUNTIFS(Channel_Listings!$D:$D,$A248,Channel_Listings!$A:$A,"Flipkart")&gt;0,"Draft","Missing"))
</f>
        <v>Live</v>
      </c>
      <c r="D248" s="31" t="str">
        <f>IF(
 COUNTIFS(Channel_Listings!$D:$D,$A248,Channel_Listings!$A:$A,"Meesho",Channel_Listings!$E:$E,"Live")&gt;0,"Live",
 IF(COUNTIFS(Channel_Listings!$D:$D,$A248,Channel_Listings!$A:$A,"Meesho")&gt;0,"Draft","Missing"))
</f>
        <v>Missing</v>
      </c>
    </row>
    <row r="249" ht="15.75" customHeight="1">
      <c r="A249" s="35" t="s">
        <v>514</v>
      </c>
      <c r="B249" s="31" t="str">
        <f>IF(
 COUNTIFS(Channel_Listings!$D:$D,$A249,Channel_Listings!$A:$A,"Amazon",Channel_Listings!$E:$E,"Live")&gt;0,"Live",
 IF(COUNTIFS(Channel_Listings!$D:$D,$A249,Channel_Listings!$A:$A,"Amazon")&gt;0,"Draft","Missing"))
</f>
        <v>Live</v>
      </c>
      <c r="C249" s="31" t="str">
        <f>IF(
 COUNTIFS(Channel_Listings!$D:$D,$A249,Channel_Listings!$A:$A,"Flipkart",Channel_Listings!$E:$E,"Live")&gt;0,"Live",
 IF(COUNTIFS(Channel_Listings!$D:$D,$A249,Channel_Listings!$A:$A,"Flipkart")&gt;0,"Draft","Missing"))
</f>
        <v>Missing</v>
      </c>
      <c r="D249" s="31" t="str">
        <f>IF(
 COUNTIFS(Channel_Listings!$D:$D,$A249,Channel_Listings!$A:$A,"Meesho",Channel_Listings!$E:$E,"Live")&gt;0,"Live",
 IF(COUNTIFS(Channel_Listings!$D:$D,$A249,Channel_Listings!$A:$A,"Meesho")&gt;0,"Draft","Missing"))
</f>
        <v>Missing</v>
      </c>
    </row>
    <row r="250" ht="15.75" customHeight="1">
      <c r="A250" s="35" t="s">
        <v>133</v>
      </c>
      <c r="B250" s="31" t="str">
        <f>IF(
 COUNTIFS(Channel_Listings!$D:$D,$A250,Channel_Listings!$A:$A,"Amazon",Channel_Listings!$E:$E,"Live")&gt;0,"Live",
 IF(COUNTIFS(Channel_Listings!$D:$D,$A250,Channel_Listings!$A:$A,"Amazon")&gt;0,"Draft","Missing"))
</f>
        <v>Live</v>
      </c>
      <c r="C250" s="31" t="str">
        <f>IF(
 COUNTIFS(Channel_Listings!$D:$D,$A250,Channel_Listings!$A:$A,"Flipkart",Channel_Listings!$E:$E,"Live")&gt;0,"Live",
 IF(COUNTIFS(Channel_Listings!$D:$D,$A250,Channel_Listings!$A:$A,"Flipkart")&gt;0,"Draft","Missing"))
</f>
        <v>Live</v>
      </c>
      <c r="D250" s="31" t="str">
        <f>IF(
 COUNTIFS(Channel_Listings!$D:$D,$A250,Channel_Listings!$A:$A,"Meesho",Channel_Listings!$E:$E,"Live")&gt;0,"Live",
 IF(COUNTIFS(Channel_Listings!$D:$D,$A250,Channel_Listings!$A:$A,"Meesho")&gt;0,"Draft","Missing"))
</f>
        <v>Missing</v>
      </c>
    </row>
    <row r="251" ht="15.75" customHeight="1">
      <c r="A251" s="35" t="s">
        <v>350</v>
      </c>
      <c r="B251" s="31" t="str">
        <f>IF(
 COUNTIFS(Channel_Listings!$D:$D,$A251,Channel_Listings!$A:$A,"Amazon",Channel_Listings!$E:$E,"Live")&gt;0,"Live",
 IF(COUNTIFS(Channel_Listings!$D:$D,$A251,Channel_Listings!$A:$A,"Amazon")&gt;0,"Draft","Missing"))
</f>
        <v>Live</v>
      </c>
      <c r="C251" s="31" t="str">
        <f>IF(
 COUNTIFS(Channel_Listings!$D:$D,$A251,Channel_Listings!$A:$A,"Flipkart",Channel_Listings!$E:$E,"Live")&gt;0,"Live",
 IF(COUNTIFS(Channel_Listings!$D:$D,$A251,Channel_Listings!$A:$A,"Flipkart")&gt;0,"Draft","Missing"))
</f>
        <v>Missing</v>
      </c>
      <c r="D251" s="31" t="str">
        <f>IF(
 COUNTIFS(Channel_Listings!$D:$D,$A251,Channel_Listings!$A:$A,"Meesho",Channel_Listings!$E:$E,"Live")&gt;0,"Live",
 IF(COUNTIFS(Channel_Listings!$D:$D,$A251,Channel_Listings!$A:$A,"Meesho")&gt;0,"Draft","Missing"))
</f>
        <v>Missing</v>
      </c>
    </row>
    <row r="252" ht="15.75" customHeight="1">
      <c r="A252" s="34" t="s">
        <v>800</v>
      </c>
      <c r="B252" s="31" t="str">
        <f>IF(
 COUNTIFS(Channel_Listings!$D:$D,$A252,Channel_Listings!$A:$A,"Amazon",Channel_Listings!$E:$E,"Live")&gt;0,"Live",
 IF(COUNTIFS(Channel_Listings!$D:$D,$A252,Channel_Listings!$A:$A,"Amazon")&gt;0,"Draft","Missing"))
</f>
        <v>Live</v>
      </c>
      <c r="C252" s="31" t="str">
        <f>IF(
 COUNTIFS(Channel_Listings!$D:$D,$A252,Channel_Listings!$A:$A,"Flipkart",Channel_Listings!$E:$E,"Live")&gt;0,"Live",
 IF(COUNTIFS(Channel_Listings!$D:$D,$A252,Channel_Listings!$A:$A,"Flipkart")&gt;0,"Draft","Missing"))
</f>
        <v>Missing</v>
      </c>
      <c r="D252" s="31" t="str">
        <f>IF(
 COUNTIFS(Channel_Listings!$D:$D,$A252,Channel_Listings!$A:$A,"Meesho",Channel_Listings!$E:$E,"Live")&gt;0,"Live",
 IF(COUNTIFS(Channel_Listings!$D:$D,$A252,Channel_Listings!$A:$A,"Meesho")&gt;0,"Draft","Missing"))
</f>
        <v>Missing</v>
      </c>
    </row>
    <row r="253" ht="15.75" customHeight="1">
      <c r="A253" s="34" t="s">
        <v>802</v>
      </c>
      <c r="B253" s="31" t="str">
        <f>IF(
 COUNTIFS(Channel_Listings!$D:$D,$A253,Channel_Listings!$A:$A,"Amazon",Channel_Listings!$E:$E,"Live")&gt;0,"Live",
 IF(COUNTIFS(Channel_Listings!$D:$D,$A253,Channel_Listings!$A:$A,"Amazon")&gt;0,"Draft","Missing"))
</f>
        <v>Live</v>
      </c>
      <c r="C253" s="31" t="str">
        <f>IF(
 COUNTIFS(Channel_Listings!$D:$D,$A253,Channel_Listings!$A:$A,"Flipkart",Channel_Listings!$E:$E,"Live")&gt;0,"Live",
 IF(COUNTIFS(Channel_Listings!$D:$D,$A253,Channel_Listings!$A:$A,"Flipkart")&gt;0,"Draft","Missing"))
</f>
        <v>Missing</v>
      </c>
      <c r="D253" s="31" t="str">
        <f>IF(
 COUNTIFS(Channel_Listings!$D:$D,$A253,Channel_Listings!$A:$A,"Meesho",Channel_Listings!$E:$E,"Live")&gt;0,"Live",
 IF(COUNTIFS(Channel_Listings!$D:$D,$A253,Channel_Listings!$A:$A,"Meesho")&gt;0,"Draft","Missing"))
</f>
        <v>Missing</v>
      </c>
    </row>
    <row r="254" ht="15.75" customHeight="1">
      <c r="A254" s="35" t="s">
        <v>808</v>
      </c>
      <c r="B254" s="31" t="str">
        <f>IF(
 COUNTIFS(Channel_Listings!$D:$D,$A254,Channel_Listings!$A:$A,"Amazon",Channel_Listings!$E:$E,"Live")&gt;0,"Live",
 IF(COUNTIFS(Channel_Listings!$D:$D,$A254,Channel_Listings!$A:$A,"Amazon")&gt;0,"Draft","Missing"))
</f>
        <v>Live</v>
      </c>
      <c r="C254" s="31" t="str">
        <f>IF(
 COUNTIFS(Channel_Listings!$D:$D,$A254,Channel_Listings!$A:$A,"Flipkart",Channel_Listings!$E:$E,"Live")&gt;0,"Live",
 IF(COUNTIFS(Channel_Listings!$D:$D,$A254,Channel_Listings!$A:$A,"Flipkart")&gt;0,"Draft","Missing"))
</f>
        <v>Missing</v>
      </c>
      <c r="D254" s="31" t="str">
        <f>IF(
 COUNTIFS(Channel_Listings!$D:$D,$A254,Channel_Listings!$A:$A,"Meesho",Channel_Listings!$E:$E,"Live")&gt;0,"Live",
 IF(COUNTIFS(Channel_Listings!$D:$D,$A254,Channel_Listings!$A:$A,"Meesho")&gt;0,"Draft","Missing"))
</f>
        <v>Missing</v>
      </c>
    </row>
    <row r="255" ht="15.75" customHeight="1">
      <c r="A255" s="35" t="s">
        <v>811</v>
      </c>
      <c r="B255" s="31" t="str">
        <f>IF(
 COUNTIFS(Channel_Listings!$D:$D,$A255,Channel_Listings!$A:$A,"Amazon",Channel_Listings!$E:$E,"Live")&gt;0,"Live",
 IF(COUNTIFS(Channel_Listings!$D:$D,$A255,Channel_Listings!$A:$A,"Amazon")&gt;0,"Draft","Missing"))
</f>
        <v>Live</v>
      </c>
      <c r="C255" s="31" t="str">
        <f>IF(
 COUNTIFS(Channel_Listings!$D:$D,$A255,Channel_Listings!$A:$A,"Flipkart",Channel_Listings!$E:$E,"Live")&gt;0,"Live",
 IF(COUNTIFS(Channel_Listings!$D:$D,$A255,Channel_Listings!$A:$A,"Flipkart")&gt;0,"Draft","Missing"))
</f>
        <v>Live</v>
      </c>
      <c r="D255" s="31" t="str">
        <f>IF(
 COUNTIFS(Channel_Listings!$D:$D,$A255,Channel_Listings!$A:$A,"Meesho",Channel_Listings!$E:$E,"Live")&gt;0,"Live",
 IF(COUNTIFS(Channel_Listings!$D:$D,$A255,Channel_Listings!$A:$A,"Meesho")&gt;0,"Draft","Missing"))
</f>
        <v>Missing</v>
      </c>
    </row>
    <row r="256" ht="15.75" customHeight="1">
      <c r="A256" s="35" t="s">
        <v>814</v>
      </c>
      <c r="B256" s="31" t="str">
        <f>IF(
 COUNTIFS(Channel_Listings!$D:$D,$A256,Channel_Listings!$A:$A,"Amazon",Channel_Listings!$E:$E,"Live")&gt;0,"Live",
 IF(COUNTIFS(Channel_Listings!$D:$D,$A256,Channel_Listings!$A:$A,"Amazon")&gt;0,"Draft","Missing"))
</f>
        <v>Live</v>
      </c>
      <c r="C256" s="31" t="str">
        <f>IF(
 COUNTIFS(Channel_Listings!$D:$D,$A256,Channel_Listings!$A:$A,"Flipkart",Channel_Listings!$E:$E,"Live")&gt;0,"Live",
 IF(COUNTIFS(Channel_Listings!$D:$D,$A256,Channel_Listings!$A:$A,"Flipkart")&gt;0,"Draft","Missing"))
</f>
        <v>Missing</v>
      </c>
      <c r="D256" s="31" t="str">
        <f>IF(
 COUNTIFS(Channel_Listings!$D:$D,$A256,Channel_Listings!$A:$A,"Meesho",Channel_Listings!$E:$E,"Live")&gt;0,"Live",
 IF(COUNTIFS(Channel_Listings!$D:$D,$A256,Channel_Listings!$A:$A,"Meesho")&gt;0,"Draft","Missing"))
</f>
        <v>Missing</v>
      </c>
    </row>
    <row r="257" ht="15.75" customHeight="1">
      <c r="A257" s="35" t="s">
        <v>817</v>
      </c>
      <c r="B257" s="31" t="str">
        <f>IF(
 COUNTIFS(Channel_Listings!$D:$D,$A257,Channel_Listings!$A:$A,"Amazon",Channel_Listings!$E:$E,"Live")&gt;0,"Live",
 IF(COUNTIFS(Channel_Listings!$D:$D,$A257,Channel_Listings!$A:$A,"Amazon")&gt;0,"Draft","Missing"))
</f>
        <v>Live</v>
      </c>
      <c r="C257" s="31" t="str">
        <f>IF(
 COUNTIFS(Channel_Listings!$D:$D,$A257,Channel_Listings!$A:$A,"Flipkart",Channel_Listings!$E:$E,"Live")&gt;0,"Live",
 IF(COUNTIFS(Channel_Listings!$D:$D,$A257,Channel_Listings!$A:$A,"Flipkart")&gt;0,"Draft","Missing"))
</f>
        <v>Missing</v>
      </c>
      <c r="D257" s="31" t="str">
        <f>IF(
 COUNTIFS(Channel_Listings!$D:$D,$A257,Channel_Listings!$A:$A,"Meesho",Channel_Listings!$E:$E,"Live")&gt;0,"Live",
 IF(COUNTIFS(Channel_Listings!$D:$D,$A257,Channel_Listings!$A:$A,"Meesho")&gt;0,"Draft","Missing"))
</f>
        <v>Missing</v>
      </c>
    </row>
    <row r="258" ht="15.75" customHeight="1">
      <c r="A258" s="35" t="s">
        <v>820</v>
      </c>
      <c r="B258" s="31" t="str">
        <f>IF(
 COUNTIFS(Channel_Listings!$D:$D,$A258,Channel_Listings!$A:$A,"Amazon",Channel_Listings!$E:$E,"Live")&gt;0,"Live",
 IF(COUNTIFS(Channel_Listings!$D:$D,$A258,Channel_Listings!$A:$A,"Amazon")&gt;0,"Draft","Missing"))
</f>
        <v>Live</v>
      </c>
      <c r="C258" s="31" t="str">
        <f>IF(
 COUNTIFS(Channel_Listings!$D:$D,$A258,Channel_Listings!$A:$A,"Flipkart",Channel_Listings!$E:$E,"Live")&gt;0,"Live",
 IF(COUNTIFS(Channel_Listings!$D:$D,$A258,Channel_Listings!$A:$A,"Flipkart")&gt;0,"Draft","Missing"))
</f>
        <v>Missing</v>
      </c>
      <c r="D258" s="31" t="str">
        <f>IF(
 COUNTIFS(Channel_Listings!$D:$D,$A258,Channel_Listings!$A:$A,"Meesho",Channel_Listings!$E:$E,"Live")&gt;0,"Live",
 IF(COUNTIFS(Channel_Listings!$D:$D,$A258,Channel_Listings!$A:$A,"Meesho")&gt;0,"Draft","Missing"))
</f>
        <v>Missing</v>
      </c>
    </row>
    <row r="259" ht="15.75" customHeight="1">
      <c r="A259" s="35" t="s">
        <v>823</v>
      </c>
      <c r="B259" s="31" t="str">
        <f>IF(
 COUNTIFS(Channel_Listings!$D:$D,$A259,Channel_Listings!$A:$A,"Amazon",Channel_Listings!$E:$E,"Live")&gt;0,"Live",
 IF(COUNTIFS(Channel_Listings!$D:$D,$A259,Channel_Listings!$A:$A,"Amazon")&gt;0,"Draft","Missing"))
</f>
        <v>Live</v>
      </c>
      <c r="C259" s="31" t="str">
        <f>IF(
 COUNTIFS(Channel_Listings!$D:$D,$A259,Channel_Listings!$A:$A,"Flipkart",Channel_Listings!$E:$E,"Live")&gt;0,"Live",
 IF(COUNTIFS(Channel_Listings!$D:$D,$A259,Channel_Listings!$A:$A,"Flipkart")&gt;0,"Draft","Missing"))
</f>
        <v>Missing</v>
      </c>
      <c r="D259" s="31" t="str">
        <f>IF(
 COUNTIFS(Channel_Listings!$D:$D,$A259,Channel_Listings!$A:$A,"Meesho",Channel_Listings!$E:$E,"Live")&gt;0,"Live",
 IF(COUNTIFS(Channel_Listings!$D:$D,$A259,Channel_Listings!$A:$A,"Meesho")&gt;0,"Draft","Missing"))
</f>
        <v>Missing</v>
      </c>
    </row>
    <row r="260" ht="15.75" customHeight="1">
      <c r="A260" s="35" t="s">
        <v>826</v>
      </c>
      <c r="B260" s="31" t="str">
        <f>IF(
 COUNTIFS(Channel_Listings!$D:$D,$A260,Channel_Listings!$A:$A,"Amazon",Channel_Listings!$E:$E,"Live")&gt;0,"Live",
 IF(COUNTIFS(Channel_Listings!$D:$D,$A260,Channel_Listings!$A:$A,"Amazon")&gt;0,"Draft","Missing"))
</f>
        <v>Live</v>
      </c>
      <c r="C260" s="31" t="str">
        <f>IF(
 COUNTIFS(Channel_Listings!$D:$D,$A260,Channel_Listings!$A:$A,"Flipkart",Channel_Listings!$E:$E,"Live")&gt;0,"Live",
 IF(COUNTIFS(Channel_Listings!$D:$D,$A260,Channel_Listings!$A:$A,"Flipkart")&gt;0,"Draft","Missing"))
</f>
        <v>Missing</v>
      </c>
      <c r="D260" s="31" t="str">
        <f>IF(
 COUNTIFS(Channel_Listings!$D:$D,$A260,Channel_Listings!$A:$A,"Meesho",Channel_Listings!$E:$E,"Live")&gt;0,"Live",
 IF(COUNTIFS(Channel_Listings!$D:$D,$A260,Channel_Listings!$A:$A,"Meesho")&gt;0,"Draft","Missing"))
</f>
        <v>Missing</v>
      </c>
    </row>
    <row r="261" ht="15.75" customHeight="1">
      <c r="A261" s="35" t="s">
        <v>828</v>
      </c>
      <c r="B261" s="31" t="str">
        <f>IF(
 COUNTIFS(Channel_Listings!$D:$D,$A261,Channel_Listings!$A:$A,"Amazon",Channel_Listings!$E:$E,"Live")&gt;0,"Live",
 IF(COUNTIFS(Channel_Listings!$D:$D,$A261,Channel_Listings!$A:$A,"Amazon")&gt;0,"Draft","Missing"))
</f>
        <v>Live</v>
      </c>
      <c r="C261" s="31" t="str">
        <f>IF(
 COUNTIFS(Channel_Listings!$D:$D,$A261,Channel_Listings!$A:$A,"Flipkart",Channel_Listings!$E:$E,"Live")&gt;0,"Live",
 IF(COUNTIFS(Channel_Listings!$D:$D,$A261,Channel_Listings!$A:$A,"Flipkart")&gt;0,"Draft","Missing"))
</f>
        <v>Live</v>
      </c>
      <c r="D261" s="31" t="str">
        <f>IF(
 COUNTIFS(Channel_Listings!$D:$D,$A261,Channel_Listings!$A:$A,"Meesho",Channel_Listings!$E:$E,"Live")&gt;0,"Live",
 IF(COUNTIFS(Channel_Listings!$D:$D,$A261,Channel_Listings!$A:$A,"Meesho")&gt;0,"Draft","Missing"))
</f>
        <v>Missing</v>
      </c>
    </row>
    <row r="262" ht="15.75" customHeight="1">
      <c r="A262" s="35" t="s">
        <v>830</v>
      </c>
      <c r="B262" s="31" t="str">
        <f>IF(
 COUNTIFS(Channel_Listings!$D:$D,$A262,Channel_Listings!$A:$A,"Amazon",Channel_Listings!$E:$E,"Live")&gt;0,"Live",
 IF(COUNTIFS(Channel_Listings!$D:$D,$A262,Channel_Listings!$A:$A,"Amazon")&gt;0,"Draft","Missing"))
</f>
        <v>Live</v>
      </c>
      <c r="C262" s="31" t="str">
        <f>IF(
 COUNTIFS(Channel_Listings!$D:$D,$A262,Channel_Listings!$A:$A,"Flipkart",Channel_Listings!$E:$E,"Live")&gt;0,"Live",
 IF(COUNTIFS(Channel_Listings!$D:$D,$A262,Channel_Listings!$A:$A,"Flipkart")&gt;0,"Draft","Missing"))
</f>
        <v>Missing</v>
      </c>
      <c r="D262" s="31" t="str">
        <f>IF(
 COUNTIFS(Channel_Listings!$D:$D,$A262,Channel_Listings!$A:$A,"Meesho",Channel_Listings!$E:$E,"Live")&gt;0,"Live",
 IF(COUNTIFS(Channel_Listings!$D:$D,$A262,Channel_Listings!$A:$A,"Meesho")&gt;0,"Draft","Missing"))
</f>
        <v>Missing</v>
      </c>
    </row>
    <row r="263" ht="15.75" customHeight="1">
      <c r="A263" s="35" t="s">
        <v>832</v>
      </c>
      <c r="B263" s="31" t="str">
        <f>IF(
 COUNTIFS(Channel_Listings!$D:$D,$A263,Channel_Listings!$A:$A,"Amazon",Channel_Listings!$E:$E,"Live")&gt;0,"Live",
 IF(COUNTIFS(Channel_Listings!$D:$D,$A263,Channel_Listings!$A:$A,"Amazon")&gt;0,"Draft","Missing"))
</f>
        <v>Live</v>
      </c>
      <c r="C263" s="31" t="str">
        <f>IF(
 COUNTIFS(Channel_Listings!$D:$D,$A263,Channel_Listings!$A:$A,"Flipkart",Channel_Listings!$E:$E,"Live")&gt;0,"Live",
 IF(COUNTIFS(Channel_Listings!$D:$D,$A263,Channel_Listings!$A:$A,"Flipkart")&gt;0,"Draft","Missing"))
</f>
        <v>Missing</v>
      </c>
      <c r="D263" s="31" t="str">
        <f>IF(
 COUNTIFS(Channel_Listings!$D:$D,$A263,Channel_Listings!$A:$A,"Meesho",Channel_Listings!$E:$E,"Live")&gt;0,"Live",
 IF(COUNTIFS(Channel_Listings!$D:$D,$A263,Channel_Listings!$A:$A,"Meesho")&gt;0,"Draft","Missing"))
</f>
        <v>Missing</v>
      </c>
    </row>
    <row r="264" ht="15.75" customHeight="1">
      <c r="A264" s="35" t="s">
        <v>834</v>
      </c>
      <c r="B264" s="31" t="str">
        <f>IF(
 COUNTIFS(Channel_Listings!$D:$D,$A264,Channel_Listings!$A:$A,"Amazon",Channel_Listings!$E:$E,"Live")&gt;0,"Live",
 IF(COUNTIFS(Channel_Listings!$D:$D,$A264,Channel_Listings!$A:$A,"Amazon")&gt;0,"Draft","Missing"))
</f>
        <v>Live</v>
      </c>
      <c r="C264" s="31" t="str">
        <f>IF(
 COUNTIFS(Channel_Listings!$D:$D,$A264,Channel_Listings!$A:$A,"Flipkart",Channel_Listings!$E:$E,"Live")&gt;0,"Live",
 IF(COUNTIFS(Channel_Listings!$D:$D,$A264,Channel_Listings!$A:$A,"Flipkart")&gt;0,"Draft","Missing"))
</f>
        <v>Missing</v>
      </c>
      <c r="D264" s="31" t="str">
        <f>IF(
 COUNTIFS(Channel_Listings!$D:$D,$A264,Channel_Listings!$A:$A,"Meesho",Channel_Listings!$E:$E,"Live")&gt;0,"Live",
 IF(COUNTIFS(Channel_Listings!$D:$D,$A264,Channel_Listings!$A:$A,"Meesho")&gt;0,"Draft","Missing"))
</f>
        <v>Missing</v>
      </c>
    </row>
    <row r="265" ht="15.75" customHeight="1">
      <c r="A265" s="35" t="s">
        <v>837</v>
      </c>
      <c r="B265" s="31" t="str">
        <f>IF(
 COUNTIFS(Channel_Listings!$D:$D,$A265,Channel_Listings!$A:$A,"Amazon",Channel_Listings!$E:$E,"Live")&gt;0,"Live",
 IF(COUNTIFS(Channel_Listings!$D:$D,$A265,Channel_Listings!$A:$A,"Amazon")&gt;0,"Draft","Missing"))
</f>
        <v>Live</v>
      </c>
      <c r="C265" s="31" t="str">
        <f>IF(
 COUNTIFS(Channel_Listings!$D:$D,$A265,Channel_Listings!$A:$A,"Flipkart",Channel_Listings!$E:$E,"Live")&gt;0,"Live",
 IF(COUNTIFS(Channel_Listings!$D:$D,$A265,Channel_Listings!$A:$A,"Flipkart")&gt;0,"Draft","Missing"))
</f>
        <v>Missing</v>
      </c>
      <c r="D265" s="31" t="str">
        <f>IF(
 COUNTIFS(Channel_Listings!$D:$D,$A265,Channel_Listings!$A:$A,"Meesho",Channel_Listings!$E:$E,"Live")&gt;0,"Live",
 IF(COUNTIFS(Channel_Listings!$D:$D,$A265,Channel_Listings!$A:$A,"Meesho")&gt;0,"Draft","Missing"))
</f>
        <v>Missing</v>
      </c>
    </row>
    <row r="266" ht="15.75" customHeight="1">
      <c r="A266" s="35" t="s">
        <v>839</v>
      </c>
      <c r="B266" s="31" t="str">
        <f>IF(
 COUNTIFS(Channel_Listings!$D:$D,$A266,Channel_Listings!$A:$A,"Amazon",Channel_Listings!$E:$E,"Live")&gt;0,"Live",
 IF(COUNTIFS(Channel_Listings!$D:$D,$A266,Channel_Listings!$A:$A,"Amazon")&gt;0,"Draft","Missing"))
</f>
        <v>Live</v>
      </c>
      <c r="C266" s="31" t="str">
        <f>IF(
 COUNTIFS(Channel_Listings!$D:$D,$A266,Channel_Listings!$A:$A,"Flipkart",Channel_Listings!$E:$E,"Live")&gt;0,"Live",
 IF(COUNTIFS(Channel_Listings!$D:$D,$A266,Channel_Listings!$A:$A,"Flipkart")&gt;0,"Draft","Missing"))
</f>
        <v>Live</v>
      </c>
      <c r="D266" s="31" t="str">
        <f>IF(
 COUNTIFS(Channel_Listings!$D:$D,$A266,Channel_Listings!$A:$A,"Meesho",Channel_Listings!$E:$E,"Live")&gt;0,"Live",
 IF(COUNTIFS(Channel_Listings!$D:$D,$A266,Channel_Listings!$A:$A,"Meesho")&gt;0,"Draft","Missing"))
</f>
        <v>Missing</v>
      </c>
    </row>
    <row r="267" ht="15.75" customHeight="1">
      <c r="A267" s="35" t="s">
        <v>841</v>
      </c>
      <c r="B267" s="31" t="str">
        <f>IF(
 COUNTIFS(Channel_Listings!$D:$D,$A267,Channel_Listings!$A:$A,"Amazon",Channel_Listings!$E:$E,"Live")&gt;0,"Live",
 IF(COUNTIFS(Channel_Listings!$D:$D,$A267,Channel_Listings!$A:$A,"Amazon")&gt;0,"Draft","Missing"))
</f>
        <v>Live</v>
      </c>
      <c r="C267" s="31" t="str">
        <f>IF(
 COUNTIFS(Channel_Listings!$D:$D,$A267,Channel_Listings!$A:$A,"Flipkart",Channel_Listings!$E:$E,"Live")&gt;0,"Live",
 IF(COUNTIFS(Channel_Listings!$D:$D,$A267,Channel_Listings!$A:$A,"Flipkart")&gt;0,"Draft","Missing"))
</f>
        <v>Missing</v>
      </c>
      <c r="D267" s="31" t="str">
        <f>IF(
 COUNTIFS(Channel_Listings!$D:$D,$A267,Channel_Listings!$A:$A,"Meesho",Channel_Listings!$E:$E,"Live")&gt;0,"Live",
 IF(COUNTIFS(Channel_Listings!$D:$D,$A267,Channel_Listings!$A:$A,"Meesho")&gt;0,"Draft","Missing"))
</f>
        <v>Missing</v>
      </c>
    </row>
    <row r="268" ht="15.75" customHeight="1">
      <c r="A268" s="35" t="s">
        <v>843</v>
      </c>
      <c r="B268" s="31" t="str">
        <f>IF(
 COUNTIFS(Channel_Listings!$D:$D,$A268,Channel_Listings!$A:$A,"Amazon",Channel_Listings!$E:$E,"Live")&gt;0,"Live",
 IF(COUNTIFS(Channel_Listings!$D:$D,$A268,Channel_Listings!$A:$A,"Amazon")&gt;0,"Draft","Missing"))
</f>
        <v>Live</v>
      </c>
      <c r="C268" s="31" t="str">
        <f>IF(
 COUNTIFS(Channel_Listings!$D:$D,$A268,Channel_Listings!$A:$A,"Flipkart",Channel_Listings!$E:$E,"Live")&gt;0,"Live",
 IF(COUNTIFS(Channel_Listings!$D:$D,$A268,Channel_Listings!$A:$A,"Flipkart")&gt;0,"Draft","Missing"))
</f>
        <v>Live</v>
      </c>
      <c r="D268" s="31" t="str">
        <f>IF(
 COUNTIFS(Channel_Listings!$D:$D,$A268,Channel_Listings!$A:$A,"Meesho",Channel_Listings!$E:$E,"Live")&gt;0,"Live",
 IF(COUNTIFS(Channel_Listings!$D:$D,$A268,Channel_Listings!$A:$A,"Meesho")&gt;0,"Draft","Missing"))
</f>
        <v>Missing</v>
      </c>
    </row>
    <row r="269" ht="15.75" customHeight="1">
      <c r="A269" s="35" t="s">
        <v>845</v>
      </c>
      <c r="B269" s="31" t="str">
        <f>IF(
 COUNTIFS(Channel_Listings!$D:$D,$A269,Channel_Listings!$A:$A,"Amazon",Channel_Listings!$E:$E,"Live")&gt;0,"Live",
 IF(COUNTIFS(Channel_Listings!$D:$D,$A269,Channel_Listings!$A:$A,"Amazon")&gt;0,"Draft","Missing"))
</f>
        <v>Live</v>
      </c>
      <c r="C269" s="31" t="str">
        <f>IF(
 COUNTIFS(Channel_Listings!$D:$D,$A269,Channel_Listings!$A:$A,"Flipkart",Channel_Listings!$E:$E,"Live")&gt;0,"Live",
 IF(COUNTIFS(Channel_Listings!$D:$D,$A269,Channel_Listings!$A:$A,"Flipkart")&gt;0,"Draft","Missing"))
</f>
        <v>Missing</v>
      </c>
      <c r="D269" s="31" t="str">
        <f>IF(
 COUNTIFS(Channel_Listings!$D:$D,$A269,Channel_Listings!$A:$A,"Meesho",Channel_Listings!$E:$E,"Live")&gt;0,"Live",
 IF(COUNTIFS(Channel_Listings!$D:$D,$A269,Channel_Listings!$A:$A,"Meesho")&gt;0,"Draft","Missing"))
</f>
        <v>Missing</v>
      </c>
    </row>
    <row r="270" ht="15.75" customHeight="1">
      <c r="A270" s="35" t="s">
        <v>847</v>
      </c>
      <c r="B270" s="31" t="str">
        <f>IF(
 COUNTIFS(Channel_Listings!$D:$D,$A270,Channel_Listings!$A:$A,"Amazon",Channel_Listings!$E:$E,"Live")&gt;0,"Live",
 IF(COUNTIFS(Channel_Listings!$D:$D,$A270,Channel_Listings!$A:$A,"Amazon")&gt;0,"Draft","Missing"))
</f>
        <v>Live</v>
      </c>
      <c r="C270" s="31" t="str">
        <f>IF(
 COUNTIFS(Channel_Listings!$D:$D,$A270,Channel_Listings!$A:$A,"Flipkart",Channel_Listings!$E:$E,"Live")&gt;0,"Live",
 IF(COUNTIFS(Channel_Listings!$D:$D,$A270,Channel_Listings!$A:$A,"Flipkart")&gt;0,"Draft","Missing"))
</f>
        <v>Live</v>
      </c>
      <c r="D270" s="31" t="str">
        <f>IF(
 COUNTIFS(Channel_Listings!$D:$D,$A270,Channel_Listings!$A:$A,"Meesho",Channel_Listings!$E:$E,"Live")&gt;0,"Live",
 IF(COUNTIFS(Channel_Listings!$D:$D,$A270,Channel_Listings!$A:$A,"Meesho")&gt;0,"Draft","Missing"))
</f>
        <v>Missing</v>
      </c>
    </row>
    <row r="271" ht="15.75" customHeight="1">
      <c r="A271" s="35" t="s">
        <v>850</v>
      </c>
      <c r="B271" s="31" t="str">
        <f>IF(
 COUNTIFS(Channel_Listings!$D:$D,$A271,Channel_Listings!$A:$A,"Amazon",Channel_Listings!$E:$E,"Live")&gt;0,"Live",
 IF(COUNTIFS(Channel_Listings!$D:$D,$A271,Channel_Listings!$A:$A,"Amazon")&gt;0,"Draft","Missing"))
</f>
        <v>Live</v>
      </c>
      <c r="C271" s="31" t="str">
        <f>IF(
 COUNTIFS(Channel_Listings!$D:$D,$A271,Channel_Listings!$A:$A,"Flipkart",Channel_Listings!$E:$E,"Live")&gt;0,"Live",
 IF(COUNTIFS(Channel_Listings!$D:$D,$A271,Channel_Listings!$A:$A,"Flipkart")&gt;0,"Draft","Missing"))
</f>
        <v>Live</v>
      </c>
      <c r="D271" s="31" t="str">
        <f>IF(
 COUNTIFS(Channel_Listings!$D:$D,$A271,Channel_Listings!$A:$A,"Meesho",Channel_Listings!$E:$E,"Live")&gt;0,"Live",
 IF(COUNTIFS(Channel_Listings!$D:$D,$A271,Channel_Listings!$A:$A,"Meesho")&gt;0,"Draft","Missing"))
</f>
        <v>Missing</v>
      </c>
    </row>
    <row r="272" ht="15.75" customHeight="1">
      <c r="A272" s="35" t="s">
        <v>852</v>
      </c>
      <c r="B272" s="31" t="str">
        <f>IF(
 COUNTIFS(Channel_Listings!$D:$D,$A272,Channel_Listings!$A:$A,"Amazon",Channel_Listings!$E:$E,"Live")&gt;0,"Live",
 IF(COUNTIFS(Channel_Listings!$D:$D,$A272,Channel_Listings!$A:$A,"Amazon")&gt;0,"Draft","Missing"))
</f>
        <v>Live</v>
      </c>
      <c r="C272" s="31" t="str">
        <f>IF(
 COUNTIFS(Channel_Listings!$D:$D,$A272,Channel_Listings!$A:$A,"Flipkart",Channel_Listings!$E:$E,"Live")&gt;0,"Live",
 IF(COUNTIFS(Channel_Listings!$D:$D,$A272,Channel_Listings!$A:$A,"Flipkart")&gt;0,"Draft","Missing"))
</f>
        <v>Live</v>
      </c>
      <c r="D272" s="31" t="str">
        <f>IF(
 COUNTIFS(Channel_Listings!$D:$D,$A272,Channel_Listings!$A:$A,"Meesho",Channel_Listings!$E:$E,"Live")&gt;0,"Live",
 IF(COUNTIFS(Channel_Listings!$D:$D,$A272,Channel_Listings!$A:$A,"Meesho")&gt;0,"Draft","Missing"))
</f>
        <v>Missing</v>
      </c>
    </row>
    <row r="273" ht="15.75" customHeight="1">
      <c r="A273" s="35" t="s">
        <v>854</v>
      </c>
      <c r="B273" s="31" t="str">
        <f>IF(
 COUNTIFS(Channel_Listings!$D:$D,$A273,Channel_Listings!$A:$A,"Amazon",Channel_Listings!$E:$E,"Live")&gt;0,"Live",
 IF(COUNTIFS(Channel_Listings!$D:$D,$A273,Channel_Listings!$A:$A,"Amazon")&gt;0,"Draft","Missing"))
</f>
        <v>Live</v>
      </c>
      <c r="C273" s="31" t="str">
        <f>IF(
 COUNTIFS(Channel_Listings!$D:$D,$A273,Channel_Listings!$A:$A,"Flipkart",Channel_Listings!$E:$E,"Live")&gt;0,"Live",
 IF(COUNTIFS(Channel_Listings!$D:$D,$A273,Channel_Listings!$A:$A,"Flipkart")&gt;0,"Draft","Missing"))
</f>
        <v>Missing</v>
      </c>
      <c r="D273" s="31" t="str">
        <f>IF(
 COUNTIFS(Channel_Listings!$D:$D,$A273,Channel_Listings!$A:$A,"Meesho",Channel_Listings!$E:$E,"Live")&gt;0,"Live",
 IF(COUNTIFS(Channel_Listings!$D:$D,$A273,Channel_Listings!$A:$A,"Meesho")&gt;0,"Draft","Missing"))
</f>
        <v>Missing</v>
      </c>
    </row>
    <row r="274" ht="15.75" customHeight="1">
      <c r="A274" s="35" t="s">
        <v>856</v>
      </c>
      <c r="B274" s="31" t="str">
        <f>IF(
 COUNTIFS(Channel_Listings!$D:$D,$A274,Channel_Listings!$A:$A,"Amazon",Channel_Listings!$E:$E,"Live")&gt;0,"Live",
 IF(COUNTIFS(Channel_Listings!$D:$D,$A274,Channel_Listings!$A:$A,"Amazon")&gt;0,"Draft","Missing"))
</f>
        <v>Live</v>
      </c>
      <c r="C274" s="31" t="str">
        <f>IF(
 COUNTIFS(Channel_Listings!$D:$D,$A274,Channel_Listings!$A:$A,"Flipkart",Channel_Listings!$E:$E,"Live")&gt;0,"Live",
 IF(COUNTIFS(Channel_Listings!$D:$D,$A274,Channel_Listings!$A:$A,"Flipkart")&gt;0,"Draft","Missing"))
</f>
        <v>Missing</v>
      </c>
      <c r="D274" s="31" t="str">
        <f>IF(
 COUNTIFS(Channel_Listings!$D:$D,$A274,Channel_Listings!$A:$A,"Meesho",Channel_Listings!$E:$E,"Live")&gt;0,"Live",
 IF(COUNTIFS(Channel_Listings!$D:$D,$A274,Channel_Listings!$A:$A,"Meesho")&gt;0,"Draft","Missing"))
</f>
        <v>Missing</v>
      </c>
    </row>
    <row r="275" ht="15.75" customHeight="1">
      <c r="A275" s="35" t="s">
        <v>858</v>
      </c>
      <c r="B275" s="31" t="str">
        <f>IF(
 COUNTIFS(Channel_Listings!$D:$D,$A275,Channel_Listings!$A:$A,"Amazon",Channel_Listings!$E:$E,"Live")&gt;0,"Live",
 IF(COUNTIFS(Channel_Listings!$D:$D,$A275,Channel_Listings!$A:$A,"Amazon")&gt;0,"Draft","Missing"))
</f>
        <v>Live</v>
      </c>
      <c r="C275" s="31" t="str">
        <f>IF(
 COUNTIFS(Channel_Listings!$D:$D,$A275,Channel_Listings!$A:$A,"Flipkart",Channel_Listings!$E:$E,"Live")&gt;0,"Live",
 IF(COUNTIFS(Channel_Listings!$D:$D,$A275,Channel_Listings!$A:$A,"Flipkart")&gt;0,"Draft","Missing"))
</f>
        <v>Live</v>
      </c>
      <c r="D275" s="31" t="str">
        <f>IF(
 COUNTIFS(Channel_Listings!$D:$D,$A275,Channel_Listings!$A:$A,"Meesho",Channel_Listings!$E:$E,"Live")&gt;0,"Live",
 IF(COUNTIFS(Channel_Listings!$D:$D,$A275,Channel_Listings!$A:$A,"Meesho")&gt;0,"Draft","Missing"))
</f>
        <v>Missing</v>
      </c>
    </row>
    <row r="276" ht="15.75" customHeight="1">
      <c r="A276" s="35" t="s">
        <v>860</v>
      </c>
      <c r="B276" s="31" t="str">
        <f>IF(
 COUNTIFS(Channel_Listings!$D:$D,$A276,Channel_Listings!$A:$A,"Amazon",Channel_Listings!$E:$E,"Live")&gt;0,"Live",
 IF(COUNTIFS(Channel_Listings!$D:$D,$A276,Channel_Listings!$A:$A,"Amazon")&gt;0,"Draft","Missing"))
</f>
        <v>Live</v>
      </c>
      <c r="C276" s="31" t="str">
        <f>IF(
 COUNTIFS(Channel_Listings!$D:$D,$A276,Channel_Listings!$A:$A,"Flipkart",Channel_Listings!$E:$E,"Live")&gt;0,"Live",
 IF(COUNTIFS(Channel_Listings!$D:$D,$A276,Channel_Listings!$A:$A,"Flipkart")&gt;0,"Draft","Missing"))
</f>
        <v>Missing</v>
      </c>
      <c r="D276" s="31" t="str">
        <f>IF(
 COUNTIFS(Channel_Listings!$D:$D,$A276,Channel_Listings!$A:$A,"Meesho",Channel_Listings!$E:$E,"Live")&gt;0,"Live",
 IF(COUNTIFS(Channel_Listings!$D:$D,$A276,Channel_Listings!$A:$A,"Meesho")&gt;0,"Draft","Missing"))
</f>
        <v>Missing</v>
      </c>
    </row>
    <row r="277" ht="15.75" customHeight="1">
      <c r="A277" s="35" t="s">
        <v>863</v>
      </c>
      <c r="B277" s="31" t="str">
        <f>IF(
 COUNTIFS(Channel_Listings!$D:$D,$A277,Channel_Listings!$A:$A,"Amazon",Channel_Listings!$E:$E,"Live")&gt;0,"Live",
 IF(COUNTIFS(Channel_Listings!$D:$D,$A277,Channel_Listings!$A:$A,"Amazon")&gt;0,"Draft","Missing"))
</f>
        <v>Live</v>
      </c>
      <c r="C277" s="31" t="str">
        <f>IF(
 COUNTIFS(Channel_Listings!$D:$D,$A277,Channel_Listings!$A:$A,"Flipkart",Channel_Listings!$E:$E,"Live")&gt;0,"Live",
 IF(COUNTIFS(Channel_Listings!$D:$D,$A277,Channel_Listings!$A:$A,"Flipkart")&gt;0,"Draft","Missing"))
</f>
        <v>Missing</v>
      </c>
      <c r="D277" s="31" t="str">
        <f>IF(
 COUNTIFS(Channel_Listings!$D:$D,$A277,Channel_Listings!$A:$A,"Meesho",Channel_Listings!$E:$E,"Live")&gt;0,"Live",
 IF(COUNTIFS(Channel_Listings!$D:$D,$A277,Channel_Listings!$A:$A,"Meesho")&gt;0,"Draft","Missing"))
</f>
        <v>Missing</v>
      </c>
    </row>
    <row r="278" ht="15.75" customHeight="1">
      <c r="A278" s="35" t="s">
        <v>865</v>
      </c>
      <c r="B278" s="31" t="str">
        <f>IF(
 COUNTIFS(Channel_Listings!$D:$D,$A278,Channel_Listings!$A:$A,"Amazon",Channel_Listings!$E:$E,"Live")&gt;0,"Live",
 IF(COUNTIFS(Channel_Listings!$D:$D,$A278,Channel_Listings!$A:$A,"Amazon")&gt;0,"Draft","Missing"))
</f>
        <v>Live</v>
      </c>
      <c r="C278" s="31" t="str">
        <f>IF(
 COUNTIFS(Channel_Listings!$D:$D,$A278,Channel_Listings!$A:$A,"Flipkart",Channel_Listings!$E:$E,"Live")&gt;0,"Live",
 IF(COUNTIFS(Channel_Listings!$D:$D,$A278,Channel_Listings!$A:$A,"Flipkart")&gt;0,"Draft","Missing"))
</f>
        <v>Missing</v>
      </c>
      <c r="D278" s="31" t="str">
        <f>IF(
 COUNTIFS(Channel_Listings!$D:$D,$A278,Channel_Listings!$A:$A,"Meesho",Channel_Listings!$E:$E,"Live")&gt;0,"Live",
 IF(COUNTIFS(Channel_Listings!$D:$D,$A278,Channel_Listings!$A:$A,"Meesho")&gt;0,"Draft","Missing"))
</f>
        <v>Missing</v>
      </c>
    </row>
    <row r="279" ht="15.75" customHeight="1">
      <c r="A279" s="35" t="s">
        <v>867</v>
      </c>
      <c r="B279" s="31" t="str">
        <f>IF(
 COUNTIFS(Channel_Listings!$D:$D,$A279,Channel_Listings!$A:$A,"Amazon",Channel_Listings!$E:$E,"Live")&gt;0,"Live",
 IF(COUNTIFS(Channel_Listings!$D:$D,$A279,Channel_Listings!$A:$A,"Amazon")&gt;0,"Draft","Missing"))
</f>
        <v>Live</v>
      </c>
      <c r="C279" s="31" t="str">
        <f>IF(
 COUNTIFS(Channel_Listings!$D:$D,$A279,Channel_Listings!$A:$A,"Flipkart",Channel_Listings!$E:$E,"Live")&gt;0,"Live",
 IF(COUNTIFS(Channel_Listings!$D:$D,$A279,Channel_Listings!$A:$A,"Flipkart")&gt;0,"Draft","Missing"))
</f>
        <v>Missing</v>
      </c>
      <c r="D279" s="31" t="str">
        <f>IF(
 COUNTIFS(Channel_Listings!$D:$D,$A279,Channel_Listings!$A:$A,"Meesho",Channel_Listings!$E:$E,"Live")&gt;0,"Live",
 IF(COUNTIFS(Channel_Listings!$D:$D,$A279,Channel_Listings!$A:$A,"Meesho")&gt;0,"Draft","Missing"))
</f>
        <v>Missing</v>
      </c>
    </row>
    <row r="280" ht="15.75" customHeight="1">
      <c r="A280" s="35" t="s">
        <v>869</v>
      </c>
      <c r="B280" s="31" t="str">
        <f>IF(
 COUNTIFS(Channel_Listings!$D:$D,$A280,Channel_Listings!$A:$A,"Amazon",Channel_Listings!$E:$E,"Live")&gt;0,"Live",
 IF(COUNTIFS(Channel_Listings!$D:$D,$A280,Channel_Listings!$A:$A,"Amazon")&gt;0,"Draft","Missing"))
</f>
        <v>Live</v>
      </c>
      <c r="C280" s="31" t="str">
        <f>IF(
 COUNTIFS(Channel_Listings!$D:$D,$A280,Channel_Listings!$A:$A,"Flipkart",Channel_Listings!$E:$E,"Live")&gt;0,"Live",
 IF(COUNTIFS(Channel_Listings!$D:$D,$A280,Channel_Listings!$A:$A,"Flipkart")&gt;0,"Draft","Missing"))
</f>
        <v>Missing</v>
      </c>
      <c r="D280" s="31" t="str">
        <f>IF(
 COUNTIFS(Channel_Listings!$D:$D,$A280,Channel_Listings!$A:$A,"Meesho",Channel_Listings!$E:$E,"Live")&gt;0,"Live",
 IF(COUNTIFS(Channel_Listings!$D:$D,$A280,Channel_Listings!$A:$A,"Meesho")&gt;0,"Draft","Missing"))
</f>
        <v>Missing</v>
      </c>
    </row>
    <row r="281" ht="15.75" customHeight="1">
      <c r="A281" s="35" t="s">
        <v>877</v>
      </c>
      <c r="B281" s="31" t="str">
        <f>IF(
 COUNTIFS(Channel_Listings!$D:$D,$A281,Channel_Listings!$A:$A,"Amazon",Channel_Listings!$E:$E,"Live")&gt;0,"Live",
 IF(COUNTIFS(Channel_Listings!$D:$D,$A281,Channel_Listings!$A:$A,"Amazon")&gt;0,"Draft","Missing"))
</f>
        <v>Live</v>
      </c>
      <c r="C281" s="31" t="str">
        <f>IF(
 COUNTIFS(Channel_Listings!$D:$D,$A281,Channel_Listings!$A:$A,"Flipkart",Channel_Listings!$E:$E,"Live")&gt;0,"Live",
 IF(COUNTIFS(Channel_Listings!$D:$D,$A281,Channel_Listings!$A:$A,"Flipkart")&gt;0,"Draft","Missing"))
</f>
        <v>Missing</v>
      </c>
      <c r="D281" s="31" t="str">
        <f>IF(
 COUNTIFS(Channel_Listings!$D:$D,$A281,Channel_Listings!$A:$A,"Meesho",Channel_Listings!$E:$E,"Live")&gt;0,"Live",
 IF(COUNTIFS(Channel_Listings!$D:$D,$A281,Channel_Listings!$A:$A,"Meesho")&gt;0,"Draft","Missing"))
</f>
        <v>Missing</v>
      </c>
    </row>
    <row r="282" ht="15.75" customHeight="1">
      <c r="A282" s="35" t="s">
        <v>879</v>
      </c>
      <c r="B282" s="31" t="str">
        <f>IF(
 COUNTIFS(Channel_Listings!$D:$D,$A282,Channel_Listings!$A:$A,"Amazon",Channel_Listings!$E:$E,"Live")&gt;0,"Live",
 IF(COUNTIFS(Channel_Listings!$D:$D,$A282,Channel_Listings!$A:$A,"Amazon")&gt;0,"Draft","Missing"))
</f>
        <v>Live</v>
      </c>
      <c r="C282" s="31" t="str">
        <f>IF(
 COUNTIFS(Channel_Listings!$D:$D,$A282,Channel_Listings!$A:$A,"Flipkart",Channel_Listings!$E:$E,"Live")&gt;0,"Live",
 IF(COUNTIFS(Channel_Listings!$D:$D,$A282,Channel_Listings!$A:$A,"Flipkart")&gt;0,"Draft","Missing"))
</f>
        <v>Live</v>
      </c>
      <c r="D282" s="31" t="str">
        <f>IF(
 COUNTIFS(Channel_Listings!$D:$D,$A282,Channel_Listings!$A:$A,"Meesho",Channel_Listings!$E:$E,"Live")&gt;0,"Live",
 IF(COUNTIFS(Channel_Listings!$D:$D,$A282,Channel_Listings!$A:$A,"Meesho")&gt;0,"Draft","Missing"))
</f>
        <v>Missing</v>
      </c>
    </row>
    <row r="283" ht="15.75" customHeight="1">
      <c r="A283" s="35" t="s">
        <v>881</v>
      </c>
      <c r="B283" s="31" t="str">
        <f>IF(
 COUNTIFS(Channel_Listings!$D:$D,$A283,Channel_Listings!$A:$A,"Amazon",Channel_Listings!$E:$E,"Live")&gt;0,"Live",
 IF(COUNTIFS(Channel_Listings!$D:$D,$A283,Channel_Listings!$A:$A,"Amazon")&gt;0,"Draft","Missing"))
</f>
        <v>Live</v>
      </c>
      <c r="C283" s="31" t="str">
        <f>IF(
 COUNTIFS(Channel_Listings!$D:$D,$A283,Channel_Listings!$A:$A,"Flipkart",Channel_Listings!$E:$E,"Live")&gt;0,"Live",
 IF(COUNTIFS(Channel_Listings!$D:$D,$A283,Channel_Listings!$A:$A,"Flipkart")&gt;0,"Draft","Missing"))
</f>
        <v>Live</v>
      </c>
      <c r="D283" s="31" t="str">
        <f>IF(
 COUNTIFS(Channel_Listings!$D:$D,$A283,Channel_Listings!$A:$A,"Meesho",Channel_Listings!$E:$E,"Live")&gt;0,"Live",
 IF(COUNTIFS(Channel_Listings!$D:$D,$A283,Channel_Listings!$A:$A,"Meesho")&gt;0,"Draft","Missing"))
</f>
        <v>Missing</v>
      </c>
    </row>
    <row r="284" ht="15.75" customHeight="1">
      <c r="A284" s="35" t="s">
        <v>883</v>
      </c>
      <c r="B284" s="31" t="str">
        <f>IF(
 COUNTIFS(Channel_Listings!$D:$D,$A284,Channel_Listings!$A:$A,"Amazon",Channel_Listings!$E:$E,"Live")&gt;0,"Live",
 IF(COUNTIFS(Channel_Listings!$D:$D,$A284,Channel_Listings!$A:$A,"Amazon")&gt;0,"Draft","Missing"))
</f>
        <v>Live</v>
      </c>
      <c r="C284" s="31" t="str">
        <f>IF(
 COUNTIFS(Channel_Listings!$D:$D,$A284,Channel_Listings!$A:$A,"Flipkart",Channel_Listings!$E:$E,"Live")&gt;0,"Live",
 IF(COUNTIFS(Channel_Listings!$D:$D,$A284,Channel_Listings!$A:$A,"Flipkart")&gt;0,"Draft","Missing"))
</f>
        <v>Live</v>
      </c>
      <c r="D284" s="31" t="str">
        <f>IF(
 COUNTIFS(Channel_Listings!$D:$D,$A284,Channel_Listings!$A:$A,"Meesho",Channel_Listings!$E:$E,"Live")&gt;0,"Live",
 IF(COUNTIFS(Channel_Listings!$D:$D,$A284,Channel_Listings!$A:$A,"Meesho")&gt;0,"Draft","Missing"))
</f>
        <v>Missing</v>
      </c>
    </row>
    <row r="285" ht="15.75" customHeight="1">
      <c r="A285" s="35" t="s">
        <v>885</v>
      </c>
      <c r="B285" s="31" t="str">
        <f>IF(
 COUNTIFS(Channel_Listings!$D:$D,$A285,Channel_Listings!$A:$A,"Amazon",Channel_Listings!$E:$E,"Live")&gt;0,"Live",
 IF(COUNTIFS(Channel_Listings!$D:$D,$A285,Channel_Listings!$A:$A,"Amazon")&gt;0,"Draft","Missing"))
</f>
        <v>Live</v>
      </c>
      <c r="C285" s="31" t="str">
        <f>IF(
 COUNTIFS(Channel_Listings!$D:$D,$A285,Channel_Listings!$A:$A,"Flipkart",Channel_Listings!$E:$E,"Live")&gt;0,"Live",
 IF(COUNTIFS(Channel_Listings!$D:$D,$A285,Channel_Listings!$A:$A,"Flipkart")&gt;0,"Draft","Missing"))
</f>
        <v>Missing</v>
      </c>
      <c r="D285" s="31" t="str">
        <f>IF(
 COUNTIFS(Channel_Listings!$D:$D,$A285,Channel_Listings!$A:$A,"Meesho",Channel_Listings!$E:$E,"Live")&gt;0,"Live",
 IF(COUNTIFS(Channel_Listings!$D:$D,$A285,Channel_Listings!$A:$A,"Meesho")&gt;0,"Draft","Missing"))
</f>
        <v>Missing</v>
      </c>
    </row>
    <row r="286" ht="15.75" customHeight="1">
      <c r="A286" s="35" t="s">
        <v>887</v>
      </c>
      <c r="B286" s="31" t="str">
        <f>IF(
 COUNTIFS(Channel_Listings!$D:$D,$A286,Channel_Listings!$A:$A,"Amazon",Channel_Listings!$E:$E,"Live")&gt;0,"Live",
 IF(COUNTIFS(Channel_Listings!$D:$D,$A286,Channel_Listings!$A:$A,"Amazon")&gt;0,"Draft","Missing"))
</f>
        <v>Live</v>
      </c>
      <c r="C286" s="31" t="str">
        <f>IF(
 COUNTIFS(Channel_Listings!$D:$D,$A286,Channel_Listings!$A:$A,"Flipkart",Channel_Listings!$E:$E,"Live")&gt;0,"Live",
 IF(COUNTIFS(Channel_Listings!$D:$D,$A286,Channel_Listings!$A:$A,"Flipkart")&gt;0,"Draft","Missing"))
</f>
        <v>Live</v>
      </c>
      <c r="D286" s="31" t="str">
        <f>IF(
 COUNTIFS(Channel_Listings!$D:$D,$A286,Channel_Listings!$A:$A,"Meesho",Channel_Listings!$E:$E,"Live")&gt;0,"Live",
 IF(COUNTIFS(Channel_Listings!$D:$D,$A286,Channel_Listings!$A:$A,"Meesho")&gt;0,"Draft","Missing"))
</f>
        <v>Missing</v>
      </c>
    </row>
    <row r="287" ht="15.75" customHeight="1">
      <c r="A287" s="35" t="s">
        <v>889</v>
      </c>
      <c r="B287" s="31" t="str">
        <f>IF(
 COUNTIFS(Channel_Listings!$D:$D,$A287,Channel_Listings!$A:$A,"Amazon",Channel_Listings!$E:$E,"Live")&gt;0,"Live",
 IF(COUNTIFS(Channel_Listings!$D:$D,$A287,Channel_Listings!$A:$A,"Amazon")&gt;0,"Draft","Missing"))
</f>
        <v>Live</v>
      </c>
      <c r="C287" s="31" t="str">
        <f>IF(
 COUNTIFS(Channel_Listings!$D:$D,$A287,Channel_Listings!$A:$A,"Flipkart",Channel_Listings!$E:$E,"Live")&gt;0,"Live",
 IF(COUNTIFS(Channel_Listings!$D:$D,$A287,Channel_Listings!$A:$A,"Flipkart")&gt;0,"Draft","Missing"))
</f>
        <v>Live</v>
      </c>
      <c r="D287" s="31" t="str">
        <f>IF(
 COUNTIFS(Channel_Listings!$D:$D,$A287,Channel_Listings!$A:$A,"Meesho",Channel_Listings!$E:$E,"Live")&gt;0,"Live",
 IF(COUNTIFS(Channel_Listings!$D:$D,$A287,Channel_Listings!$A:$A,"Meesho")&gt;0,"Draft","Missing"))
</f>
        <v>Missing</v>
      </c>
    </row>
    <row r="288" ht="15.75" customHeight="1">
      <c r="A288" s="35" t="s">
        <v>891</v>
      </c>
      <c r="B288" s="31" t="str">
        <f>IF(
 COUNTIFS(Channel_Listings!$D:$D,$A288,Channel_Listings!$A:$A,"Amazon",Channel_Listings!$E:$E,"Live")&gt;0,"Live",
 IF(COUNTIFS(Channel_Listings!$D:$D,$A288,Channel_Listings!$A:$A,"Amazon")&gt;0,"Draft","Missing"))
</f>
        <v>Live</v>
      </c>
      <c r="C288" s="31" t="str">
        <f>IF(
 COUNTIFS(Channel_Listings!$D:$D,$A288,Channel_Listings!$A:$A,"Flipkart",Channel_Listings!$E:$E,"Live")&gt;0,"Live",
 IF(COUNTIFS(Channel_Listings!$D:$D,$A288,Channel_Listings!$A:$A,"Flipkart")&gt;0,"Draft","Missing"))
</f>
        <v>Live</v>
      </c>
      <c r="D288" s="31" t="str">
        <f>IF(
 COUNTIFS(Channel_Listings!$D:$D,$A288,Channel_Listings!$A:$A,"Meesho",Channel_Listings!$E:$E,"Live")&gt;0,"Live",
 IF(COUNTIFS(Channel_Listings!$D:$D,$A288,Channel_Listings!$A:$A,"Meesho")&gt;0,"Draft","Missing"))
</f>
        <v>Missing</v>
      </c>
    </row>
    <row r="289" ht="15.75" customHeight="1">
      <c r="A289" s="35" t="s">
        <v>893</v>
      </c>
      <c r="B289" s="31" t="str">
        <f>IF(
 COUNTIFS(Channel_Listings!$D:$D,$A289,Channel_Listings!$A:$A,"Amazon",Channel_Listings!$E:$E,"Live")&gt;0,"Live",
 IF(COUNTIFS(Channel_Listings!$D:$D,$A289,Channel_Listings!$A:$A,"Amazon")&gt;0,"Draft","Missing"))
</f>
        <v>Live</v>
      </c>
      <c r="C289" s="31" t="str">
        <f>IF(
 COUNTIFS(Channel_Listings!$D:$D,$A289,Channel_Listings!$A:$A,"Flipkart",Channel_Listings!$E:$E,"Live")&gt;0,"Live",
 IF(COUNTIFS(Channel_Listings!$D:$D,$A289,Channel_Listings!$A:$A,"Flipkart")&gt;0,"Draft","Missing"))
</f>
        <v>Missing</v>
      </c>
      <c r="D289" s="31" t="str">
        <f>IF(
 COUNTIFS(Channel_Listings!$D:$D,$A289,Channel_Listings!$A:$A,"Meesho",Channel_Listings!$E:$E,"Live")&gt;0,"Live",
 IF(COUNTIFS(Channel_Listings!$D:$D,$A289,Channel_Listings!$A:$A,"Meesho")&gt;0,"Draft","Missing"))
</f>
        <v>Missing</v>
      </c>
    </row>
    <row r="290" ht="15.75" customHeight="1">
      <c r="A290" s="35" t="s">
        <v>895</v>
      </c>
      <c r="B290" s="31" t="str">
        <f>IF(
 COUNTIFS(Channel_Listings!$D:$D,$A290,Channel_Listings!$A:$A,"Amazon",Channel_Listings!$E:$E,"Live")&gt;0,"Live",
 IF(COUNTIFS(Channel_Listings!$D:$D,$A290,Channel_Listings!$A:$A,"Amazon")&gt;0,"Draft","Missing"))
</f>
        <v>Live</v>
      </c>
      <c r="C290" s="31" t="str">
        <f>IF(
 COUNTIFS(Channel_Listings!$D:$D,$A290,Channel_Listings!$A:$A,"Flipkart",Channel_Listings!$E:$E,"Live")&gt;0,"Live",
 IF(COUNTIFS(Channel_Listings!$D:$D,$A290,Channel_Listings!$A:$A,"Flipkart")&gt;0,"Draft","Missing"))
</f>
        <v>Live</v>
      </c>
      <c r="D290" s="31" t="str">
        <f>IF(
 COUNTIFS(Channel_Listings!$D:$D,$A290,Channel_Listings!$A:$A,"Meesho",Channel_Listings!$E:$E,"Live")&gt;0,"Live",
 IF(COUNTIFS(Channel_Listings!$D:$D,$A290,Channel_Listings!$A:$A,"Meesho")&gt;0,"Draft","Missing"))
</f>
        <v>Missing</v>
      </c>
    </row>
    <row r="291" ht="15.75" customHeight="1">
      <c r="A291" s="35" t="s">
        <v>897</v>
      </c>
      <c r="B291" s="31" t="str">
        <f>IF(
 COUNTIFS(Channel_Listings!$D:$D,$A291,Channel_Listings!$A:$A,"Amazon",Channel_Listings!$E:$E,"Live")&gt;0,"Live",
 IF(COUNTIFS(Channel_Listings!$D:$D,$A291,Channel_Listings!$A:$A,"Amazon")&gt;0,"Draft","Missing"))
</f>
        <v>Live</v>
      </c>
      <c r="C291" s="31" t="str">
        <f>IF(
 COUNTIFS(Channel_Listings!$D:$D,$A291,Channel_Listings!$A:$A,"Flipkart",Channel_Listings!$E:$E,"Live")&gt;0,"Live",
 IF(COUNTIFS(Channel_Listings!$D:$D,$A291,Channel_Listings!$A:$A,"Flipkart")&gt;0,"Draft","Missing"))
</f>
        <v>Live</v>
      </c>
      <c r="D291" s="31" t="str">
        <f>IF(
 COUNTIFS(Channel_Listings!$D:$D,$A291,Channel_Listings!$A:$A,"Meesho",Channel_Listings!$E:$E,"Live")&gt;0,"Live",
 IF(COUNTIFS(Channel_Listings!$D:$D,$A291,Channel_Listings!$A:$A,"Meesho")&gt;0,"Draft","Missing"))
</f>
        <v>Missing</v>
      </c>
    </row>
    <row r="292" ht="15.75" customHeight="1">
      <c r="A292" s="35" t="s">
        <v>899</v>
      </c>
      <c r="B292" s="31" t="str">
        <f>IF(
 COUNTIFS(Channel_Listings!$D:$D,$A292,Channel_Listings!$A:$A,"Amazon",Channel_Listings!$E:$E,"Live")&gt;0,"Live",
 IF(COUNTIFS(Channel_Listings!$D:$D,$A292,Channel_Listings!$A:$A,"Amazon")&gt;0,"Draft","Missing"))
</f>
        <v>Live</v>
      </c>
      <c r="C292" s="31" t="str">
        <f>IF(
 COUNTIFS(Channel_Listings!$D:$D,$A292,Channel_Listings!$A:$A,"Flipkart",Channel_Listings!$E:$E,"Live")&gt;0,"Live",
 IF(COUNTIFS(Channel_Listings!$D:$D,$A292,Channel_Listings!$A:$A,"Flipkart")&gt;0,"Draft","Missing"))
</f>
        <v>Live</v>
      </c>
      <c r="D292" s="31" t="str">
        <f>IF(
 COUNTIFS(Channel_Listings!$D:$D,$A292,Channel_Listings!$A:$A,"Meesho",Channel_Listings!$E:$E,"Live")&gt;0,"Live",
 IF(COUNTIFS(Channel_Listings!$D:$D,$A292,Channel_Listings!$A:$A,"Meesho")&gt;0,"Draft","Missing"))
</f>
        <v>Missing</v>
      </c>
    </row>
    <row r="293" ht="15.75" customHeight="1">
      <c r="A293" s="34" t="s">
        <v>983</v>
      </c>
      <c r="B293" s="31" t="str">
        <f>IF(
 COUNTIFS(Channel_Listings!$D:$D,$A293,Channel_Listings!$A:$A,"Amazon",Channel_Listings!$E:$E,"Live")&gt;0,"Live",
 IF(COUNTIFS(Channel_Listings!$D:$D,$A293,Channel_Listings!$A:$A,"Amazon")&gt;0,"Draft","Missing"))
</f>
        <v>Live</v>
      </c>
      <c r="C293" s="31" t="str">
        <f>IF(
 COUNTIFS(Channel_Listings!$D:$D,$A293,Channel_Listings!$A:$A,"Flipkart",Channel_Listings!$E:$E,"Live")&gt;0,"Live",
 IF(COUNTIFS(Channel_Listings!$D:$D,$A293,Channel_Listings!$A:$A,"Flipkart")&gt;0,"Draft","Missing"))
</f>
        <v>Missing</v>
      </c>
      <c r="D293" s="31" t="str">
        <f>IF(
 COUNTIFS(Channel_Listings!$D:$D,$A293,Channel_Listings!$A:$A,"Meesho",Channel_Listings!$E:$E,"Live")&gt;0,"Live",
 IF(COUNTIFS(Channel_Listings!$D:$D,$A293,Channel_Listings!$A:$A,"Meesho")&gt;0,"Draft","Missing"))
</f>
        <v>Missing</v>
      </c>
    </row>
    <row r="294" ht="15.75" customHeight="1">
      <c r="A294" s="34" t="s">
        <v>985</v>
      </c>
      <c r="B294" s="31" t="str">
        <f>IF(
 COUNTIFS(Channel_Listings!$D:$D,$A294,Channel_Listings!$A:$A,"Amazon",Channel_Listings!$E:$E,"Live")&gt;0,"Live",
 IF(COUNTIFS(Channel_Listings!$D:$D,$A294,Channel_Listings!$A:$A,"Amazon")&gt;0,"Draft","Missing"))
</f>
        <v>Live</v>
      </c>
      <c r="C294" s="31" t="str">
        <f>IF(
 COUNTIFS(Channel_Listings!$D:$D,$A294,Channel_Listings!$A:$A,"Flipkart",Channel_Listings!$E:$E,"Live")&gt;0,"Live",
 IF(COUNTIFS(Channel_Listings!$D:$D,$A294,Channel_Listings!$A:$A,"Flipkart")&gt;0,"Draft","Missing"))
</f>
        <v>Live</v>
      </c>
      <c r="D294" s="31" t="str">
        <f>IF(
 COUNTIFS(Channel_Listings!$D:$D,$A294,Channel_Listings!$A:$A,"Meesho",Channel_Listings!$E:$E,"Live")&gt;0,"Live",
 IF(COUNTIFS(Channel_Listings!$D:$D,$A294,Channel_Listings!$A:$A,"Meesho")&gt;0,"Draft","Missing"))
</f>
        <v>Missing</v>
      </c>
    </row>
    <row r="295" ht="15.75" customHeight="1">
      <c r="A295" s="34" t="s">
        <v>987</v>
      </c>
      <c r="B295" s="31" t="str">
        <f>IF(
 COUNTIFS(Channel_Listings!$D:$D,$A295,Channel_Listings!$A:$A,"Amazon",Channel_Listings!$E:$E,"Live")&gt;0,"Live",
 IF(COUNTIFS(Channel_Listings!$D:$D,$A295,Channel_Listings!$A:$A,"Amazon")&gt;0,"Draft","Missing"))
</f>
        <v>Live</v>
      </c>
      <c r="C295" s="31" t="str">
        <f>IF(
 COUNTIFS(Channel_Listings!$D:$D,$A295,Channel_Listings!$A:$A,"Flipkart",Channel_Listings!$E:$E,"Live")&gt;0,"Live",
 IF(COUNTIFS(Channel_Listings!$D:$D,$A295,Channel_Listings!$A:$A,"Flipkart")&gt;0,"Draft","Missing"))
</f>
        <v>Missing</v>
      </c>
      <c r="D295" s="31" t="str">
        <f>IF(
 COUNTIFS(Channel_Listings!$D:$D,$A295,Channel_Listings!$A:$A,"Meesho",Channel_Listings!$E:$E,"Live")&gt;0,"Live",
 IF(COUNTIFS(Channel_Listings!$D:$D,$A295,Channel_Listings!$A:$A,"Meesho")&gt;0,"Draft","Missing"))
</f>
        <v>Missing</v>
      </c>
    </row>
    <row r="296" ht="15.75" customHeight="1">
      <c r="A296" s="34" t="s">
        <v>989</v>
      </c>
      <c r="B296" s="31" t="str">
        <f>IF(
 COUNTIFS(Channel_Listings!$D:$D,$A296,Channel_Listings!$A:$A,"Amazon",Channel_Listings!$E:$E,"Live")&gt;0,"Live",
 IF(COUNTIFS(Channel_Listings!$D:$D,$A296,Channel_Listings!$A:$A,"Amazon")&gt;0,"Draft","Missing"))
</f>
        <v>Live</v>
      </c>
      <c r="C296" s="31" t="str">
        <f>IF(
 COUNTIFS(Channel_Listings!$D:$D,$A296,Channel_Listings!$A:$A,"Flipkart",Channel_Listings!$E:$E,"Live")&gt;0,"Live",
 IF(COUNTIFS(Channel_Listings!$D:$D,$A296,Channel_Listings!$A:$A,"Flipkart")&gt;0,"Draft","Missing"))
</f>
        <v>Missing</v>
      </c>
      <c r="D296" s="31" t="str">
        <f>IF(
 COUNTIFS(Channel_Listings!$D:$D,$A296,Channel_Listings!$A:$A,"Meesho",Channel_Listings!$E:$E,"Live")&gt;0,"Live",
 IF(COUNTIFS(Channel_Listings!$D:$D,$A296,Channel_Listings!$A:$A,"Meesho")&gt;0,"Draft","Missing"))
</f>
        <v>Missing</v>
      </c>
    </row>
    <row r="297" ht="15.75" customHeight="1">
      <c r="A297" s="34" t="s">
        <v>991</v>
      </c>
      <c r="B297" s="31" t="str">
        <f>IF(
 COUNTIFS(Channel_Listings!$D:$D,$A297,Channel_Listings!$A:$A,"Amazon",Channel_Listings!$E:$E,"Live")&gt;0,"Live",
 IF(COUNTIFS(Channel_Listings!$D:$D,$A297,Channel_Listings!$A:$A,"Amazon")&gt;0,"Draft","Missing"))
</f>
        <v>Live</v>
      </c>
      <c r="C297" s="31" t="str">
        <f>IF(
 COUNTIFS(Channel_Listings!$D:$D,$A297,Channel_Listings!$A:$A,"Flipkart",Channel_Listings!$E:$E,"Live")&gt;0,"Live",
 IF(COUNTIFS(Channel_Listings!$D:$D,$A297,Channel_Listings!$A:$A,"Flipkart")&gt;0,"Draft","Missing"))
</f>
        <v>Missing</v>
      </c>
      <c r="D297" s="31" t="str">
        <f>IF(
 COUNTIFS(Channel_Listings!$D:$D,$A297,Channel_Listings!$A:$A,"Meesho",Channel_Listings!$E:$E,"Live")&gt;0,"Live",
 IF(COUNTIFS(Channel_Listings!$D:$D,$A297,Channel_Listings!$A:$A,"Meesho")&gt;0,"Draft","Missing"))
</f>
        <v>Missing</v>
      </c>
    </row>
    <row r="298" ht="15.75" customHeight="1">
      <c r="A298" s="34" t="s">
        <v>993</v>
      </c>
      <c r="B298" s="31" t="str">
        <f>IF(
 COUNTIFS(Channel_Listings!$D:$D,$A298,Channel_Listings!$A:$A,"Amazon",Channel_Listings!$E:$E,"Live")&gt;0,"Live",
 IF(COUNTIFS(Channel_Listings!$D:$D,$A298,Channel_Listings!$A:$A,"Amazon")&gt;0,"Draft","Missing"))
</f>
        <v>Live</v>
      </c>
      <c r="C298" s="31" t="str">
        <f>IF(
 COUNTIFS(Channel_Listings!$D:$D,$A298,Channel_Listings!$A:$A,"Flipkart",Channel_Listings!$E:$E,"Live")&gt;0,"Live",
 IF(COUNTIFS(Channel_Listings!$D:$D,$A298,Channel_Listings!$A:$A,"Flipkart")&gt;0,"Draft","Missing"))
</f>
        <v>Missing</v>
      </c>
      <c r="D298" s="31" t="str">
        <f>IF(
 COUNTIFS(Channel_Listings!$D:$D,$A298,Channel_Listings!$A:$A,"Meesho",Channel_Listings!$E:$E,"Live")&gt;0,"Live",
 IF(COUNTIFS(Channel_Listings!$D:$D,$A298,Channel_Listings!$A:$A,"Meesho")&gt;0,"Draft","Missing"))
</f>
        <v>Missing</v>
      </c>
    </row>
    <row r="299" ht="15.75" customHeight="1">
      <c r="A299" s="34" t="s">
        <v>1026</v>
      </c>
      <c r="B299" s="31" t="str">
        <f>IF(
 COUNTIFS(Channel_Listings!$D:$D,$A299,Channel_Listings!$A:$A,"Amazon",Channel_Listings!$E:$E,"Live")&gt;0,"Live",
 IF(COUNTIFS(Channel_Listings!$D:$D,$A299,Channel_Listings!$A:$A,"Amazon")&gt;0,"Draft","Missing"))
</f>
        <v>Live</v>
      </c>
      <c r="C299" s="31" t="str">
        <f>IF(
 COUNTIFS(Channel_Listings!$D:$D,$A299,Channel_Listings!$A:$A,"Flipkart",Channel_Listings!$E:$E,"Live")&gt;0,"Live",
 IF(COUNTIFS(Channel_Listings!$D:$D,$A299,Channel_Listings!$A:$A,"Flipkart")&gt;0,"Draft","Missing"))
</f>
        <v>Live</v>
      </c>
      <c r="D299" s="31" t="str">
        <f>IF(
 COUNTIFS(Channel_Listings!$D:$D,$A299,Channel_Listings!$A:$A,"Meesho",Channel_Listings!$E:$E,"Live")&gt;0,"Live",
 IF(COUNTIFS(Channel_Listings!$D:$D,$A299,Channel_Listings!$A:$A,"Meesho")&gt;0,"Draft","Missing"))
</f>
        <v>Missing</v>
      </c>
    </row>
    <row r="300" ht="15.75" customHeight="1">
      <c r="A300" s="34" t="s">
        <v>1028</v>
      </c>
      <c r="B300" s="31" t="str">
        <f>IF(
 COUNTIFS(Channel_Listings!$D:$D,$A300,Channel_Listings!$A:$A,"Amazon",Channel_Listings!$E:$E,"Live")&gt;0,"Live",
 IF(COUNTIFS(Channel_Listings!$D:$D,$A300,Channel_Listings!$A:$A,"Amazon")&gt;0,"Draft","Missing"))
</f>
        <v>Live</v>
      </c>
      <c r="C300" s="31" t="str">
        <f>IF(
 COUNTIFS(Channel_Listings!$D:$D,$A300,Channel_Listings!$A:$A,"Flipkart",Channel_Listings!$E:$E,"Live")&gt;0,"Live",
 IF(COUNTIFS(Channel_Listings!$D:$D,$A300,Channel_Listings!$A:$A,"Flipkart")&gt;0,"Draft","Missing"))
</f>
        <v>Missing</v>
      </c>
      <c r="D300" s="31" t="str">
        <f>IF(
 COUNTIFS(Channel_Listings!$D:$D,$A300,Channel_Listings!$A:$A,"Meesho",Channel_Listings!$E:$E,"Live")&gt;0,"Live",
 IF(COUNTIFS(Channel_Listings!$D:$D,$A300,Channel_Listings!$A:$A,"Meesho")&gt;0,"Draft","Missing"))
</f>
        <v>Missing</v>
      </c>
    </row>
    <row r="301" ht="15.75" customHeight="1">
      <c r="A301" s="34" t="s">
        <v>1030</v>
      </c>
      <c r="B301" s="31" t="str">
        <f>IF(
 COUNTIFS(Channel_Listings!$D:$D,$A301,Channel_Listings!$A:$A,"Amazon",Channel_Listings!$E:$E,"Live")&gt;0,"Live",
 IF(COUNTIFS(Channel_Listings!$D:$D,$A301,Channel_Listings!$A:$A,"Amazon")&gt;0,"Draft","Missing"))
</f>
        <v>Live</v>
      </c>
      <c r="C301" s="31" t="str">
        <f>IF(
 COUNTIFS(Channel_Listings!$D:$D,$A301,Channel_Listings!$A:$A,"Flipkart",Channel_Listings!$E:$E,"Live")&gt;0,"Live",
 IF(COUNTIFS(Channel_Listings!$D:$D,$A301,Channel_Listings!$A:$A,"Flipkart")&gt;0,"Draft","Missing"))
</f>
        <v>Live</v>
      </c>
      <c r="D301" s="31" t="str">
        <f>IF(
 COUNTIFS(Channel_Listings!$D:$D,$A301,Channel_Listings!$A:$A,"Meesho",Channel_Listings!$E:$E,"Live")&gt;0,"Live",
 IF(COUNTIFS(Channel_Listings!$D:$D,$A301,Channel_Listings!$A:$A,"Meesho")&gt;0,"Draft","Missing"))
</f>
        <v>Missing</v>
      </c>
    </row>
    <row r="302" ht="15.75" customHeight="1">
      <c r="A302" s="34" t="s">
        <v>1032</v>
      </c>
      <c r="B302" s="31" t="str">
        <f>IF(
 COUNTIFS(Channel_Listings!$D:$D,$A302,Channel_Listings!$A:$A,"Amazon",Channel_Listings!$E:$E,"Live")&gt;0,"Live",
 IF(COUNTIFS(Channel_Listings!$D:$D,$A302,Channel_Listings!$A:$A,"Amazon")&gt;0,"Draft","Missing"))
</f>
        <v>Live</v>
      </c>
      <c r="C302" s="31" t="str">
        <f>IF(
 COUNTIFS(Channel_Listings!$D:$D,$A302,Channel_Listings!$A:$A,"Flipkart",Channel_Listings!$E:$E,"Live")&gt;0,"Live",
 IF(COUNTIFS(Channel_Listings!$D:$D,$A302,Channel_Listings!$A:$A,"Flipkart")&gt;0,"Draft","Missing"))
</f>
        <v>Live</v>
      </c>
      <c r="D302" s="31" t="str">
        <f>IF(
 COUNTIFS(Channel_Listings!$D:$D,$A302,Channel_Listings!$A:$A,"Meesho",Channel_Listings!$E:$E,"Live")&gt;0,"Live",
 IF(COUNTIFS(Channel_Listings!$D:$D,$A302,Channel_Listings!$A:$A,"Meesho")&gt;0,"Draft","Missing"))
</f>
        <v>Missing</v>
      </c>
    </row>
    <row r="303" ht="15.75" customHeight="1">
      <c r="A303" s="34" t="s">
        <v>1034</v>
      </c>
      <c r="B303" s="31" t="str">
        <f>IF(
 COUNTIFS(Channel_Listings!$D:$D,$A303,Channel_Listings!$A:$A,"Amazon",Channel_Listings!$E:$E,"Live")&gt;0,"Live",
 IF(COUNTIFS(Channel_Listings!$D:$D,$A303,Channel_Listings!$A:$A,"Amazon")&gt;0,"Draft","Missing"))
</f>
        <v>Live</v>
      </c>
      <c r="C303" s="31" t="str">
        <f>IF(
 COUNTIFS(Channel_Listings!$D:$D,$A303,Channel_Listings!$A:$A,"Flipkart",Channel_Listings!$E:$E,"Live")&gt;0,"Live",
 IF(COUNTIFS(Channel_Listings!$D:$D,$A303,Channel_Listings!$A:$A,"Flipkart")&gt;0,"Draft","Missing"))
</f>
        <v>Live</v>
      </c>
      <c r="D303" s="31" t="str">
        <f>IF(
 COUNTIFS(Channel_Listings!$D:$D,$A303,Channel_Listings!$A:$A,"Meesho",Channel_Listings!$E:$E,"Live")&gt;0,"Live",
 IF(COUNTIFS(Channel_Listings!$D:$D,$A303,Channel_Listings!$A:$A,"Meesho")&gt;0,"Draft","Missing"))
</f>
        <v>Missing</v>
      </c>
    </row>
    <row r="304" ht="15.75" customHeight="1">
      <c r="A304" s="34" t="s">
        <v>1036</v>
      </c>
      <c r="B304" s="31" t="str">
        <f>IF(
 COUNTIFS(Channel_Listings!$D:$D,$A304,Channel_Listings!$A:$A,"Amazon",Channel_Listings!$E:$E,"Live")&gt;0,"Live",
 IF(COUNTIFS(Channel_Listings!$D:$D,$A304,Channel_Listings!$A:$A,"Amazon")&gt;0,"Draft","Missing"))
</f>
        <v>Live</v>
      </c>
      <c r="C304" s="31" t="str">
        <f>IF(
 COUNTIFS(Channel_Listings!$D:$D,$A304,Channel_Listings!$A:$A,"Flipkart",Channel_Listings!$E:$E,"Live")&gt;0,"Live",
 IF(COUNTIFS(Channel_Listings!$D:$D,$A304,Channel_Listings!$A:$A,"Flipkart")&gt;0,"Draft","Missing"))
</f>
        <v>Live</v>
      </c>
      <c r="D304" s="31" t="str">
        <f>IF(
 COUNTIFS(Channel_Listings!$D:$D,$A304,Channel_Listings!$A:$A,"Meesho",Channel_Listings!$E:$E,"Live")&gt;0,"Live",
 IF(COUNTIFS(Channel_Listings!$D:$D,$A304,Channel_Listings!$A:$A,"Meesho")&gt;0,"Draft","Missing"))
</f>
        <v>Missing</v>
      </c>
    </row>
    <row r="305" ht="15.75" customHeight="1">
      <c r="A305" s="34" t="s">
        <v>1038</v>
      </c>
      <c r="B305" s="31" t="str">
        <f>IF(
 COUNTIFS(Channel_Listings!$D:$D,$A305,Channel_Listings!$A:$A,"Amazon",Channel_Listings!$E:$E,"Live")&gt;0,"Live",
 IF(COUNTIFS(Channel_Listings!$D:$D,$A305,Channel_Listings!$A:$A,"Amazon")&gt;0,"Draft","Missing"))
</f>
        <v>Live</v>
      </c>
      <c r="C305" s="31" t="str">
        <f>IF(
 COUNTIFS(Channel_Listings!$D:$D,$A305,Channel_Listings!$A:$A,"Flipkart",Channel_Listings!$E:$E,"Live")&gt;0,"Live",
 IF(COUNTIFS(Channel_Listings!$D:$D,$A305,Channel_Listings!$A:$A,"Flipkart")&gt;0,"Draft","Missing"))
</f>
        <v>Live</v>
      </c>
      <c r="D305" s="31" t="str">
        <f>IF(
 COUNTIFS(Channel_Listings!$D:$D,$A305,Channel_Listings!$A:$A,"Meesho",Channel_Listings!$E:$E,"Live")&gt;0,"Live",
 IF(COUNTIFS(Channel_Listings!$D:$D,$A305,Channel_Listings!$A:$A,"Meesho")&gt;0,"Draft","Missing"))
</f>
        <v>Missing</v>
      </c>
    </row>
    <row r="306" ht="15.75" customHeight="1">
      <c r="A306" s="34" t="s">
        <v>1041</v>
      </c>
      <c r="B306" s="31" t="str">
        <f>IF(
 COUNTIFS(Channel_Listings!$D:$D,$A306,Channel_Listings!$A:$A,"Amazon",Channel_Listings!$E:$E,"Live")&gt;0,"Live",
 IF(COUNTIFS(Channel_Listings!$D:$D,$A306,Channel_Listings!$A:$A,"Amazon")&gt;0,"Draft","Missing"))
</f>
        <v>Live</v>
      </c>
      <c r="C306" s="31" t="str">
        <f>IF(
 COUNTIFS(Channel_Listings!$D:$D,$A306,Channel_Listings!$A:$A,"Flipkart",Channel_Listings!$E:$E,"Live")&gt;0,"Live",
 IF(COUNTIFS(Channel_Listings!$D:$D,$A306,Channel_Listings!$A:$A,"Flipkart")&gt;0,"Draft","Missing"))
</f>
        <v>Live</v>
      </c>
      <c r="D306" s="31" t="str">
        <f>IF(
 COUNTIFS(Channel_Listings!$D:$D,$A306,Channel_Listings!$A:$A,"Meesho",Channel_Listings!$E:$E,"Live")&gt;0,"Live",
 IF(COUNTIFS(Channel_Listings!$D:$D,$A306,Channel_Listings!$A:$A,"Meesho")&gt;0,"Draft","Missing"))
</f>
        <v>Missing</v>
      </c>
    </row>
    <row r="307" ht="15.75" customHeight="1">
      <c r="A307" s="34" t="s">
        <v>1044</v>
      </c>
      <c r="B307" s="31" t="str">
        <f>IF(
 COUNTIFS(Channel_Listings!$D:$D,$A307,Channel_Listings!$A:$A,"Amazon",Channel_Listings!$E:$E,"Live")&gt;0,"Live",
 IF(COUNTIFS(Channel_Listings!$D:$D,$A307,Channel_Listings!$A:$A,"Amazon")&gt;0,"Draft","Missing"))
</f>
        <v>Live</v>
      </c>
      <c r="C307" s="31" t="str">
        <f>IF(
 COUNTIFS(Channel_Listings!$D:$D,$A307,Channel_Listings!$A:$A,"Flipkart",Channel_Listings!$E:$E,"Live")&gt;0,"Live",
 IF(COUNTIFS(Channel_Listings!$D:$D,$A307,Channel_Listings!$A:$A,"Flipkart")&gt;0,"Draft","Missing"))
</f>
        <v>Live</v>
      </c>
      <c r="D307" s="31" t="str">
        <f>IF(
 COUNTIFS(Channel_Listings!$D:$D,$A307,Channel_Listings!$A:$A,"Meesho",Channel_Listings!$E:$E,"Live")&gt;0,"Live",
 IF(COUNTIFS(Channel_Listings!$D:$D,$A307,Channel_Listings!$A:$A,"Meesho")&gt;0,"Draft","Missing"))
</f>
        <v>Missing</v>
      </c>
    </row>
    <row r="308" ht="15.75" customHeight="1">
      <c r="A308" s="34" t="s">
        <v>1047</v>
      </c>
      <c r="B308" s="31" t="str">
        <f>IF(
 COUNTIFS(Channel_Listings!$D:$D,$A308,Channel_Listings!$A:$A,"Amazon",Channel_Listings!$E:$E,"Live")&gt;0,"Live",
 IF(COUNTIFS(Channel_Listings!$D:$D,$A308,Channel_Listings!$A:$A,"Amazon")&gt;0,"Draft","Missing"))
</f>
        <v>Live</v>
      </c>
      <c r="C308" s="31" t="str">
        <f>IF(
 COUNTIFS(Channel_Listings!$D:$D,$A308,Channel_Listings!$A:$A,"Flipkart",Channel_Listings!$E:$E,"Live")&gt;0,"Live",
 IF(COUNTIFS(Channel_Listings!$D:$D,$A308,Channel_Listings!$A:$A,"Flipkart")&gt;0,"Draft","Missing"))
</f>
        <v>Missing</v>
      </c>
      <c r="D308" s="31" t="str">
        <f>IF(
 COUNTIFS(Channel_Listings!$D:$D,$A308,Channel_Listings!$A:$A,"Meesho",Channel_Listings!$E:$E,"Live")&gt;0,"Live",
 IF(COUNTIFS(Channel_Listings!$D:$D,$A308,Channel_Listings!$A:$A,"Meesho")&gt;0,"Draft","Missing"))
</f>
        <v>Missing</v>
      </c>
    </row>
    <row r="309" ht="15.75" customHeight="1">
      <c r="A309" s="34" t="s">
        <v>1050</v>
      </c>
      <c r="B309" s="31" t="str">
        <f>IF(
 COUNTIFS(Channel_Listings!$D:$D,$A309,Channel_Listings!$A:$A,"Amazon",Channel_Listings!$E:$E,"Live")&gt;0,"Live",
 IF(COUNTIFS(Channel_Listings!$D:$D,$A309,Channel_Listings!$A:$A,"Amazon")&gt;0,"Draft","Missing"))
</f>
        <v>Live</v>
      </c>
      <c r="C309" s="31" t="str">
        <f>IF(
 COUNTIFS(Channel_Listings!$D:$D,$A309,Channel_Listings!$A:$A,"Flipkart",Channel_Listings!$E:$E,"Live")&gt;0,"Live",
 IF(COUNTIFS(Channel_Listings!$D:$D,$A309,Channel_Listings!$A:$A,"Flipkart")&gt;0,"Draft","Missing"))
</f>
        <v>Live</v>
      </c>
      <c r="D309" s="31" t="str">
        <f>IF(
 COUNTIFS(Channel_Listings!$D:$D,$A309,Channel_Listings!$A:$A,"Meesho",Channel_Listings!$E:$E,"Live")&gt;0,"Live",
 IF(COUNTIFS(Channel_Listings!$D:$D,$A309,Channel_Listings!$A:$A,"Meesho")&gt;0,"Draft","Missing"))
</f>
        <v>Missing</v>
      </c>
    </row>
    <row r="310" ht="15.75" customHeight="1">
      <c r="A310" s="34" t="s">
        <v>1053</v>
      </c>
      <c r="B310" s="31" t="str">
        <f>IF(
 COUNTIFS(Channel_Listings!$D:$D,$A310,Channel_Listings!$A:$A,"Amazon",Channel_Listings!$E:$E,"Live")&gt;0,"Live",
 IF(COUNTIFS(Channel_Listings!$D:$D,$A310,Channel_Listings!$A:$A,"Amazon")&gt;0,"Draft","Missing"))
</f>
        <v>Live</v>
      </c>
      <c r="C310" s="31" t="str">
        <f>IF(
 COUNTIFS(Channel_Listings!$D:$D,$A310,Channel_Listings!$A:$A,"Flipkart",Channel_Listings!$E:$E,"Live")&gt;0,"Live",
 IF(COUNTIFS(Channel_Listings!$D:$D,$A310,Channel_Listings!$A:$A,"Flipkart")&gt;0,"Draft","Missing"))
</f>
        <v>Live</v>
      </c>
      <c r="D310" s="31" t="str">
        <f>IF(
 COUNTIFS(Channel_Listings!$D:$D,$A310,Channel_Listings!$A:$A,"Meesho",Channel_Listings!$E:$E,"Live")&gt;0,"Live",
 IF(COUNTIFS(Channel_Listings!$D:$D,$A310,Channel_Listings!$A:$A,"Meesho")&gt;0,"Draft","Missing"))
</f>
        <v>Missing</v>
      </c>
    </row>
    <row r="311" ht="15.75" customHeight="1">
      <c r="A311" s="34" t="s">
        <v>1056</v>
      </c>
      <c r="B311" s="31" t="str">
        <f>IF(
 COUNTIFS(Channel_Listings!$D:$D,$A311,Channel_Listings!$A:$A,"Amazon",Channel_Listings!$E:$E,"Live")&gt;0,"Live",
 IF(COUNTIFS(Channel_Listings!$D:$D,$A311,Channel_Listings!$A:$A,"Amazon")&gt;0,"Draft","Missing"))
</f>
        <v>Live</v>
      </c>
      <c r="C311" s="31" t="str">
        <f>IF(
 COUNTIFS(Channel_Listings!$D:$D,$A311,Channel_Listings!$A:$A,"Flipkart",Channel_Listings!$E:$E,"Live")&gt;0,"Live",
 IF(COUNTIFS(Channel_Listings!$D:$D,$A311,Channel_Listings!$A:$A,"Flipkart")&gt;0,"Draft","Missing"))
</f>
        <v>Live</v>
      </c>
      <c r="D311" s="31" t="str">
        <f>IF(
 COUNTIFS(Channel_Listings!$D:$D,$A311,Channel_Listings!$A:$A,"Meesho",Channel_Listings!$E:$E,"Live")&gt;0,"Live",
 IF(COUNTIFS(Channel_Listings!$D:$D,$A311,Channel_Listings!$A:$A,"Meesho")&gt;0,"Draft","Missing"))
</f>
        <v>Missing</v>
      </c>
    </row>
    <row r="312" ht="15.75" customHeight="1">
      <c r="A312" s="34" t="s">
        <v>1059</v>
      </c>
      <c r="B312" s="31" t="str">
        <f>IF(
 COUNTIFS(Channel_Listings!$D:$D,$A312,Channel_Listings!$A:$A,"Amazon",Channel_Listings!$E:$E,"Live")&gt;0,"Live",
 IF(COUNTIFS(Channel_Listings!$D:$D,$A312,Channel_Listings!$A:$A,"Amazon")&gt;0,"Draft","Missing"))
</f>
        <v>Live</v>
      </c>
      <c r="C312" s="31" t="str">
        <f>IF(
 COUNTIFS(Channel_Listings!$D:$D,$A312,Channel_Listings!$A:$A,"Flipkart",Channel_Listings!$E:$E,"Live")&gt;0,"Live",
 IF(COUNTIFS(Channel_Listings!$D:$D,$A312,Channel_Listings!$A:$A,"Flipkart")&gt;0,"Draft","Missing"))
</f>
        <v>Live</v>
      </c>
      <c r="D312" s="31" t="str">
        <f>IF(
 COUNTIFS(Channel_Listings!$D:$D,$A312,Channel_Listings!$A:$A,"Meesho",Channel_Listings!$E:$E,"Live")&gt;0,"Live",
 IF(COUNTIFS(Channel_Listings!$D:$D,$A312,Channel_Listings!$A:$A,"Meesho")&gt;0,"Draft","Missing"))
</f>
        <v>Missing</v>
      </c>
    </row>
    <row r="313" ht="15.75" customHeight="1">
      <c r="A313" s="34" t="s">
        <v>1553</v>
      </c>
      <c r="B313" s="31" t="str">
        <f>IF(
 COUNTIFS(Channel_Listings!$D:$D,$A313,Channel_Listings!$A:$A,"Amazon",Channel_Listings!$E:$E,"Live")&gt;0,"Live",
 IF(COUNTIFS(Channel_Listings!$D:$D,$A313,Channel_Listings!$A:$A,"Amazon")&gt;0,"Draft","Missing"))
</f>
        <v>Missing</v>
      </c>
      <c r="C313" s="31" t="str">
        <f>IF(
 COUNTIFS(Channel_Listings!$D:$D,$A313,Channel_Listings!$A:$A,"Flipkart",Channel_Listings!$E:$E,"Live")&gt;0,"Live",
 IF(COUNTIFS(Channel_Listings!$D:$D,$A313,Channel_Listings!$A:$A,"Flipkart")&gt;0,"Draft","Missing"))
</f>
        <v>Live</v>
      </c>
      <c r="D313" s="31" t="str">
        <f>IF(
 COUNTIFS(Channel_Listings!$D:$D,$A313,Channel_Listings!$A:$A,"Meesho",Channel_Listings!$E:$E,"Live")&gt;0,"Live",
 IF(COUNTIFS(Channel_Listings!$D:$D,$A313,Channel_Listings!$A:$A,"Meesho")&gt;0,"Draft","Missing"))
</f>
        <v>Missing</v>
      </c>
    </row>
    <row r="314" ht="15.75" customHeight="1">
      <c r="A314" s="34" t="s">
        <v>1556</v>
      </c>
      <c r="B314" s="31" t="str">
        <f>IF(
 COUNTIFS(Channel_Listings!$D:$D,$A314,Channel_Listings!$A:$A,"Amazon",Channel_Listings!$E:$E,"Live")&gt;0,"Live",
 IF(COUNTIFS(Channel_Listings!$D:$D,$A314,Channel_Listings!$A:$A,"Amazon")&gt;0,"Draft","Missing"))
</f>
        <v>Missing</v>
      </c>
      <c r="C314" s="31" t="str">
        <f>IF(
 COUNTIFS(Channel_Listings!$D:$D,$A314,Channel_Listings!$A:$A,"Flipkart",Channel_Listings!$E:$E,"Live")&gt;0,"Live",
 IF(COUNTIFS(Channel_Listings!$D:$D,$A314,Channel_Listings!$A:$A,"Flipkart")&gt;0,"Draft","Missing"))
</f>
        <v>Live</v>
      </c>
      <c r="D314" s="31" t="str">
        <f>IF(
 COUNTIFS(Channel_Listings!$D:$D,$A314,Channel_Listings!$A:$A,"Meesho",Channel_Listings!$E:$E,"Live")&gt;0,"Live",
 IF(COUNTIFS(Channel_Listings!$D:$D,$A314,Channel_Listings!$A:$A,"Meesho")&gt;0,"Draft","Missing"))
</f>
        <v>Missing</v>
      </c>
    </row>
    <row r="315" ht="15.75" customHeight="1">
      <c r="A315" s="34" t="s">
        <v>1559</v>
      </c>
      <c r="B315" s="31" t="str">
        <f>IF(
 COUNTIFS(Channel_Listings!$D:$D,$A315,Channel_Listings!$A:$A,"Amazon",Channel_Listings!$E:$E,"Live")&gt;0,"Live",
 IF(COUNTIFS(Channel_Listings!$D:$D,$A315,Channel_Listings!$A:$A,"Amazon")&gt;0,"Draft","Missing"))
</f>
        <v>Missing</v>
      </c>
      <c r="C315" s="31" t="str">
        <f>IF(
 COUNTIFS(Channel_Listings!$D:$D,$A315,Channel_Listings!$A:$A,"Flipkart",Channel_Listings!$E:$E,"Live")&gt;0,"Live",
 IF(COUNTIFS(Channel_Listings!$D:$D,$A315,Channel_Listings!$A:$A,"Flipkart")&gt;0,"Draft","Missing"))
</f>
        <v>Live</v>
      </c>
      <c r="D315" s="31" t="str">
        <f>IF(
 COUNTIFS(Channel_Listings!$D:$D,$A315,Channel_Listings!$A:$A,"Meesho",Channel_Listings!$E:$E,"Live")&gt;0,"Live",
 IF(COUNTIFS(Channel_Listings!$D:$D,$A315,Channel_Listings!$A:$A,"Meesho")&gt;0,"Draft","Missing"))
</f>
        <v>Missing</v>
      </c>
    </row>
    <row r="316" ht="15.75" customHeight="1">
      <c r="A316" s="34" t="s">
        <v>1067</v>
      </c>
      <c r="B316" s="31" t="str">
        <f>IF(
 COUNTIFS(Channel_Listings!$D:$D,$A316,Channel_Listings!$A:$A,"Amazon",Channel_Listings!$E:$E,"Live")&gt;0,"Live",
 IF(COUNTIFS(Channel_Listings!$D:$D,$A316,Channel_Listings!$A:$A,"Amazon")&gt;0,"Draft","Missing"))
</f>
        <v>Live</v>
      </c>
      <c r="C316" s="31" t="str">
        <f>IF(
 COUNTIFS(Channel_Listings!$D:$D,$A316,Channel_Listings!$A:$A,"Flipkart",Channel_Listings!$E:$E,"Live")&gt;0,"Live",
 IF(COUNTIFS(Channel_Listings!$D:$D,$A316,Channel_Listings!$A:$A,"Flipkart")&gt;0,"Draft","Missing"))
</f>
        <v>Live</v>
      </c>
      <c r="D316" s="31" t="str">
        <f>IF(
 COUNTIFS(Channel_Listings!$D:$D,$A316,Channel_Listings!$A:$A,"Meesho",Channel_Listings!$E:$E,"Live")&gt;0,"Live",
 IF(COUNTIFS(Channel_Listings!$D:$D,$A316,Channel_Listings!$A:$A,"Meesho")&gt;0,"Draft","Missing"))
</f>
        <v>Missing</v>
      </c>
    </row>
    <row r="317" ht="15.75" customHeight="1">
      <c r="A317" s="34" t="s">
        <v>1068</v>
      </c>
      <c r="B317" s="31" t="str">
        <f>IF(
 COUNTIFS(Channel_Listings!$D:$D,$A317,Channel_Listings!$A:$A,"Amazon",Channel_Listings!$E:$E,"Live")&gt;0,"Live",
 IF(COUNTIFS(Channel_Listings!$D:$D,$A317,Channel_Listings!$A:$A,"Amazon")&gt;0,"Draft","Missing"))
</f>
        <v>Live</v>
      </c>
      <c r="C317" s="31" t="str">
        <f>IF(
 COUNTIFS(Channel_Listings!$D:$D,$A317,Channel_Listings!$A:$A,"Flipkart",Channel_Listings!$E:$E,"Live")&gt;0,"Live",
 IF(COUNTIFS(Channel_Listings!$D:$D,$A317,Channel_Listings!$A:$A,"Flipkart")&gt;0,"Draft","Missing"))
</f>
        <v>Live</v>
      </c>
      <c r="D317" s="31" t="str">
        <f>IF(
 COUNTIFS(Channel_Listings!$D:$D,$A317,Channel_Listings!$A:$A,"Meesho",Channel_Listings!$E:$E,"Live")&gt;0,"Live",
 IF(COUNTIFS(Channel_Listings!$D:$D,$A317,Channel_Listings!$A:$A,"Meesho")&gt;0,"Draft","Missing"))
</f>
        <v>Missing</v>
      </c>
    </row>
    <row r="318" ht="15.75" customHeight="1">
      <c r="A318" s="34" t="s">
        <v>1069</v>
      </c>
      <c r="B318" s="31" t="str">
        <f>IF(
 COUNTIFS(Channel_Listings!$D:$D,$A318,Channel_Listings!$A:$A,"Amazon",Channel_Listings!$E:$E,"Live")&gt;0,"Live",
 IF(COUNTIFS(Channel_Listings!$D:$D,$A318,Channel_Listings!$A:$A,"Amazon")&gt;0,"Draft","Missing"))
</f>
        <v>Live</v>
      </c>
      <c r="C318" s="31" t="str">
        <f>IF(
 COUNTIFS(Channel_Listings!$D:$D,$A318,Channel_Listings!$A:$A,"Flipkart",Channel_Listings!$E:$E,"Live")&gt;0,"Live",
 IF(COUNTIFS(Channel_Listings!$D:$D,$A318,Channel_Listings!$A:$A,"Flipkart")&gt;0,"Draft","Missing"))
</f>
        <v>Live</v>
      </c>
      <c r="D318" s="31" t="str">
        <f>IF(
 COUNTIFS(Channel_Listings!$D:$D,$A318,Channel_Listings!$A:$A,"Meesho",Channel_Listings!$E:$E,"Live")&gt;0,"Live",
 IF(COUNTIFS(Channel_Listings!$D:$D,$A318,Channel_Listings!$A:$A,"Meesho")&gt;0,"Draft","Missing"))
</f>
        <v>Missing</v>
      </c>
    </row>
    <row r="319" ht="15.75" customHeight="1">
      <c r="A319" s="34" t="s">
        <v>1070</v>
      </c>
      <c r="B319" s="31" t="str">
        <f>IF(
 COUNTIFS(Channel_Listings!$D:$D,$A319,Channel_Listings!$A:$A,"Amazon",Channel_Listings!$E:$E,"Live")&gt;0,"Live",
 IF(COUNTIFS(Channel_Listings!$D:$D,$A319,Channel_Listings!$A:$A,"Amazon")&gt;0,"Draft","Missing"))
</f>
        <v>Live</v>
      </c>
      <c r="C319" s="31" t="str">
        <f>IF(
 COUNTIFS(Channel_Listings!$D:$D,$A319,Channel_Listings!$A:$A,"Flipkart",Channel_Listings!$E:$E,"Live")&gt;0,"Live",
 IF(COUNTIFS(Channel_Listings!$D:$D,$A319,Channel_Listings!$A:$A,"Flipkart")&gt;0,"Draft","Missing"))
</f>
        <v>Live</v>
      </c>
      <c r="D319" s="31" t="str">
        <f>IF(
 COUNTIFS(Channel_Listings!$D:$D,$A319,Channel_Listings!$A:$A,"Meesho",Channel_Listings!$E:$E,"Live")&gt;0,"Live",
 IF(COUNTIFS(Channel_Listings!$D:$D,$A319,Channel_Listings!$A:$A,"Meesho")&gt;0,"Draft","Missing"))
</f>
        <v>Missing</v>
      </c>
    </row>
    <row r="320" ht="15.75" customHeight="1">
      <c r="A320" s="34" t="s">
        <v>1072</v>
      </c>
      <c r="B320" s="31" t="str">
        <f>IF(
 COUNTIFS(Channel_Listings!$D:$D,$A320,Channel_Listings!$A:$A,"Amazon",Channel_Listings!$E:$E,"Live")&gt;0,"Live",
 IF(COUNTIFS(Channel_Listings!$D:$D,$A320,Channel_Listings!$A:$A,"Amazon")&gt;0,"Draft","Missing"))
</f>
        <v>Live</v>
      </c>
      <c r="C320" s="31" t="str">
        <f>IF(
 COUNTIFS(Channel_Listings!$D:$D,$A320,Channel_Listings!$A:$A,"Flipkart",Channel_Listings!$E:$E,"Live")&gt;0,"Live",
 IF(COUNTIFS(Channel_Listings!$D:$D,$A320,Channel_Listings!$A:$A,"Flipkart")&gt;0,"Draft","Missing"))
</f>
        <v>Live</v>
      </c>
      <c r="D320" s="31" t="str">
        <f>IF(
 COUNTIFS(Channel_Listings!$D:$D,$A320,Channel_Listings!$A:$A,"Meesho",Channel_Listings!$E:$E,"Live")&gt;0,"Live",
 IF(COUNTIFS(Channel_Listings!$D:$D,$A320,Channel_Listings!$A:$A,"Meesho")&gt;0,"Draft","Missing"))
</f>
        <v>Missing</v>
      </c>
    </row>
    <row r="321" ht="15.75" customHeight="1">
      <c r="A321" s="34" t="s">
        <v>1073</v>
      </c>
      <c r="B321" s="31" t="str">
        <f>IF(
 COUNTIFS(Channel_Listings!$D:$D,$A321,Channel_Listings!$A:$A,"Amazon",Channel_Listings!$E:$E,"Live")&gt;0,"Live",
 IF(COUNTIFS(Channel_Listings!$D:$D,$A321,Channel_Listings!$A:$A,"Amazon")&gt;0,"Draft","Missing"))
</f>
        <v>Live</v>
      </c>
      <c r="C321" s="31" t="str">
        <f>IF(
 COUNTIFS(Channel_Listings!$D:$D,$A321,Channel_Listings!$A:$A,"Flipkart",Channel_Listings!$E:$E,"Live")&gt;0,"Live",
 IF(COUNTIFS(Channel_Listings!$D:$D,$A321,Channel_Listings!$A:$A,"Flipkart")&gt;0,"Draft","Missing"))
</f>
        <v>Live</v>
      </c>
      <c r="D321" s="31" t="str">
        <f>IF(
 COUNTIFS(Channel_Listings!$D:$D,$A321,Channel_Listings!$A:$A,"Meesho",Channel_Listings!$E:$E,"Live")&gt;0,"Live",
 IF(COUNTIFS(Channel_Listings!$D:$D,$A321,Channel_Listings!$A:$A,"Meesho")&gt;0,"Draft","Missing"))
</f>
        <v>Missing</v>
      </c>
    </row>
    <row r="322" ht="15.75" customHeight="1">
      <c r="A322" s="35" t="s">
        <v>1298</v>
      </c>
      <c r="B322" s="31" t="str">
        <f>IF(
 COUNTIFS(Channel_Listings!$D:$D,$A322,Channel_Listings!$A:$A,"Amazon",Channel_Listings!$E:$E,"Live")&gt;0,"Live",
 IF(COUNTIFS(Channel_Listings!$D:$D,$A322,Channel_Listings!$A:$A,"Amazon")&gt;0,"Draft","Missing"))
</f>
        <v>Missing</v>
      </c>
      <c r="C322" s="31" t="str">
        <f>IF(
 COUNTIFS(Channel_Listings!$D:$D,$A322,Channel_Listings!$A:$A,"Flipkart",Channel_Listings!$E:$E,"Live")&gt;0,"Live",
 IF(COUNTIFS(Channel_Listings!$D:$D,$A322,Channel_Listings!$A:$A,"Flipkart")&gt;0,"Draft","Missing"))
</f>
        <v>Live</v>
      </c>
      <c r="D322" s="31" t="str">
        <f>IF(
 COUNTIFS(Channel_Listings!$D:$D,$A322,Channel_Listings!$A:$A,"Meesho",Channel_Listings!$E:$E,"Live")&gt;0,"Live",
 IF(COUNTIFS(Channel_Listings!$D:$D,$A322,Channel_Listings!$A:$A,"Meesho")&gt;0,"Draft","Missing"))
</f>
        <v>Missing</v>
      </c>
    </row>
    <row r="323" ht="15.75" customHeight="1">
      <c r="A323" s="35" t="s">
        <v>1301</v>
      </c>
      <c r="B323" s="31" t="str">
        <f>IF(
 COUNTIFS(Channel_Listings!$D:$D,$A323,Channel_Listings!$A:$A,"Amazon",Channel_Listings!$E:$E,"Live")&gt;0,"Live",
 IF(COUNTIFS(Channel_Listings!$D:$D,$A323,Channel_Listings!$A:$A,"Amazon")&gt;0,"Draft","Missing"))
</f>
        <v>Missing</v>
      </c>
      <c r="C323" s="31" t="str">
        <f>IF(
 COUNTIFS(Channel_Listings!$D:$D,$A323,Channel_Listings!$A:$A,"Flipkart",Channel_Listings!$E:$E,"Live")&gt;0,"Live",
 IF(COUNTIFS(Channel_Listings!$D:$D,$A323,Channel_Listings!$A:$A,"Flipkart")&gt;0,"Draft","Missing"))
</f>
        <v>Live</v>
      </c>
      <c r="D323" s="31" t="str">
        <f>IF(
 COUNTIFS(Channel_Listings!$D:$D,$A323,Channel_Listings!$A:$A,"Meesho",Channel_Listings!$E:$E,"Live")&gt;0,"Live",
 IF(COUNTIFS(Channel_Listings!$D:$D,$A323,Channel_Listings!$A:$A,"Meesho")&gt;0,"Draft","Missing"))
</f>
        <v>Missing</v>
      </c>
    </row>
    <row r="324" ht="15.75" customHeight="1">
      <c r="A324" s="35" t="s">
        <v>348</v>
      </c>
      <c r="B324" s="31" t="str">
        <f>IF(
 COUNTIFS(Channel_Listings!$D:$D,$A324,Channel_Listings!$A:$A,"Amazon",Channel_Listings!$E:$E,"Live")&gt;0,"Live",
 IF(COUNTIFS(Channel_Listings!$D:$D,$A324,Channel_Listings!$A:$A,"Amazon")&gt;0,"Draft","Missing"))
</f>
        <v>Live</v>
      </c>
      <c r="C324" s="31" t="str">
        <f>IF(
 COUNTIFS(Channel_Listings!$D:$D,$A324,Channel_Listings!$A:$A,"Flipkart",Channel_Listings!$E:$E,"Live")&gt;0,"Live",
 IF(COUNTIFS(Channel_Listings!$D:$D,$A324,Channel_Listings!$A:$A,"Flipkart")&gt;0,"Draft","Missing"))
</f>
        <v>Live</v>
      </c>
      <c r="D324" s="31" t="str">
        <f>IF(
 COUNTIFS(Channel_Listings!$D:$D,$A324,Channel_Listings!$A:$A,"Meesho",Channel_Listings!$E:$E,"Live")&gt;0,"Live",
 IF(COUNTIFS(Channel_Listings!$D:$D,$A324,Channel_Listings!$A:$A,"Meesho")&gt;0,"Draft","Missing"))
</f>
        <v>Missing</v>
      </c>
    </row>
    <row r="325" ht="15.75" customHeight="1">
      <c r="A325" s="32" t="s">
        <v>462</v>
      </c>
      <c r="B325" s="31" t="str">
        <f>IF(
 COUNTIFS(Channel_Listings!$D:$D,$A325,Channel_Listings!$A:$A,"Amazon",Channel_Listings!$E:$E,"Live")&gt;0,"Live",
 IF(COUNTIFS(Channel_Listings!$D:$D,$A325,Channel_Listings!$A:$A,"Amazon")&gt;0,"Draft","Missing"))
</f>
        <v>Live</v>
      </c>
      <c r="C325" s="31" t="str">
        <f>IF(
 COUNTIFS(Channel_Listings!$D:$D,$A325,Channel_Listings!$A:$A,"Flipkart",Channel_Listings!$E:$E,"Live")&gt;0,"Live",
 IF(COUNTIFS(Channel_Listings!$D:$D,$A325,Channel_Listings!$A:$A,"Flipkart")&gt;0,"Draft","Missing"))
</f>
        <v>Live</v>
      </c>
      <c r="D325" s="31" t="str">
        <f>IF(
 COUNTIFS(Channel_Listings!$D:$D,$A325,Channel_Listings!$A:$A,"Meesho",Channel_Listings!$E:$E,"Live")&gt;0,"Live",
 IF(COUNTIFS(Channel_Listings!$D:$D,$A325,Channel_Listings!$A:$A,"Meesho")&gt;0,"Draft","Missing"))
</f>
        <v>Missing</v>
      </c>
    </row>
    <row r="326" ht="15.75" customHeight="1">
      <c r="A326" s="34" t="s">
        <v>458</v>
      </c>
      <c r="B326" s="31" t="str">
        <f>IF(
 COUNTIFS(Channel_Listings!$D:$D,$A326,Channel_Listings!$A:$A,"Amazon",Channel_Listings!$E:$E,"Live")&gt;0,"Live",
 IF(COUNTIFS(Channel_Listings!$D:$D,$A326,Channel_Listings!$A:$A,"Amazon")&gt;0,"Draft","Missing"))
</f>
        <v>Live</v>
      </c>
      <c r="C326" s="31" t="str">
        <f>IF(
 COUNTIFS(Channel_Listings!$D:$D,$A326,Channel_Listings!$A:$A,"Flipkart",Channel_Listings!$E:$E,"Live")&gt;0,"Live",
 IF(COUNTIFS(Channel_Listings!$D:$D,$A326,Channel_Listings!$A:$A,"Flipkart")&gt;0,"Draft","Missing"))
</f>
        <v>Missing</v>
      </c>
      <c r="D326" s="31" t="str">
        <f>IF(
 COUNTIFS(Channel_Listings!$D:$D,$A326,Channel_Listings!$A:$A,"Meesho",Channel_Listings!$E:$E,"Live")&gt;0,"Live",
 IF(COUNTIFS(Channel_Listings!$D:$D,$A326,Channel_Listings!$A:$A,"Meesho")&gt;0,"Draft","Missing"))
</f>
        <v>Missing</v>
      </c>
    </row>
    <row r="327" ht="15.75" customHeight="1">
      <c r="A327" s="34" t="s">
        <v>18</v>
      </c>
      <c r="B327" s="31" t="str">
        <f>IF(
 COUNTIFS(Channel_Listings!$D:$D,$A327,Channel_Listings!$A:$A,"Amazon",Channel_Listings!$E:$E,"Live")&gt;0,"Live",
 IF(COUNTIFS(Channel_Listings!$D:$D,$A327,Channel_Listings!$A:$A,"Amazon")&gt;0,"Draft","Missing"))
</f>
        <v>Live</v>
      </c>
      <c r="C327" s="31" t="str">
        <f>IF(
 COUNTIFS(Channel_Listings!$D:$D,$A327,Channel_Listings!$A:$A,"Flipkart",Channel_Listings!$E:$E,"Live")&gt;0,"Live",
 IF(COUNTIFS(Channel_Listings!$D:$D,$A327,Channel_Listings!$A:$A,"Flipkart")&gt;0,"Draft","Missing"))
</f>
        <v>Live</v>
      </c>
      <c r="D327" s="31" t="str">
        <f>IF(
 COUNTIFS(Channel_Listings!$D:$D,$A327,Channel_Listings!$A:$A,"Meesho",Channel_Listings!$E:$E,"Live")&gt;0,"Live",
 IF(COUNTIFS(Channel_Listings!$D:$D,$A327,Channel_Listings!$A:$A,"Meesho")&gt;0,"Draft","Missing"))
</f>
        <v>Missing</v>
      </c>
    </row>
    <row r="328" ht="15.75" customHeight="1">
      <c r="A328" s="34" t="s">
        <v>627</v>
      </c>
      <c r="B328" s="31" t="str">
        <f>IF(
 COUNTIFS(Channel_Listings!$D:$D,$A328,Channel_Listings!$A:$A,"Amazon",Channel_Listings!$E:$E,"Live")&gt;0,"Live",
 IF(COUNTIFS(Channel_Listings!$D:$D,$A328,Channel_Listings!$A:$A,"Amazon")&gt;0,"Draft","Missing"))
</f>
        <v>Live</v>
      </c>
      <c r="C328" s="31" t="str">
        <f>IF(
 COUNTIFS(Channel_Listings!$D:$D,$A328,Channel_Listings!$A:$A,"Flipkart",Channel_Listings!$E:$E,"Live")&gt;0,"Live",
 IF(COUNTIFS(Channel_Listings!$D:$D,$A328,Channel_Listings!$A:$A,"Flipkart")&gt;0,"Draft","Missing"))
</f>
        <v>Missing</v>
      </c>
      <c r="D328" s="31" t="str">
        <f>IF(
 COUNTIFS(Channel_Listings!$D:$D,$A328,Channel_Listings!$A:$A,"Meesho",Channel_Listings!$E:$E,"Live")&gt;0,"Live",
 IF(COUNTIFS(Channel_Listings!$D:$D,$A328,Channel_Listings!$A:$A,"Meesho")&gt;0,"Draft","Missing"))
</f>
        <v>Missing</v>
      </c>
    </row>
    <row r="329" ht="15.75" customHeight="1">
      <c r="A329" s="34" t="s">
        <v>629</v>
      </c>
      <c r="B329" s="31" t="str">
        <f>IF(
 COUNTIFS(Channel_Listings!$D:$D,$A329,Channel_Listings!$A:$A,"Amazon",Channel_Listings!$E:$E,"Live")&gt;0,"Live",
 IF(COUNTIFS(Channel_Listings!$D:$D,$A329,Channel_Listings!$A:$A,"Amazon")&gt;0,"Draft","Missing"))
</f>
        <v>Live</v>
      </c>
      <c r="C329" s="31" t="str">
        <f>IF(
 COUNTIFS(Channel_Listings!$D:$D,$A329,Channel_Listings!$A:$A,"Flipkart",Channel_Listings!$E:$E,"Live")&gt;0,"Live",
 IF(COUNTIFS(Channel_Listings!$D:$D,$A329,Channel_Listings!$A:$A,"Flipkart")&gt;0,"Draft","Missing"))
</f>
        <v>Missing</v>
      </c>
      <c r="D329" s="31" t="str">
        <f>IF(
 COUNTIFS(Channel_Listings!$D:$D,$A329,Channel_Listings!$A:$A,"Meesho",Channel_Listings!$E:$E,"Live")&gt;0,"Live",
 IF(COUNTIFS(Channel_Listings!$D:$D,$A329,Channel_Listings!$A:$A,"Meesho")&gt;0,"Draft","Missing"))
</f>
        <v>Missing</v>
      </c>
    </row>
    <row r="330" ht="15.75" customHeight="1">
      <c r="A330" s="34" t="s">
        <v>631</v>
      </c>
      <c r="B330" s="31" t="str">
        <f>IF(
 COUNTIFS(Channel_Listings!$D:$D,$A330,Channel_Listings!$A:$A,"Amazon",Channel_Listings!$E:$E,"Live")&gt;0,"Live",
 IF(COUNTIFS(Channel_Listings!$D:$D,$A330,Channel_Listings!$A:$A,"Amazon")&gt;0,"Draft","Missing"))
</f>
        <v>Live</v>
      </c>
      <c r="C330" s="31" t="str">
        <f>IF(
 COUNTIFS(Channel_Listings!$D:$D,$A330,Channel_Listings!$A:$A,"Flipkart",Channel_Listings!$E:$E,"Live")&gt;0,"Live",
 IF(COUNTIFS(Channel_Listings!$D:$D,$A330,Channel_Listings!$A:$A,"Flipkart")&gt;0,"Draft","Missing"))
</f>
        <v>Missing</v>
      </c>
      <c r="D330" s="31" t="str">
        <f>IF(
 COUNTIFS(Channel_Listings!$D:$D,$A330,Channel_Listings!$A:$A,"Meesho",Channel_Listings!$E:$E,"Live")&gt;0,"Live",
 IF(COUNTIFS(Channel_Listings!$D:$D,$A330,Channel_Listings!$A:$A,"Meesho")&gt;0,"Draft","Missing"))
</f>
        <v>Missing</v>
      </c>
    </row>
    <row r="331" ht="15.75" customHeight="1">
      <c r="A331" s="34" t="s">
        <v>634</v>
      </c>
      <c r="B331" s="31" t="str">
        <f>IF(
 COUNTIFS(Channel_Listings!$D:$D,$A331,Channel_Listings!$A:$A,"Amazon",Channel_Listings!$E:$E,"Live")&gt;0,"Live",
 IF(COUNTIFS(Channel_Listings!$D:$D,$A331,Channel_Listings!$A:$A,"Amazon")&gt;0,"Draft","Missing"))
</f>
        <v>Live</v>
      </c>
      <c r="C331" s="31" t="str">
        <f>IF(
 COUNTIFS(Channel_Listings!$D:$D,$A331,Channel_Listings!$A:$A,"Flipkart",Channel_Listings!$E:$E,"Live")&gt;0,"Live",
 IF(COUNTIFS(Channel_Listings!$D:$D,$A331,Channel_Listings!$A:$A,"Flipkart")&gt;0,"Draft","Missing"))
</f>
        <v>Live</v>
      </c>
      <c r="D331" s="31" t="str">
        <f>IF(
 COUNTIFS(Channel_Listings!$D:$D,$A331,Channel_Listings!$A:$A,"Meesho",Channel_Listings!$E:$E,"Live")&gt;0,"Live",
 IF(COUNTIFS(Channel_Listings!$D:$D,$A331,Channel_Listings!$A:$A,"Meesho")&gt;0,"Draft","Missing"))
</f>
        <v>Missing</v>
      </c>
    </row>
    <row r="332" ht="15.75" customHeight="1">
      <c r="A332" s="34" t="s">
        <v>1424</v>
      </c>
      <c r="B332" s="31" t="str">
        <f>IF(
 COUNTIFS(Channel_Listings!$D:$D,$A332,Channel_Listings!$A:$A,"Amazon",Channel_Listings!$E:$E,"Live")&gt;0,"Live",
 IF(COUNTIFS(Channel_Listings!$D:$D,$A332,Channel_Listings!$A:$A,"Amazon")&gt;0,"Draft","Missing"))
</f>
        <v>Missing</v>
      </c>
      <c r="C332" s="31" t="str">
        <f>IF(
 COUNTIFS(Channel_Listings!$D:$D,$A332,Channel_Listings!$A:$A,"Flipkart",Channel_Listings!$E:$E,"Live")&gt;0,"Live",
 IF(COUNTIFS(Channel_Listings!$D:$D,$A332,Channel_Listings!$A:$A,"Flipkart")&gt;0,"Draft","Missing"))
</f>
        <v>Live</v>
      </c>
      <c r="D332" s="31" t="str">
        <f>IF(
 COUNTIFS(Channel_Listings!$D:$D,$A332,Channel_Listings!$A:$A,"Meesho",Channel_Listings!$E:$E,"Live")&gt;0,"Live",
 IF(COUNTIFS(Channel_Listings!$D:$D,$A332,Channel_Listings!$A:$A,"Meesho")&gt;0,"Draft","Missing"))
</f>
        <v>Missing</v>
      </c>
    </row>
    <row r="333" ht="15.75" customHeight="1">
      <c r="A333" s="34" t="s">
        <v>617</v>
      </c>
      <c r="B333" s="31" t="str">
        <f>IF(
 COUNTIFS(Channel_Listings!$D:$D,$A333,Channel_Listings!$A:$A,"Amazon",Channel_Listings!$E:$E,"Live")&gt;0,"Live",
 IF(COUNTIFS(Channel_Listings!$D:$D,$A333,Channel_Listings!$A:$A,"Amazon")&gt;0,"Draft","Missing"))
</f>
        <v>Live</v>
      </c>
      <c r="C333" s="31" t="str">
        <f>IF(
 COUNTIFS(Channel_Listings!$D:$D,$A333,Channel_Listings!$A:$A,"Flipkart",Channel_Listings!$E:$E,"Live")&gt;0,"Live",
 IF(COUNTIFS(Channel_Listings!$D:$D,$A333,Channel_Listings!$A:$A,"Flipkart")&gt;0,"Draft","Missing"))
</f>
        <v>Missing</v>
      </c>
      <c r="D333" s="31" t="str">
        <f>IF(
 COUNTIFS(Channel_Listings!$D:$D,$A333,Channel_Listings!$A:$A,"Meesho",Channel_Listings!$E:$E,"Live")&gt;0,"Live",
 IF(COUNTIFS(Channel_Listings!$D:$D,$A333,Channel_Listings!$A:$A,"Meesho")&gt;0,"Draft","Missing"))
</f>
        <v>Missing</v>
      </c>
    </row>
    <row r="334" ht="15.75" customHeight="1">
      <c r="A334" s="34" t="s">
        <v>620</v>
      </c>
      <c r="B334" s="31" t="str">
        <f>IF(
 COUNTIFS(Channel_Listings!$D:$D,$A334,Channel_Listings!$A:$A,"Amazon",Channel_Listings!$E:$E,"Live")&gt;0,"Live",
 IF(COUNTIFS(Channel_Listings!$D:$D,$A334,Channel_Listings!$A:$A,"Amazon")&gt;0,"Draft","Missing"))
</f>
        <v>Live</v>
      </c>
      <c r="C334" s="31" t="str">
        <f>IF(
 COUNTIFS(Channel_Listings!$D:$D,$A334,Channel_Listings!$A:$A,"Flipkart",Channel_Listings!$E:$E,"Live")&gt;0,"Live",
 IF(COUNTIFS(Channel_Listings!$D:$D,$A334,Channel_Listings!$A:$A,"Flipkart")&gt;0,"Draft","Missing"))
</f>
        <v>Missing</v>
      </c>
      <c r="D334" s="31" t="str">
        <f>IF(
 COUNTIFS(Channel_Listings!$D:$D,$A334,Channel_Listings!$A:$A,"Meesho",Channel_Listings!$E:$E,"Live")&gt;0,"Live",
 IF(COUNTIFS(Channel_Listings!$D:$D,$A334,Channel_Listings!$A:$A,"Meesho")&gt;0,"Draft","Missing"))
</f>
        <v>Missing</v>
      </c>
    </row>
    <row r="335" ht="15.75" customHeight="1">
      <c r="A335" s="35" t="s">
        <v>1354</v>
      </c>
      <c r="B335" s="31" t="str">
        <f>IF(
 COUNTIFS(Channel_Listings!$D:$D,$A335,Channel_Listings!$A:$A,"Amazon",Channel_Listings!$E:$E,"Live")&gt;0,"Live",
 IF(COUNTIFS(Channel_Listings!$D:$D,$A335,Channel_Listings!$A:$A,"Amazon")&gt;0,"Draft","Missing"))
</f>
        <v>Missing</v>
      </c>
      <c r="C335" s="31" t="str">
        <f>IF(
 COUNTIFS(Channel_Listings!$D:$D,$A335,Channel_Listings!$A:$A,"Flipkart",Channel_Listings!$E:$E,"Live")&gt;0,"Live",
 IF(COUNTIFS(Channel_Listings!$D:$D,$A335,Channel_Listings!$A:$A,"Flipkart")&gt;0,"Draft","Missing"))
</f>
        <v>Live</v>
      </c>
      <c r="D335" s="31" t="str">
        <f>IF(
 COUNTIFS(Channel_Listings!$D:$D,$A335,Channel_Listings!$A:$A,"Meesho",Channel_Listings!$E:$E,"Live")&gt;0,"Live",
 IF(COUNTIFS(Channel_Listings!$D:$D,$A335,Channel_Listings!$A:$A,"Meesho")&gt;0,"Draft","Missing"))
</f>
        <v>Missing</v>
      </c>
    </row>
    <row r="336" ht="15.75" customHeight="1">
      <c r="A336" s="34" t="s">
        <v>135</v>
      </c>
      <c r="B336" s="31" t="str">
        <f>IF(
 COUNTIFS(Channel_Listings!$D:$D,$A336,Channel_Listings!$A:$A,"Amazon",Channel_Listings!$E:$E,"Live")&gt;0,"Live",
 IF(COUNTIFS(Channel_Listings!$D:$D,$A336,Channel_Listings!$A:$A,"Amazon")&gt;0,"Draft","Missing"))
</f>
        <v>Live</v>
      </c>
      <c r="C336" s="31" t="str">
        <f>IF(
 COUNTIFS(Channel_Listings!$D:$D,$A336,Channel_Listings!$A:$A,"Flipkart",Channel_Listings!$E:$E,"Live")&gt;0,"Live",
 IF(COUNTIFS(Channel_Listings!$D:$D,$A336,Channel_Listings!$A:$A,"Flipkart")&gt;0,"Draft","Missing"))
</f>
        <v>Missing</v>
      </c>
      <c r="D336" s="31" t="str">
        <f>IF(
 COUNTIFS(Channel_Listings!$D:$D,$A336,Channel_Listings!$A:$A,"Meesho",Channel_Listings!$E:$E,"Live")&gt;0,"Live",
 IF(COUNTIFS(Channel_Listings!$D:$D,$A336,Channel_Listings!$A:$A,"Meesho")&gt;0,"Draft","Missing"))
</f>
        <v>Missing</v>
      </c>
    </row>
    <row r="337" ht="15.75" customHeight="1">
      <c r="A337" s="35" t="s">
        <v>271</v>
      </c>
      <c r="B337" s="31" t="str">
        <f>IF(
 COUNTIFS(Channel_Listings!$D:$D,$A337,Channel_Listings!$A:$A,"Amazon",Channel_Listings!$E:$E,"Live")&gt;0,"Live",
 IF(COUNTIFS(Channel_Listings!$D:$D,$A337,Channel_Listings!$A:$A,"Amazon")&gt;0,"Draft","Missing"))
</f>
        <v>Live</v>
      </c>
      <c r="C337" s="31" t="str">
        <f>IF(
 COUNTIFS(Channel_Listings!$D:$D,$A337,Channel_Listings!$A:$A,"Flipkart",Channel_Listings!$E:$E,"Live")&gt;0,"Live",
 IF(COUNTIFS(Channel_Listings!$D:$D,$A337,Channel_Listings!$A:$A,"Flipkart")&gt;0,"Draft","Missing"))
</f>
        <v>Missing</v>
      </c>
      <c r="D337" s="31" t="str">
        <f>IF(
 COUNTIFS(Channel_Listings!$D:$D,$A337,Channel_Listings!$A:$A,"Meesho",Channel_Listings!$E:$E,"Live")&gt;0,"Live",
 IF(COUNTIFS(Channel_Listings!$D:$D,$A337,Channel_Listings!$A:$A,"Meesho")&gt;0,"Draft","Missing"))
</f>
        <v>Missing</v>
      </c>
    </row>
    <row r="338" ht="15.75" customHeight="1">
      <c r="A338" s="34" t="s">
        <v>275</v>
      </c>
      <c r="B338" s="31" t="str">
        <f>IF(
 COUNTIFS(Channel_Listings!$D:$D,$A338,Channel_Listings!$A:$A,"Amazon",Channel_Listings!$E:$E,"Live")&gt;0,"Live",
 IF(COUNTIFS(Channel_Listings!$D:$D,$A338,Channel_Listings!$A:$A,"Amazon")&gt;0,"Draft","Missing"))
</f>
        <v>Live</v>
      </c>
      <c r="C338" s="31" t="str">
        <f>IF(
 COUNTIFS(Channel_Listings!$D:$D,$A338,Channel_Listings!$A:$A,"Flipkart",Channel_Listings!$E:$E,"Live")&gt;0,"Live",
 IF(COUNTIFS(Channel_Listings!$D:$D,$A338,Channel_Listings!$A:$A,"Flipkart")&gt;0,"Draft","Missing"))
</f>
        <v>Missing</v>
      </c>
      <c r="D338" s="31" t="str">
        <f>IF(
 COUNTIFS(Channel_Listings!$D:$D,$A338,Channel_Listings!$A:$A,"Meesho",Channel_Listings!$E:$E,"Live")&gt;0,"Live",
 IF(COUNTIFS(Channel_Listings!$D:$D,$A338,Channel_Listings!$A:$A,"Meesho")&gt;0,"Draft","Missing"))
</f>
        <v>Missing</v>
      </c>
    </row>
    <row r="339" ht="15.75" customHeight="1">
      <c r="A339" s="34" t="s">
        <v>277</v>
      </c>
      <c r="B339" s="31" t="str">
        <f>IF(
 COUNTIFS(Channel_Listings!$D:$D,$A339,Channel_Listings!$A:$A,"Amazon",Channel_Listings!$E:$E,"Live")&gt;0,"Live",
 IF(COUNTIFS(Channel_Listings!$D:$D,$A339,Channel_Listings!$A:$A,"Amazon")&gt;0,"Draft","Missing"))
</f>
        <v>Live</v>
      </c>
      <c r="C339" s="31" t="str">
        <f>IF(
 COUNTIFS(Channel_Listings!$D:$D,$A339,Channel_Listings!$A:$A,"Flipkart",Channel_Listings!$E:$E,"Live")&gt;0,"Live",
 IF(COUNTIFS(Channel_Listings!$D:$D,$A339,Channel_Listings!$A:$A,"Flipkart")&gt;0,"Draft","Missing"))
</f>
        <v>Missing</v>
      </c>
      <c r="D339" s="31" t="str">
        <f>IF(
 COUNTIFS(Channel_Listings!$D:$D,$A339,Channel_Listings!$A:$A,"Meesho",Channel_Listings!$E:$E,"Live")&gt;0,"Live",
 IF(COUNTIFS(Channel_Listings!$D:$D,$A339,Channel_Listings!$A:$A,"Meesho")&gt;0,"Draft","Missing"))
</f>
        <v>Missing</v>
      </c>
    </row>
    <row r="340" ht="15.75" customHeight="1">
      <c r="A340" s="34" t="s">
        <v>279</v>
      </c>
      <c r="B340" s="31" t="str">
        <f>IF(
 COUNTIFS(Channel_Listings!$D:$D,$A340,Channel_Listings!$A:$A,"Amazon",Channel_Listings!$E:$E,"Live")&gt;0,"Live",
 IF(COUNTIFS(Channel_Listings!$D:$D,$A340,Channel_Listings!$A:$A,"Amazon")&gt;0,"Draft","Missing"))
</f>
        <v>Live</v>
      </c>
      <c r="C340" s="31" t="str">
        <f>IF(
 COUNTIFS(Channel_Listings!$D:$D,$A340,Channel_Listings!$A:$A,"Flipkart",Channel_Listings!$E:$E,"Live")&gt;0,"Live",
 IF(COUNTIFS(Channel_Listings!$D:$D,$A340,Channel_Listings!$A:$A,"Flipkart")&gt;0,"Draft","Missing"))
</f>
        <v>Missing</v>
      </c>
      <c r="D340" s="31" t="str">
        <f>IF(
 COUNTIFS(Channel_Listings!$D:$D,$A340,Channel_Listings!$A:$A,"Meesho",Channel_Listings!$E:$E,"Live")&gt;0,"Live",
 IF(COUNTIFS(Channel_Listings!$D:$D,$A340,Channel_Listings!$A:$A,"Meesho")&gt;0,"Draft","Missing"))
</f>
        <v>Missing</v>
      </c>
    </row>
    <row r="341" ht="15.75" customHeight="1">
      <c r="A341" s="34" t="s">
        <v>296</v>
      </c>
      <c r="B341" s="31" t="str">
        <f>IF(
 COUNTIFS(Channel_Listings!$D:$D,$A341,Channel_Listings!$A:$A,"Amazon",Channel_Listings!$E:$E,"Live")&gt;0,"Live",
 IF(COUNTIFS(Channel_Listings!$D:$D,$A341,Channel_Listings!$A:$A,"Amazon")&gt;0,"Draft","Missing"))
</f>
        <v>Live</v>
      </c>
      <c r="C341" s="31" t="str">
        <f>IF(
 COUNTIFS(Channel_Listings!$D:$D,$A341,Channel_Listings!$A:$A,"Flipkart",Channel_Listings!$E:$E,"Live")&gt;0,"Live",
 IF(COUNTIFS(Channel_Listings!$D:$D,$A341,Channel_Listings!$A:$A,"Flipkart")&gt;0,"Draft","Missing"))
</f>
        <v>Missing</v>
      </c>
      <c r="D341" s="31" t="str">
        <f>IF(
 COUNTIFS(Channel_Listings!$D:$D,$A341,Channel_Listings!$A:$A,"Meesho",Channel_Listings!$E:$E,"Live")&gt;0,"Live",
 IF(COUNTIFS(Channel_Listings!$D:$D,$A341,Channel_Listings!$A:$A,"Meesho")&gt;0,"Draft","Missing"))
</f>
        <v>Missing</v>
      </c>
    </row>
    <row r="342" ht="15.75" customHeight="1">
      <c r="A342" s="34" t="s">
        <v>332</v>
      </c>
      <c r="B342" s="31" t="str">
        <f>IF(
 COUNTIFS(Channel_Listings!$D:$D,$A342,Channel_Listings!$A:$A,"Amazon",Channel_Listings!$E:$E,"Live")&gt;0,"Live",
 IF(COUNTIFS(Channel_Listings!$D:$D,$A342,Channel_Listings!$A:$A,"Amazon")&gt;0,"Draft","Missing"))
</f>
        <v>Live</v>
      </c>
      <c r="C342" s="31" t="str">
        <f>IF(
 COUNTIFS(Channel_Listings!$D:$D,$A342,Channel_Listings!$A:$A,"Flipkart",Channel_Listings!$E:$E,"Live")&gt;0,"Live",
 IF(COUNTIFS(Channel_Listings!$D:$D,$A342,Channel_Listings!$A:$A,"Flipkart")&gt;0,"Draft","Missing"))
</f>
        <v>Missing</v>
      </c>
      <c r="D342" s="31" t="str">
        <f>IF(
 COUNTIFS(Channel_Listings!$D:$D,$A342,Channel_Listings!$A:$A,"Meesho",Channel_Listings!$E:$E,"Live")&gt;0,"Live",
 IF(COUNTIFS(Channel_Listings!$D:$D,$A342,Channel_Listings!$A:$A,"Meesho")&gt;0,"Draft","Missing"))
</f>
        <v>Missing</v>
      </c>
    </row>
    <row r="343" ht="15.75" customHeight="1">
      <c r="A343" s="34" t="s">
        <v>333</v>
      </c>
      <c r="B343" s="31" t="str">
        <f>IF(
 COUNTIFS(Channel_Listings!$D:$D,$A343,Channel_Listings!$A:$A,"Amazon",Channel_Listings!$E:$E,"Live")&gt;0,"Live",
 IF(COUNTIFS(Channel_Listings!$D:$D,$A343,Channel_Listings!$A:$A,"Amazon")&gt;0,"Draft","Missing"))
</f>
        <v>Live</v>
      </c>
      <c r="C343" s="31" t="str">
        <f>IF(
 COUNTIFS(Channel_Listings!$D:$D,$A343,Channel_Listings!$A:$A,"Flipkart",Channel_Listings!$E:$E,"Live")&gt;0,"Live",
 IF(COUNTIFS(Channel_Listings!$D:$D,$A343,Channel_Listings!$A:$A,"Flipkart")&gt;0,"Draft","Missing"))
</f>
        <v>Live</v>
      </c>
      <c r="D343" s="31" t="str">
        <f>IF(
 COUNTIFS(Channel_Listings!$D:$D,$A343,Channel_Listings!$A:$A,"Meesho",Channel_Listings!$E:$E,"Live")&gt;0,"Live",
 IF(COUNTIFS(Channel_Listings!$D:$D,$A343,Channel_Listings!$A:$A,"Meesho")&gt;0,"Draft","Missing"))
</f>
        <v>Missing</v>
      </c>
    </row>
    <row r="344" ht="15.75" customHeight="1">
      <c r="A344" s="34" t="s">
        <v>351</v>
      </c>
      <c r="B344" s="31" t="str">
        <f>IF(
 COUNTIFS(Channel_Listings!$D:$D,$A344,Channel_Listings!$A:$A,"Amazon",Channel_Listings!$E:$E,"Live")&gt;0,"Live",
 IF(COUNTIFS(Channel_Listings!$D:$D,$A344,Channel_Listings!$A:$A,"Amazon")&gt;0,"Draft","Missing"))
</f>
        <v>Live</v>
      </c>
      <c r="C344" s="31" t="str">
        <f>IF(
 COUNTIFS(Channel_Listings!$D:$D,$A344,Channel_Listings!$A:$A,"Flipkart",Channel_Listings!$E:$E,"Live")&gt;0,"Live",
 IF(COUNTIFS(Channel_Listings!$D:$D,$A344,Channel_Listings!$A:$A,"Flipkart")&gt;0,"Draft","Missing"))
</f>
        <v>Missing</v>
      </c>
      <c r="D344" s="31" t="str">
        <f>IF(
 COUNTIFS(Channel_Listings!$D:$D,$A344,Channel_Listings!$A:$A,"Meesho",Channel_Listings!$E:$E,"Live")&gt;0,"Live",
 IF(COUNTIFS(Channel_Listings!$D:$D,$A344,Channel_Listings!$A:$A,"Meesho")&gt;0,"Draft","Missing"))
</f>
        <v>Missing</v>
      </c>
    </row>
    <row r="345" ht="15.75" customHeight="1">
      <c r="A345" s="34" t="s">
        <v>469</v>
      </c>
      <c r="B345" s="31" t="str">
        <f>IF(
 COUNTIFS(Channel_Listings!$D:$D,$A345,Channel_Listings!$A:$A,"Amazon",Channel_Listings!$E:$E,"Live")&gt;0,"Live",
 IF(COUNTIFS(Channel_Listings!$D:$D,$A345,Channel_Listings!$A:$A,"Amazon")&gt;0,"Draft","Missing"))
</f>
        <v>Live</v>
      </c>
      <c r="C345" s="31" t="str">
        <f>IF(
 COUNTIFS(Channel_Listings!$D:$D,$A345,Channel_Listings!$A:$A,"Flipkart",Channel_Listings!$E:$E,"Live")&gt;0,"Live",
 IF(COUNTIFS(Channel_Listings!$D:$D,$A345,Channel_Listings!$A:$A,"Flipkart")&gt;0,"Draft","Missing"))
</f>
        <v>Live</v>
      </c>
      <c r="D345" s="31" t="str">
        <f>IF(
 COUNTIFS(Channel_Listings!$D:$D,$A345,Channel_Listings!$A:$A,"Meesho",Channel_Listings!$E:$E,"Live")&gt;0,"Live",
 IF(COUNTIFS(Channel_Listings!$D:$D,$A345,Channel_Listings!$A:$A,"Meesho")&gt;0,"Draft","Missing"))
</f>
        <v>Missing</v>
      </c>
    </row>
    <row r="346" ht="15.75" customHeight="1">
      <c r="A346" s="34" t="s">
        <v>650</v>
      </c>
      <c r="B346" s="31" t="str">
        <f>IF(
 COUNTIFS(Channel_Listings!$D:$D,$A346,Channel_Listings!$A:$A,"Amazon",Channel_Listings!$E:$E,"Live")&gt;0,"Live",
 IF(COUNTIFS(Channel_Listings!$D:$D,$A346,Channel_Listings!$A:$A,"Amazon")&gt;0,"Draft","Missing"))
</f>
        <v>Live</v>
      </c>
      <c r="C346" s="31" t="str">
        <f>IF(
 COUNTIFS(Channel_Listings!$D:$D,$A346,Channel_Listings!$A:$A,"Flipkart",Channel_Listings!$E:$E,"Live")&gt;0,"Live",
 IF(COUNTIFS(Channel_Listings!$D:$D,$A346,Channel_Listings!$A:$A,"Flipkart")&gt;0,"Draft","Missing"))
</f>
        <v>Live</v>
      </c>
      <c r="D346" s="31" t="str">
        <f>IF(
 COUNTIFS(Channel_Listings!$D:$D,$A346,Channel_Listings!$A:$A,"Meesho",Channel_Listings!$E:$E,"Live")&gt;0,"Live",
 IF(COUNTIFS(Channel_Listings!$D:$D,$A346,Channel_Listings!$A:$A,"Meesho")&gt;0,"Draft","Missing"))
</f>
        <v>Missing</v>
      </c>
    </row>
    <row r="347" ht="15.75" customHeight="1">
      <c r="A347" s="34" t="s">
        <v>804</v>
      </c>
      <c r="B347" s="31" t="str">
        <f>IF(
 COUNTIFS(Channel_Listings!$D:$D,$A347,Channel_Listings!$A:$A,"Amazon",Channel_Listings!$E:$E,"Live")&gt;0,"Live",
 IF(COUNTIFS(Channel_Listings!$D:$D,$A347,Channel_Listings!$A:$A,"Amazon")&gt;0,"Draft","Missing"))
</f>
        <v>Live</v>
      </c>
      <c r="C347" s="31" t="str">
        <f>IF(
 COUNTIFS(Channel_Listings!$D:$D,$A347,Channel_Listings!$A:$A,"Flipkart",Channel_Listings!$E:$E,"Live")&gt;0,"Live",
 IF(COUNTIFS(Channel_Listings!$D:$D,$A347,Channel_Listings!$A:$A,"Flipkart")&gt;0,"Draft","Missing"))
</f>
        <v>Missing</v>
      </c>
      <c r="D347" s="31" t="str">
        <f>IF(
 COUNTIFS(Channel_Listings!$D:$D,$A347,Channel_Listings!$A:$A,"Meesho",Channel_Listings!$E:$E,"Live")&gt;0,"Live",
 IF(COUNTIFS(Channel_Listings!$D:$D,$A347,Channel_Listings!$A:$A,"Meesho")&gt;0,"Draft","Missing"))
</f>
        <v>Missing</v>
      </c>
    </row>
    <row r="348" ht="15.75" customHeight="1">
      <c r="A348" s="34" t="s">
        <v>805</v>
      </c>
      <c r="B348" s="31" t="str">
        <f>IF(
 COUNTIFS(Channel_Listings!$D:$D,$A348,Channel_Listings!$A:$A,"Amazon",Channel_Listings!$E:$E,"Live")&gt;0,"Live",
 IF(COUNTIFS(Channel_Listings!$D:$D,$A348,Channel_Listings!$A:$A,"Amazon")&gt;0,"Draft","Missing"))
</f>
        <v>Live</v>
      </c>
      <c r="C348" s="31" t="str">
        <f>IF(
 COUNTIFS(Channel_Listings!$D:$D,$A348,Channel_Listings!$A:$A,"Flipkart",Channel_Listings!$E:$E,"Live")&gt;0,"Live",
 IF(COUNTIFS(Channel_Listings!$D:$D,$A348,Channel_Listings!$A:$A,"Flipkart")&gt;0,"Draft","Missing"))
</f>
        <v>Missing</v>
      </c>
      <c r="D348" s="31" t="str">
        <f>IF(
 COUNTIFS(Channel_Listings!$D:$D,$A348,Channel_Listings!$A:$A,"Meesho",Channel_Listings!$E:$E,"Live")&gt;0,"Live",
 IF(COUNTIFS(Channel_Listings!$D:$D,$A348,Channel_Listings!$A:$A,"Meesho")&gt;0,"Draft","Missing"))
</f>
        <v>Missing</v>
      </c>
    </row>
    <row r="349" ht="15.75" customHeight="1">
      <c r="A349" s="34" t="s">
        <v>806</v>
      </c>
      <c r="B349" s="31" t="str">
        <f>IF(
 COUNTIFS(Channel_Listings!$D:$D,$A349,Channel_Listings!$A:$A,"Amazon",Channel_Listings!$E:$E,"Live")&gt;0,"Live",
 IF(COUNTIFS(Channel_Listings!$D:$D,$A349,Channel_Listings!$A:$A,"Amazon")&gt;0,"Draft","Missing"))
</f>
        <v>Live</v>
      </c>
      <c r="C349" s="31" t="str">
        <f>IF(
 COUNTIFS(Channel_Listings!$D:$D,$A349,Channel_Listings!$A:$A,"Flipkart",Channel_Listings!$E:$E,"Live")&gt;0,"Live",
 IF(COUNTIFS(Channel_Listings!$D:$D,$A349,Channel_Listings!$A:$A,"Flipkart")&gt;0,"Draft","Missing"))
</f>
        <v>Missing</v>
      </c>
      <c r="D349" s="31" t="str">
        <f>IF(
 COUNTIFS(Channel_Listings!$D:$D,$A349,Channel_Listings!$A:$A,"Meesho",Channel_Listings!$E:$E,"Live")&gt;0,"Live",
 IF(COUNTIFS(Channel_Listings!$D:$D,$A349,Channel_Listings!$A:$A,"Meesho")&gt;0,"Draft","Missing"))
</f>
        <v>Missing</v>
      </c>
    </row>
    <row r="350" ht="15.75" customHeight="1">
      <c r="A350" s="34" t="s">
        <v>934</v>
      </c>
      <c r="B350" s="31" t="str">
        <f>IF(
 COUNTIFS(Channel_Listings!$D:$D,$A350,Channel_Listings!$A:$A,"Amazon",Channel_Listings!$E:$E,"Live")&gt;0,"Live",
 IF(COUNTIFS(Channel_Listings!$D:$D,$A350,Channel_Listings!$A:$A,"Amazon")&gt;0,"Draft","Missing"))
</f>
        <v>Live</v>
      </c>
      <c r="C350" s="31" t="str">
        <f>IF(
 COUNTIFS(Channel_Listings!$D:$D,$A350,Channel_Listings!$A:$A,"Flipkart",Channel_Listings!$E:$E,"Live")&gt;0,"Live",
 IF(COUNTIFS(Channel_Listings!$D:$D,$A350,Channel_Listings!$A:$A,"Flipkart")&gt;0,"Draft","Missing"))
</f>
        <v>Missing</v>
      </c>
      <c r="D350" s="31" t="str">
        <f>IF(
 COUNTIFS(Channel_Listings!$D:$D,$A350,Channel_Listings!$A:$A,"Meesho",Channel_Listings!$E:$E,"Live")&gt;0,"Live",
 IF(COUNTIFS(Channel_Listings!$D:$D,$A350,Channel_Listings!$A:$A,"Meesho")&gt;0,"Draft","Missing"))
</f>
        <v>Missing</v>
      </c>
    </row>
    <row r="351" ht="15.75" customHeight="1">
      <c r="A351" s="32" t="s">
        <v>995</v>
      </c>
      <c r="B351" s="31" t="str">
        <f>IF(
 COUNTIFS(Channel_Listings!$D:$D,$A351,Channel_Listings!$A:$A,"Amazon",Channel_Listings!$E:$E,"Live")&gt;0,"Live",
 IF(COUNTIFS(Channel_Listings!$D:$D,$A351,Channel_Listings!$A:$A,"Amazon")&gt;0,"Draft","Missing"))
</f>
        <v>Live</v>
      </c>
      <c r="C351" s="31" t="str">
        <f>IF(
 COUNTIFS(Channel_Listings!$D:$D,$A351,Channel_Listings!$A:$A,"Flipkart",Channel_Listings!$E:$E,"Live")&gt;0,"Live",
 IF(COUNTIFS(Channel_Listings!$D:$D,$A351,Channel_Listings!$A:$A,"Flipkart")&gt;0,"Draft","Missing"))
</f>
        <v>Live</v>
      </c>
      <c r="D351" s="31" t="str">
        <f>IF(
 COUNTIFS(Channel_Listings!$D:$D,$A351,Channel_Listings!$A:$A,"Meesho",Channel_Listings!$E:$E,"Live")&gt;0,"Live",
 IF(COUNTIFS(Channel_Listings!$D:$D,$A351,Channel_Listings!$A:$A,"Meesho")&gt;0,"Draft","Missing"))
</f>
        <v>Missing</v>
      </c>
    </row>
    <row r="352" ht="15.75" customHeight="1">
      <c r="A352" s="32" t="s">
        <v>1065</v>
      </c>
      <c r="B352" s="31" t="str">
        <f>IF(
 COUNTIFS(Channel_Listings!$D:$D,$A352,Channel_Listings!$A:$A,"Amazon",Channel_Listings!$E:$E,"Live")&gt;0,"Live",
 IF(COUNTIFS(Channel_Listings!$D:$D,$A352,Channel_Listings!$A:$A,"Amazon")&gt;0,"Draft","Missing"))
</f>
        <v>Live</v>
      </c>
      <c r="C352" s="31" t="str">
        <f>IF(
 COUNTIFS(Channel_Listings!$D:$D,$A352,Channel_Listings!$A:$A,"Flipkart",Channel_Listings!$E:$E,"Live")&gt;0,"Live",
 IF(COUNTIFS(Channel_Listings!$D:$D,$A352,Channel_Listings!$A:$A,"Flipkart")&gt;0,"Draft","Missing"))
</f>
        <v>Missing</v>
      </c>
      <c r="D352" s="31" t="str">
        <f>IF(
 COUNTIFS(Channel_Listings!$D:$D,$A352,Channel_Listings!$A:$A,"Meesho",Channel_Listings!$E:$E,"Live")&gt;0,"Live",
 IF(COUNTIFS(Channel_Listings!$D:$D,$A352,Channel_Listings!$A:$A,"Meesho")&gt;0,"Draft","Missing"))
</f>
        <v>Missing</v>
      </c>
    </row>
    <row r="353" ht="15.75" customHeight="1">
      <c r="A353" s="32" t="s">
        <v>1157</v>
      </c>
      <c r="B353" s="31" t="str">
        <f>IF(
 COUNTIFS(Channel_Listings!$D:$D,$A353,Channel_Listings!$A:$A,"Amazon",Channel_Listings!$E:$E,"Live")&gt;0,"Live",
 IF(COUNTIFS(Channel_Listings!$D:$D,$A353,Channel_Listings!$A:$A,"Amazon")&gt;0,"Draft","Missing"))
</f>
        <v>Live</v>
      </c>
      <c r="C353" s="31" t="str">
        <f>IF(
 COUNTIFS(Channel_Listings!$D:$D,$A353,Channel_Listings!$A:$A,"Flipkart",Channel_Listings!$E:$E,"Live")&gt;0,"Live",
 IF(COUNTIFS(Channel_Listings!$D:$D,$A353,Channel_Listings!$A:$A,"Flipkart")&gt;0,"Draft","Missing"))
</f>
        <v>Missing</v>
      </c>
      <c r="D353" s="31" t="str">
        <f>IF(
 COUNTIFS(Channel_Listings!$D:$D,$A353,Channel_Listings!$A:$A,"Meesho",Channel_Listings!$E:$E,"Live")&gt;0,"Live",
 IF(COUNTIFS(Channel_Listings!$D:$D,$A353,Channel_Listings!$A:$A,"Meesho")&gt;0,"Draft","Missing"))
</f>
        <v>Missing</v>
      </c>
    </row>
    <row r="354" ht="15.75" customHeight="1">
      <c r="A354" s="34" t="s">
        <v>1161</v>
      </c>
      <c r="B354" s="31" t="str">
        <f>IF(
 COUNTIFS(Channel_Listings!$D:$D,$A354,Channel_Listings!$A:$A,"Amazon",Channel_Listings!$E:$E,"Live")&gt;0,"Live",
 IF(COUNTIFS(Channel_Listings!$D:$D,$A354,Channel_Listings!$A:$A,"Amazon")&gt;0,"Draft","Missing"))
</f>
        <v>Live</v>
      </c>
      <c r="C354" s="31" t="str">
        <f>IF(
 COUNTIFS(Channel_Listings!$D:$D,$A354,Channel_Listings!$A:$A,"Flipkart",Channel_Listings!$E:$E,"Live")&gt;0,"Live",
 IF(COUNTIFS(Channel_Listings!$D:$D,$A354,Channel_Listings!$A:$A,"Flipkart")&gt;0,"Draft","Missing"))
</f>
        <v>Missing</v>
      </c>
      <c r="D354" s="31" t="str">
        <f>IF(
 COUNTIFS(Channel_Listings!$D:$D,$A354,Channel_Listings!$A:$A,"Meesho",Channel_Listings!$E:$E,"Live")&gt;0,"Live",
 IF(COUNTIFS(Channel_Listings!$D:$D,$A354,Channel_Listings!$A:$A,"Meesho")&gt;0,"Draft","Missing"))
</f>
        <v>Missing</v>
      </c>
    </row>
    <row r="355" ht="15.75" customHeight="1">
      <c r="A355" s="34" t="s">
        <v>471</v>
      </c>
      <c r="B355" s="31" t="str">
        <f>IF(
 COUNTIFS(Channel_Listings!$D:$D,$A355,Channel_Listings!$A:$A,"Amazon",Channel_Listings!$E:$E,"Live")&gt;0,"Live",
 IF(COUNTIFS(Channel_Listings!$D:$D,$A355,Channel_Listings!$A:$A,"Amazon")&gt;0,"Draft","Missing"))
</f>
        <v>Live</v>
      </c>
      <c r="C355" s="31" t="str">
        <f>IF(
 COUNTIFS(Channel_Listings!$D:$D,$A355,Channel_Listings!$A:$A,"Flipkart",Channel_Listings!$E:$E,"Live")&gt;0,"Live",
 IF(COUNTIFS(Channel_Listings!$D:$D,$A355,Channel_Listings!$A:$A,"Flipkart")&gt;0,"Draft","Missing"))
</f>
        <v>Missing</v>
      </c>
      <c r="D355" s="31" t="str">
        <f>IF(
 COUNTIFS(Channel_Listings!$D:$D,$A355,Channel_Listings!$A:$A,"Meesho",Channel_Listings!$E:$E,"Live")&gt;0,"Live",
 IF(COUNTIFS(Channel_Listings!$D:$D,$A355,Channel_Listings!$A:$A,"Meesho")&gt;0,"Draft","Missing"))
</f>
        <v>Missing</v>
      </c>
    </row>
    <row r="356" ht="15.75" customHeight="1">
      <c r="A356" s="36" t="s">
        <v>652</v>
      </c>
      <c r="B356" s="31" t="str">
        <f>IF(
 COUNTIFS(Channel_Listings!$D:$D,$A356,Channel_Listings!$A:$A,"Amazon",Channel_Listings!$E:$E,"Live")&gt;0,"Live",
 IF(COUNTIFS(Channel_Listings!$D:$D,$A356,Channel_Listings!$A:$A,"Amazon")&gt;0,"Draft","Missing"))
</f>
        <v>Live</v>
      </c>
      <c r="C356" s="31" t="str">
        <f>IF(
 COUNTIFS(Channel_Listings!$D:$D,$A356,Channel_Listings!$A:$A,"Flipkart",Channel_Listings!$E:$E,"Live")&gt;0,"Live",
 IF(COUNTIFS(Channel_Listings!$D:$D,$A356,Channel_Listings!$A:$A,"Flipkart")&gt;0,"Draft","Missing"))
</f>
        <v>Live</v>
      </c>
      <c r="D356" s="31" t="str">
        <f>IF(
 COUNTIFS(Channel_Listings!$D:$D,$A356,Channel_Listings!$A:$A,"Meesho",Channel_Listings!$E:$E,"Live")&gt;0,"Live",
 IF(COUNTIFS(Channel_Listings!$D:$D,$A356,Channel_Listings!$A:$A,"Meesho")&gt;0,"Draft","Missing"))
</f>
        <v>Missing</v>
      </c>
    </row>
    <row r="357" ht="15.75" customHeight="1">
      <c r="A357" s="36" t="s">
        <v>654</v>
      </c>
      <c r="B357" s="31" t="str">
        <f>IF(
 COUNTIFS(Channel_Listings!$D:$D,$A357,Channel_Listings!$A:$A,"Amazon",Channel_Listings!$E:$E,"Live")&gt;0,"Live",
 IF(COUNTIFS(Channel_Listings!$D:$D,$A357,Channel_Listings!$A:$A,"Amazon")&gt;0,"Draft","Missing"))
</f>
        <v>Live</v>
      </c>
      <c r="C357" s="31" t="str">
        <f>IF(
 COUNTIFS(Channel_Listings!$D:$D,$A357,Channel_Listings!$A:$A,"Flipkart",Channel_Listings!$E:$E,"Live")&gt;0,"Live",
 IF(COUNTIFS(Channel_Listings!$D:$D,$A357,Channel_Listings!$A:$A,"Flipkart")&gt;0,"Draft","Missing"))
</f>
        <v>Live</v>
      </c>
      <c r="D357" s="31" t="str">
        <f>IF(
 COUNTIFS(Channel_Listings!$D:$D,$A357,Channel_Listings!$A:$A,"Meesho",Channel_Listings!$E:$E,"Live")&gt;0,"Live",
 IF(COUNTIFS(Channel_Listings!$D:$D,$A357,Channel_Listings!$A:$A,"Meesho")&gt;0,"Draft","Missing"))
</f>
        <v>Missing</v>
      </c>
    </row>
    <row r="358" ht="15.75" customHeight="1">
      <c r="A358" s="36" t="s">
        <v>656</v>
      </c>
      <c r="B358" s="31" t="str">
        <f>IF(
 COUNTIFS(Channel_Listings!$D:$D,$A358,Channel_Listings!$A:$A,"Amazon",Channel_Listings!$E:$E,"Live")&gt;0,"Live",
 IF(COUNTIFS(Channel_Listings!$D:$D,$A358,Channel_Listings!$A:$A,"Amazon")&gt;0,"Draft","Missing"))
</f>
        <v>Live</v>
      </c>
      <c r="C358" s="31" t="str">
        <f>IF(
 COUNTIFS(Channel_Listings!$D:$D,$A358,Channel_Listings!$A:$A,"Flipkart",Channel_Listings!$E:$E,"Live")&gt;0,"Live",
 IF(COUNTIFS(Channel_Listings!$D:$D,$A358,Channel_Listings!$A:$A,"Flipkart")&gt;0,"Draft","Missing"))
</f>
        <v>Missing</v>
      </c>
      <c r="D358" s="31" t="str">
        <f>IF(
 COUNTIFS(Channel_Listings!$D:$D,$A358,Channel_Listings!$A:$A,"Meesho",Channel_Listings!$E:$E,"Live")&gt;0,"Live",
 IF(COUNTIFS(Channel_Listings!$D:$D,$A358,Channel_Listings!$A:$A,"Meesho")&gt;0,"Draft","Missing"))
</f>
        <v>Missing</v>
      </c>
    </row>
    <row r="359" ht="15.75" customHeight="1">
      <c r="A359" s="36" t="s">
        <v>658</v>
      </c>
      <c r="B359" s="31" t="str">
        <f>IF(
 COUNTIFS(Channel_Listings!$D:$D,$A359,Channel_Listings!$A:$A,"Amazon",Channel_Listings!$E:$E,"Live")&gt;0,"Live",
 IF(COUNTIFS(Channel_Listings!$D:$D,$A359,Channel_Listings!$A:$A,"Amazon")&gt;0,"Draft","Missing"))
</f>
        <v>Live</v>
      </c>
      <c r="C359" s="31" t="str">
        <f>IF(
 COUNTIFS(Channel_Listings!$D:$D,$A359,Channel_Listings!$A:$A,"Flipkart",Channel_Listings!$E:$E,"Live")&gt;0,"Live",
 IF(COUNTIFS(Channel_Listings!$D:$D,$A359,Channel_Listings!$A:$A,"Flipkart")&gt;0,"Draft","Missing"))
</f>
        <v>Missing</v>
      </c>
      <c r="D359" s="31" t="str">
        <f>IF(
 COUNTIFS(Channel_Listings!$D:$D,$A359,Channel_Listings!$A:$A,"Meesho",Channel_Listings!$E:$E,"Live")&gt;0,"Live",
 IF(COUNTIFS(Channel_Listings!$D:$D,$A359,Channel_Listings!$A:$A,"Meesho")&gt;0,"Draft","Missing"))
</f>
        <v>Missing</v>
      </c>
    </row>
    <row r="360" ht="15.75" customHeight="1">
      <c r="A360" s="36" t="s">
        <v>660</v>
      </c>
      <c r="B360" s="31" t="str">
        <f>IF(
 COUNTIFS(Channel_Listings!$D:$D,$A360,Channel_Listings!$A:$A,"Amazon",Channel_Listings!$E:$E,"Live")&gt;0,"Live",
 IF(COUNTIFS(Channel_Listings!$D:$D,$A360,Channel_Listings!$A:$A,"Amazon")&gt;0,"Draft","Missing"))
</f>
        <v>Live</v>
      </c>
      <c r="C360" s="31" t="str">
        <f>IF(
 COUNTIFS(Channel_Listings!$D:$D,$A360,Channel_Listings!$A:$A,"Flipkart",Channel_Listings!$E:$E,"Live")&gt;0,"Live",
 IF(COUNTIFS(Channel_Listings!$D:$D,$A360,Channel_Listings!$A:$A,"Flipkart")&gt;0,"Draft","Missing"))
</f>
        <v>Live</v>
      </c>
      <c r="D360" s="31" t="str">
        <f>IF(
 COUNTIFS(Channel_Listings!$D:$D,$A360,Channel_Listings!$A:$A,"Meesho",Channel_Listings!$E:$E,"Live")&gt;0,"Live",
 IF(COUNTIFS(Channel_Listings!$D:$D,$A360,Channel_Listings!$A:$A,"Meesho")&gt;0,"Draft","Missing"))
</f>
        <v>Missing</v>
      </c>
    </row>
    <row r="361" ht="15.75" customHeight="1">
      <c r="A361" s="36" t="s">
        <v>662</v>
      </c>
      <c r="B361" s="31" t="str">
        <f>IF(
 COUNTIFS(Channel_Listings!$D:$D,$A361,Channel_Listings!$A:$A,"Amazon",Channel_Listings!$E:$E,"Live")&gt;0,"Live",
 IF(COUNTIFS(Channel_Listings!$D:$D,$A361,Channel_Listings!$A:$A,"Amazon")&gt;0,"Draft","Missing"))
</f>
        <v>Live</v>
      </c>
      <c r="C361" s="31" t="str">
        <f>IF(
 COUNTIFS(Channel_Listings!$D:$D,$A361,Channel_Listings!$A:$A,"Flipkart",Channel_Listings!$E:$E,"Live")&gt;0,"Live",
 IF(COUNTIFS(Channel_Listings!$D:$D,$A361,Channel_Listings!$A:$A,"Flipkart")&gt;0,"Draft","Missing"))
</f>
        <v>Live</v>
      </c>
      <c r="D361" s="31" t="str">
        <f>IF(
 COUNTIFS(Channel_Listings!$D:$D,$A361,Channel_Listings!$A:$A,"Meesho",Channel_Listings!$E:$E,"Live")&gt;0,"Live",
 IF(COUNTIFS(Channel_Listings!$D:$D,$A361,Channel_Listings!$A:$A,"Meesho")&gt;0,"Draft","Missing"))
</f>
        <v>Missing</v>
      </c>
    </row>
    <row r="362" ht="15.75" customHeight="1">
      <c r="A362" s="36" t="s">
        <v>664</v>
      </c>
      <c r="B362" s="31" t="str">
        <f>IF(
 COUNTIFS(Channel_Listings!$D:$D,$A362,Channel_Listings!$A:$A,"Amazon",Channel_Listings!$E:$E,"Live")&gt;0,"Live",
 IF(COUNTIFS(Channel_Listings!$D:$D,$A362,Channel_Listings!$A:$A,"Amazon")&gt;0,"Draft","Missing"))
</f>
        <v>Live</v>
      </c>
      <c r="C362" s="31" t="str">
        <f>IF(
 COUNTIFS(Channel_Listings!$D:$D,$A362,Channel_Listings!$A:$A,"Flipkart",Channel_Listings!$E:$E,"Live")&gt;0,"Live",
 IF(COUNTIFS(Channel_Listings!$D:$D,$A362,Channel_Listings!$A:$A,"Flipkart")&gt;0,"Draft","Missing"))
</f>
        <v>Live</v>
      </c>
      <c r="D362" s="31" t="str">
        <f>IF(
 COUNTIFS(Channel_Listings!$D:$D,$A362,Channel_Listings!$A:$A,"Meesho",Channel_Listings!$E:$E,"Live")&gt;0,"Live",
 IF(COUNTIFS(Channel_Listings!$D:$D,$A362,Channel_Listings!$A:$A,"Meesho")&gt;0,"Draft","Missing"))
</f>
        <v>Missing</v>
      </c>
    </row>
    <row r="363" ht="15.75" customHeight="1">
      <c r="A363" s="36" t="s">
        <v>666</v>
      </c>
      <c r="B363" s="31" t="str">
        <f>IF(
 COUNTIFS(Channel_Listings!$D:$D,$A363,Channel_Listings!$A:$A,"Amazon",Channel_Listings!$E:$E,"Live")&gt;0,"Live",
 IF(COUNTIFS(Channel_Listings!$D:$D,$A363,Channel_Listings!$A:$A,"Amazon")&gt;0,"Draft","Missing"))
</f>
        <v>Live</v>
      </c>
      <c r="C363" s="31" t="str">
        <f>IF(
 COUNTIFS(Channel_Listings!$D:$D,$A363,Channel_Listings!$A:$A,"Flipkart",Channel_Listings!$E:$E,"Live")&gt;0,"Live",
 IF(COUNTIFS(Channel_Listings!$D:$D,$A363,Channel_Listings!$A:$A,"Flipkart")&gt;0,"Draft","Missing"))
</f>
        <v>Live</v>
      </c>
      <c r="D363" s="31" t="str">
        <f>IF(
 COUNTIFS(Channel_Listings!$D:$D,$A363,Channel_Listings!$A:$A,"Meesho",Channel_Listings!$E:$E,"Live")&gt;0,"Live",
 IF(COUNTIFS(Channel_Listings!$D:$D,$A363,Channel_Listings!$A:$A,"Meesho")&gt;0,"Draft","Missing"))
</f>
        <v>Missing</v>
      </c>
    </row>
    <row r="364" ht="15.75" customHeight="1">
      <c r="A364" s="36" t="s">
        <v>668</v>
      </c>
      <c r="B364" s="31" t="str">
        <f>IF(
 COUNTIFS(Channel_Listings!$D:$D,$A364,Channel_Listings!$A:$A,"Amazon",Channel_Listings!$E:$E,"Live")&gt;0,"Live",
 IF(COUNTIFS(Channel_Listings!$D:$D,$A364,Channel_Listings!$A:$A,"Amazon")&gt;0,"Draft","Missing"))
</f>
        <v>Live</v>
      </c>
      <c r="C364" s="31" t="str">
        <f>IF(
 COUNTIFS(Channel_Listings!$D:$D,$A364,Channel_Listings!$A:$A,"Flipkart",Channel_Listings!$E:$E,"Live")&gt;0,"Live",
 IF(COUNTIFS(Channel_Listings!$D:$D,$A364,Channel_Listings!$A:$A,"Flipkart")&gt;0,"Draft","Missing"))
</f>
        <v>Live</v>
      </c>
      <c r="D364" s="31" t="str">
        <f>IF(
 COUNTIFS(Channel_Listings!$D:$D,$A364,Channel_Listings!$A:$A,"Meesho",Channel_Listings!$E:$E,"Live")&gt;0,"Live",
 IF(COUNTIFS(Channel_Listings!$D:$D,$A364,Channel_Listings!$A:$A,"Meesho")&gt;0,"Draft","Missing"))
</f>
        <v>Missing</v>
      </c>
    </row>
    <row r="365" ht="15.75" customHeight="1">
      <c r="A365" s="36" t="s">
        <v>670</v>
      </c>
      <c r="B365" s="31" t="str">
        <f>IF(
 COUNTIFS(Channel_Listings!$D:$D,$A365,Channel_Listings!$A:$A,"Amazon",Channel_Listings!$E:$E,"Live")&gt;0,"Live",
 IF(COUNTIFS(Channel_Listings!$D:$D,$A365,Channel_Listings!$A:$A,"Amazon")&gt;0,"Draft","Missing"))
</f>
        <v>Live</v>
      </c>
      <c r="C365" s="31" t="str">
        <f>IF(
 COUNTIFS(Channel_Listings!$D:$D,$A365,Channel_Listings!$A:$A,"Flipkart",Channel_Listings!$E:$E,"Live")&gt;0,"Live",
 IF(COUNTIFS(Channel_Listings!$D:$D,$A365,Channel_Listings!$A:$A,"Flipkart")&gt;0,"Draft","Missing"))
</f>
        <v>Live</v>
      </c>
      <c r="D365" s="31" t="str">
        <f>IF(
 COUNTIFS(Channel_Listings!$D:$D,$A365,Channel_Listings!$A:$A,"Meesho",Channel_Listings!$E:$E,"Live")&gt;0,"Live",
 IF(COUNTIFS(Channel_Listings!$D:$D,$A365,Channel_Listings!$A:$A,"Meesho")&gt;0,"Draft","Missing"))
</f>
        <v>Missing</v>
      </c>
    </row>
    <row r="366" ht="15.75" customHeight="1">
      <c r="A366" s="36" t="s">
        <v>672</v>
      </c>
      <c r="B366" s="31" t="str">
        <f>IF(
 COUNTIFS(Channel_Listings!$D:$D,$A366,Channel_Listings!$A:$A,"Amazon",Channel_Listings!$E:$E,"Live")&gt;0,"Live",
 IF(COUNTIFS(Channel_Listings!$D:$D,$A366,Channel_Listings!$A:$A,"Amazon")&gt;0,"Draft","Missing"))
</f>
        <v>Live</v>
      </c>
      <c r="C366" s="31" t="str">
        <f>IF(
 COUNTIFS(Channel_Listings!$D:$D,$A366,Channel_Listings!$A:$A,"Flipkart",Channel_Listings!$E:$E,"Live")&gt;0,"Live",
 IF(COUNTIFS(Channel_Listings!$D:$D,$A366,Channel_Listings!$A:$A,"Flipkart")&gt;0,"Draft","Missing"))
</f>
        <v>Missing</v>
      </c>
      <c r="D366" s="31" t="str">
        <f>IF(
 COUNTIFS(Channel_Listings!$D:$D,$A366,Channel_Listings!$A:$A,"Meesho",Channel_Listings!$E:$E,"Live")&gt;0,"Live",
 IF(COUNTIFS(Channel_Listings!$D:$D,$A366,Channel_Listings!$A:$A,"Meesho")&gt;0,"Draft","Missing"))
</f>
        <v>Missing</v>
      </c>
    </row>
    <row r="367" ht="15.75" customHeight="1">
      <c r="A367" s="36" t="s">
        <v>675</v>
      </c>
      <c r="B367" s="31" t="str">
        <f>IF(
 COUNTIFS(Channel_Listings!$D:$D,$A367,Channel_Listings!$A:$A,"Amazon",Channel_Listings!$E:$E,"Live")&gt;0,"Live",
 IF(COUNTIFS(Channel_Listings!$D:$D,$A367,Channel_Listings!$A:$A,"Amazon")&gt;0,"Draft","Missing"))
</f>
        <v>Live</v>
      </c>
      <c r="C367" s="31" t="str">
        <f>IF(
 COUNTIFS(Channel_Listings!$D:$D,$A367,Channel_Listings!$A:$A,"Flipkart",Channel_Listings!$E:$E,"Live")&gt;0,"Live",
 IF(COUNTIFS(Channel_Listings!$D:$D,$A367,Channel_Listings!$A:$A,"Flipkart")&gt;0,"Draft","Missing"))
</f>
        <v>Missing</v>
      </c>
      <c r="D367" s="31" t="str">
        <f>IF(
 COUNTIFS(Channel_Listings!$D:$D,$A367,Channel_Listings!$A:$A,"Meesho",Channel_Listings!$E:$E,"Live")&gt;0,"Live",
 IF(COUNTIFS(Channel_Listings!$D:$D,$A367,Channel_Listings!$A:$A,"Meesho")&gt;0,"Draft","Missing"))
</f>
        <v>Missing</v>
      </c>
    </row>
    <row r="368" ht="15.75" customHeight="1">
      <c r="A368" s="36" t="s">
        <v>677</v>
      </c>
      <c r="B368" s="31" t="str">
        <f>IF(
 COUNTIFS(Channel_Listings!$D:$D,$A368,Channel_Listings!$A:$A,"Amazon",Channel_Listings!$E:$E,"Live")&gt;0,"Live",
 IF(COUNTIFS(Channel_Listings!$D:$D,$A368,Channel_Listings!$A:$A,"Amazon")&gt;0,"Draft","Missing"))
</f>
        <v>Live</v>
      </c>
      <c r="C368" s="31" t="str">
        <f>IF(
 COUNTIFS(Channel_Listings!$D:$D,$A368,Channel_Listings!$A:$A,"Flipkart",Channel_Listings!$E:$E,"Live")&gt;0,"Live",
 IF(COUNTIFS(Channel_Listings!$D:$D,$A368,Channel_Listings!$A:$A,"Flipkart")&gt;0,"Draft","Missing"))
</f>
        <v>Live</v>
      </c>
      <c r="D368" s="31" t="str">
        <f>IF(
 COUNTIFS(Channel_Listings!$D:$D,$A368,Channel_Listings!$A:$A,"Meesho",Channel_Listings!$E:$E,"Live")&gt;0,"Live",
 IF(COUNTIFS(Channel_Listings!$D:$D,$A368,Channel_Listings!$A:$A,"Meesho")&gt;0,"Draft","Missing"))
</f>
        <v>Missing</v>
      </c>
    </row>
    <row r="369" ht="15.75" customHeight="1">
      <c r="A369" s="36" t="s">
        <v>679</v>
      </c>
      <c r="B369" s="31" t="str">
        <f>IF(
 COUNTIFS(Channel_Listings!$D:$D,$A369,Channel_Listings!$A:$A,"Amazon",Channel_Listings!$E:$E,"Live")&gt;0,"Live",
 IF(COUNTIFS(Channel_Listings!$D:$D,$A369,Channel_Listings!$A:$A,"Amazon")&gt;0,"Draft","Missing"))
</f>
        <v>Live</v>
      </c>
      <c r="C369" s="31" t="str">
        <f>IF(
 COUNTIFS(Channel_Listings!$D:$D,$A369,Channel_Listings!$A:$A,"Flipkart",Channel_Listings!$E:$E,"Live")&gt;0,"Live",
 IF(COUNTIFS(Channel_Listings!$D:$D,$A369,Channel_Listings!$A:$A,"Flipkart")&gt;0,"Draft","Missing"))
</f>
        <v>Live</v>
      </c>
      <c r="D369" s="31" t="str">
        <f>IF(
 COUNTIFS(Channel_Listings!$D:$D,$A369,Channel_Listings!$A:$A,"Meesho",Channel_Listings!$E:$E,"Live")&gt;0,"Live",
 IF(COUNTIFS(Channel_Listings!$D:$D,$A369,Channel_Listings!$A:$A,"Meesho")&gt;0,"Draft","Missing"))
</f>
        <v>Missing</v>
      </c>
    </row>
    <row r="370" ht="15.75" customHeight="1">
      <c r="A370" s="36" t="s">
        <v>681</v>
      </c>
      <c r="B370" s="31" t="str">
        <f>IF(
 COUNTIFS(Channel_Listings!$D:$D,$A370,Channel_Listings!$A:$A,"Amazon",Channel_Listings!$E:$E,"Live")&gt;0,"Live",
 IF(COUNTIFS(Channel_Listings!$D:$D,$A370,Channel_Listings!$A:$A,"Amazon")&gt;0,"Draft","Missing"))
</f>
        <v>Live</v>
      </c>
      <c r="C370" s="31" t="str">
        <f>IF(
 COUNTIFS(Channel_Listings!$D:$D,$A370,Channel_Listings!$A:$A,"Flipkart",Channel_Listings!$E:$E,"Live")&gt;0,"Live",
 IF(COUNTIFS(Channel_Listings!$D:$D,$A370,Channel_Listings!$A:$A,"Flipkart")&gt;0,"Draft","Missing"))
</f>
        <v>Live</v>
      </c>
      <c r="D370" s="31" t="str">
        <f>IF(
 COUNTIFS(Channel_Listings!$D:$D,$A370,Channel_Listings!$A:$A,"Meesho",Channel_Listings!$E:$E,"Live")&gt;0,"Live",
 IF(COUNTIFS(Channel_Listings!$D:$D,$A370,Channel_Listings!$A:$A,"Meesho")&gt;0,"Draft","Missing"))
</f>
        <v>Missing</v>
      </c>
    </row>
    <row r="371" ht="15.75" customHeight="1">
      <c r="A371" s="36" t="s">
        <v>683</v>
      </c>
      <c r="B371" s="31" t="str">
        <f>IF(
 COUNTIFS(Channel_Listings!$D:$D,$A371,Channel_Listings!$A:$A,"Amazon",Channel_Listings!$E:$E,"Live")&gt;0,"Live",
 IF(COUNTIFS(Channel_Listings!$D:$D,$A371,Channel_Listings!$A:$A,"Amazon")&gt;0,"Draft","Missing"))
</f>
        <v>Live</v>
      </c>
      <c r="C371" s="31" t="str">
        <f>IF(
 COUNTIFS(Channel_Listings!$D:$D,$A371,Channel_Listings!$A:$A,"Flipkart",Channel_Listings!$E:$E,"Live")&gt;0,"Live",
 IF(COUNTIFS(Channel_Listings!$D:$D,$A371,Channel_Listings!$A:$A,"Flipkart")&gt;0,"Draft","Missing"))
</f>
        <v>Live</v>
      </c>
      <c r="D371" s="31" t="str">
        <f>IF(
 COUNTIFS(Channel_Listings!$D:$D,$A371,Channel_Listings!$A:$A,"Meesho",Channel_Listings!$E:$E,"Live")&gt;0,"Live",
 IF(COUNTIFS(Channel_Listings!$D:$D,$A371,Channel_Listings!$A:$A,"Meesho")&gt;0,"Draft","Missing"))
</f>
        <v>Missing</v>
      </c>
    </row>
    <row r="372" ht="15.75" customHeight="1">
      <c r="A372" s="36" t="s">
        <v>685</v>
      </c>
      <c r="B372" s="31" t="str">
        <f>IF(
 COUNTIFS(Channel_Listings!$D:$D,$A372,Channel_Listings!$A:$A,"Amazon",Channel_Listings!$E:$E,"Live")&gt;0,"Live",
 IF(COUNTIFS(Channel_Listings!$D:$D,$A372,Channel_Listings!$A:$A,"Amazon")&gt;0,"Draft","Missing"))
</f>
        <v>Live</v>
      </c>
      <c r="C372" s="31" t="str">
        <f>IF(
 COUNTIFS(Channel_Listings!$D:$D,$A372,Channel_Listings!$A:$A,"Flipkart",Channel_Listings!$E:$E,"Live")&gt;0,"Live",
 IF(COUNTIFS(Channel_Listings!$D:$D,$A372,Channel_Listings!$A:$A,"Flipkart")&gt;0,"Draft","Missing"))
</f>
        <v>Missing</v>
      </c>
      <c r="D372" s="31" t="str">
        <f>IF(
 COUNTIFS(Channel_Listings!$D:$D,$A372,Channel_Listings!$A:$A,"Meesho",Channel_Listings!$E:$E,"Live")&gt;0,"Live",
 IF(COUNTIFS(Channel_Listings!$D:$D,$A372,Channel_Listings!$A:$A,"Meesho")&gt;0,"Draft","Missing"))
</f>
        <v>Missing</v>
      </c>
    </row>
    <row r="373" ht="15.75" customHeight="1">
      <c r="A373" s="36" t="s">
        <v>687</v>
      </c>
      <c r="B373" s="31" t="str">
        <f>IF(
 COUNTIFS(Channel_Listings!$D:$D,$A373,Channel_Listings!$A:$A,"Amazon",Channel_Listings!$E:$E,"Live")&gt;0,"Live",
 IF(COUNTIFS(Channel_Listings!$D:$D,$A373,Channel_Listings!$A:$A,"Amazon")&gt;0,"Draft","Missing"))
</f>
        <v>Live</v>
      </c>
      <c r="C373" s="31" t="str">
        <f>IF(
 COUNTIFS(Channel_Listings!$D:$D,$A373,Channel_Listings!$A:$A,"Flipkart",Channel_Listings!$E:$E,"Live")&gt;0,"Live",
 IF(COUNTIFS(Channel_Listings!$D:$D,$A373,Channel_Listings!$A:$A,"Flipkart")&gt;0,"Draft","Missing"))
</f>
        <v>Live</v>
      </c>
      <c r="D373" s="31" t="str">
        <f>IF(
 COUNTIFS(Channel_Listings!$D:$D,$A373,Channel_Listings!$A:$A,"Meesho",Channel_Listings!$E:$E,"Live")&gt;0,"Live",
 IF(COUNTIFS(Channel_Listings!$D:$D,$A373,Channel_Listings!$A:$A,"Meesho")&gt;0,"Draft","Missing"))
</f>
        <v>Missing</v>
      </c>
    </row>
    <row r="374" ht="15.75" customHeight="1">
      <c r="A374" s="37" t="s">
        <v>689</v>
      </c>
      <c r="B374" s="31" t="str">
        <f>IF(
 COUNTIFS(Channel_Listings!$D:$D,$A374,Channel_Listings!$A:$A,"Amazon",Channel_Listings!$E:$E,"Live")&gt;0,"Live",
 IF(COUNTIFS(Channel_Listings!$D:$D,$A374,Channel_Listings!$A:$A,"Amazon")&gt;0,"Draft","Missing"))
</f>
        <v>Live</v>
      </c>
      <c r="C374" s="31" t="str">
        <f>IF(
 COUNTIFS(Channel_Listings!$D:$D,$A374,Channel_Listings!$A:$A,"Flipkart",Channel_Listings!$E:$E,"Live")&gt;0,"Live",
 IF(COUNTIFS(Channel_Listings!$D:$D,$A374,Channel_Listings!$A:$A,"Flipkart")&gt;0,"Draft","Missing"))
</f>
        <v>Live</v>
      </c>
      <c r="D374" s="31" t="str">
        <f>IF(
 COUNTIFS(Channel_Listings!$D:$D,$A374,Channel_Listings!$A:$A,"Meesho",Channel_Listings!$E:$E,"Live")&gt;0,"Live",
 IF(COUNTIFS(Channel_Listings!$D:$D,$A374,Channel_Listings!$A:$A,"Meesho")&gt;0,"Draft","Missing"))
</f>
        <v>Missing</v>
      </c>
    </row>
    <row r="375" ht="15.75" customHeight="1">
      <c r="A375" s="36" t="s">
        <v>691</v>
      </c>
      <c r="B375" s="31" t="str">
        <f>IF(
 COUNTIFS(Channel_Listings!$D:$D,$A375,Channel_Listings!$A:$A,"Amazon",Channel_Listings!$E:$E,"Live")&gt;0,"Live",
 IF(COUNTIFS(Channel_Listings!$D:$D,$A375,Channel_Listings!$A:$A,"Amazon")&gt;0,"Draft","Missing"))
</f>
        <v>Live</v>
      </c>
      <c r="C375" s="31" t="str">
        <f>IF(
 COUNTIFS(Channel_Listings!$D:$D,$A375,Channel_Listings!$A:$A,"Flipkart",Channel_Listings!$E:$E,"Live")&gt;0,"Live",
 IF(COUNTIFS(Channel_Listings!$D:$D,$A375,Channel_Listings!$A:$A,"Flipkart")&gt;0,"Draft","Missing"))
</f>
        <v>Live</v>
      </c>
      <c r="D375" s="31" t="str">
        <f>IF(
 COUNTIFS(Channel_Listings!$D:$D,$A375,Channel_Listings!$A:$A,"Meesho",Channel_Listings!$E:$E,"Live")&gt;0,"Live",
 IF(COUNTIFS(Channel_Listings!$D:$D,$A375,Channel_Listings!$A:$A,"Meesho")&gt;0,"Draft","Missing"))
</f>
        <v>Missing</v>
      </c>
    </row>
    <row r="376" ht="15.75" customHeight="1">
      <c r="A376" s="36" t="s">
        <v>693</v>
      </c>
      <c r="B376" s="31" t="str">
        <f>IF(
 COUNTIFS(Channel_Listings!$D:$D,$A376,Channel_Listings!$A:$A,"Amazon",Channel_Listings!$E:$E,"Live")&gt;0,"Live",
 IF(COUNTIFS(Channel_Listings!$D:$D,$A376,Channel_Listings!$A:$A,"Amazon")&gt;0,"Draft","Missing"))
</f>
        <v>Live</v>
      </c>
      <c r="C376" s="31" t="str">
        <f>IF(
 COUNTIFS(Channel_Listings!$D:$D,$A376,Channel_Listings!$A:$A,"Flipkart",Channel_Listings!$E:$E,"Live")&gt;0,"Live",
 IF(COUNTIFS(Channel_Listings!$D:$D,$A376,Channel_Listings!$A:$A,"Flipkart")&gt;0,"Draft","Missing"))
</f>
        <v>Missing</v>
      </c>
      <c r="D376" s="31" t="str">
        <f>IF(
 COUNTIFS(Channel_Listings!$D:$D,$A376,Channel_Listings!$A:$A,"Meesho",Channel_Listings!$E:$E,"Live")&gt;0,"Live",
 IF(COUNTIFS(Channel_Listings!$D:$D,$A376,Channel_Listings!$A:$A,"Meesho")&gt;0,"Draft","Missing"))
</f>
        <v>Missing</v>
      </c>
    </row>
    <row r="377" ht="15.75" customHeight="1">
      <c r="A377" s="36" t="s">
        <v>695</v>
      </c>
      <c r="B377" s="31" t="str">
        <f>IF(
 COUNTIFS(Channel_Listings!$D:$D,$A377,Channel_Listings!$A:$A,"Amazon",Channel_Listings!$E:$E,"Live")&gt;0,"Live",
 IF(COUNTIFS(Channel_Listings!$D:$D,$A377,Channel_Listings!$A:$A,"Amazon")&gt;0,"Draft","Missing"))
</f>
        <v>Live</v>
      </c>
      <c r="C377" s="31" t="str">
        <f>IF(
 COUNTIFS(Channel_Listings!$D:$D,$A377,Channel_Listings!$A:$A,"Flipkart",Channel_Listings!$E:$E,"Live")&gt;0,"Live",
 IF(COUNTIFS(Channel_Listings!$D:$D,$A377,Channel_Listings!$A:$A,"Flipkart")&gt;0,"Draft","Missing"))
</f>
        <v>Missing</v>
      </c>
      <c r="D377" s="31" t="str">
        <f>IF(
 COUNTIFS(Channel_Listings!$D:$D,$A377,Channel_Listings!$A:$A,"Meesho",Channel_Listings!$E:$E,"Live")&gt;0,"Live",
 IF(COUNTIFS(Channel_Listings!$D:$D,$A377,Channel_Listings!$A:$A,"Meesho")&gt;0,"Draft","Missing"))
</f>
        <v>Missing</v>
      </c>
    </row>
    <row r="378" ht="15.75" customHeight="1">
      <c r="A378" s="36" t="s">
        <v>697</v>
      </c>
      <c r="B378" s="31" t="str">
        <f>IF(
 COUNTIFS(Channel_Listings!$D:$D,$A378,Channel_Listings!$A:$A,"Amazon",Channel_Listings!$E:$E,"Live")&gt;0,"Live",
 IF(COUNTIFS(Channel_Listings!$D:$D,$A378,Channel_Listings!$A:$A,"Amazon")&gt;0,"Draft","Missing"))
</f>
        <v>Live</v>
      </c>
      <c r="C378" s="31" t="str">
        <f>IF(
 COUNTIFS(Channel_Listings!$D:$D,$A378,Channel_Listings!$A:$A,"Flipkart",Channel_Listings!$E:$E,"Live")&gt;0,"Live",
 IF(COUNTIFS(Channel_Listings!$D:$D,$A378,Channel_Listings!$A:$A,"Flipkart")&gt;0,"Draft","Missing"))
</f>
        <v>Missing</v>
      </c>
      <c r="D378" s="31" t="str">
        <f>IF(
 COUNTIFS(Channel_Listings!$D:$D,$A378,Channel_Listings!$A:$A,"Meesho",Channel_Listings!$E:$E,"Live")&gt;0,"Live",
 IF(COUNTIFS(Channel_Listings!$D:$D,$A378,Channel_Listings!$A:$A,"Meesho")&gt;0,"Draft","Missing"))
</f>
        <v>Missing</v>
      </c>
    </row>
    <row r="379" ht="15.75" customHeight="1">
      <c r="A379" s="36" t="s">
        <v>699</v>
      </c>
      <c r="B379" s="31" t="str">
        <f>IF(
 COUNTIFS(Channel_Listings!$D:$D,$A379,Channel_Listings!$A:$A,"Amazon",Channel_Listings!$E:$E,"Live")&gt;0,"Live",
 IF(COUNTIFS(Channel_Listings!$D:$D,$A379,Channel_Listings!$A:$A,"Amazon")&gt;0,"Draft","Missing"))
</f>
        <v>Live</v>
      </c>
      <c r="C379" s="31" t="str">
        <f>IF(
 COUNTIFS(Channel_Listings!$D:$D,$A379,Channel_Listings!$A:$A,"Flipkart",Channel_Listings!$E:$E,"Live")&gt;0,"Live",
 IF(COUNTIFS(Channel_Listings!$D:$D,$A379,Channel_Listings!$A:$A,"Flipkart")&gt;0,"Draft","Missing"))
</f>
        <v>Missing</v>
      </c>
      <c r="D379" s="31" t="str">
        <f>IF(
 COUNTIFS(Channel_Listings!$D:$D,$A379,Channel_Listings!$A:$A,"Meesho",Channel_Listings!$E:$E,"Live")&gt;0,"Live",
 IF(COUNTIFS(Channel_Listings!$D:$D,$A379,Channel_Listings!$A:$A,"Meesho")&gt;0,"Draft","Missing"))
</f>
        <v>Missing</v>
      </c>
    </row>
    <row r="380" ht="15.75" customHeight="1">
      <c r="A380" s="36" t="s">
        <v>701</v>
      </c>
      <c r="B380" s="31" t="str">
        <f>IF(
 COUNTIFS(Channel_Listings!$D:$D,$A380,Channel_Listings!$A:$A,"Amazon",Channel_Listings!$E:$E,"Live")&gt;0,"Live",
 IF(COUNTIFS(Channel_Listings!$D:$D,$A380,Channel_Listings!$A:$A,"Amazon")&gt;0,"Draft","Missing"))
</f>
        <v>Live</v>
      </c>
      <c r="C380" s="31" t="str">
        <f>IF(
 COUNTIFS(Channel_Listings!$D:$D,$A380,Channel_Listings!$A:$A,"Flipkart",Channel_Listings!$E:$E,"Live")&gt;0,"Live",
 IF(COUNTIFS(Channel_Listings!$D:$D,$A380,Channel_Listings!$A:$A,"Flipkart")&gt;0,"Draft","Missing"))
</f>
        <v>Missing</v>
      </c>
      <c r="D380" s="31" t="str">
        <f>IF(
 COUNTIFS(Channel_Listings!$D:$D,$A380,Channel_Listings!$A:$A,"Meesho",Channel_Listings!$E:$E,"Live")&gt;0,"Live",
 IF(COUNTIFS(Channel_Listings!$D:$D,$A380,Channel_Listings!$A:$A,"Meesho")&gt;0,"Draft","Missing"))
</f>
        <v>Missing</v>
      </c>
    </row>
    <row r="381" ht="15.75" customHeight="1">
      <c r="A381" s="36" t="s">
        <v>703</v>
      </c>
      <c r="B381" s="31" t="str">
        <f>IF(
 COUNTIFS(Channel_Listings!$D:$D,$A381,Channel_Listings!$A:$A,"Amazon",Channel_Listings!$E:$E,"Live")&gt;0,"Live",
 IF(COUNTIFS(Channel_Listings!$D:$D,$A381,Channel_Listings!$A:$A,"Amazon")&gt;0,"Draft","Missing"))
</f>
        <v>Live</v>
      </c>
      <c r="C381" s="31" t="str">
        <f>IF(
 COUNTIFS(Channel_Listings!$D:$D,$A381,Channel_Listings!$A:$A,"Flipkart",Channel_Listings!$E:$E,"Live")&gt;0,"Live",
 IF(COUNTIFS(Channel_Listings!$D:$D,$A381,Channel_Listings!$A:$A,"Flipkart")&gt;0,"Draft","Missing"))
</f>
        <v>Live</v>
      </c>
      <c r="D381" s="31" t="str">
        <f>IF(
 COUNTIFS(Channel_Listings!$D:$D,$A381,Channel_Listings!$A:$A,"Meesho",Channel_Listings!$E:$E,"Live")&gt;0,"Live",
 IF(COUNTIFS(Channel_Listings!$D:$D,$A381,Channel_Listings!$A:$A,"Meesho")&gt;0,"Draft","Missing"))
</f>
        <v>Missing</v>
      </c>
    </row>
    <row r="382" ht="15.75" customHeight="1">
      <c r="A382" s="36" t="s">
        <v>705</v>
      </c>
      <c r="B382" s="31" t="str">
        <f>IF(
 COUNTIFS(Channel_Listings!$D:$D,$A382,Channel_Listings!$A:$A,"Amazon",Channel_Listings!$E:$E,"Live")&gt;0,"Live",
 IF(COUNTIFS(Channel_Listings!$D:$D,$A382,Channel_Listings!$A:$A,"Amazon")&gt;0,"Draft","Missing"))
</f>
        <v>Live</v>
      </c>
      <c r="C382" s="31" t="str">
        <f>IF(
 COUNTIFS(Channel_Listings!$D:$D,$A382,Channel_Listings!$A:$A,"Flipkart",Channel_Listings!$E:$E,"Live")&gt;0,"Live",
 IF(COUNTIFS(Channel_Listings!$D:$D,$A382,Channel_Listings!$A:$A,"Flipkart")&gt;0,"Draft","Missing"))
</f>
        <v>Live</v>
      </c>
      <c r="D382" s="31" t="str">
        <f>IF(
 COUNTIFS(Channel_Listings!$D:$D,$A382,Channel_Listings!$A:$A,"Meesho",Channel_Listings!$E:$E,"Live")&gt;0,"Live",
 IF(COUNTIFS(Channel_Listings!$D:$D,$A382,Channel_Listings!$A:$A,"Meesho")&gt;0,"Draft","Missing"))
</f>
        <v>Missing</v>
      </c>
    </row>
    <row r="383" ht="15.75" customHeight="1">
      <c r="A383" s="36" t="s">
        <v>707</v>
      </c>
      <c r="B383" s="31" t="str">
        <f>IF(
 COUNTIFS(Channel_Listings!$D:$D,$A383,Channel_Listings!$A:$A,"Amazon",Channel_Listings!$E:$E,"Live")&gt;0,"Live",
 IF(COUNTIFS(Channel_Listings!$D:$D,$A383,Channel_Listings!$A:$A,"Amazon")&gt;0,"Draft","Missing"))
</f>
        <v>Live</v>
      </c>
      <c r="C383" s="31" t="str">
        <f>IF(
 COUNTIFS(Channel_Listings!$D:$D,$A383,Channel_Listings!$A:$A,"Flipkart",Channel_Listings!$E:$E,"Live")&gt;0,"Live",
 IF(COUNTIFS(Channel_Listings!$D:$D,$A383,Channel_Listings!$A:$A,"Flipkart")&gt;0,"Draft","Missing"))
</f>
        <v>Missing</v>
      </c>
      <c r="D383" s="31" t="str">
        <f>IF(
 COUNTIFS(Channel_Listings!$D:$D,$A383,Channel_Listings!$A:$A,"Meesho",Channel_Listings!$E:$E,"Live")&gt;0,"Live",
 IF(COUNTIFS(Channel_Listings!$D:$D,$A383,Channel_Listings!$A:$A,"Meesho")&gt;0,"Draft","Missing"))
</f>
        <v>Missing</v>
      </c>
    </row>
    <row r="384" ht="15.75" customHeight="1">
      <c r="A384" s="36" t="s">
        <v>709</v>
      </c>
      <c r="B384" s="31" t="str">
        <f>IF(
 COUNTIFS(Channel_Listings!$D:$D,$A384,Channel_Listings!$A:$A,"Amazon",Channel_Listings!$E:$E,"Live")&gt;0,"Live",
 IF(COUNTIFS(Channel_Listings!$D:$D,$A384,Channel_Listings!$A:$A,"Amazon")&gt;0,"Draft","Missing"))
</f>
        <v>Live</v>
      </c>
      <c r="C384" s="31" t="str">
        <f>IF(
 COUNTIFS(Channel_Listings!$D:$D,$A384,Channel_Listings!$A:$A,"Flipkart",Channel_Listings!$E:$E,"Live")&gt;0,"Live",
 IF(COUNTIFS(Channel_Listings!$D:$D,$A384,Channel_Listings!$A:$A,"Flipkart")&gt;0,"Draft","Missing"))
</f>
        <v>Live</v>
      </c>
      <c r="D384" s="31" t="str">
        <f>IF(
 COUNTIFS(Channel_Listings!$D:$D,$A384,Channel_Listings!$A:$A,"Meesho",Channel_Listings!$E:$E,"Live")&gt;0,"Live",
 IF(COUNTIFS(Channel_Listings!$D:$D,$A384,Channel_Listings!$A:$A,"Meesho")&gt;0,"Draft","Missing"))
</f>
        <v>Missing</v>
      </c>
    </row>
    <row r="385" ht="15.75" customHeight="1">
      <c r="A385" s="36" t="s">
        <v>711</v>
      </c>
      <c r="B385" s="31" t="str">
        <f>IF(
 COUNTIFS(Channel_Listings!$D:$D,$A385,Channel_Listings!$A:$A,"Amazon",Channel_Listings!$E:$E,"Live")&gt;0,"Live",
 IF(COUNTIFS(Channel_Listings!$D:$D,$A385,Channel_Listings!$A:$A,"Amazon")&gt;0,"Draft","Missing"))
</f>
        <v>Live</v>
      </c>
      <c r="C385" s="31" t="str">
        <f>IF(
 COUNTIFS(Channel_Listings!$D:$D,$A385,Channel_Listings!$A:$A,"Flipkart",Channel_Listings!$E:$E,"Live")&gt;0,"Live",
 IF(COUNTIFS(Channel_Listings!$D:$D,$A385,Channel_Listings!$A:$A,"Flipkart")&gt;0,"Draft","Missing"))
</f>
        <v>Live</v>
      </c>
      <c r="D385" s="31" t="str">
        <f>IF(
 COUNTIFS(Channel_Listings!$D:$D,$A385,Channel_Listings!$A:$A,"Meesho",Channel_Listings!$E:$E,"Live")&gt;0,"Live",
 IF(COUNTIFS(Channel_Listings!$D:$D,$A385,Channel_Listings!$A:$A,"Meesho")&gt;0,"Draft","Missing"))
</f>
        <v>Missing</v>
      </c>
    </row>
    <row r="386" ht="15.75" customHeight="1">
      <c r="A386" s="36" t="s">
        <v>713</v>
      </c>
      <c r="B386" s="31" t="str">
        <f>IF(
 COUNTIFS(Channel_Listings!$D:$D,$A386,Channel_Listings!$A:$A,"Amazon",Channel_Listings!$E:$E,"Live")&gt;0,"Live",
 IF(COUNTIFS(Channel_Listings!$D:$D,$A386,Channel_Listings!$A:$A,"Amazon")&gt;0,"Draft","Missing"))
</f>
        <v>Live</v>
      </c>
      <c r="C386" s="31" t="str">
        <f>IF(
 COUNTIFS(Channel_Listings!$D:$D,$A386,Channel_Listings!$A:$A,"Flipkart",Channel_Listings!$E:$E,"Live")&gt;0,"Live",
 IF(COUNTIFS(Channel_Listings!$D:$D,$A386,Channel_Listings!$A:$A,"Flipkart")&gt;0,"Draft","Missing"))
</f>
        <v>Missing</v>
      </c>
      <c r="D386" s="31" t="str">
        <f>IF(
 COUNTIFS(Channel_Listings!$D:$D,$A386,Channel_Listings!$A:$A,"Meesho",Channel_Listings!$E:$E,"Live")&gt;0,"Live",
 IF(COUNTIFS(Channel_Listings!$D:$D,$A386,Channel_Listings!$A:$A,"Meesho")&gt;0,"Draft","Missing"))
</f>
        <v>Missing</v>
      </c>
    </row>
    <row r="387" ht="15.75" customHeight="1">
      <c r="A387" s="36" t="s">
        <v>715</v>
      </c>
      <c r="B387" s="31" t="str">
        <f>IF(
 COUNTIFS(Channel_Listings!$D:$D,$A387,Channel_Listings!$A:$A,"Amazon",Channel_Listings!$E:$E,"Live")&gt;0,"Live",
 IF(COUNTIFS(Channel_Listings!$D:$D,$A387,Channel_Listings!$A:$A,"Amazon")&gt;0,"Draft","Missing"))
</f>
        <v>Live</v>
      </c>
      <c r="C387" s="31" t="str">
        <f>IF(
 COUNTIFS(Channel_Listings!$D:$D,$A387,Channel_Listings!$A:$A,"Flipkart",Channel_Listings!$E:$E,"Live")&gt;0,"Live",
 IF(COUNTIFS(Channel_Listings!$D:$D,$A387,Channel_Listings!$A:$A,"Flipkart")&gt;0,"Draft","Missing"))
</f>
        <v>Missing</v>
      </c>
      <c r="D387" s="31" t="str">
        <f>IF(
 COUNTIFS(Channel_Listings!$D:$D,$A387,Channel_Listings!$A:$A,"Meesho",Channel_Listings!$E:$E,"Live")&gt;0,"Live",
 IF(COUNTIFS(Channel_Listings!$D:$D,$A387,Channel_Listings!$A:$A,"Meesho")&gt;0,"Draft","Missing"))
</f>
        <v>Missing</v>
      </c>
    </row>
    <row r="388" ht="15.75" customHeight="1">
      <c r="A388" s="36" t="s">
        <v>717</v>
      </c>
      <c r="B388" s="31" t="str">
        <f>IF(
 COUNTIFS(Channel_Listings!$D:$D,$A388,Channel_Listings!$A:$A,"Amazon",Channel_Listings!$E:$E,"Live")&gt;0,"Live",
 IF(COUNTIFS(Channel_Listings!$D:$D,$A388,Channel_Listings!$A:$A,"Amazon")&gt;0,"Draft","Missing"))
</f>
        <v>Live</v>
      </c>
      <c r="C388" s="31" t="str">
        <f>IF(
 COUNTIFS(Channel_Listings!$D:$D,$A388,Channel_Listings!$A:$A,"Flipkart",Channel_Listings!$E:$E,"Live")&gt;0,"Live",
 IF(COUNTIFS(Channel_Listings!$D:$D,$A388,Channel_Listings!$A:$A,"Flipkart")&gt;0,"Draft","Missing"))
</f>
        <v>Live</v>
      </c>
      <c r="D388" s="31" t="str">
        <f>IF(
 COUNTIFS(Channel_Listings!$D:$D,$A388,Channel_Listings!$A:$A,"Meesho",Channel_Listings!$E:$E,"Live")&gt;0,"Live",
 IF(COUNTIFS(Channel_Listings!$D:$D,$A388,Channel_Listings!$A:$A,"Meesho")&gt;0,"Draft","Missing"))
</f>
        <v>Missing</v>
      </c>
    </row>
    <row r="389" ht="15.75" customHeight="1">
      <c r="A389" s="36" t="s">
        <v>720</v>
      </c>
      <c r="B389" s="31" t="str">
        <f>IF(
 COUNTIFS(Channel_Listings!$D:$D,$A389,Channel_Listings!$A:$A,"Amazon",Channel_Listings!$E:$E,"Live")&gt;0,"Live",
 IF(COUNTIFS(Channel_Listings!$D:$D,$A389,Channel_Listings!$A:$A,"Amazon")&gt;0,"Draft","Missing"))
</f>
        <v>Live</v>
      </c>
      <c r="C389" s="31" t="str">
        <f>IF(
 COUNTIFS(Channel_Listings!$D:$D,$A389,Channel_Listings!$A:$A,"Flipkart",Channel_Listings!$E:$E,"Live")&gt;0,"Live",
 IF(COUNTIFS(Channel_Listings!$D:$D,$A389,Channel_Listings!$A:$A,"Flipkart")&gt;0,"Draft","Missing"))
</f>
        <v>Live</v>
      </c>
      <c r="D389" s="31" t="str">
        <f>IF(
 COUNTIFS(Channel_Listings!$D:$D,$A389,Channel_Listings!$A:$A,"Meesho",Channel_Listings!$E:$E,"Live")&gt;0,"Live",
 IF(COUNTIFS(Channel_Listings!$D:$D,$A389,Channel_Listings!$A:$A,"Meesho")&gt;0,"Draft","Missing"))
</f>
        <v>Missing</v>
      </c>
    </row>
    <row r="390" ht="15.75" customHeight="1">
      <c r="A390" s="36" t="s">
        <v>723</v>
      </c>
      <c r="B390" s="31" t="str">
        <f>IF(
 COUNTIFS(Channel_Listings!$D:$D,$A390,Channel_Listings!$A:$A,"Amazon",Channel_Listings!$E:$E,"Live")&gt;0,"Live",
 IF(COUNTIFS(Channel_Listings!$D:$D,$A390,Channel_Listings!$A:$A,"Amazon")&gt;0,"Draft","Missing"))
</f>
        <v>Live</v>
      </c>
      <c r="C390" s="31" t="str">
        <f>IF(
 COUNTIFS(Channel_Listings!$D:$D,$A390,Channel_Listings!$A:$A,"Flipkart",Channel_Listings!$E:$E,"Live")&gt;0,"Live",
 IF(COUNTIFS(Channel_Listings!$D:$D,$A390,Channel_Listings!$A:$A,"Flipkart")&gt;0,"Draft","Missing"))
</f>
        <v>Live</v>
      </c>
      <c r="D390" s="31" t="str">
        <f>IF(
 COUNTIFS(Channel_Listings!$D:$D,$A390,Channel_Listings!$A:$A,"Meesho",Channel_Listings!$E:$E,"Live")&gt;0,"Live",
 IF(COUNTIFS(Channel_Listings!$D:$D,$A390,Channel_Listings!$A:$A,"Meesho")&gt;0,"Draft","Missing"))
</f>
        <v>Missing</v>
      </c>
    </row>
    <row r="391" ht="15.75" customHeight="1">
      <c r="A391" s="36" t="s">
        <v>726</v>
      </c>
      <c r="B391" s="31" t="str">
        <f>IF(
 COUNTIFS(Channel_Listings!$D:$D,$A391,Channel_Listings!$A:$A,"Amazon",Channel_Listings!$E:$E,"Live")&gt;0,"Live",
 IF(COUNTIFS(Channel_Listings!$D:$D,$A391,Channel_Listings!$A:$A,"Amazon")&gt;0,"Draft","Missing"))
</f>
        <v>Live</v>
      </c>
      <c r="C391" s="31" t="str">
        <f>IF(
 COUNTIFS(Channel_Listings!$D:$D,$A391,Channel_Listings!$A:$A,"Flipkart",Channel_Listings!$E:$E,"Live")&gt;0,"Live",
 IF(COUNTIFS(Channel_Listings!$D:$D,$A391,Channel_Listings!$A:$A,"Flipkart")&gt;0,"Draft","Missing"))
</f>
        <v>Live</v>
      </c>
      <c r="D391" s="31" t="str">
        <f>IF(
 COUNTIFS(Channel_Listings!$D:$D,$A391,Channel_Listings!$A:$A,"Meesho",Channel_Listings!$E:$E,"Live")&gt;0,"Live",
 IF(COUNTIFS(Channel_Listings!$D:$D,$A391,Channel_Listings!$A:$A,"Meesho")&gt;0,"Draft","Missing"))
</f>
        <v>Missing</v>
      </c>
    </row>
    <row r="392" ht="15.75" customHeight="1">
      <c r="A392" s="36" t="s">
        <v>729</v>
      </c>
      <c r="B392" s="31" t="str">
        <f>IF(
 COUNTIFS(Channel_Listings!$D:$D,$A392,Channel_Listings!$A:$A,"Amazon",Channel_Listings!$E:$E,"Live")&gt;0,"Live",
 IF(COUNTIFS(Channel_Listings!$D:$D,$A392,Channel_Listings!$A:$A,"Amazon")&gt;0,"Draft","Missing"))
</f>
        <v>Live</v>
      </c>
      <c r="C392" s="31" t="str">
        <f>IF(
 COUNTIFS(Channel_Listings!$D:$D,$A392,Channel_Listings!$A:$A,"Flipkart",Channel_Listings!$E:$E,"Live")&gt;0,"Live",
 IF(COUNTIFS(Channel_Listings!$D:$D,$A392,Channel_Listings!$A:$A,"Flipkart")&gt;0,"Draft","Missing"))
</f>
        <v>Live</v>
      </c>
      <c r="D392" s="31" t="str">
        <f>IF(
 COUNTIFS(Channel_Listings!$D:$D,$A392,Channel_Listings!$A:$A,"Meesho",Channel_Listings!$E:$E,"Live")&gt;0,"Live",
 IF(COUNTIFS(Channel_Listings!$D:$D,$A392,Channel_Listings!$A:$A,"Meesho")&gt;0,"Draft","Missing"))
</f>
        <v>Missing</v>
      </c>
    </row>
    <row r="393" ht="15.75" customHeight="1">
      <c r="A393" s="36" t="s">
        <v>732</v>
      </c>
      <c r="B393" s="31" t="str">
        <f>IF(
 COUNTIFS(Channel_Listings!$D:$D,$A393,Channel_Listings!$A:$A,"Amazon",Channel_Listings!$E:$E,"Live")&gt;0,"Live",
 IF(COUNTIFS(Channel_Listings!$D:$D,$A393,Channel_Listings!$A:$A,"Amazon")&gt;0,"Draft","Missing"))
</f>
        <v>Live</v>
      </c>
      <c r="C393" s="31" t="str">
        <f>IF(
 COUNTIFS(Channel_Listings!$D:$D,$A393,Channel_Listings!$A:$A,"Flipkart",Channel_Listings!$E:$E,"Live")&gt;0,"Live",
 IF(COUNTIFS(Channel_Listings!$D:$D,$A393,Channel_Listings!$A:$A,"Flipkart")&gt;0,"Draft","Missing"))
</f>
        <v>Live</v>
      </c>
      <c r="D393" s="31" t="str">
        <f>IF(
 COUNTIFS(Channel_Listings!$D:$D,$A393,Channel_Listings!$A:$A,"Meesho",Channel_Listings!$E:$E,"Live")&gt;0,"Live",
 IF(COUNTIFS(Channel_Listings!$D:$D,$A393,Channel_Listings!$A:$A,"Meesho")&gt;0,"Draft","Missing"))
</f>
        <v>Missing</v>
      </c>
    </row>
    <row r="394" ht="15.75" customHeight="1">
      <c r="A394" s="36" t="s">
        <v>735</v>
      </c>
      <c r="B394" s="31" t="str">
        <f>IF(
 COUNTIFS(Channel_Listings!$D:$D,$A394,Channel_Listings!$A:$A,"Amazon",Channel_Listings!$E:$E,"Live")&gt;0,"Live",
 IF(COUNTIFS(Channel_Listings!$D:$D,$A394,Channel_Listings!$A:$A,"Amazon")&gt;0,"Draft","Missing"))
</f>
        <v>Live</v>
      </c>
      <c r="C394" s="31" t="str">
        <f>IF(
 COUNTIFS(Channel_Listings!$D:$D,$A394,Channel_Listings!$A:$A,"Flipkart",Channel_Listings!$E:$E,"Live")&gt;0,"Live",
 IF(COUNTIFS(Channel_Listings!$D:$D,$A394,Channel_Listings!$A:$A,"Flipkart")&gt;0,"Draft","Missing"))
</f>
        <v>Live</v>
      </c>
      <c r="D394" s="31" t="str">
        <f>IF(
 COUNTIFS(Channel_Listings!$D:$D,$A394,Channel_Listings!$A:$A,"Meesho",Channel_Listings!$E:$E,"Live")&gt;0,"Live",
 IF(COUNTIFS(Channel_Listings!$D:$D,$A394,Channel_Listings!$A:$A,"Meesho")&gt;0,"Draft","Missing"))
</f>
        <v>Missing</v>
      </c>
    </row>
    <row r="395" ht="15.75" customHeight="1">
      <c r="A395" s="36" t="s">
        <v>738</v>
      </c>
      <c r="B395" s="31" t="str">
        <f>IF(
 COUNTIFS(Channel_Listings!$D:$D,$A395,Channel_Listings!$A:$A,"Amazon",Channel_Listings!$E:$E,"Live")&gt;0,"Live",
 IF(COUNTIFS(Channel_Listings!$D:$D,$A395,Channel_Listings!$A:$A,"Amazon")&gt;0,"Draft","Missing"))
</f>
        <v>Live</v>
      </c>
      <c r="C395" s="31" t="str">
        <f>IF(
 COUNTIFS(Channel_Listings!$D:$D,$A395,Channel_Listings!$A:$A,"Flipkart",Channel_Listings!$E:$E,"Live")&gt;0,"Live",
 IF(COUNTIFS(Channel_Listings!$D:$D,$A395,Channel_Listings!$A:$A,"Flipkart")&gt;0,"Draft","Missing"))
</f>
        <v>Live</v>
      </c>
      <c r="D395" s="31" t="str">
        <f>IF(
 COUNTIFS(Channel_Listings!$D:$D,$A395,Channel_Listings!$A:$A,"Meesho",Channel_Listings!$E:$E,"Live")&gt;0,"Live",
 IF(COUNTIFS(Channel_Listings!$D:$D,$A395,Channel_Listings!$A:$A,"Meesho")&gt;0,"Draft","Missing"))
</f>
        <v>Missing</v>
      </c>
    </row>
    <row r="396" ht="15.75" customHeight="1">
      <c r="A396" s="36" t="s">
        <v>741</v>
      </c>
      <c r="B396" s="31" t="str">
        <f>IF(
 COUNTIFS(Channel_Listings!$D:$D,$A396,Channel_Listings!$A:$A,"Amazon",Channel_Listings!$E:$E,"Live")&gt;0,"Live",
 IF(COUNTIFS(Channel_Listings!$D:$D,$A396,Channel_Listings!$A:$A,"Amazon")&gt;0,"Draft","Missing"))
</f>
        <v>Live</v>
      </c>
      <c r="C396" s="31" t="str">
        <f>IF(
 COUNTIFS(Channel_Listings!$D:$D,$A396,Channel_Listings!$A:$A,"Flipkart",Channel_Listings!$E:$E,"Live")&gt;0,"Live",
 IF(COUNTIFS(Channel_Listings!$D:$D,$A396,Channel_Listings!$A:$A,"Flipkart")&gt;0,"Draft","Missing"))
</f>
        <v>Live</v>
      </c>
      <c r="D396" s="31" t="str">
        <f>IF(
 COUNTIFS(Channel_Listings!$D:$D,$A396,Channel_Listings!$A:$A,"Meesho",Channel_Listings!$E:$E,"Live")&gt;0,"Live",
 IF(COUNTIFS(Channel_Listings!$D:$D,$A396,Channel_Listings!$A:$A,"Meesho")&gt;0,"Draft","Missing"))
</f>
        <v>Missing</v>
      </c>
    </row>
    <row r="397" ht="15.75" customHeight="1">
      <c r="A397" s="36" t="s">
        <v>743</v>
      </c>
      <c r="B397" s="31" t="str">
        <f>IF(
 COUNTIFS(Channel_Listings!$D:$D,$A397,Channel_Listings!$A:$A,"Amazon",Channel_Listings!$E:$E,"Live")&gt;0,"Live",
 IF(COUNTIFS(Channel_Listings!$D:$D,$A397,Channel_Listings!$A:$A,"Amazon")&gt;0,"Draft","Missing"))
</f>
        <v>Live</v>
      </c>
      <c r="C397" s="31" t="str">
        <f>IF(
 COUNTIFS(Channel_Listings!$D:$D,$A397,Channel_Listings!$A:$A,"Flipkart",Channel_Listings!$E:$E,"Live")&gt;0,"Live",
 IF(COUNTIFS(Channel_Listings!$D:$D,$A397,Channel_Listings!$A:$A,"Flipkart")&gt;0,"Draft","Missing"))
</f>
        <v>Live</v>
      </c>
      <c r="D397" s="31" t="str">
        <f>IF(
 COUNTIFS(Channel_Listings!$D:$D,$A397,Channel_Listings!$A:$A,"Meesho",Channel_Listings!$E:$E,"Live")&gt;0,"Live",
 IF(COUNTIFS(Channel_Listings!$D:$D,$A397,Channel_Listings!$A:$A,"Meesho")&gt;0,"Draft","Missing"))
</f>
        <v>Missing</v>
      </c>
    </row>
    <row r="398" ht="15.75" customHeight="1">
      <c r="A398" s="36" t="s">
        <v>745</v>
      </c>
      <c r="B398" s="31" t="str">
        <f>IF(
 COUNTIFS(Channel_Listings!$D:$D,$A398,Channel_Listings!$A:$A,"Amazon",Channel_Listings!$E:$E,"Live")&gt;0,"Live",
 IF(COUNTIFS(Channel_Listings!$D:$D,$A398,Channel_Listings!$A:$A,"Amazon")&gt;0,"Draft","Missing"))
</f>
        <v>Live</v>
      </c>
      <c r="C398" s="31" t="str">
        <f>IF(
 COUNTIFS(Channel_Listings!$D:$D,$A398,Channel_Listings!$A:$A,"Flipkart",Channel_Listings!$E:$E,"Live")&gt;0,"Live",
 IF(COUNTIFS(Channel_Listings!$D:$D,$A398,Channel_Listings!$A:$A,"Flipkart")&gt;0,"Draft","Missing"))
</f>
        <v>Live</v>
      </c>
      <c r="D398" s="31" t="str">
        <f>IF(
 COUNTIFS(Channel_Listings!$D:$D,$A398,Channel_Listings!$A:$A,"Meesho",Channel_Listings!$E:$E,"Live")&gt;0,"Live",
 IF(COUNTIFS(Channel_Listings!$D:$D,$A398,Channel_Listings!$A:$A,"Meesho")&gt;0,"Draft","Missing"))
</f>
        <v>Missing</v>
      </c>
    </row>
    <row r="399" ht="15.75" customHeight="1">
      <c r="A399" s="36" t="s">
        <v>747</v>
      </c>
      <c r="B399" s="31" t="str">
        <f>IF(
 COUNTIFS(Channel_Listings!$D:$D,$A399,Channel_Listings!$A:$A,"Amazon",Channel_Listings!$E:$E,"Live")&gt;0,"Live",
 IF(COUNTIFS(Channel_Listings!$D:$D,$A399,Channel_Listings!$A:$A,"Amazon")&gt;0,"Draft","Missing"))
</f>
        <v>Live</v>
      </c>
      <c r="C399" s="31" t="str">
        <f>IF(
 COUNTIFS(Channel_Listings!$D:$D,$A399,Channel_Listings!$A:$A,"Flipkart",Channel_Listings!$E:$E,"Live")&gt;0,"Live",
 IF(COUNTIFS(Channel_Listings!$D:$D,$A399,Channel_Listings!$A:$A,"Flipkart")&gt;0,"Draft","Missing"))
</f>
        <v>Live</v>
      </c>
      <c r="D399" s="31" t="str">
        <f>IF(
 COUNTIFS(Channel_Listings!$D:$D,$A399,Channel_Listings!$A:$A,"Meesho",Channel_Listings!$E:$E,"Live")&gt;0,"Live",
 IF(COUNTIFS(Channel_Listings!$D:$D,$A399,Channel_Listings!$A:$A,"Meesho")&gt;0,"Draft","Missing"))
</f>
        <v>Missing</v>
      </c>
    </row>
    <row r="400" ht="15.75" customHeight="1">
      <c r="A400" s="36" t="s">
        <v>749</v>
      </c>
      <c r="B400" s="31" t="str">
        <f>IF(
 COUNTIFS(Channel_Listings!$D:$D,$A400,Channel_Listings!$A:$A,"Amazon",Channel_Listings!$E:$E,"Live")&gt;0,"Live",
 IF(COUNTIFS(Channel_Listings!$D:$D,$A400,Channel_Listings!$A:$A,"Amazon")&gt;0,"Draft","Missing"))
</f>
        <v>Live</v>
      </c>
      <c r="C400" s="31" t="str">
        <f>IF(
 COUNTIFS(Channel_Listings!$D:$D,$A400,Channel_Listings!$A:$A,"Flipkart",Channel_Listings!$E:$E,"Live")&gt;0,"Live",
 IF(COUNTIFS(Channel_Listings!$D:$D,$A400,Channel_Listings!$A:$A,"Flipkart")&gt;0,"Draft","Missing"))
</f>
        <v>Live</v>
      </c>
      <c r="D400" s="31" t="str">
        <f>IF(
 COUNTIFS(Channel_Listings!$D:$D,$A400,Channel_Listings!$A:$A,"Meesho",Channel_Listings!$E:$E,"Live")&gt;0,"Live",
 IF(COUNTIFS(Channel_Listings!$D:$D,$A400,Channel_Listings!$A:$A,"Meesho")&gt;0,"Draft","Missing"))
</f>
        <v>Missing</v>
      </c>
    </row>
    <row r="401" ht="15.75" customHeight="1">
      <c r="A401" s="36" t="s">
        <v>751</v>
      </c>
      <c r="B401" s="31" t="str">
        <f>IF(
 COUNTIFS(Channel_Listings!$D:$D,$A401,Channel_Listings!$A:$A,"Amazon",Channel_Listings!$E:$E,"Live")&gt;0,"Live",
 IF(COUNTIFS(Channel_Listings!$D:$D,$A401,Channel_Listings!$A:$A,"Amazon")&gt;0,"Draft","Missing"))
</f>
        <v>Live</v>
      </c>
      <c r="C401" s="31" t="str">
        <f>IF(
 COUNTIFS(Channel_Listings!$D:$D,$A401,Channel_Listings!$A:$A,"Flipkart",Channel_Listings!$E:$E,"Live")&gt;0,"Live",
 IF(COUNTIFS(Channel_Listings!$D:$D,$A401,Channel_Listings!$A:$A,"Flipkart")&gt;0,"Draft","Missing"))
</f>
        <v>Live</v>
      </c>
      <c r="D401" s="31" t="str">
        <f>IF(
 COUNTIFS(Channel_Listings!$D:$D,$A401,Channel_Listings!$A:$A,"Meesho",Channel_Listings!$E:$E,"Live")&gt;0,"Live",
 IF(COUNTIFS(Channel_Listings!$D:$D,$A401,Channel_Listings!$A:$A,"Meesho")&gt;0,"Draft","Missing"))
</f>
        <v>Missing</v>
      </c>
    </row>
    <row r="402" ht="15.75" customHeight="1">
      <c r="A402" s="36" t="s">
        <v>753</v>
      </c>
      <c r="B402" s="31" t="str">
        <f>IF(
 COUNTIFS(Channel_Listings!$D:$D,$A402,Channel_Listings!$A:$A,"Amazon",Channel_Listings!$E:$E,"Live")&gt;0,"Live",
 IF(COUNTIFS(Channel_Listings!$D:$D,$A402,Channel_Listings!$A:$A,"Amazon")&gt;0,"Draft","Missing"))
</f>
        <v>Live</v>
      </c>
      <c r="C402" s="31" t="str">
        <f>IF(
 COUNTIFS(Channel_Listings!$D:$D,$A402,Channel_Listings!$A:$A,"Flipkart",Channel_Listings!$E:$E,"Live")&gt;0,"Live",
 IF(COUNTIFS(Channel_Listings!$D:$D,$A402,Channel_Listings!$A:$A,"Flipkart")&gt;0,"Draft","Missing"))
</f>
        <v>Missing</v>
      </c>
      <c r="D402" s="31" t="str">
        <f>IF(
 COUNTIFS(Channel_Listings!$D:$D,$A402,Channel_Listings!$A:$A,"Meesho",Channel_Listings!$E:$E,"Live")&gt;0,"Live",
 IF(COUNTIFS(Channel_Listings!$D:$D,$A402,Channel_Listings!$A:$A,"Meesho")&gt;0,"Draft","Missing"))
</f>
        <v>Missing</v>
      </c>
    </row>
    <row r="403" ht="15.75" customHeight="1">
      <c r="A403" s="36" t="s">
        <v>755</v>
      </c>
      <c r="B403" s="31" t="str">
        <f>IF(
 COUNTIFS(Channel_Listings!$D:$D,$A403,Channel_Listings!$A:$A,"Amazon",Channel_Listings!$E:$E,"Live")&gt;0,"Live",
 IF(COUNTIFS(Channel_Listings!$D:$D,$A403,Channel_Listings!$A:$A,"Amazon")&gt;0,"Draft","Missing"))
</f>
        <v>Live</v>
      </c>
      <c r="C403" s="31" t="str">
        <f>IF(
 COUNTIFS(Channel_Listings!$D:$D,$A403,Channel_Listings!$A:$A,"Flipkart",Channel_Listings!$E:$E,"Live")&gt;0,"Live",
 IF(COUNTIFS(Channel_Listings!$D:$D,$A403,Channel_Listings!$A:$A,"Flipkart")&gt;0,"Draft","Missing"))
</f>
        <v>Live</v>
      </c>
      <c r="D403" s="31" t="str">
        <f>IF(
 COUNTIFS(Channel_Listings!$D:$D,$A403,Channel_Listings!$A:$A,"Meesho",Channel_Listings!$E:$E,"Live")&gt;0,"Live",
 IF(COUNTIFS(Channel_Listings!$D:$D,$A403,Channel_Listings!$A:$A,"Meesho")&gt;0,"Draft","Missing"))
</f>
        <v>Missing</v>
      </c>
    </row>
    <row r="404" ht="15.75" customHeight="1">
      <c r="A404" s="36" t="s">
        <v>757</v>
      </c>
      <c r="B404" s="31" t="str">
        <f>IF(
 COUNTIFS(Channel_Listings!$D:$D,$A404,Channel_Listings!$A:$A,"Amazon",Channel_Listings!$E:$E,"Live")&gt;0,"Live",
 IF(COUNTIFS(Channel_Listings!$D:$D,$A404,Channel_Listings!$A:$A,"Amazon")&gt;0,"Draft","Missing"))
</f>
        <v>Live</v>
      </c>
      <c r="C404" s="31" t="str">
        <f>IF(
 COUNTIFS(Channel_Listings!$D:$D,$A404,Channel_Listings!$A:$A,"Flipkart",Channel_Listings!$E:$E,"Live")&gt;0,"Live",
 IF(COUNTIFS(Channel_Listings!$D:$D,$A404,Channel_Listings!$A:$A,"Flipkart")&gt;0,"Draft","Missing"))
</f>
        <v>Live</v>
      </c>
      <c r="D404" s="31" t="str">
        <f>IF(
 COUNTIFS(Channel_Listings!$D:$D,$A404,Channel_Listings!$A:$A,"Meesho",Channel_Listings!$E:$E,"Live")&gt;0,"Live",
 IF(COUNTIFS(Channel_Listings!$D:$D,$A404,Channel_Listings!$A:$A,"Meesho")&gt;0,"Draft","Missing"))
</f>
        <v>Missing</v>
      </c>
    </row>
    <row r="405" ht="15.75" customHeight="1">
      <c r="A405" s="36" t="s">
        <v>760</v>
      </c>
      <c r="B405" s="31" t="str">
        <f>IF(
 COUNTIFS(Channel_Listings!$D:$D,$A405,Channel_Listings!$A:$A,"Amazon",Channel_Listings!$E:$E,"Live")&gt;0,"Live",
 IF(COUNTIFS(Channel_Listings!$D:$D,$A405,Channel_Listings!$A:$A,"Amazon")&gt;0,"Draft","Missing"))
</f>
        <v>Live</v>
      </c>
      <c r="C405" s="31" t="str">
        <f>IF(
 COUNTIFS(Channel_Listings!$D:$D,$A405,Channel_Listings!$A:$A,"Flipkart",Channel_Listings!$E:$E,"Live")&gt;0,"Live",
 IF(COUNTIFS(Channel_Listings!$D:$D,$A405,Channel_Listings!$A:$A,"Flipkart")&gt;0,"Draft","Missing"))
</f>
        <v>Live</v>
      </c>
      <c r="D405" s="31" t="str">
        <f>IF(
 COUNTIFS(Channel_Listings!$D:$D,$A405,Channel_Listings!$A:$A,"Meesho",Channel_Listings!$E:$E,"Live")&gt;0,"Live",
 IF(COUNTIFS(Channel_Listings!$D:$D,$A405,Channel_Listings!$A:$A,"Meesho")&gt;0,"Draft","Missing"))
</f>
        <v>Missing</v>
      </c>
    </row>
    <row r="406" ht="15.75" customHeight="1">
      <c r="A406" s="36" t="s">
        <v>763</v>
      </c>
      <c r="B406" s="31" t="str">
        <f>IF(
 COUNTIFS(Channel_Listings!$D:$D,$A406,Channel_Listings!$A:$A,"Amazon",Channel_Listings!$E:$E,"Live")&gt;0,"Live",
 IF(COUNTIFS(Channel_Listings!$D:$D,$A406,Channel_Listings!$A:$A,"Amazon")&gt;0,"Draft","Missing"))
</f>
        <v>Live</v>
      </c>
      <c r="C406" s="31" t="str">
        <f>IF(
 COUNTIFS(Channel_Listings!$D:$D,$A406,Channel_Listings!$A:$A,"Flipkart",Channel_Listings!$E:$E,"Live")&gt;0,"Live",
 IF(COUNTIFS(Channel_Listings!$D:$D,$A406,Channel_Listings!$A:$A,"Flipkart")&gt;0,"Draft","Missing"))
</f>
        <v>Live</v>
      </c>
      <c r="D406" s="31" t="str">
        <f>IF(
 COUNTIFS(Channel_Listings!$D:$D,$A406,Channel_Listings!$A:$A,"Meesho",Channel_Listings!$E:$E,"Live")&gt;0,"Live",
 IF(COUNTIFS(Channel_Listings!$D:$D,$A406,Channel_Listings!$A:$A,"Meesho")&gt;0,"Draft","Missing"))
</f>
        <v>Missing</v>
      </c>
    </row>
    <row r="407" ht="15.75" customHeight="1">
      <c r="A407" s="36" t="s">
        <v>766</v>
      </c>
      <c r="B407" s="31" t="str">
        <f>IF(
 COUNTIFS(Channel_Listings!$D:$D,$A407,Channel_Listings!$A:$A,"Amazon",Channel_Listings!$E:$E,"Live")&gt;0,"Live",
 IF(COUNTIFS(Channel_Listings!$D:$D,$A407,Channel_Listings!$A:$A,"Amazon")&gt;0,"Draft","Missing"))
</f>
        <v>Live</v>
      </c>
      <c r="C407" s="31" t="str">
        <f>IF(
 COUNTIFS(Channel_Listings!$D:$D,$A407,Channel_Listings!$A:$A,"Flipkart",Channel_Listings!$E:$E,"Live")&gt;0,"Live",
 IF(COUNTIFS(Channel_Listings!$D:$D,$A407,Channel_Listings!$A:$A,"Flipkart")&gt;0,"Draft","Missing"))
</f>
        <v>Live</v>
      </c>
      <c r="D407" s="31" t="str">
        <f>IF(
 COUNTIFS(Channel_Listings!$D:$D,$A407,Channel_Listings!$A:$A,"Meesho",Channel_Listings!$E:$E,"Live")&gt;0,"Live",
 IF(COUNTIFS(Channel_Listings!$D:$D,$A407,Channel_Listings!$A:$A,"Meesho")&gt;0,"Draft","Missing"))
</f>
        <v>Missing</v>
      </c>
    </row>
    <row r="408" ht="15.75" customHeight="1">
      <c r="A408" s="36" t="s">
        <v>769</v>
      </c>
      <c r="B408" s="31" t="str">
        <f>IF(
 COUNTIFS(Channel_Listings!$D:$D,$A408,Channel_Listings!$A:$A,"Amazon",Channel_Listings!$E:$E,"Live")&gt;0,"Live",
 IF(COUNTIFS(Channel_Listings!$D:$D,$A408,Channel_Listings!$A:$A,"Amazon")&gt;0,"Draft","Missing"))
</f>
        <v>Live</v>
      </c>
      <c r="C408" s="31" t="str">
        <f>IF(
 COUNTIFS(Channel_Listings!$D:$D,$A408,Channel_Listings!$A:$A,"Flipkart",Channel_Listings!$E:$E,"Live")&gt;0,"Live",
 IF(COUNTIFS(Channel_Listings!$D:$D,$A408,Channel_Listings!$A:$A,"Flipkart")&gt;0,"Draft","Missing"))
</f>
        <v>Live</v>
      </c>
      <c r="D408" s="31" t="str">
        <f>IF(
 COUNTIFS(Channel_Listings!$D:$D,$A408,Channel_Listings!$A:$A,"Meesho",Channel_Listings!$E:$E,"Live")&gt;0,"Live",
 IF(COUNTIFS(Channel_Listings!$D:$D,$A408,Channel_Listings!$A:$A,"Meesho")&gt;0,"Draft","Missing"))
</f>
        <v>Missing</v>
      </c>
    </row>
    <row r="409" ht="15.75" customHeight="1">
      <c r="A409" s="36" t="s">
        <v>772</v>
      </c>
      <c r="B409" s="31" t="str">
        <f>IF(
 COUNTIFS(Channel_Listings!$D:$D,$A409,Channel_Listings!$A:$A,"Amazon",Channel_Listings!$E:$E,"Live")&gt;0,"Live",
 IF(COUNTIFS(Channel_Listings!$D:$D,$A409,Channel_Listings!$A:$A,"Amazon")&gt;0,"Draft","Missing"))
</f>
        <v>Live</v>
      </c>
      <c r="C409" s="31" t="str">
        <f>IF(
 COUNTIFS(Channel_Listings!$D:$D,$A409,Channel_Listings!$A:$A,"Flipkart",Channel_Listings!$E:$E,"Live")&gt;0,"Live",
 IF(COUNTIFS(Channel_Listings!$D:$D,$A409,Channel_Listings!$A:$A,"Flipkart")&gt;0,"Draft","Missing"))
</f>
        <v>Live</v>
      </c>
      <c r="D409" s="31" t="str">
        <f>IF(
 COUNTIFS(Channel_Listings!$D:$D,$A409,Channel_Listings!$A:$A,"Meesho",Channel_Listings!$E:$E,"Live")&gt;0,"Live",
 IF(COUNTIFS(Channel_Listings!$D:$D,$A409,Channel_Listings!$A:$A,"Meesho")&gt;0,"Draft","Missing"))
</f>
        <v>Missing</v>
      </c>
    </row>
    <row r="410" ht="15.75" customHeight="1">
      <c r="A410" s="36" t="s">
        <v>775</v>
      </c>
      <c r="B410" s="31" t="str">
        <f>IF(
 COUNTIFS(Channel_Listings!$D:$D,$A410,Channel_Listings!$A:$A,"Amazon",Channel_Listings!$E:$E,"Live")&gt;0,"Live",
 IF(COUNTIFS(Channel_Listings!$D:$D,$A410,Channel_Listings!$A:$A,"Amazon")&gt;0,"Draft","Missing"))
</f>
        <v>Live</v>
      </c>
      <c r="C410" s="31" t="str">
        <f>IF(
 COUNTIFS(Channel_Listings!$D:$D,$A410,Channel_Listings!$A:$A,"Flipkart",Channel_Listings!$E:$E,"Live")&gt;0,"Live",
 IF(COUNTIFS(Channel_Listings!$D:$D,$A410,Channel_Listings!$A:$A,"Flipkart")&gt;0,"Draft","Missing"))
</f>
        <v>Live</v>
      </c>
      <c r="D410" s="31" t="str">
        <f>IF(
 COUNTIFS(Channel_Listings!$D:$D,$A410,Channel_Listings!$A:$A,"Meesho",Channel_Listings!$E:$E,"Live")&gt;0,"Live",
 IF(COUNTIFS(Channel_Listings!$D:$D,$A410,Channel_Listings!$A:$A,"Meesho")&gt;0,"Draft","Missing"))
</f>
        <v>Missing</v>
      </c>
    </row>
    <row r="411" ht="15.75" customHeight="1">
      <c r="A411" s="36" t="s">
        <v>778</v>
      </c>
      <c r="B411" s="31" t="str">
        <f>IF(
 COUNTIFS(Channel_Listings!$D:$D,$A411,Channel_Listings!$A:$A,"Amazon",Channel_Listings!$E:$E,"Live")&gt;0,"Live",
 IF(COUNTIFS(Channel_Listings!$D:$D,$A411,Channel_Listings!$A:$A,"Amazon")&gt;0,"Draft","Missing"))
</f>
        <v>Live</v>
      </c>
      <c r="C411" s="31" t="str">
        <f>IF(
 COUNTIFS(Channel_Listings!$D:$D,$A411,Channel_Listings!$A:$A,"Flipkart",Channel_Listings!$E:$E,"Live")&gt;0,"Live",
 IF(COUNTIFS(Channel_Listings!$D:$D,$A411,Channel_Listings!$A:$A,"Flipkart")&gt;0,"Draft","Missing"))
</f>
        <v>Live</v>
      </c>
      <c r="D411" s="31" t="str">
        <f>IF(
 COUNTIFS(Channel_Listings!$D:$D,$A411,Channel_Listings!$A:$A,"Meesho",Channel_Listings!$E:$E,"Live")&gt;0,"Live",
 IF(COUNTIFS(Channel_Listings!$D:$D,$A411,Channel_Listings!$A:$A,"Meesho")&gt;0,"Draft","Missing"))
</f>
        <v>Missing</v>
      </c>
    </row>
    <row r="412" ht="15.75" customHeight="1">
      <c r="A412" s="36" t="s">
        <v>781</v>
      </c>
      <c r="B412" s="31" t="str">
        <f>IF(
 COUNTIFS(Channel_Listings!$D:$D,$A412,Channel_Listings!$A:$A,"Amazon",Channel_Listings!$E:$E,"Live")&gt;0,"Live",
 IF(COUNTIFS(Channel_Listings!$D:$D,$A412,Channel_Listings!$A:$A,"Amazon")&gt;0,"Draft","Missing"))
</f>
        <v>Live</v>
      </c>
      <c r="C412" s="31" t="str">
        <f>IF(
 COUNTIFS(Channel_Listings!$D:$D,$A412,Channel_Listings!$A:$A,"Flipkart",Channel_Listings!$E:$E,"Live")&gt;0,"Live",
 IF(COUNTIFS(Channel_Listings!$D:$D,$A412,Channel_Listings!$A:$A,"Flipkart")&gt;0,"Draft","Missing"))
</f>
        <v>Missing</v>
      </c>
      <c r="D412" s="31" t="str">
        <f>IF(
 COUNTIFS(Channel_Listings!$D:$D,$A412,Channel_Listings!$A:$A,"Meesho",Channel_Listings!$E:$E,"Live")&gt;0,"Live",
 IF(COUNTIFS(Channel_Listings!$D:$D,$A412,Channel_Listings!$A:$A,"Meesho")&gt;0,"Draft","Missing"))
</f>
        <v>Missing</v>
      </c>
    </row>
    <row r="413" ht="15.75" customHeight="1">
      <c r="A413" s="36" t="s">
        <v>783</v>
      </c>
      <c r="B413" s="31" t="str">
        <f>IF(
 COUNTIFS(Channel_Listings!$D:$D,$A413,Channel_Listings!$A:$A,"Amazon",Channel_Listings!$E:$E,"Live")&gt;0,"Live",
 IF(COUNTIFS(Channel_Listings!$D:$D,$A413,Channel_Listings!$A:$A,"Amazon")&gt;0,"Draft","Missing"))
</f>
        <v>Live</v>
      </c>
      <c r="C413" s="31" t="str">
        <f>IF(
 COUNTIFS(Channel_Listings!$D:$D,$A413,Channel_Listings!$A:$A,"Flipkart",Channel_Listings!$E:$E,"Live")&gt;0,"Live",
 IF(COUNTIFS(Channel_Listings!$D:$D,$A413,Channel_Listings!$A:$A,"Flipkart")&gt;0,"Draft","Missing"))
</f>
        <v>Live</v>
      </c>
      <c r="D413" s="31" t="str">
        <f>IF(
 COUNTIFS(Channel_Listings!$D:$D,$A413,Channel_Listings!$A:$A,"Meesho",Channel_Listings!$E:$E,"Live")&gt;0,"Live",
 IF(COUNTIFS(Channel_Listings!$D:$D,$A413,Channel_Listings!$A:$A,"Meesho")&gt;0,"Draft","Missing"))
</f>
        <v>Missing</v>
      </c>
    </row>
    <row r="414" ht="15.75" customHeight="1">
      <c r="A414" s="36" t="s">
        <v>785</v>
      </c>
      <c r="B414" s="31" t="str">
        <f>IF(
 COUNTIFS(Channel_Listings!$D:$D,$A414,Channel_Listings!$A:$A,"Amazon",Channel_Listings!$E:$E,"Live")&gt;0,"Live",
 IF(COUNTIFS(Channel_Listings!$D:$D,$A414,Channel_Listings!$A:$A,"Amazon")&gt;0,"Draft","Missing"))
</f>
        <v>Live</v>
      </c>
      <c r="C414" s="31" t="str">
        <f>IF(
 COUNTIFS(Channel_Listings!$D:$D,$A414,Channel_Listings!$A:$A,"Flipkart",Channel_Listings!$E:$E,"Live")&gt;0,"Live",
 IF(COUNTIFS(Channel_Listings!$D:$D,$A414,Channel_Listings!$A:$A,"Flipkart")&gt;0,"Draft","Missing"))
</f>
        <v>Missing</v>
      </c>
      <c r="D414" s="31" t="str">
        <f>IF(
 COUNTIFS(Channel_Listings!$D:$D,$A414,Channel_Listings!$A:$A,"Meesho",Channel_Listings!$E:$E,"Live")&gt;0,"Live",
 IF(COUNTIFS(Channel_Listings!$D:$D,$A414,Channel_Listings!$A:$A,"Meesho")&gt;0,"Draft","Missing"))
</f>
        <v>Missing</v>
      </c>
    </row>
    <row r="415" ht="15.75" customHeight="1">
      <c r="A415" s="36" t="s">
        <v>787</v>
      </c>
      <c r="B415" s="31" t="str">
        <f>IF(
 COUNTIFS(Channel_Listings!$D:$D,$A415,Channel_Listings!$A:$A,"Amazon",Channel_Listings!$E:$E,"Live")&gt;0,"Live",
 IF(COUNTIFS(Channel_Listings!$D:$D,$A415,Channel_Listings!$A:$A,"Amazon")&gt;0,"Draft","Missing"))
</f>
        <v>Live</v>
      </c>
      <c r="C415" s="31" t="str">
        <f>IF(
 COUNTIFS(Channel_Listings!$D:$D,$A415,Channel_Listings!$A:$A,"Flipkart",Channel_Listings!$E:$E,"Live")&gt;0,"Live",
 IF(COUNTIFS(Channel_Listings!$D:$D,$A415,Channel_Listings!$A:$A,"Flipkart")&gt;0,"Draft","Missing"))
</f>
        <v>Live</v>
      </c>
      <c r="D415" s="31" t="str">
        <f>IF(
 COUNTIFS(Channel_Listings!$D:$D,$A415,Channel_Listings!$A:$A,"Meesho",Channel_Listings!$E:$E,"Live")&gt;0,"Live",
 IF(COUNTIFS(Channel_Listings!$D:$D,$A415,Channel_Listings!$A:$A,"Meesho")&gt;0,"Draft","Missing"))
</f>
        <v>Missing</v>
      </c>
    </row>
    <row r="416" ht="15.75" customHeight="1">
      <c r="A416" s="36" t="s">
        <v>789</v>
      </c>
      <c r="B416" s="31" t="str">
        <f>IF(
 COUNTIFS(Channel_Listings!$D:$D,$A416,Channel_Listings!$A:$A,"Amazon",Channel_Listings!$E:$E,"Live")&gt;0,"Live",
 IF(COUNTIFS(Channel_Listings!$D:$D,$A416,Channel_Listings!$A:$A,"Amazon")&gt;0,"Draft","Missing"))
</f>
        <v>Live</v>
      </c>
      <c r="C416" s="31" t="str">
        <f>IF(
 COUNTIFS(Channel_Listings!$D:$D,$A416,Channel_Listings!$A:$A,"Flipkart",Channel_Listings!$E:$E,"Live")&gt;0,"Live",
 IF(COUNTIFS(Channel_Listings!$D:$D,$A416,Channel_Listings!$A:$A,"Flipkart")&gt;0,"Draft","Missing"))
</f>
        <v>Live</v>
      </c>
      <c r="D416" s="31" t="str">
        <f>IF(
 COUNTIFS(Channel_Listings!$D:$D,$A416,Channel_Listings!$A:$A,"Meesho",Channel_Listings!$E:$E,"Live")&gt;0,"Live",
 IF(COUNTIFS(Channel_Listings!$D:$D,$A416,Channel_Listings!$A:$A,"Meesho")&gt;0,"Draft","Missing"))
</f>
        <v>Missing</v>
      </c>
    </row>
    <row r="417" ht="15.75" customHeight="1">
      <c r="A417" s="36" t="s">
        <v>791</v>
      </c>
      <c r="B417" s="31" t="str">
        <f>IF(
 COUNTIFS(Channel_Listings!$D:$D,$A417,Channel_Listings!$A:$A,"Amazon",Channel_Listings!$E:$E,"Live")&gt;0,"Live",
 IF(COUNTIFS(Channel_Listings!$D:$D,$A417,Channel_Listings!$A:$A,"Amazon")&gt;0,"Draft","Missing"))
</f>
        <v>Live</v>
      </c>
      <c r="C417" s="31" t="str">
        <f>IF(
 COUNTIFS(Channel_Listings!$D:$D,$A417,Channel_Listings!$A:$A,"Flipkart",Channel_Listings!$E:$E,"Live")&gt;0,"Live",
 IF(COUNTIFS(Channel_Listings!$D:$D,$A417,Channel_Listings!$A:$A,"Flipkart")&gt;0,"Draft","Missing"))
</f>
        <v>Live</v>
      </c>
      <c r="D417" s="31" t="str">
        <f>IF(
 COUNTIFS(Channel_Listings!$D:$D,$A417,Channel_Listings!$A:$A,"Meesho",Channel_Listings!$E:$E,"Live")&gt;0,"Live",
 IF(COUNTIFS(Channel_Listings!$D:$D,$A417,Channel_Listings!$A:$A,"Meesho")&gt;0,"Draft","Missing"))
</f>
        <v>Missing</v>
      </c>
    </row>
    <row r="418" ht="15.75" customHeight="1">
      <c r="A418" s="36" t="s">
        <v>793</v>
      </c>
      <c r="B418" s="31" t="str">
        <f>IF(
 COUNTIFS(Channel_Listings!$D:$D,$A418,Channel_Listings!$A:$A,"Amazon",Channel_Listings!$E:$E,"Live")&gt;0,"Live",
 IF(COUNTIFS(Channel_Listings!$D:$D,$A418,Channel_Listings!$A:$A,"Amazon")&gt;0,"Draft","Missing"))
</f>
        <v>Live</v>
      </c>
      <c r="C418" s="31" t="str">
        <f>IF(
 COUNTIFS(Channel_Listings!$D:$D,$A418,Channel_Listings!$A:$A,"Flipkart",Channel_Listings!$E:$E,"Live")&gt;0,"Live",
 IF(COUNTIFS(Channel_Listings!$D:$D,$A418,Channel_Listings!$A:$A,"Flipkart")&gt;0,"Draft","Missing"))
</f>
        <v>Live</v>
      </c>
      <c r="D418" s="31" t="str">
        <f>IF(
 COUNTIFS(Channel_Listings!$D:$D,$A418,Channel_Listings!$A:$A,"Meesho",Channel_Listings!$E:$E,"Live")&gt;0,"Live",
 IF(COUNTIFS(Channel_Listings!$D:$D,$A418,Channel_Listings!$A:$A,"Meesho")&gt;0,"Draft","Missing"))
</f>
        <v>Missing</v>
      </c>
    </row>
    <row r="419" ht="15.75" customHeight="1">
      <c r="A419" s="36" t="s">
        <v>795</v>
      </c>
      <c r="B419" s="31" t="str">
        <f>IF(
 COUNTIFS(Channel_Listings!$D:$D,$A419,Channel_Listings!$A:$A,"Amazon",Channel_Listings!$E:$E,"Live")&gt;0,"Live",
 IF(COUNTIFS(Channel_Listings!$D:$D,$A419,Channel_Listings!$A:$A,"Amazon")&gt;0,"Draft","Missing"))
</f>
        <v>Live</v>
      </c>
      <c r="C419" s="31" t="str">
        <f>IF(
 COUNTIFS(Channel_Listings!$D:$D,$A419,Channel_Listings!$A:$A,"Flipkart",Channel_Listings!$E:$E,"Live")&gt;0,"Live",
 IF(COUNTIFS(Channel_Listings!$D:$D,$A419,Channel_Listings!$A:$A,"Flipkart")&gt;0,"Draft","Missing"))
</f>
        <v>Live</v>
      </c>
      <c r="D419" s="31" t="str">
        <f>IF(
 COUNTIFS(Channel_Listings!$D:$D,$A419,Channel_Listings!$A:$A,"Meesho",Channel_Listings!$E:$E,"Live")&gt;0,"Live",
 IF(COUNTIFS(Channel_Listings!$D:$D,$A419,Channel_Listings!$A:$A,"Meesho")&gt;0,"Draft","Missing"))
</f>
        <v>Missing</v>
      </c>
    </row>
    <row r="420" ht="15.75" customHeight="1">
      <c r="A420" s="36" t="s">
        <v>797</v>
      </c>
      <c r="B420" s="31" t="str">
        <f>IF(
 COUNTIFS(Channel_Listings!$D:$D,$A420,Channel_Listings!$A:$A,"Amazon",Channel_Listings!$E:$E,"Live")&gt;0,"Live",
 IF(COUNTIFS(Channel_Listings!$D:$D,$A420,Channel_Listings!$A:$A,"Amazon")&gt;0,"Draft","Missing"))
</f>
        <v>Live</v>
      </c>
      <c r="C420" s="31" t="str">
        <f>IF(
 COUNTIFS(Channel_Listings!$D:$D,$A420,Channel_Listings!$A:$A,"Flipkart",Channel_Listings!$E:$E,"Live")&gt;0,"Live",
 IF(COUNTIFS(Channel_Listings!$D:$D,$A420,Channel_Listings!$A:$A,"Flipkart")&gt;0,"Draft","Missing"))
</f>
        <v>Live</v>
      </c>
      <c r="D420" s="31" t="str">
        <f>IF(
 COUNTIFS(Channel_Listings!$D:$D,$A420,Channel_Listings!$A:$A,"Meesho",Channel_Listings!$E:$E,"Live")&gt;0,"Live",
 IF(COUNTIFS(Channel_Listings!$D:$D,$A420,Channel_Listings!$A:$A,"Meesho")&gt;0,"Draft","Missing"))
</f>
        <v>Missing</v>
      </c>
    </row>
    <row r="421" ht="15.75" customHeight="1">
      <c r="A421" s="38" t="s">
        <v>638</v>
      </c>
      <c r="B421" s="31" t="str">
        <f>IF(
 COUNTIFS(Channel_Listings!$D:$D,$A421,Channel_Listings!$A:$A,"Amazon",Channel_Listings!$E:$E,"Live")&gt;0,"Live",
 IF(COUNTIFS(Channel_Listings!$D:$D,$A421,Channel_Listings!$A:$A,"Amazon")&gt;0,"Draft","Missing"))
</f>
        <v>Live</v>
      </c>
      <c r="C421" s="31" t="str">
        <f>IF(
 COUNTIFS(Channel_Listings!$D:$D,$A421,Channel_Listings!$A:$A,"Flipkart",Channel_Listings!$E:$E,"Live")&gt;0,"Live",
 IF(COUNTIFS(Channel_Listings!$D:$D,$A421,Channel_Listings!$A:$A,"Flipkart")&gt;0,"Draft","Missing"))
</f>
        <v>Live</v>
      </c>
      <c r="D421" s="31" t="str">
        <f>IF(
 COUNTIFS(Channel_Listings!$D:$D,$A421,Channel_Listings!$A:$A,"Meesho",Channel_Listings!$E:$E,"Live")&gt;0,"Live",
 IF(COUNTIFS(Channel_Listings!$D:$D,$A421,Channel_Listings!$A:$A,"Meesho")&gt;0,"Draft","Missing"))
</f>
        <v>Missing</v>
      </c>
    </row>
    <row r="422" ht="15.75" customHeight="1">
      <c r="A422" s="38" t="s">
        <v>641</v>
      </c>
      <c r="B422" s="31" t="str">
        <f>IF(
 COUNTIFS(Channel_Listings!$D:$D,$A422,Channel_Listings!$A:$A,"Amazon",Channel_Listings!$E:$E,"Live")&gt;0,"Live",
 IF(COUNTIFS(Channel_Listings!$D:$D,$A422,Channel_Listings!$A:$A,"Amazon")&gt;0,"Draft","Missing"))
</f>
        <v>Live</v>
      </c>
      <c r="C422" s="31" t="str">
        <f>IF(
 COUNTIFS(Channel_Listings!$D:$D,$A422,Channel_Listings!$A:$A,"Flipkart",Channel_Listings!$E:$E,"Live")&gt;0,"Live",
 IF(COUNTIFS(Channel_Listings!$D:$D,$A422,Channel_Listings!$A:$A,"Flipkart")&gt;0,"Draft","Missing"))
</f>
        <v>Live</v>
      </c>
      <c r="D422" s="31" t="str">
        <f>IF(
 COUNTIFS(Channel_Listings!$D:$D,$A422,Channel_Listings!$A:$A,"Meesho",Channel_Listings!$E:$E,"Live")&gt;0,"Live",
 IF(COUNTIFS(Channel_Listings!$D:$D,$A422,Channel_Listings!$A:$A,"Meesho")&gt;0,"Draft","Missing"))
</f>
        <v>Missing</v>
      </c>
    </row>
    <row r="423" ht="15.75" customHeight="1">
      <c r="A423" s="38" t="s">
        <v>644</v>
      </c>
      <c r="B423" s="31" t="str">
        <f>IF(
 COUNTIFS(Channel_Listings!$D:$D,$A423,Channel_Listings!$A:$A,"Amazon",Channel_Listings!$E:$E,"Live")&gt;0,"Live",
 IF(COUNTIFS(Channel_Listings!$D:$D,$A423,Channel_Listings!$A:$A,"Amazon")&gt;0,"Draft","Missing"))
</f>
        <v>Live</v>
      </c>
      <c r="C423" s="31" t="str">
        <f>IF(
 COUNTIFS(Channel_Listings!$D:$D,$A423,Channel_Listings!$A:$A,"Flipkart",Channel_Listings!$E:$E,"Live")&gt;0,"Live",
 IF(COUNTIFS(Channel_Listings!$D:$D,$A423,Channel_Listings!$A:$A,"Flipkart")&gt;0,"Draft","Missing"))
</f>
        <v>Live</v>
      </c>
      <c r="D423" s="31" t="str">
        <f>IF(
 COUNTIFS(Channel_Listings!$D:$D,$A423,Channel_Listings!$A:$A,"Meesho",Channel_Listings!$E:$E,"Live")&gt;0,"Live",
 IF(COUNTIFS(Channel_Listings!$D:$D,$A423,Channel_Listings!$A:$A,"Meesho")&gt;0,"Draft","Missing"))
</f>
        <v>Missing</v>
      </c>
    </row>
    <row r="424" ht="15.75" customHeight="1">
      <c r="A424" s="38" t="s">
        <v>647</v>
      </c>
      <c r="B424" s="31" t="str">
        <f>IF(
 COUNTIFS(Channel_Listings!$D:$D,$A424,Channel_Listings!$A:$A,"Amazon",Channel_Listings!$E:$E,"Live")&gt;0,"Live",
 IF(COUNTIFS(Channel_Listings!$D:$D,$A424,Channel_Listings!$A:$A,"Amazon")&gt;0,"Draft","Missing"))
</f>
        <v>Live</v>
      </c>
      <c r="C424" s="31" t="str">
        <f>IF(
 COUNTIFS(Channel_Listings!$D:$D,$A424,Channel_Listings!$A:$A,"Flipkart",Channel_Listings!$E:$E,"Live")&gt;0,"Live",
 IF(COUNTIFS(Channel_Listings!$D:$D,$A424,Channel_Listings!$A:$A,"Flipkart")&gt;0,"Draft","Missing"))
</f>
        <v>Live</v>
      </c>
      <c r="D424" s="31" t="str">
        <f>IF(
 COUNTIFS(Channel_Listings!$D:$D,$A424,Channel_Listings!$A:$A,"Meesho",Channel_Listings!$E:$E,"Live")&gt;0,"Live",
 IF(COUNTIFS(Channel_Listings!$D:$D,$A424,Channel_Listings!$A:$A,"Meesho")&gt;0,"Draft","Missing"))
</f>
        <v>Missing</v>
      </c>
    </row>
    <row r="425" ht="15.75" customHeight="1">
      <c r="A425" s="34" t="s">
        <v>636</v>
      </c>
      <c r="B425" s="31" t="str">
        <f>IF(
 COUNTIFS(Channel_Listings!$D:$D,$A425,Channel_Listings!$A:$A,"Amazon",Channel_Listings!$E:$E,"Live")&gt;0,"Live",
 IF(COUNTIFS(Channel_Listings!$D:$D,$A425,Channel_Listings!$A:$A,"Amazon")&gt;0,"Draft","Missing"))
</f>
        <v>Live</v>
      </c>
      <c r="C425" s="31" t="str">
        <f>IF(
 COUNTIFS(Channel_Listings!$D:$D,$A425,Channel_Listings!$A:$A,"Flipkart",Channel_Listings!$E:$E,"Live")&gt;0,"Live",
 IF(COUNTIFS(Channel_Listings!$D:$D,$A425,Channel_Listings!$A:$A,"Flipkart")&gt;0,"Draft","Missing"))
</f>
        <v>Missing</v>
      </c>
      <c r="D425" s="31" t="str">
        <f>IF(
 COUNTIFS(Channel_Listings!$D:$D,$A425,Channel_Listings!$A:$A,"Meesho",Channel_Listings!$E:$E,"Live")&gt;0,"Live",
 IF(COUNTIFS(Channel_Listings!$D:$D,$A425,Channel_Listings!$A:$A,"Meesho")&gt;0,"Draft","Missing"))
</f>
        <v>Missing</v>
      </c>
    </row>
    <row r="426" ht="15.75" customHeight="1">
      <c r="A426" s="35" t="s">
        <v>1593</v>
      </c>
      <c r="B426" s="31" t="str">
        <f>IF(
 COUNTIFS(Channel_Listings!$D:$D,$A426,Channel_Listings!$A:$A,"Amazon",Channel_Listings!$E:$E,"Live")&gt;0,"Live",
 IF(COUNTIFS(Channel_Listings!$D:$D,$A426,Channel_Listings!$A:$A,"Amazon")&gt;0,"Draft","Missing"))
</f>
        <v>Missing</v>
      </c>
      <c r="C426" s="31" t="str">
        <f>IF(
 COUNTIFS(Channel_Listings!$D:$D,$A426,Channel_Listings!$A:$A,"Flipkart",Channel_Listings!$E:$E,"Live")&gt;0,"Live",
 IF(COUNTIFS(Channel_Listings!$D:$D,$A426,Channel_Listings!$A:$A,"Flipkart")&gt;0,"Draft","Missing"))
</f>
        <v>Live</v>
      </c>
      <c r="D426" s="31" t="str">
        <f>IF(
 COUNTIFS(Channel_Listings!$D:$D,$A426,Channel_Listings!$A:$A,"Meesho",Channel_Listings!$E:$E,"Live")&gt;0,"Live",
 IF(COUNTIFS(Channel_Listings!$D:$D,$A426,Channel_Listings!$A:$A,"Meesho")&gt;0,"Draft","Missing"))
</f>
        <v>Missing</v>
      </c>
    </row>
    <row r="427" ht="15.75" customHeight="1">
      <c r="A427" s="35" t="s">
        <v>1595</v>
      </c>
      <c r="B427" s="31" t="str">
        <f>IF(
 COUNTIFS(Channel_Listings!$D:$D,$A427,Channel_Listings!$A:$A,"Amazon",Channel_Listings!$E:$E,"Live")&gt;0,"Live",
 IF(COUNTIFS(Channel_Listings!$D:$D,$A427,Channel_Listings!$A:$A,"Amazon")&gt;0,"Draft","Missing"))
</f>
        <v>Missing</v>
      </c>
      <c r="C427" s="31" t="str">
        <f>IF(
 COUNTIFS(Channel_Listings!$D:$D,$A427,Channel_Listings!$A:$A,"Flipkart",Channel_Listings!$E:$E,"Live")&gt;0,"Live",
 IF(COUNTIFS(Channel_Listings!$D:$D,$A427,Channel_Listings!$A:$A,"Flipkart")&gt;0,"Draft","Missing"))
</f>
        <v>Live</v>
      </c>
      <c r="D427" s="31" t="str">
        <f>IF(
 COUNTIFS(Channel_Listings!$D:$D,$A427,Channel_Listings!$A:$A,"Meesho",Channel_Listings!$E:$E,"Live")&gt;0,"Live",
 IF(COUNTIFS(Channel_Listings!$D:$D,$A427,Channel_Listings!$A:$A,"Meesho")&gt;0,"Draft","Missing"))
</f>
        <v>Missing</v>
      </c>
    </row>
    <row r="428" ht="15.75" customHeight="1">
      <c r="A428" s="34" t="s">
        <v>20</v>
      </c>
      <c r="B428" s="31" t="str">
        <f>IF(
 COUNTIFS(Channel_Listings!$D:$D,$A428,Channel_Listings!$A:$A,"Amazon",Channel_Listings!$E:$E,"Live")&gt;0,"Live",
 IF(COUNTIFS(Channel_Listings!$D:$D,$A428,Channel_Listings!$A:$A,"Amazon")&gt;0,"Draft","Missing"))
</f>
        <v>Live</v>
      </c>
      <c r="C428" s="31" t="str">
        <f>IF(
 COUNTIFS(Channel_Listings!$D:$D,$A428,Channel_Listings!$A:$A,"Flipkart",Channel_Listings!$E:$E,"Live")&gt;0,"Live",
 IF(COUNTIFS(Channel_Listings!$D:$D,$A428,Channel_Listings!$A:$A,"Flipkart")&gt;0,"Draft","Missing"))
</f>
        <v>Missing</v>
      </c>
      <c r="D428" s="31" t="str">
        <f>IF(
 COUNTIFS(Channel_Listings!$D:$D,$A428,Channel_Listings!$A:$A,"Meesho",Channel_Listings!$E:$E,"Live")&gt;0,"Live",
 IF(COUNTIFS(Channel_Listings!$D:$D,$A428,Channel_Listings!$A:$A,"Meesho")&gt;0,"Draft","Missing"))
</f>
        <v>Missing</v>
      </c>
    </row>
    <row r="429" ht="15.75" customHeight="1">
      <c r="B429" s="31"/>
      <c r="C429" s="31"/>
      <c r="D429" s="31"/>
    </row>
    <row r="430" ht="15.75" customHeight="1">
      <c r="B430" s="31"/>
      <c r="C430" s="31"/>
      <c r="D430" s="31"/>
    </row>
    <row r="431" ht="15.75" customHeight="1">
      <c r="B431" s="31"/>
      <c r="C431" s="31"/>
      <c r="D431" s="31"/>
    </row>
    <row r="432" ht="15.75" customHeight="1">
      <c r="B432" s="31"/>
      <c r="C432" s="31"/>
      <c r="D432" s="31"/>
    </row>
    <row r="433" ht="15.75" customHeight="1">
      <c r="B433" s="31"/>
      <c r="C433" s="31"/>
      <c r="D433" s="31"/>
    </row>
    <row r="434" ht="15.75" customHeight="1">
      <c r="B434" s="31"/>
      <c r="C434" s="31"/>
      <c r="D434" s="31"/>
    </row>
    <row r="435" ht="15.75" customHeight="1">
      <c r="B435" s="31"/>
      <c r="C435" s="31"/>
      <c r="D435" s="31"/>
    </row>
    <row r="436" ht="15.75" customHeight="1">
      <c r="B436" s="31"/>
      <c r="C436" s="31"/>
      <c r="D436" s="31"/>
    </row>
    <row r="437" ht="15.75" customHeight="1">
      <c r="B437" s="31"/>
      <c r="C437" s="31"/>
      <c r="D437" s="31"/>
    </row>
    <row r="438" ht="15.75" customHeight="1">
      <c r="B438" s="31"/>
      <c r="C438" s="31"/>
      <c r="D438" s="31"/>
    </row>
    <row r="439" ht="15.75" customHeight="1">
      <c r="B439" s="31"/>
      <c r="C439" s="31"/>
      <c r="D439" s="31"/>
    </row>
    <row r="440" ht="15.75" customHeight="1">
      <c r="B440" s="31"/>
      <c r="C440" s="31"/>
      <c r="D440" s="31"/>
    </row>
    <row r="441" ht="15.75" customHeight="1">
      <c r="B441" s="31"/>
      <c r="C441" s="31"/>
      <c r="D441" s="31"/>
    </row>
    <row r="442" ht="15.75" customHeight="1">
      <c r="B442" s="31"/>
      <c r="C442" s="31"/>
      <c r="D442" s="31"/>
    </row>
    <row r="443" ht="15.75" customHeight="1">
      <c r="B443" s="31"/>
      <c r="C443" s="31"/>
      <c r="D443" s="31"/>
    </row>
    <row r="444" ht="15.75" customHeight="1">
      <c r="B444" s="31"/>
      <c r="C444" s="31"/>
      <c r="D444" s="31"/>
    </row>
    <row r="445" ht="15.75" customHeight="1">
      <c r="B445" s="31"/>
      <c r="C445" s="31"/>
      <c r="D445" s="31"/>
    </row>
    <row r="446" ht="15.75" customHeight="1">
      <c r="B446" s="31"/>
      <c r="C446" s="31"/>
      <c r="D446" s="31"/>
    </row>
    <row r="447" ht="15.75" customHeight="1">
      <c r="B447" s="31"/>
      <c r="C447" s="31"/>
      <c r="D447" s="31"/>
    </row>
    <row r="448" ht="15.75" customHeight="1">
      <c r="B448" s="31"/>
      <c r="C448" s="31"/>
      <c r="D448" s="31"/>
    </row>
    <row r="449" ht="15.75" customHeight="1">
      <c r="B449" s="31"/>
      <c r="C449" s="31"/>
      <c r="D449" s="31"/>
    </row>
    <row r="450" ht="15.75" customHeight="1">
      <c r="B450" s="31"/>
      <c r="C450" s="31"/>
      <c r="D450" s="31"/>
    </row>
    <row r="451" ht="15.75" customHeight="1">
      <c r="B451" s="31"/>
      <c r="C451" s="31"/>
      <c r="D451" s="31"/>
    </row>
    <row r="452" ht="15.75" customHeight="1">
      <c r="B452" s="31"/>
      <c r="C452" s="31"/>
      <c r="D452" s="31"/>
    </row>
    <row r="453" ht="15.75" customHeight="1">
      <c r="B453" s="31"/>
      <c r="C453" s="31"/>
      <c r="D453" s="31"/>
    </row>
    <row r="454" ht="15.75" customHeight="1">
      <c r="B454" s="31"/>
      <c r="C454" s="31"/>
      <c r="D454" s="31"/>
    </row>
    <row r="455" ht="15.75" customHeight="1">
      <c r="B455" s="31"/>
      <c r="C455" s="31"/>
      <c r="D455" s="31"/>
    </row>
    <row r="456" ht="15.75" customHeight="1">
      <c r="B456" s="31"/>
      <c r="C456" s="31"/>
      <c r="D456" s="31"/>
    </row>
    <row r="457" ht="15.75" customHeight="1">
      <c r="B457" s="31"/>
      <c r="C457" s="31"/>
      <c r="D457" s="31"/>
    </row>
    <row r="458" ht="15.75" customHeight="1">
      <c r="B458" s="31"/>
      <c r="C458" s="31"/>
      <c r="D458" s="31"/>
    </row>
    <row r="459" ht="15.75" customHeight="1">
      <c r="B459" s="31"/>
      <c r="C459" s="31"/>
      <c r="D459" s="31"/>
    </row>
    <row r="460" ht="15.75" customHeight="1">
      <c r="B460" s="31"/>
      <c r="C460" s="31"/>
      <c r="D460" s="31"/>
    </row>
    <row r="461" ht="15.75" customHeight="1">
      <c r="B461" s="31"/>
      <c r="C461" s="31"/>
      <c r="D461" s="31"/>
    </row>
    <row r="462" ht="15.75" customHeight="1">
      <c r="B462" s="31"/>
      <c r="C462" s="31"/>
      <c r="D462" s="31"/>
    </row>
    <row r="463" ht="15.75" customHeight="1">
      <c r="B463" s="31"/>
      <c r="C463" s="31"/>
      <c r="D463" s="31"/>
    </row>
    <row r="464" ht="15.75" customHeight="1">
      <c r="B464" s="31"/>
      <c r="C464" s="31"/>
      <c r="D464" s="31"/>
    </row>
    <row r="465" ht="15.75" customHeight="1">
      <c r="B465" s="31"/>
      <c r="C465" s="31"/>
      <c r="D465" s="31"/>
    </row>
    <row r="466" ht="15.75" customHeight="1">
      <c r="B466" s="31"/>
      <c r="C466" s="31"/>
      <c r="D466" s="31"/>
    </row>
    <row r="467" ht="15.75" customHeight="1">
      <c r="B467" s="31"/>
      <c r="C467" s="31"/>
      <c r="D467" s="31"/>
    </row>
    <row r="468" ht="15.75" customHeight="1">
      <c r="B468" s="31"/>
      <c r="C468" s="31"/>
      <c r="D468" s="31"/>
    </row>
    <row r="469" ht="15.75" customHeight="1">
      <c r="B469" s="31"/>
      <c r="C469" s="31"/>
      <c r="D469" s="31"/>
    </row>
    <row r="470" ht="15.75" customHeight="1">
      <c r="B470" s="31"/>
      <c r="C470" s="31"/>
      <c r="D470" s="31"/>
    </row>
    <row r="471" ht="15.75" customHeight="1">
      <c r="B471" s="31"/>
      <c r="C471" s="31"/>
      <c r="D471" s="31"/>
    </row>
    <row r="472" ht="15.75" customHeight="1">
      <c r="B472" s="31"/>
      <c r="C472" s="31"/>
      <c r="D472" s="31"/>
    </row>
    <row r="473" ht="15.75" customHeight="1">
      <c r="B473" s="31"/>
      <c r="C473" s="31"/>
      <c r="D473" s="31"/>
    </row>
    <row r="474" ht="15.75" customHeight="1">
      <c r="B474" s="31"/>
      <c r="C474" s="31"/>
      <c r="D474" s="31"/>
    </row>
    <row r="475" ht="15.75" customHeight="1">
      <c r="B475" s="31"/>
      <c r="C475" s="31"/>
      <c r="D475" s="31"/>
    </row>
    <row r="476" ht="15.75" customHeight="1">
      <c r="B476" s="31"/>
      <c r="C476" s="31"/>
      <c r="D476" s="31"/>
    </row>
    <row r="477" ht="15.75" customHeight="1">
      <c r="B477" s="31"/>
      <c r="C477" s="31"/>
      <c r="D477" s="31"/>
    </row>
    <row r="478" ht="15.75" customHeight="1">
      <c r="B478" s="31"/>
      <c r="C478" s="31"/>
      <c r="D478" s="31"/>
    </row>
    <row r="479" ht="15.75" customHeight="1">
      <c r="B479" s="31"/>
      <c r="C479" s="31"/>
      <c r="D479" s="31"/>
    </row>
    <row r="480" ht="15.75" customHeight="1">
      <c r="B480" s="31"/>
      <c r="C480" s="31"/>
      <c r="D480" s="31"/>
    </row>
    <row r="481" ht="15.75" customHeight="1">
      <c r="B481" s="31"/>
      <c r="C481" s="31"/>
      <c r="D481" s="31"/>
    </row>
    <row r="482" ht="15.75" customHeight="1">
      <c r="B482" s="31"/>
      <c r="C482" s="31"/>
      <c r="D482" s="31"/>
    </row>
    <row r="483" ht="15.75" customHeight="1">
      <c r="B483" s="31"/>
      <c r="C483" s="31"/>
      <c r="D483" s="31"/>
    </row>
    <row r="484" ht="15.75" customHeight="1">
      <c r="B484" s="31"/>
      <c r="C484" s="31"/>
      <c r="D484" s="31"/>
    </row>
    <row r="485" ht="15.75" customHeight="1">
      <c r="B485" s="31"/>
      <c r="C485" s="31"/>
      <c r="D485" s="31"/>
    </row>
    <row r="486" ht="15.75" customHeight="1">
      <c r="B486" s="31"/>
      <c r="C486" s="31"/>
      <c r="D486" s="31"/>
    </row>
    <row r="487" ht="15.75" customHeight="1">
      <c r="B487" s="31"/>
      <c r="C487" s="31"/>
      <c r="D487" s="31"/>
    </row>
    <row r="488" ht="15.75" customHeight="1">
      <c r="B488" s="31"/>
      <c r="C488" s="31"/>
      <c r="D488" s="31"/>
    </row>
    <row r="489" ht="15.75" customHeight="1">
      <c r="B489" s="31"/>
      <c r="C489" s="31"/>
      <c r="D489" s="31"/>
    </row>
    <row r="490" ht="15.75" customHeight="1">
      <c r="B490" s="31"/>
      <c r="C490" s="31"/>
      <c r="D490" s="31"/>
    </row>
    <row r="491" ht="15.75" customHeight="1">
      <c r="B491" s="31"/>
      <c r="C491" s="31"/>
      <c r="D491" s="31"/>
    </row>
    <row r="492" ht="15.75" customHeight="1">
      <c r="B492" s="31"/>
      <c r="C492" s="31"/>
      <c r="D492" s="31"/>
    </row>
    <row r="493" ht="15.75" customHeight="1">
      <c r="B493" s="31"/>
      <c r="C493" s="31"/>
      <c r="D493" s="31"/>
    </row>
    <row r="494" ht="15.75" customHeight="1">
      <c r="B494" s="31"/>
      <c r="C494" s="31"/>
      <c r="D494" s="31"/>
    </row>
    <row r="495" ht="15.75" customHeight="1">
      <c r="B495" s="31"/>
      <c r="C495" s="31"/>
      <c r="D495" s="31"/>
    </row>
    <row r="496" ht="15.75" customHeight="1">
      <c r="B496" s="31"/>
      <c r="C496" s="31"/>
      <c r="D496" s="31"/>
    </row>
    <row r="497" ht="15.75" customHeight="1">
      <c r="B497" s="31"/>
      <c r="C497" s="31"/>
      <c r="D497" s="31"/>
    </row>
    <row r="498" ht="15.75" customHeight="1">
      <c r="B498" s="31"/>
      <c r="C498" s="31"/>
      <c r="D498" s="31"/>
    </row>
    <row r="499" ht="15.75" customHeight="1">
      <c r="B499" s="31"/>
      <c r="C499" s="31"/>
      <c r="D499" s="31"/>
    </row>
    <row r="500" ht="15.75" customHeight="1">
      <c r="B500" s="31"/>
      <c r="C500" s="31"/>
      <c r="D500" s="31"/>
    </row>
    <row r="501" ht="15.75" customHeight="1">
      <c r="B501" s="31"/>
      <c r="C501" s="31"/>
      <c r="D501" s="31"/>
    </row>
    <row r="502" ht="15.75" customHeight="1">
      <c r="B502" s="31"/>
      <c r="C502" s="31"/>
      <c r="D502" s="31"/>
    </row>
    <row r="503" ht="15.75" customHeight="1">
      <c r="B503" s="31"/>
      <c r="C503" s="31"/>
      <c r="D503" s="31"/>
    </row>
    <row r="504" ht="15.75" customHeight="1">
      <c r="B504" s="31"/>
      <c r="C504" s="31"/>
      <c r="D504" s="31"/>
    </row>
    <row r="505" ht="15.75" customHeight="1">
      <c r="B505" s="31"/>
      <c r="C505" s="31"/>
      <c r="D505" s="31"/>
    </row>
    <row r="506" ht="15.75" customHeight="1">
      <c r="B506" s="31"/>
      <c r="C506" s="31"/>
      <c r="D506" s="31"/>
    </row>
    <row r="507" ht="15.75" customHeight="1">
      <c r="B507" s="31"/>
      <c r="C507" s="31"/>
      <c r="D507" s="31"/>
    </row>
    <row r="508" ht="15.75" customHeight="1">
      <c r="B508" s="31"/>
      <c r="C508" s="31"/>
      <c r="D508" s="31"/>
    </row>
    <row r="509" ht="15.75" customHeight="1">
      <c r="B509" s="31"/>
      <c r="C509" s="31"/>
      <c r="D509" s="31"/>
    </row>
    <row r="510" ht="15.75" customHeight="1">
      <c r="B510" s="31"/>
      <c r="C510" s="31"/>
      <c r="D510" s="31"/>
    </row>
    <row r="511" ht="15.75" customHeight="1">
      <c r="B511" s="31"/>
      <c r="C511" s="31"/>
      <c r="D511" s="31"/>
    </row>
    <row r="512" ht="15.75" customHeight="1">
      <c r="B512" s="31"/>
      <c r="C512" s="31"/>
      <c r="D512" s="31"/>
    </row>
    <row r="513" ht="15.75" customHeight="1">
      <c r="B513" s="31"/>
      <c r="C513" s="31"/>
      <c r="D513" s="31"/>
    </row>
    <row r="514" ht="15.75" customHeight="1">
      <c r="B514" s="31"/>
      <c r="C514" s="31"/>
      <c r="D514" s="31"/>
    </row>
    <row r="515" ht="15.75" customHeight="1">
      <c r="B515" s="31"/>
      <c r="C515" s="31"/>
      <c r="D515" s="31"/>
    </row>
    <row r="516" ht="15.75" customHeight="1">
      <c r="B516" s="31"/>
      <c r="C516" s="31"/>
      <c r="D516" s="31"/>
    </row>
    <row r="517" ht="15.75" customHeight="1">
      <c r="B517" s="31"/>
      <c r="C517" s="31"/>
      <c r="D517" s="31"/>
    </row>
    <row r="518" ht="15.75" customHeight="1">
      <c r="B518" s="31"/>
      <c r="C518" s="31"/>
      <c r="D518" s="31"/>
    </row>
    <row r="519" ht="15.75" customHeight="1">
      <c r="B519" s="31"/>
      <c r="C519" s="31"/>
      <c r="D519" s="31"/>
    </row>
    <row r="520" ht="15.75" customHeight="1">
      <c r="B520" s="31"/>
      <c r="C520" s="31"/>
      <c r="D520" s="31"/>
    </row>
    <row r="521" ht="15.75" customHeight="1">
      <c r="B521" s="31"/>
      <c r="C521" s="31"/>
      <c r="D521" s="31"/>
    </row>
    <row r="522" ht="15.75" customHeight="1">
      <c r="B522" s="31"/>
      <c r="C522" s="31"/>
      <c r="D522" s="31"/>
    </row>
    <row r="523" ht="15.75" customHeight="1">
      <c r="B523" s="31"/>
      <c r="C523" s="31"/>
      <c r="D523" s="31"/>
    </row>
    <row r="524" ht="15.75" customHeight="1">
      <c r="B524" s="31"/>
      <c r="C524" s="31"/>
      <c r="D524" s="31"/>
    </row>
    <row r="525" ht="15.75" customHeight="1">
      <c r="B525" s="31"/>
      <c r="C525" s="31"/>
      <c r="D525" s="31"/>
    </row>
    <row r="526" ht="15.75" customHeight="1">
      <c r="B526" s="31"/>
      <c r="C526" s="31"/>
      <c r="D526" s="31"/>
    </row>
    <row r="527" ht="15.75" customHeight="1">
      <c r="B527" s="31"/>
      <c r="C527" s="31"/>
      <c r="D527" s="31"/>
    </row>
    <row r="528" ht="15.75" customHeight="1">
      <c r="B528" s="31"/>
      <c r="C528" s="31"/>
      <c r="D528" s="31"/>
    </row>
    <row r="529" ht="15.75" customHeight="1">
      <c r="B529" s="31"/>
      <c r="C529" s="31"/>
      <c r="D529" s="31"/>
    </row>
    <row r="530" ht="15.75" customHeight="1">
      <c r="B530" s="31"/>
      <c r="C530" s="31"/>
      <c r="D530" s="31"/>
    </row>
    <row r="531" ht="15.75" customHeight="1">
      <c r="B531" s="31"/>
      <c r="C531" s="31"/>
      <c r="D531" s="31"/>
    </row>
    <row r="532" ht="15.75" customHeight="1">
      <c r="B532" s="31"/>
      <c r="C532" s="31"/>
      <c r="D532" s="31"/>
    </row>
    <row r="533" ht="15.75" customHeight="1">
      <c r="B533" s="31"/>
      <c r="C533" s="31"/>
      <c r="D533" s="31"/>
    </row>
    <row r="534" ht="15.75" customHeight="1">
      <c r="B534" s="31"/>
      <c r="C534" s="31"/>
      <c r="D534" s="31"/>
    </row>
    <row r="535" ht="15.75" customHeight="1">
      <c r="B535" s="31"/>
      <c r="C535" s="31"/>
      <c r="D535" s="31"/>
    </row>
    <row r="536" ht="15.75" customHeight="1">
      <c r="B536" s="31"/>
      <c r="C536" s="31"/>
      <c r="D536" s="31"/>
    </row>
    <row r="537" ht="15.75" customHeight="1">
      <c r="B537" s="31"/>
      <c r="C537" s="31"/>
      <c r="D537" s="31"/>
    </row>
    <row r="538" ht="15.75" customHeight="1">
      <c r="B538" s="31"/>
      <c r="C538" s="31"/>
      <c r="D538" s="31"/>
    </row>
    <row r="539" ht="15.75" customHeight="1">
      <c r="B539" s="31"/>
      <c r="C539" s="31"/>
      <c r="D539" s="31"/>
    </row>
    <row r="540" ht="15.75" customHeight="1">
      <c r="B540" s="31"/>
      <c r="C540" s="31"/>
      <c r="D540" s="31"/>
    </row>
    <row r="541" ht="15.75" customHeight="1">
      <c r="B541" s="31"/>
      <c r="C541" s="31"/>
      <c r="D541" s="31"/>
    </row>
    <row r="542" ht="15.75" customHeight="1">
      <c r="B542" s="31"/>
      <c r="C542" s="31"/>
      <c r="D542" s="31"/>
    </row>
    <row r="543" ht="15.75" customHeight="1">
      <c r="B543" s="31"/>
      <c r="C543" s="31"/>
      <c r="D543" s="31"/>
    </row>
    <row r="544" ht="15.75" customHeight="1">
      <c r="B544" s="31"/>
      <c r="C544" s="31"/>
      <c r="D544" s="31"/>
    </row>
    <row r="545" ht="15.75" customHeight="1">
      <c r="B545" s="31"/>
      <c r="C545" s="31"/>
      <c r="D545" s="31"/>
    </row>
    <row r="546" ht="15.75" customHeight="1">
      <c r="B546" s="31"/>
      <c r="C546" s="31"/>
      <c r="D546" s="31"/>
    </row>
    <row r="547" ht="15.75" customHeight="1">
      <c r="B547" s="31"/>
      <c r="C547" s="31"/>
      <c r="D547" s="31"/>
    </row>
    <row r="548" ht="15.75" customHeight="1">
      <c r="B548" s="31"/>
      <c r="C548" s="31"/>
      <c r="D548" s="31"/>
    </row>
    <row r="549" ht="15.75" customHeight="1">
      <c r="B549" s="31"/>
      <c r="C549" s="31"/>
      <c r="D549" s="31"/>
    </row>
    <row r="550" ht="15.75" customHeight="1">
      <c r="B550" s="31"/>
      <c r="C550" s="31"/>
      <c r="D550" s="31"/>
    </row>
    <row r="551" ht="15.75" customHeight="1">
      <c r="B551" s="31"/>
      <c r="C551" s="31"/>
      <c r="D551" s="31"/>
    </row>
    <row r="552" ht="15.75" customHeight="1">
      <c r="B552" s="31"/>
      <c r="C552" s="31"/>
      <c r="D552" s="31"/>
    </row>
    <row r="553" ht="15.75" customHeight="1">
      <c r="B553" s="31"/>
      <c r="C553" s="31"/>
      <c r="D553" s="31"/>
    </row>
    <row r="554" ht="15.75" customHeight="1">
      <c r="B554" s="31"/>
      <c r="C554" s="31"/>
      <c r="D554" s="31"/>
    </row>
    <row r="555" ht="15.75" customHeight="1">
      <c r="B555" s="31"/>
      <c r="C555" s="31"/>
      <c r="D555" s="31"/>
    </row>
    <row r="556" ht="15.75" customHeight="1">
      <c r="B556" s="31"/>
      <c r="C556" s="31"/>
      <c r="D556" s="31"/>
    </row>
    <row r="557" ht="15.75" customHeight="1">
      <c r="B557" s="31"/>
      <c r="C557" s="31"/>
      <c r="D557" s="31"/>
    </row>
    <row r="558" ht="15.75" customHeight="1">
      <c r="B558" s="31"/>
      <c r="C558" s="31"/>
      <c r="D558" s="31"/>
    </row>
    <row r="559" ht="15.75" customHeight="1">
      <c r="B559" s="31"/>
      <c r="C559" s="31"/>
      <c r="D559" s="31"/>
    </row>
    <row r="560" ht="15.75" customHeight="1">
      <c r="B560" s="31"/>
      <c r="C560" s="31"/>
      <c r="D560" s="31"/>
    </row>
    <row r="561" ht="15.75" customHeight="1">
      <c r="B561" s="31"/>
      <c r="C561" s="31"/>
      <c r="D561" s="31"/>
    </row>
    <row r="562" ht="15.75" customHeight="1">
      <c r="B562" s="31"/>
      <c r="C562" s="31"/>
      <c r="D562" s="31"/>
    </row>
    <row r="563" ht="15.75" customHeight="1">
      <c r="B563" s="31"/>
      <c r="C563" s="31"/>
      <c r="D563" s="31"/>
    </row>
    <row r="564" ht="15.75" customHeight="1">
      <c r="B564" s="31"/>
      <c r="C564" s="31"/>
      <c r="D564" s="31"/>
    </row>
    <row r="565" ht="15.75" customHeight="1">
      <c r="B565" s="31"/>
      <c r="C565" s="31"/>
      <c r="D565" s="31"/>
    </row>
    <row r="566" ht="15.75" customHeight="1">
      <c r="B566" s="31"/>
      <c r="C566" s="31"/>
      <c r="D566" s="31"/>
    </row>
    <row r="567" ht="15.75" customHeight="1">
      <c r="B567" s="31"/>
      <c r="C567" s="31"/>
      <c r="D567" s="31"/>
    </row>
    <row r="568" ht="15.75" customHeight="1">
      <c r="B568" s="31"/>
      <c r="C568" s="31"/>
      <c r="D568" s="31"/>
    </row>
    <row r="569" ht="15.75" customHeight="1">
      <c r="B569" s="31"/>
      <c r="C569" s="31"/>
      <c r="D569" s="31"/>
    </row>
    <row r="570" ht="15.75" customHeight="1">
      <c r="B570" s="31"/>
      <c r="C570" s="31"/>
      <c r="D570" s="31"/>
    </row>
    <row r="571" ht="15.75" customHeight="1">
      <c r="B571" s="31"/>
      <c r="C571" s="31"/>
      <c r="D571" s="31"/>
    </row>
    <row r="572" ht="15.75" customHeight="1">
      <c r="B572" s="31"/>
      <c r="C572" s="31"/>
      <c r="D572" s="31"/>
    </row>
    <row r="573" ht="15.75" customHeight="1">
      <c r="B573" s="31"/>
      <c r="C573" s="31"/>
      <c r="D573" s="31"/>
    </row>
    <row r="574" ht="15.75" customHeight="1">
      <c r="B574" s="31"/>
      <c r="C574" s="31"/>
      <c r="D574" s="31"/>
    </row>
    <row r="575" ht="15.75" customHeight="1">
      <c r="B575" s="31"/>
      <c r="C575" s="31"/>
      <c r="D575" s="31"/>
    </row>
    <row r="576" ht="15.75" customHeight="1">
      <c r="B576" s="31"/>
      <c r="C576" s="31"/>
      <c r="D576" s="31"/>
    </row>
    <row r="577" ht="15.75" customHeight="1">
      <c r="B577" s="31"/>
      <c r="C577" s="31"/>
      <c r="D577" s="31"/>
    </row>
    <row r="578" ht="15.75" customHeight="1">
      <c r="B578" s="31"/>
      <c r="C578" s="31"/>
      <c r="D578" s="31"/>
    </row>
    <row r="579" ht="15.75" customHeight="1">
      <c r="B579" s="31"/>
      <c r="C579" s="31"/>
      <c r="D579" s="31"/>
    </row>
    <row r="580" ht="15.75" customHeight="1">
      <c r="B580" s="31"/>
      <c r="C580" s="31"/>
      <c r="D580" s="31"/>
    </row>
    <row r="581" ht="15.75" customHeight="1">
      <c r="B581" s="31"/>
      <c r="C581" s="31"/>
      <c r="D581" s="31"/>
    </row>
    <row r="582" ht="15.75" customHeight="1">
      <c r="B582" s="31"/>
      <c r="C582" s="31"/>
      <c r="D582" s="31"/>
    </row>
    <row r="583" ht="15.75" customHeight="1">
      <c r="B583" s="31"/>
      <c r="C583" s="31"/>
      <c r="D583" s="31"/>
    </row>
    <row r="584" ht="15.75" customHeight="1">
      <c r="B584" s="31"/>
      <c r="C584" s="31"/>
      <c r="D584" s="31"/>
    </row>
    <row r="585" ht="15.75" customHeight="1">
      <c r="B585" s="31"/>
      <c r="C585" s="31"/>
      <c r="D585" s="31"/>
    </row>
    <row r="586" ht="15.75" customHeight="1">
      <c r="B586" s="31"/>
      <c r="C586" s="31"/>
      <c r="D586" s="31"/>
    </row>
    <row r="587" ht="15.75" customHeight="1">
      <c r="B587" s="31"/>
      <c r="C587" s="31"/>
      <c r="D587" s="31"/>
    </row>
    <row r="588" ht="15.75" customHeight="1">
      <c r="B588" s="31"/>
      <c r="C588" s="31"/>
      <c r="D588" s="31"/>
    </row>
    <row r="589" ht="15.75" customHeight="1">
      <c r="B589" s="31"/>
      <c r="C589" s="31"/>
      <c r="D589" s="31"/>
    </row>
    <row r="590" ht="15.75" customHeight="1">
      <c r="B590" s="31"/>
      <c r="C590" s="31"/>
      <c r="D590" s="31"/>
    </row>
    <row r="591" ht="15.75" customHeight="1">
      <c r="B591" s="31"/>
      <c r="C591" s="31"/>
      <c r="D591" s="31"/>
    </row>
    <row r="592" ht="15.75" customHeight="1">
      <c r="B592" s="31"/>
      <c r="C592" s="31"/>
      <c r="D592" s="31"/>
    </row>
    <row r="593" ht="15.75" customHeight="1">
      <c r="B593" s="31"/>
      <c r="C593" s="31"/>
      <c r="D593" s="31"/>
    </row>
    <row r="594" ht="15.75" customHeight="1">
      <c r="B594" s="31"/>
      <c r="C594" s="31"/>
      <c r="D594" s="31"/>
    </row>
    <row r="595" ht="15.75" customHeight="1">
      <c r="B595" s="31"/>
      <c r="C595" s="31"/>
      <c r="D595" s="31"/>
    </row>
    <row r="596" ht="15.75" customHeight="1">
      <c r="B596" s="31"/>
      <c r="C596" s="31"/>
      <c r="D596" s="31"/>
    </row>
    <row r="597" ht="15.75" customHeight="1">
      <c r="B597" s="31"/>
      <c r="C597" s="31"/>
      <c r="D597" s="31"/>
    </row>
    <row r="598" ht="15.75" customHeight="1">
      <c r="B598" s="31"/>
      <c r="C598" s="31"/>
      <c r="D598" s="31"/>
    </row>
    <row r="599" ht="15.75" customHeight="1">
      <c r="B599" s="31"/>
      <c r="C599" s="31"/>
      <c r="D599" s="31"/>
    </row>
    <row r="600" ht="15.75" customHeight="1">
      <c r="B600" s="31"/>
      <c r="C600" s="31"/>
      <c r="D600" s="31"/>
    </row>
    <row r="601" ht="15.75" customHeight="1">
      <c r="B601" s="31"/>
      <c r="C601" s="31"/>
      <c r="D601" s="31"/>
    </row>
    <row r="602" ht="15.75" customHeight="1">
      <c r="B602" s="31"/>
      <c r="C602" s="31"/>
      <c r="D602" s="31"/>
    </row>
    <row r="603" ht="15.75" customHeight="1">
      <c r="B603" s="31"/>
      <c r="C603" s="31"/>
      <c r="D603" s="31"/>
    </row>
    <row r="604" ht="15.75" customHeight="1">
      <c r="B604" s="31"/>
      <c r="C604" s="31"/>
      <c r="D604" s="31"/>
    </row>
    <row r="605" ht="15.75" customHeight="1">
      <c r="B605" s="31"/>
      <c r="C605" s="31"/>
      <c r="D605" s="31"/>
    </row>
    <row r="606" ht="15.75" customHeight="1">
      <c r="B606" s="31"/>
      <c r="C606" s="31"/>
      <c r="D606" s="31"/>
    </row>
    <row r="607" ht="15.75" customHeight="1">
      <c r="B607" s="31"/>
      <c r="C607" s="31"/>
      <c r="D607" s="31"/>
    </row>
    <row r="608" ht="15.75" customHeight="1">
      <c r="B608" s="31"/>
      <c r="C608" s="31"/>
      <c r="D608" s="31"/>
    </row>
    <row r="609" ht="15.75" customHeight="1">
      <c r="B609" s="31"/>
      <c r="C609" s="31"/>
      <c r="D609" s="31"/>
    </row>
    <row r="610" ht="15.75" customHeight="1">
      <c r="B610" s="31"/>
      <c r="C610" s="31"/>
      <c r="D610" s="31"/>
    </row>
    <row r="611" ht="15.75" customHeight="1">
      <c r="B611" s="31"/>
      <c r="C611" s="31"/>
      <c r="D611" s="31"/>
    </row>
    <row r="612" ht="15.75" customHeight="1">
      <c r="B612" s="31"/>
      <c r="C612" s="31"/>
      <c r="D612" s="31"/>
    </row>
    <row r="613" ht="15.75" customHeight="1">
      <c r="B613" s="31"/>
      <c r="C613" s="31"/>
      <c r="D613" s="31"/>
    </row>
    <row r="614" ht="15.75" customHeight="1">
      <c r="B614" s="31"/>
      <c r="C614" s="31"/>
      <c r="D614" s="31"/>
    </row>
    <row r="615" ht="15.75" customHeight="1">
      <c r="B615" s="31"/>
      <c r="C615" s="31"/>
      <c r="D615" s="31"/>
    </row>
    <row r="616" ht="15.75" customHeight="1">
      <c r="B616" s="31"/>
      <c r="C616" s="31"/>
      <c r="D616" s="31"/>
    </row>
    <row r="617" ht="15.75" customHeight="1">
      <c r="B617" s="31"/>
      <c r="C617" s="31"/>
      <c r="D617" s="31"/>
    </row>
    <row r="618" ht="15.75" customHeight="1">
      <c r="B618" s="31"/>
      <c r="C618" s="31"/>
      <c r="D618" s="31"/>
    </row>
    <row r="619" ht="15.75" customHeight="1">
      <c r="B619" s="31"/>
      <c r="C619" s="31"/>
      <c r="D619" s="31"/>
    </row>
    <row r="620" ht="15.75" customHeight="1">
      <c r="B620" s="31"/>
      <c r="C620" s="31"/>
      <c r="D620" s="31"/>
    </row>
    <row r="621" ht="15.75" customHeight="1">
      <c r="B621" s="31"/>
      <c r="C621" s="31"/>
      <c r="D621" s="31"/>
    </row>
    <row r="622" ht="15.75" customHeight="1">
      <c r="B622" s="31"/>
      <c r="C622" s="31"/>
      <c r="D622" s="31"/>
    </row>
    <row r="623" ht="15.75" customHeight="1">
      <c r="B623" s="31"/>
      <c r="C623" s="31"/>
      <c r="D623" s="31"/>
    </row>
    <row r="624" ht="15.75" customHeight="1">
      <c r="B624" s="31"/>
      <c r="C624" s="31"/>
      <c r="D624" s="31"/>
    </row>
    <row r="625" ht="15.75" customHeight="1">
      <c r="B625" s="31"/>
      <c r="C625" s="31"/>
      <c r="D625" s="31"/>
    </row>
    <row r="626" ht="15.75" customHeight="1">
      <c r="B626" s="31"/>
      <c r="C626" s="31"/>
      <c r="D626" s="31"/>
    </row>
    <row r="627" ht="15.75" customHeight="1">
      <c r="B627" s="31"/>
      <c r="C627" s="31"/>
      <c r="D627" s="31"/>
    </row>
    <row r="628" ht="15.75" customHeight="1">
      <c r="B628" s="31"/>
      <c r="C628" s="31"/>
      <c r="D628" s="31"/>
    </row>
    <row r="629" ht="15.75" customHeight="1">
      <c r="B629" s="31"/>
      <c r="C629" s="31"/>
      <c r="D629" s="31"/>
    </row>
    <row r="630" ht="15.75" customHeight="1">
      <c r="B630" s="31"/>
      <c r="C630" s="31"/>
      <c r="D630" s="31"/>
    </row>
    <row r="631" ht="15.75" customHeight="1">
      <c r="B631" s="31"/>
      <c r="C631" s="31"/>
      <c r="D631" s="31"/>
    </row>
    <row r="632" ht="15.75" customHeight="1">
      <c r="B632" s="31"/>
      <c r="C632" s="31"/>
      <c r="D632" s="31"/>
    </row>
    <row r="633" ht="15.75" customHeight="1">
      <c r="B633" s="31"/>
      <c r="C633" s="31"/>
      <c r="D633" s="31"/>
    </row>
    <row r="634" ht="15.75" customHeight="1">
      <c r="B634" s="31"/>
      <c r="C634" s="31"/>
      <c r="D634" s="31"/>
    </row>
    <row r="635" ht="15.75" customHeight="1">
      <c r="B635" s="31"/>
      <c r="C635" s="31"/>
      <c r="D635" s="31"/>
    </row>
    <row r="636" ht="15.75" customHeight="1">
      <c r="B636" s="31"/>
      <c r="C636" s="31"/>
      <c r="D636" s="31"/>
    </row>
    <row r="637" ht="15.75" customHeight="1">
      <c r="B637" s="31"/>
      <c r="C637" s="31"/>
      <c r="D637" s="31"/>
    </row>
    <row r="638" ht="15.75" customHeight="1">
      <c r="B638" s="31"/>
      <c r="C638" s="31"/>
      <c r="D638" s="31"/>
    </row>
    <row r="639" ht="15.75" customHeight="1">
      <c r="B639" s="31"/>
      <c r="C639" s="31"/>
      <c r="D639" s="31"/>
    </row>
    <row r="640" ht="15.75" customHeight="1">
      <c r="B640" s="31"/>
      <c r="C640" s="31"/>
      <c r="D640" s="31"/>
    </row>
    <row r="641" ht="15.75" customHeight="1">
      <c r="B641" s="31"/>
      <c r="C641" s="31"/>
      <c r="D641" s="31"/>
    </row>
    <row r="642" ht="15.75" customHeight="1">
      <c r="B642" s="31"/>
      <c r="C642" s="31"/>
      <c r="D642" s="31"/>
    </row>
    <row r="643" ht="15.75" customHeight="1">
      <c r="B643" s="31"/>
      <c r="C643" s="31"/>
      <c r="D643" s="31"/>
    </row>
    <row r="644" ht="15.75" customHeight="1">
      <c r="B644" s="31"/>
      <c r="C644" s="31"/>
      <c r="D644" s="31"/>
    </row>
    <row r="645" ht="15.75" customHeight="1">
      <c r="B645" s="31"/>
      <c r="C645" s="31"/>
      <c r="D645" s="31"/>
    </row>
    <row r="646" ht="15.75" customHeight="1">
      <c r="B646" s="31"/>
      <c r="C646" s="31"/>
      <c r="D646" s="31"/>
    </row>
    <row r="647" ht="15.75" customHeight="1">
      <c r="B647" s="31"/>
      <c r="C647" s="31"/>
      <c r="D647" s="31"/>
    </row>
    <row r="648" ht="15.75" customHeight="1">
      <c r="B648" s="31"/>
      <c r="C648" s="31"/>
      <c r="D648" s="31"/>
    </row>
    <row r="649" ht="15.75" customHeight="1">
      <c r="B649" s="31"/>
      <c r="C649" s="31"/>
      <c r="D649" s="31"/>
    </row>
    <row r="650" ht="15.75" customHeight="1">
      <c r="B650" s="31"/>
      <c r="C650" s="31"/>
      <c r="D650" s="31"/>
    </row>
    <row r="651" ht="15.75" customHeight="1">
      <c r="B651" s="31"/>
      <c r="C651" s="31"/>
      <c r="D651" s="31"/>
    </row>
    <row r="652" ht="15.75" customHeight="1">
      <c r="B652" s="31"/>
      <c r="C652" s="31"/>
      <c r="D652" s="31"/>
    </row>
    <row r="653" ht="15.75" customHeight="1">
      <c r="B653" s="31"/>
      <c r="C653" s="31"/>
      <c r="D653" s="31"/>
    </row>
    <row r="654" ht="15.75" customHeight="1">
      <c r="B654" s="31"/>
      <c r="C654" s="31"/>
      <c r="D654" s="31"/>
    </row>
    <row r="655" ht="15.75" customHeight="1">
      <c r="B655" s="31"/>
      <c r="C655" s="31"/>
      <c r="D655" s="31"/>
    </row>
    <row r="656" ht="15.75" customHeight="1">
      <c r="B656" s="31"/>
      <c r="C656" s="31"/>
      <c r="D656" s="31"/>
    </row>
    <row r="657" ht="15.75" customHeight="1">
      <c r="B657" s="31"/>
      <c r="C657" s="31"/>
      <c r="D657" s="31"/>
    </row>
    <row r="658" ht="15.75" customHeight="1">
      <c r="B658" s="31"/>
      <c r="C658" s="31"/>
      <c r="D658" s="31"/>
    </row>
    <row r="659" ht="15.75" customHeight="1">
      <c r="B659" s="31"/>
      <c r="C659" s="31"/>
      <c r="D659" s="31"/>
    </row>
    <row r="660" ht="15.75" customHeight="1">
      <c r="B660" s="31"/>
      <c r="C660" s="31"/>
      <c r="D660" s="31"/>
    </row>
    <row r="661" ht="15.75" customHeight="1">
      <c r="B661" s="31"/>
      <c r="C661" s="31"/>
      <c r="D661" s="31"/>
    </row>
    <row r="662" ht="15.75" customHeight="1">
      <c r="B662" s="31"/>
      <c r="C662" s="31"/>
      <c r="D662" s="31"/>
    </row>
    <row r="663" ht="15.75" customHeight="1">
      <c r="B663" s="31"/>
      <c r="C663" s="31"/>
      <c r="D663" s="31"/>
    </row>
    <row r="664" ht="15.75" customHeight="1">
      <c r="B664" s="31"/>
      <c r="C664" s="31"/>
      <c r="D664" s="31"/>
    </row>
    <row r="665" ht="15.75" customHeight="1">
      <c r="B665" s="31"/>
      <c r="C665" s="31"/>
      <c r="D665" s="31"/>
    </row>
    <row r="666" ht="15.75" customHeight="1">
      <c r="B666" s="31"/>
      <c r="C666" s="31"/>
      <c r="D666" s="31"/>
    </row>
    <row r="667" ht="15.75" customHeight="1">
      <c r="B667" s="31"/>
      <c r="C667" s="31"/>
      <c r="D667" s="31"/>
    </row>
    <row r="668" ht="15.75" customHeight="1">
      <c r="B668" s="31"/>
      <c r="C668" s="31"/>
      <c r="D668" s="31"/>
    </row>
    <row r="669" ht="15.75" customHeight="1">
      <c r="B669" s="31"/>
      <c r="C669" s="31"/>
      <c r="D669" s="31"/>
    </row>
    <row r="670" ht="15.75" customHeight="1">
      <c r="B670" s="31"/>
      <c r="C670" s="31"/>
      <c r="D670" s="31"/>
    </row>
    <row r="671" ht="15.75" customHeight="1">
      <c r="B671" s="31"/>
      <c r="C671" s="31"/>
      <c r="D671" s="31"/>
    </row>
    <row r="672" ht="15.75" customHeight="1">
      <c r="B672" s="31"/>
      <c r="C672" s="31"/>
      <c r="D672" s="31"/>
    </row>
    <row r="673" ht="15.75" customHeight="1">
      <c r="B673" s="31"/>
      <c r="C673" s="31"/>
      <c r="D673" s="31"/>
    </row>
    <row r="674" ht="15.75" customHeight="1">
      <c r="B674" s="31"/>
      <c r="C674" s="31"/>
      <c r="D674" s="31"/>
    </row>
    <row r="675" ht="15.75" customHeight="1">
      <c r="B675" s="31"/>
      <c r="C675" s="31"/>
      <c r="D675" s="31"/>
    </row>
    <row r="676" ht="15.75" customHeight="1">
      <c r="B676" s="31"/>
      <c r="C676" s="31"/>
      <c r="D676" s="31"/>
    </row>
    <row r="677" ht="15.75" customHeight="1">
      <c r="B677" s="31"/>
      <c r="C677" s="31"/>
      <c r="D677" s="31"/>
    </row>
    <row r="678" ht="15.75" customHeight="1">
      <c r="B678" s="31"/>
      <c r="C678" s="31"/>
      <c r="D678" s="31"/>
    </row>
    <row r="679" ht="15.75" customHeight="1">
      <c r="B679" s="31"/>
      <c r="C679" s="31"/>
      <c r="D679" s="31"/>
    </row>
    <row r="680" ht="15.75" customHeight="1">
      <c r="B680" s="31"/>
      <c r="C680" s="31"/>
      <c r="D680" s="31"/>
    </row>
    <row r="681" ht="15.75" customHeight="1">
      <c r="B681" s="31"/>
      <c r="C681" s="31"/>
      <c r="D681" s="31"/>
    </row>
    <row r="682" ht="15.75" customHeight="1">
      <c r="B682" s="31"/>
      <c r="C682" s="31"/>
      <c r="D682" s="31"/>
    </row>
    <row r="683" ht="15.75" customHeight="1">
      <c r="B683" s="31"/>
      <c r="C683" s="31"/>
      <c r="D683" s="31"/>
    </row>
    <row r="684" ht="15.75" customHeight="1">
      <c r="B684" s="31"/>
      <c r="C684" s="31"/>
      <c r="D684" s="31"/>
    </row>
    <row r="685" ht="15.75" customHeight="1">
      <c r="B685" s="31"/>
      <c r="C685" s="31"/>
      <c r="D685" s="31"/>
    </row>
    <row r="686" ht="15.75" customHeight="1">
      <c r="B686" s="31"/>
      <c r="C686" s="31"/>
      <c r="D686" s="31"/>
    </row>
    <row r="687" ht="15.75" customHeight="1">
      <c r="B687" s="31"/>
      <c r="C687" s="31"/>
      <c r="D687" s="31"/>
    </row>
    <row r="688" ht="15.75" customHeight="1">
      <c r="B688" s="31"/>
      <c r="C688" s="31"/>
      <c r="D688" s="31"/>
    </row>
    <row r="689" ht="15.75" customHeight="1">
      <c r="B689" s="31"/>
      <c r="C689" s="31"/>
      <c r="D689" s="31"/>
    </row>
    <row r="690" ht="15.75" customHeight="1">
      <c r="B690" s="31"/>
      <c r="C690" s="31"/>
      <c r="D690" s="31"/>
    </row>
    <row r="691" ht="15.75" customHeight="1">
      <c r="B691" s="31"/>
      <c r="C691" s="31"/>
      <c r="D691" s="31"/>
    </row>
    <row r="692" ht="15.75" customHeight="1">
      <c r="B692" s="31"/>
      <c r="C692" s="31"/>
      <c r="D692" s="31"/>
    </row>
    <row r="693" ht="15.75" customHeight="1">
      <c r="B693" s="31"/>
      <c r="C693" s="31"/>
      <c r="D693" s="31"/>
    </row>
    <row r="694" ht="15.75" customHeight="1">
      <c r="B694" s="31"/>
      <c r="C694" s="31"/>
      <c r="D694" s="31"/>
    </row>
    <row r="695" ht="15.75" customHeight="1">
      <c r="B695" s="31"/>
      <c r="C695" s="31"/>
      <c r="D695" s="31"/>
    </row>
    <row r="696" ht="15.75" customHeight="1">
      <c r="B696" s="31"/>
      <c r="C696" s="31"/>
      <c r="D696" s="31"/>
    </row>
    <row r="697" ht="15.75" customHeight="1">
      <c r="B697" s="31"/>
      <c r="C697" s="31"/>
      <c r="D697" s="31"/>
    </row>
    <row r="698" ht="15.75" customHeight="1">
      <c r="B698" s="31"/>
      <c r="C698" s="31"/>
      <c r="D698" s="31"/>
    </row>
    <row r="699" ht="15.75" customHeight="1">
      <c r="B699" s="31"/>
      <c r="C699" s="31"/>
      <c r="D699" s="31"/>
    </row>
    <row r="700" ht="15.75" customHeight="1">
      <c r="B700" s="31"/>
      <c r="C700" s="31"/>
      <c r="D700" s="31"/>
    </row>
    <row r="701" ht="15.75" customHeight="1">
      <c r="B701" s="31"/>
      <c r="C701" s="31"/>
      <c r="D701" s="31"/>
    </row>
    <row r="702" ht="15.75" customHeight="1">
      <c r="B702" s="31"/>
      <c r="C702" s="31"/>
      <c r="D702" s="31"/>
    </row>
    <row r="703" ht="15.75" customHeight="1">
      <c r="B703" s="31"/>
      <c r="C703" s="31"/>
      <c r="D703" s="31"/>
    </row>
    <row r="704" ht="15.75" customHeight="1">
      <c r="B704" s="31"/>
      <c r="C704" s="31"/>
      <c r="D704" s="31"/>
    </row>
    <row r="705" ht="15.75" customHeight="1">
      <c r="B705" s="31"/>
      <c r="C705" s="31"/>
      <c r="D705" s="31"/>
    </row>
    <row r="706" ht="15.75" customHeight="1">
      <c r="B706" s="31"/>
      <c r="C706" s="31"/>
      <c r="D706" s="31"/>
    </row>
    <row r="707" ht="15.75" customHeight="1">
      <c r="B707" s="31"/>
      <c r="C707" s="31"/>
      <c r="D707" s="31"/>
    </row>
    <row r="708" ht="15.75" customHeight="1">
      <c r="B708" s="31"/>
      <c r="C708" s="31"/>
      <c r="D708" s="31"/>
    </row>
    <row r="709" ht="15.75" customHeight="1">
      <c r="B709" s="31"/>
      <c r="C709" s="31"/>
      <c r="D709" s="31"/>
    </row>
    <row r="710" ht="15.75" customHeight="1">
      <c r="B710" s="31"/>
      <c r="C710" s="31"/>
      <c r="D710" s="31"/>
    </row>
    <row r="711" ht="15.75" customHeight="1">
      <c r="B711" s="31"/>
      <c r="C711" s="31"/>
      <c r="D711" s="31"/>
    </row>
    <row r="712" ht="15.75" customHeight="1">
      <c r="B712" s="31"/>
      <c r="C712" s="31"/>
      <c r="D712" s="31"/>
    </row>
    <row r="713" ht="15.75" customHeight="1">
      <c r="B713" s="31"/>
      <c r="C713" s="31"/>
      <c r="D713" s="31"/>
    </row>
    <row r="714" ht="15.75" customHeight="1">
      <c r="B714" s="31"/>
      <c r="C714" s="31"/>
      <c r="D714" s="31"/>
    </row>
    <row r="715" ht="15.75" customHeight="1">
      <c r="B715" s="31"/>
      <c r="C715" s="31"/>
      <c r="D715" s="31"/>
    </row>
    <row r="716" ht="15.75" customHeight="1">
      <c r="B716" s="31"/>
      <c r="C716" s="31"/>
      <c r="D716" s="31"/>
    </row>
    <row r="717" ht="15.75" customHeight="1">
      <c r="B717" s="31"/>
      <c r="C717" s="31"/>
      <c r="D717" s="31"/>
    </row>
    <row r="718" ht="15.75" customHeight="1">
      <c r="B718" s="31"/>
      <c r="C718" s="31"/>
      <c r="D718" s="31"/>
    </row>
    <row r="719" ht="15.75" customHeight="1">
      <c r="B719" s="31"/>
      <c r="C719" s="31"/>
      <c r="D719" s="31"/>
    </row>
    <row r="720" ht="15.75" customHeight="1">
      <c r="B720" s="31"/>
      <c r="C720" s="31"/>
      <c r="D720" s="31"/>
    </row>
    <row r="721" ht="15.75" customHeight="1">
      <c r="B721" s="31"/>
      <c r="C721" s="31"/>
      <c r="D721" s="31"/>
    </row>
    <row r="722" ht="15.75" customHeight="1">
      <c r="B722" s="31"/>
      <c r="C722" s="31"/>
      <c r="D722" s="31"/>
    </row>
    <row r="723" ht="15.75" customHeight="1">
      <c r="B723" s="31"/>
      <c r="C723" s="31"/>
      <c r="D723" s="31"/>
    </row>
    <row r="724" ht="15.75" customHeight="1">
      <c r="B724" s="31"/>
      <c r="C724" s="31"/>
      <c r="D724" s="31"/>
    </row>
    <row r="725" ht="15.75" customHeight="1">
      <c r="B725" s="31"/>
      <c r="C725" s="31"/>
      <c r="D725" s="31"/>
    </row>
    <row r="726" ht="15.75" customHeight="1">
      <c r="B726" s="31"/>
      <c r="C726" s="31"/>
      <c r="D726" s="31"/>
    </row>
    <row r="727" ht="15.75" customHeight="1">
      <c r="B727" s="31"/>
      <c r="C727" s="31"/>
      <c r="D727" s="31"/>
    </row>
    <row r="728" ht="15.75" customHeight="1">
      <c r="B728" s="31"/>
      <c r="C728" s="31"/>
      <c r="D728" s="31"/>
    </row>
    <row r="729" ht="15.75" customHeight="1">
      <c r="B729" s="31"/>
      <c r="C729" s="31"/>
      <c r="D729" s="31"/>
    </row>
    <row r="730" ht="15.75" customHeight="1">
      <c r="B730" s="31"/>
      <c r="C730" s="31"/>
      <c r="D730" s="31"/>
    </row>
    <row r="731" ht="15.75" customHeight="1">
      <c r="B731" s="31"/>
      <c r="C731" s="31"/>
      <c r="D731" s="31"/>
    </row>
    <row r="732" ht="15.75" customHeight="1">
      <c r="B732" s="31"/>
      <c r="C732" s="31"/>
      <c r="D732" s="31"/>
    </row>
    <row r="733" ht="15.75" customHeight="1">
      <c r="B733" s="31"/>
      <c r="C733" s="31"/>
      <c r="D733" s="31"/>
    </row>
    <row r="734" ht="15.75" customHeight="1">
      <c r="B734" s="31"/>
      <c r="C734" s="31"/>
      <c r="D734" s="31"/>
    </row>
    <row r="735" ht="15.75" customHeight="1">
      <c r="B735" s="31"/>
      <c r="C735" s="31"/>
      <c r="D735" s="31"/>
    </row>
    <row r="736" ht="15.75" customHeight="1">
      <c r="B736" s="31"/>
      <c r="C736" s="31"/>
      <c r="D736" s="31"/>
    </row>
    <row r="737" ht="15.75" customHeight="1">
      <c r="B737" s="31"/>
      <c r="C737" s="31"/>
      <c r="D737" s="31"/>
    </row>
    <row r="738" ht="15.75" customHeight="1">
      <c r="B738" s="31"/>
      <c r="C738" s="31"/>
      <c r="D738" s="31"/>
    </row>
    <row r="739" ht="15.75" customHeight="1">
      <c r="B739" s="31"/>
      <c r="C739" s="31"/>
      <c r="D739" s="31"/>
    </row>
    <row r="740" ht="15.75" customHeight="1">
      <c r="B740" s="31"/>
      <c r="C740" s="31"/>
      <c r="D740" s="31"/>
    </row>
    <row r="741" ht="15.75" customHeight="1">
      <c r="B741" s="31"/>
      <c r="C741" s="31"/>
      <c r="D741" s="31"/>
    </row>
    <row r="742" ht="15.75" customHeight="1">
      <c r="B742" s="31"/>
      <c r="C742" s="31"/>
      <c r="D742" s="31"/>
    </row>
    <row r="743" ht="15.75" customHeight="1">
      <c r="B743" s="31"/>
      <c r="C743" s="31"/>
      <c r="D743" s="31"/>
    </row>
    <row r="744" ht="15.75" customHeight="1">
      <c r="B744" s="31"/>
      <c r="C744" s="31"/>
      <c r="D744" s="31"/>
    </row>
    <row r="745" ht="15.75" customHeight="1">
      <c r="B745" s="31"/>
      <c r="C745" s="31"/>
      <c r="D745" s="31"/>
    </row>
    <row r="746" ht="15.75" customHeight="1">
      <c r="B746" s="31"/>
      <c r="C746" s="31"/>
      <c r="D746" s="31"/>
    </row>
    <row r="747" ht="15.75" customHeight="1">
      <c r="B747" s="31"/>
      <c r="C747" s="31"/>
      <c r="D747" s="31"/>
    </row>
    <row r="748" ht="15.75" customHeight="1">
      <c r="B748" s="31"/>
      <c r="C748" s="31"/>
      <c r="D748" s="31"/>
    </row>
    <row r="749" ht="15.75" customHeight="1">
      <c r="B749" s="31"/>
      <c r="C749" s="31"/>
      <c r="D749" s="31"/>
    </row>
    <row r="750" ht="15.75" customHeight="1">
      <c r="B750" s="31"/>
      <c r="C750" s="31"/>
      <c r="D750" s="31"/>
    </row>
    <row r="751" ht="15.75" customHeight="1">
      <c r="B751" s="31"/>
      <c r="C751" s="31"/>
      <c r="D751" s="31"/>
    </row>
    <row r="752" ht="15.75" customHeight="1">
      <c r="B752" s="31"/>
      <c r="C752" s="31"/>
      <c r="D752" s="31"/>
    </row>
    <row r="753" ht="15.75" customHeight="1">
      <c r="B753" s="31"/>
      <c r="C753" s="31"/>
      <c r="D753" s="31"/>
    </row>
    <row r="754" ht="15.75" customHeight="1">
      <c r="B754" s="31"/>
      <c r="C754" s="31"/>
      <c r="D754" s="31"/>
    </row>
    <row r="755" ht="15.75" customHeight="1">
      <c r="B755" s="31"/>
      <c r="C755" s="31"/>
      <c r="D755" s="31"/>
    </row>
    <row r="756" ht="15.75" customHeight="1">
      <c r="B756" s="31"/>
      <c r="C756" s="31"/>
      <c r="D756" s="31"/>
    </row>
    <row r="757" ht="15.75" customHeight="1">
      <c r="B757" s="31"/>
      <c r="C757" s="31"/>
      <c r="D757" s="31"/>
    </row>
    <row r="758" ht="15.75" customHeight="1">
      <c r="B758" s="31"/>
      <c r="C758" s="31"/>
      <c r="D758" s="31"/>
    </row>
    <row r="759" ht="15.75" customHeight="1">
      <c r="B759" s="31"/>
      <c r="C759" s="31"/>
      <c r="D759" s="31"/>
    </row>
    <row r="760" ht="15.75" customHeight="1">
      <c r="B760" s="31"/>
      <c r="C760" s="31"/>
      <c r="D760" s="31"/>
    </row>
    <row r="761" ht="15.75" customHeight="1">
      <c r="B761" s="31"/>
      <c r="C761" s="31"/>
      <c r="D761" s="31"/>
    </row>
    <row r="762" ht="15.75" customHeight="1">
      <c r="B762" s="31"/>
      <c r="C762" s="31"/>
      <c r="D762" s="31"/>
    </row>
    <row r="763" ht="15.75" customHeight="1">
      <c r="B763" s="31"/>
      <c r="C763" s="31"/>
      <c r="D763" s="31"/>
    </row>
    <row r="764" ht="15.75" customHeight="1">
      <c r="B764" s="31"/>
      <c r="C764" s="31"/>
      <c r="D764" s="31"/>
    </row>
    <row r="765" ht="15.75" customHeight="1">
      <c r="B765" s="31"/>
      <c r="C765" s="31"/>
      <c r="D765" s="31"/>
    </row>
    <row r="766" ht="15.75" customHeight="1">
      <c r="B766" s="31"/>
      <c r="C766" s="31"/>
      <c r="D766" s="31"/>
    </row>
    <row r="767" ht="15.75" customHeight="1">
      <c r="B767" s="31"/>
      <c r="C767" s="31"/>
      <c r="D767" s="31"/>
    </row>
    <row r="768" ht="15.75" customHeight="1">
      <c r="B768" s="31"/>
      <c r="C768" s="31"/>
      <c r="D768" s="31"/>
    </row>
    <row r="769" ht="15.75" customHeight="1">
      <c r="B769" s="31"/>
      <c r="C769" s="31"/>
      <c r="D769" s="31"/>
    </row>
    <row r="770" ht="15.75" customHeight="1">
      <c r="B770" s="31"/>
      <c r="C770" s="31"/>
      <c r="D770" s="31"/>
    </row>
    <row r="771" ht="15.75" customHeight="1">
      <c r="B771" s="31"/>
      <c r="C771" s="31"/>
      <c r="D771" s="31"/>
    </row>
    <row r="772" ht="15.75" customHeight="1">
      <c r="B772" s="31"/>
      <c r="C772" s="31"/>
      <c r="D772" s="31"/>
    </row>
    <row r="773" ht="15.75" customHeight="1">
      <c r="B773" s="31"/>
      <c r="C773" s="31"/>
      <c r="D773" s="31"/>
    </row>
    <row r="774" ht="15.75" customHeight="1">
      <c r="B774" s="31"/>
      <c r="C774" s="31"/>
      <c r="D774" s="31"/>
    </row>
    <row r="775" ht="15.75" customHeight="1">
      <c r="B775" s="31"/>
      <c r="C775" s="31"/>
      <c r="D775" s="31"/>
    </row>
    <row r="776" ht="15.75" customHeight="1">
      <c r="B776" s="31"/>
      <c r="C776" s="31"/>
      <c r="D776" s="31"/>
    </row>
    <row r="777" ht="15.75" customHeight="1">
      <c r="B777" s="31"/>
      <c r="C777" s="31"/>
      <c r="D777" s="31"/>
    </row>
    <row r="778" ht="15.75" customHeight="1">
      <c r="B778" s="31"/>
      <c r="C778" s="31"/>
      <c r="D778" s="31"/>
    </row>
    <row r="779" ht="15.75" customHeight="1">
      <c r="B779" s="31"/>
      <c r="C779" s="31"/>
      <c r="D779" s="31"/>
    </row>
    <row r="780" ht="15.75" customHeight="1">
      <c r="B780" s="31"/>
      <c r="C780" s="31"/>
      <c r="D780" s="31"/>
    </row>
    <row r="781" ht="15.75" customHeight="1">
      <c r="B781" s="31"/>
      <c r="C781" s="31"/>
      <c r="D781" s="31"/>
    </row>
    <row r="782" ht="15.75" customHeight="1">
      <c r="B782" s="31"/>
      <c r="C782" s="31"/>
      <c r="D782" s="31"/>
    </row>
    <row r="783" ht="15.75" customHeight="1">
      <c r="B783" s="31"/>
      <c r="C783" s="31"/>
      <c r="D783" s="31"/>
    </row>
    <row r="784" ht="15.75" customHeight="1">
      <c r="B784" s="31"/>
      <c r="C784" s="31"/>
      <c r="D784" s="31"/>
    </row>
    <row r="785" ht="15.75" customHeight="1">
      <c r="B785" s="31"/>
      <c r="C785" s="31"/>
      <c r="D785" s="31"/>
    </row>
    <row r="786" ht="15.75" customHeight="1">
      <c r="B786" s="31"/>
      <c r="C786" s="31"/>
      <c r="D786" s="31"/>
    </row>
    <row r="787" ht="15.75" customHeight="1">
      <c r="B787" s="31"/>
      <c r="C787" s="31"/>
      <c r="D787" s="31"/>
    </row>
    <row r="788" ht="15.75" customHeight="1">
      <c r="B788" s="31"/>
      <c r="C788" s="31"/>
      <c r="D788" s="31"/>
    </row>
    <row r="789" ht="15.75" customHeight="1">
      <c r="B789" s="31"/>
      <c r="C789" s="31"/>
      <c r="D789" s="31"/>
    </row>
    <row r="790" ht="15.75" customHeight="1">
      <c r="B790" s="31"/>
      <c r="C790" s="31"/>
      <c r="D790" s="31"/>
    </row>
    <row r="791" ht="15.75" customHeight="1">
      <c r="B791" s="31"/>
      <c r="C791" s="31"/>
      <c r="D791" s="31"/>
    </row>
    <row r="792" ht="15.75" customHeight="1">
      <c r="B792" s="31"/>
      <c r="C792" s="31"/>
      <c r="D792" s="31"/>
    </row>
    <row r="793" ht="15.75" customHeight="1">
      <c r="B793" s="31"/>
      <c r="C793" s="31"/>
      <c r="D793" s="31"/>
    </row>
    <row r="794" ht="15.75" customHeight="1">
      <c r="B794" s="31"/>
      <c r="C794" s="31"/>
      <c r="D794" s="31"/>
    </row>
    <row r="795" ht="15.75" customHeight="1">
      <c r="B795" s="31"/>
      <c r="C795" s="31"/>
      <c r="D795" s="31"/>
    </row>
    <row r="796" ht="15.75" customHeight="1">
      <c r="B796" s="31"/>
      <c r="C796" s="31"/>
      <c r="D796" s="31"/>
    </row>
    <row r="797" ht="15.75" customHeight="1">
      <c r="B797" s="31"/>
      <c r="C797" s="31"/>
      <c r="D797" s="31"/>
    </row>
    <row r="798" ht="15.75" customHeight="1">
      <c r="B798" s="31"/>
      <c r="C798" s="31"/>
      <c r="D798" s="31"/>
    </row>
    <row r="799" ht="15.75" customHeight="1">
      <c r="B799" s="31"/>
      <c r="C799" s="31"/>
      <c r="D799" s="31"/>
    </row>
    <row r="800" ht="15.75" customHeight="1">
      <c r="B800" s="31"/>
      <c r="C800" s="31"/>
      <c r="D800" s="31"/>
    </row>
    <row r="801" ht="15.75" customHeight="1">
      <c r="B801" s="31"/>
      <c r="C801" s="31"/>
      <c r="D801" s="31"/>
    </row>
    <row r="802" ht="15.75" customHeight="1">
      <c r="B802" s="31"/>
      <c r="C802" s="31"/>
      <c r="D802" s="31"/>
    </row>
    <row r="803" ht="15.75" customHeight="1">
      <c r="B803" s="31"/>
      <c r="C803" s="31"/>
      <c r="D803" s="31"/>
    </row>
    <row r="804" ht="15.75" customHeight="1">
      <c r="B804" s="31"/>
      <c r="C804" s="31"/>
      <c r="D804" s="31"/>
    </row>
    <row r="805" ht="15.75" customHeight="1">
      <c r="B805" s="31"/>
      <c r="C805" s="31"/>
      <c r="D805" s="31"/>
    </row>
    <row r="806" ht="15.75" customHeight="1">
      <c r="B806" s="31"/>
      <c r="C806" s="31"/>
      <c r="D806" s="31"/>
    </row>
    <row r="807" ht="15.75" customHeight="1">
      <c r="B807" s="31"/>
      <c r="C807" s="31"/>
      <c r="D807" s="31"/>
    </row>
    <row r="808" ht="15.75" customHeight="1">
      <c r="B808" s="31"/>
      <c r="C808" s="31"/>
      <c r="D808" s="31"/>
    </row>
    <row r="809" ht="15.75" customHeight="1">
      <c r="B809" s="31"/>
      <c r="C809" s="31"/>
      <c r="D809" s="31"/>
    </row>
    <row r="810" ht="15.75" customHeight="1">
      <c r="B810" s="31"/>
      <c r="C810" s="31"/>
      <c r="D810" s="31"/>
    </row>
    <row r="811" ht="15.75" customHeight="1">
      <c r="B811" s="31"/>
      <c r="C811" s="31"/>
      <c r="D811" s="31"/>
    </row>
    <row r="812" ht="15.75" customHeight="1">
      <c r="B812" s="31"/>
      <c r="C812" s="31"/>
      <c r="D812" s="31"/>
    </row>
    <row r="813" ht="15.75" customHeight="1">
      <c r="B813" s="31"/>
      <c r="C813" s="31"/>
      <c r="D813" s="31"/>
    </row>
    <row r="814" ht="15.75" customHeight="1">
      <c r="B814" s="31"/>
      <c r="C814" s="31"/>
      <c r="D814" s="31"/>
    </row>
    <row r="815" ht="15.75" customHeight="1">
      <c r="B815" s="31"/>
      <c r="C815" s="31"/>
      <c r="D815" s="31"/>
    </row>
    <row r="816" ht="15.75" customHeight="1">
      <c r="B816" s="31"/>
      <c r="C816" s="31"/>
      <c r="D816" s="31"/>
    </row>
    <row r="817" ht="15.75" customHeight="1">
      <c r="B817" s="31"/>
      <c r="C817" s="31"/>
      <c r="D817" s="31"/>
    </row>
    <row r="818" ht="15.75" customHeight="1">
      <c r="B818" s="31"/>
      <c r="C818" s="31"/>
      <c r="D818" s="31"/>
    </row>
    <row r="819" ht="15.75" customHeight="1">
      <c r="B819" s="31"/>
      <c r="C819" s="31"/>
      <c r="D819" s="31"/>
    </row>
    <row r="820" ht="15.75" customHeight="1">
      <c r="B820" s="31"/>
      <c r="C820" s="31"/>
      <c r="D820" s="31"/>
    </row>
    <row r="821" ht="15.75" customHeight="1">
      <c r="B821" s="31"/>
      <c r="C821" s="31"/>
      <c r="D821" s="31"/>
    </row>
    <row r="822" ht="15.75" customHeight="1">
      <c r="B822" s="31"/>
      <c r="C822" s="31"/>
      <c r="D822" s="31"/>
    </row>
    <row r="823" ht="15.75" customHeight="1">
      <c r="B823" s="31"/>
      <c r="C823" s="31"/>
      <c r="D823" s="31"/>
    </row>
    <row r="824" ht="15.75" customHeight="1">
      <c r="B824" s="31"/>
      <c r="C824" s="31"/>
      <c r="D824" s="31"/>
    </row>
    <row r="825" ht="15.75" customHeight="1">
      <c r="B825" s="31"/>
      <c r="C825" s="31"/>
      <c r="D825" s="31"/>
    </row>
    <row r="826" ht="15.75" customHeight="1">
      <c r="B826" s="31"/>
      <c r="C826" s="31"/>
      <c r="D826" s="31"/>
    </row>
    <row r="827" ht="15.75" customHeight="1">
      <c r="B827" s="31"/>
      <c r="C827" s="31"/>
      <c r="D827" s="31"/>
    </row>
    <row r="828" ht="15.75" customHeight="1">
      <c r="B828" s="31"/>
      <c r="C828" s="31"/>
      <c r="D828" s="31"/>
    </row>
    <row r="829" ht="15.75" customHeight="1">
      <c r="B829" s="31"/>
      <c r="C829" s="31"/>
      <c r="D829" s="31"/>
    </row>
    <row r="830" ht="15.75" customHeight="1">
      <c r="B830" s="31"/>
      <c r="C830" s="31"/>
      <c r="D830" s="31"/>
    </row>
    <row r="831" ht="15.75" customHeight="1">
      <c r="B831" s="31"/>
      <c r="C831" s="31"/>
      <c r="D831" s="31"/>
    </row>
    <row r="832" ht="15.75" customHeight="1">
      <c r="B832" s="31"/>
      <c r="C832" s="31"/>
      <c r="D832" s="31"/>
    </row>
    <row r="833" ht="15.75" customHeight="1">
      <c r="B833" s="31"/>
      <c r="C833" s="31"/>
      <c r="D833" s="31"/>
    </row>
    <row r="834" ht="15.75" customHeight="1">
      <c r="B834" s="31"/>
      <c r="C834" s="31"/>
      <c r="D834" s="31"/>
    </row>
    <row r="835" ht="15.75" customHeight="1">
      <c r="B835" s="31"/>
      <c r="C835" s="31"/>
      <c r="D835" s="31"/>
    </row>
    <row r="836" ht="15.75" customHeight="1">
      <c r="B836" s="31"/>
      <c r="C836" s="31"/>
      <c r="D836" s="31"/>
    </row>
    <row r="837" ht="15.75" customHeight="1">
      <c r="B837" s="31"/>
      <c r="C837" s="31"/>
      <c r="D837" s="31"/>
    </row>
    <row r="838" ht="15.75" customHeight="1">
      <c r="B838" s="31"/>
      <c r="C838" s="31"/>
      <c r="D838" s="31"/>
    </row>
    <row r="839" ht="15.75" customHeight="1">
      <c r="B839" s="31"/>
      <c r="C839" s="31"/>
      <c r="D839" s="31"/>
    </row>
    <row r="840" ht="15.75" customHeight="1">
      <c r="B840" s="31"/>
      <c r="C840" s="31"/>
      <c r="D840" s="31"/>
    </row>
    <row r="841" ht="15.75" customHeight="1">
      <c r="B841" s="31"/>
      <c r="C841" s="31"/>
      <c r="D841" s="31"/>
    </row>
    <row r="842" ht="15.75" customHeight="1">
      <c r="B842" s="31"/>
      <c r="C842" s="31"/>
      <c r="D842" s="31"/>
    </row>
    <row r="843" ht="15.75" customHeight="1">
      <c r="B843" s="31"/>
      <c r="C843" s="31"/>
      <c r="D843" s="31"/>
    </row>
    <row r="844" ht="15.75" customHeight="1">
      <c r="B844" s="31"/>
      <c r="C844" s="31"/>
      <c r="D844" s="31"/>
    </row>
    <row r="845" ht="15.75" customHeight="1">
      <c r="B845" s="31"/>
      <c r="C845" s="31"/>
      <c r="D845" s="31"/>
    </row>
    <row r="846" ht="15.75" customHeight="1">
      <c r="B846" s="31"/>
      <c r="C846" s="31"/>
      <c r="D846" s="31"/>
    </row>
    <row r="847" ht="15.75" customHeight="1">
      <c r="B847" s="31"/>
      <c r="C847" s="31"/>
      <c r="D847" s="31"/>
    </row>
    <row r="848" ht="15.75" customHeight="1">
      <c r="B848" s="31"/>
      <c r="C848" s="31"/>
      <c r="D848" s="31"/>
    </row>
    <row r="849" ht="15.75" customHeight="1">
      <c r="B849" s="31"/>
      <c r="C849" s="31"/>
      <c r="D849" s="31"/>
    </row>
    <row r="850" ht="15.75" customHeight="1">
      <c r="B850" s="31"/>
      <c r="C850" s="31"/>
      <c r="D850" s="31"/>
    </row>
    <row r="851" ht="15.75" customHeight="1">
      <c r="B851" s="31"/>
      <c r="C851" s="31"/>
      <c r="D851" s="31"/>
    </row>
    <row r="852" ht="15.75" customHeight="1">
      <c r="B852" s="31"/>
      <c r="C852" s="31"/>
      <c r="D852" s="31"/>
    </row>
    <row r="853" ht="15.75" customHeight="1">
      <c r="B853" s="31"/>
      <c r="C853" s="31"/>
      <c r="D853" s="31"/>
    </row>
    <row r="854" ht="15.75" customHeight="1">
      <c r="B854" s="31"/>
      <c r="C854" s="31"/>
      <c r="D854" s="31"/>
    </row>
    <row r="855" ht="15.75" customHeight="1">
      <c r="B855" s="31"/>
      <c r="C855" s="31"/>
      <c r="D855" s="31"/>
    </row>
    <row r="856" ht="15.75" customHeight="1">
      <c r="B856" s="31"/>
      <c r="C856" s="31"/>
      <c r="D856" s="31"/>
    </row>
    <row r="857" ht="15.75" customHeight="1">
      <c r="B857" s="31"/>
      <c r="C857" s="31"/>
      <c r="D857" s="31"/>
    </row>
    <row r="858" ht="15.75" customHeight="1">
      <c r="B858" s="31"/>
      <c r="C858" s="31"/>
      <c r="D858" s="31"/>
    </row>
    <row r="859" ht="15.75" customHeight="1">
      <c r="B859" s="31"/>
      <c r="C859" s="31"/>
      <c r="D859" s="31"/>
    </row>
    <row r="860" ht="15.75" customHeight="1">
      <c r="B860" s="31"/>
      <c r="C860" s="31"/>
      <c r="D860" s="31"/>
    </row>
    <row r="861" ht="15.75" customHeight="1">
      <c r="B861" s="31"/>
      <c r="C861" s="31"/>
      <c r="D861" s="31"/>
    </row>
    <row r="862" ht="15.75" customHeight="1">
      <c r="B862" s="31"/>
      <c r="C862" s="31"/>
      <c r="D862" s="31"/>
    </row>
    <row r="863" ht="15.75" customHeight="1">
      <c r="B863" s="31"/>
      <c r="C863" s="31"/>
      <c r="D863" s="31"/>
    </row>
    <row r="864" ht="15.75" customHeight="1">
      <c r="B864" s="31"/>
      <c r="C864" s="31"/>
      <c r="D864" s="31"/>
    </row>
    <row r="865" ht="15.75" customHeight="1">
      <c r="B865" s="31"/>
      <c r="C865" s="31"/>
      <c r="D865" s="31"/>
    </row>
    <row r="866" ht="15.75" customHeight="1">
      <c r="B866" s="31"/>
      <c r="C866" s="31"/>
      <c r="D866" s="31"/>
    </row>
    <row r="867" ht="15.75" customHeight="1">
      <c r="B867" s="31"/>
      <c r="C867" s="31"/>
      <c r="D867" s="31"/>
    </row>
    <row r="868" ht="15.75" customHeight="1">
      <c r="B868" s="31"/>
      <c r="C868" s="31"/>
      <c r="D868" s="31"/>
    </row>
    <row r="869" ht="15.75" customHeight="1">
      <c r="B869" s="31"/>
      <c r="C869" s="31"/>
      <c r="D869" s="31"/>
    </row>
    <row r="870" ht="15.75" customHeight="1">
      <c r="B870" s="31"/>
      <c r="C870" s="31"/>
      <c r="D870" s="31"/>
    </row>
    <row r="871" ht="15.75" customHeight="1">
      <c r="B871" s="31"/>
      <c r="C871" s="31"/>
      <c r="D871" s="31"/>
    </row>
    <row r="872" ht="15.75" customHeight="1">
      <c r="B872" s="31"/>
      <c r="C872" s="31"/>
      <c r="D872" s="31"/>
    </row>
    <row r="873" ht="15.75" customHeight="1">
      <c r="B873" s="31"/>
      <c r="C873" s="31"/>
      <c r="D873" s="31"/>
    </row>
    <row r="874" ht="15.75" customHeight="1">
      <c r="B874" s="31"/>
      <c r="C874" s="31"/>
      <c r="D874" s="31"/>
    </row>
    <row r="875" ht="15.75" customHeight="1">
      <c r="B875" s="31"/>
      <c r="C875" s="31"/>
      <c r="D875" s="31"/>
    </row>
    <row r="876" ht="15.75" customHeight="1">
      <c r="B876" s="31"/>
      <c r="C876" s="31"/>
      <c r="D876" s="31"/>
    </row>
    <row r="877" ht="15.75" customHeight="1">
      <c r="B877" s="31"/>
      <c r="C877" s="31"/>
      <c r="D877" s="31"/>
    </row>
    <row r="878" ht="15.75" customHeight="1">
      <c r="B878" s="31"/>
      <c r="C878" s="31"/>
      <c r="D878" s="31"/>
    </row>
    <row r="879" ht="15.75" customHeight="1">
      <c r="B879" s="31"/>
      <c r="C879" s="31"/>
      <c r="D879" s="31"/>
    </row>
    <row r="880" ht="15.75" customHeight="1">
      <c r="B880" s="31"/>
      <c r="C880" s="31"/>
      <c r="D880" s="31"/>
    </row>
    <row r="881" ht="15.75" customHeight="1">
      <c r="B881" s="31"/>
      <c r="C881" s="31"/>
      <c r="D881" s="31"/>
    </row>
    <row r="882" ht="15.75" customHeight="1">
      <c r="B882" s="31"/>
      <c r="C882" s="31"/>
      <c r="D882" s="31"/>
    </row>
    <row r="883" ht="15.75" customHeight="1">
      <c r="B883" s="31"/>
      <c r="C883" s="31"/>
      <c r="D883" s="31"/>
    </row>
    <row r="884" ht="15.75" customHeight="1">
      <c r="B884" s="31"/>
      <c r="C884" s="31"/>
      <c r="D884" s="31"/>
    </row>
    <row r="885" ht="15.75" customHeight="1">
      <c r="B885" s="31"/>
      <c r="C885" s="31"/>
      <c r="D885" s="31"/>
    </row>
    <row r="886" ht="15.75" customHeight="1">
      <c r="B886" s="31"/>
      <c r="C886" s="31"/>
      <c r="D886" s="31"/>
    </row>
    <row r="887" ht="15.75" customHeight="1">
      <c r="B887" s="31"/>
      <c r="C887" s="31"/>
      <c r="D887" s="31"/>
    </row>
    <row r="888" ht="15.75" customHeight="1">
      <c r="B888" s="31"/>
      <c r="C888" s="31"/>
      <c r="D888" s="31"/>
    </row>
    <row r="889" ht="15.75" customHeight="1">
      <c r="B889" s="31"/>
      <c r="C889" s="31"/>
      <c r="D889" s="31"/>
    </row>
    <row r="890" ht="15.75" customHeight="1">
      <c r="B890" s="31"/>
      <c r="C890" s="31"/>
      <c r="D890" s="31"/>
    </row>
    <row r="891" ht="15.75" customHeight="1">
      <c r="B891" s="31"/>
      <c r="C891" s="31"/>
      <c r="D891" s="31"/>
    </row>
    <row r="892" ht="15.75" customHeight="1">
      <c r="B892" s="31"/>
      <c r="C892" s="31"/>
      <c r="D892" s="31"/>
    </row>
    <row r="893" ht="15.75" customHeight="1">
      <c r="B893" s="31"/>
      <c r="C893" s="31"/>
      <c r="D893" s="31"/>
    </row>
    <row r="894" ht="15.75" customHeight="1">
      <c r="B894" s="31"/>
      <c r="C894" s="31"/>
      <c r="D894" s="31"/>
    </row>
    <row r="895" ht="15.75" customHeight="1">
      <c r="B895" s="31"/>
      <c r="C895" s="31"/>
      <c r="D895" s="31"/>
    </row>
    <row r="896" ht="15.75" customHeight="1">
      <c r="B896" s="31"/>
      <c r="C896" s="31"/>
      <c r="D896" s="31"/>
    </row>
    <row r="897" ht="15.75" customHeight="1">
      <c r="B897" s="31"/>
      <c r="C897" s="31"/>
      <c r="D897" s="31"/>
    </row>
    <row r="898" ht="15.75" customHeight="1">
      <c r="B898" s="31"/>
      <c r="C898" s="31"/>
      <c r="D898" s="31"/>
    </row>
    <row r="899" ht="15.75" customHeight="1">
      <c r="B899" s="31"/>
      <c r="C899" s="31"/>
      <c r="D899" s="31"/>
    </row>
    <row r="900" ht="15.75" customHeight="1">
      <c r="B900" s="31"/>
      <c r="C900" s="31"/>
      <c r="D900" s="31"/>
    </row>
    <row r="901" ht="15.75" customHeight="1">
      <c r="B901" s="31"/>
      <c r="C901" s="31"/>
      <c r="D901" s="31"/>
    </row>
    <row r="902" ht="15.75" customHeight="1">
      <c r="B902" s="31"/>
      <c r="C902" s="31"/>
      <c r="D902" s="31"/>
    </row>
    <row r="903" ht="15.75" customHeight="1">
      <c r="B903" s="31"/>
      <c r="C903" s="31"/>
      <c r="D903" s="31"/>
    </row>
    <row r="904" ht="15.75" customHeight="1">
      <c r="B904" s="31"/>
      <c r="C904" s="31"/>
      <c r="D904" s="31"/>
    </row>
    <row r="905" ht="15.75" customHeight="1">
      <c r="B905" s="31"/>
      <c r="C905" s="31"/>
      <c r="D905" s="31"/>
    </row>
    <row r="906" ht="15.75" customHeight="1">
      <c r="B906" s="31"/>
      <c r="C906" s="31"/>
      <c r="D906" s="31"/>
    </row>
    <row r="907" ht="15.75" customHeight="1">
      <c r="B907" s="31"/>
      <c r="C907" s="31"/>
      <c r="D907" s="31"/>
    </row>
    <row r="908" ht="15.75" customHeight="1">
      <c r="B908" s="31"/>
      <c r="C908" s="31"/>
      <c r="D908" s="31"/>
    </row>
    <row r="909" ht="15.75" customHeight="1">
      <c r="B909" s="31"/>
      <c r="C909" s="31"/>
      <c r="D909" s="31"/>
    </row>
    <row r="910" ht="15.75" customHeight="1">
      <c r="B910" s="31"/>
      <c r="C910" s="31"/>
      <c r="D910" s="31"/>
    </row>
    <row r="911" ht="15.75" customHeight="1">
      <c r="B911" s="31"/>
      <c r="C911" s="31"/>
      <c r="D911" s="31"/>
    </row>
    <row r="912" ht="15.75" customHeight="1">
      <c r="B912" s="31"/>
      <c r="C912" s="31"/>
      <c r="D912" s="31"/>
    </row>
    <row r="913" ht="15.75" customHeight="1">
      <c r="B913" s="31"/>
      <c r="C913" s="31"/>
      <c r="D913" s="31"/>
    </row>
    <row r="914" ht="15.75" customHeight="1">
      <c r="B914" s="31"/>
      <c r="C914" s="31"/>
      <c r="D914" s="31"/>
    </row>
    <row r="915" ht="15.75" customHeight="1">
      <c r="B915" s="31"/>
      <c r="C915" s="31"/>
      <c r="D915" s="31"/>
    </row>
    <row r="916" ht="15.75" customHeight="1">
      <c r="B916" s="31"/>
      <c r="C916" s="31"/>
      <c r="D916" s="31"/>
    </row>
    <row r="917" ht="15.75" customHeight="1">
      <c r="B917" s="31"/>
      <c r="C917" s="31"/>
      <c r="D917" s="31"/>
    </row>
    <row r="918" ht="15.75" customHeight="1">
      <c r="B918" s="31"/>
      <c r="C918" s="31"/>
      <c r="D918" s="31"/>
    </row>
    <row r="919" ht="15.75" customHeight="1">
      <c r="B919" s="31"/>
      <c r="C919" s="31"/>
      <c r="D919" s="31"/>
    </row>
    <row r="920" ht="15.75" customHeight="1">
      <c r="B920" s="31"/>
      <c r="C920" s="31"/>
      <c r="D920" s="31"/>
    </row>
    <row r="921" ht="15.75" customHeight="1">
      <c r="B921" s="31"/>
      <c r="C921" s="31"/>
      <c r="D921" s="31"/>
    </row>
    <row r="922" ht="15.75" customHeight="1">
      <c r="B922" s="31"/>
      <c r="C922" s="31"/>
      <c r="D922" s="31"/>
    </row>
    <row r="923" ht="15.75" customHeight="1">
      <c r="B923" s="31"/>
      <c r="C923" s="31"/>
      <c r="D923" s="31"/>
    </row>
    <row r="924" ht="15.75" customHeight="1">
      <c r="B924" s="31"/>
      <c r="C924" s="31"/>
      <c r="D924" s="31"/>
    </row>
    <row r="925" ht="15.75" customHeight="1">
      <c r="B925" s="31"/>
      <c r="C925" s="31"/>
      <c r="D925" s="31"/>
    </row>
    <row r="926" ht="15.75" customHeight="1">
      <c r="B926" s="31"/>
      <c r="C926" s="31"/>
      <c r="D926" s="31"/>
    </row>
    <row r="927" ht="15.75" customHeight="1">
      <c r="B927" s="31"/>
      <c r="C927" s="31"/>
      <c r="D927" s="31"/>
    </row>
    <row r="928" ht="15.75" customHeight="1">
      <c r="B928" s="31"/>
      <c r="C928" s="31"/>
      <c r="D928" s="31"/>
    </row>
    <row r="929" ht="15.75" customHeight="1">
      <c r="B929" s="31"/>
      <c r="C929" s="31"/>
      <c r="D929" s="31"/>
    </row>
    <row r="930" ht="15.75" customHeight="1">
      <c r="B930" s="31"/>
      <c r="C930" s="31"/>
      <c r="D930" s="31"/>
    </row>
    <row r="931" ht="15.75" customHeight="1">
      <c r="B931" s="31"/>
      <c r="C931" s="31"/>
      <c r="D931" s="31"/>
    </row>
    <row r="932" ht="15.75" customHeight="1">
      <c r="B932" s="31"/>
      <c r="C932" s="31"/>
      <c r="D932" s="31"/>
    </row>
    <row r="933" ht="15.75" customHeight="1">
      <c r="B933" s="31"/>
      <c r="C933" s="31"/>
      <c r="D933" s="31"/>
    </row>
    <row r="934" ht="15.75" customHeight="1">
      <c r="B934" s="31"/>
      <c r="C934" s="31"/>
      <c r="D934" s="31"/>
    </row>
    <row r="935" ht="15.75" customHeight="1">
      <c r="B935" s="31"/>
      <c r="C935" s="31"/>
      <c r="D935" s="31"/>
    </row>
    <row r="936" ht="15.75" customHeight="1">
      <c r="B936" s="31"/>
      <c r="C936" s="31"/>
      <c r="D936" s="31"/>
    </row>
    <row r="937" ht="15.75" customHeight="1">
      <c r="B937" s="31"/>
      <c r="C937" s="31"/>
      <c r="D937" s="31"/>
    </row>
    <row r="938" ht="15.75" customHeight="1">
      <c r="B938" s="31"/>
      <c r="C938" s="31"/>
      <c r="D938" s="31"/>
    </row>
    <row r="939" ht="15.75" customHeight="1">
      <c r="B939" s="31"/>
      <c r="C939" s="31"/>
      <c r="D939" s="31"/>
    </row>
    <row r="940" ht="15.75" customHeight="1">
      <c r="B940" s="31"/>
      <c r="C940" s="31"/>
      <c r="D940" s="31"/>
    </row>
    <row r="941" ht="15.75" customHeight="1">
      <c r="B941" s="31"/>
      <c r="C941" s="31"/>
      <c r="D941" s="31"/>
    </row>
    <row r="942" ht="15.75" customHeight="1">
      <c r="B942" s="31"/>
      <c r="C942" s="31"/>
      <c r="D942" s="31"/>
    </row>
    <row r="943" ht="15.75" customHeight="1">
      <c r="B943" s="31"/>
      <c r="C943" s="31"/>
      <c r="D943" s="31"/>
    </row>
    <row r="944" ht="15.75" customHeight="1">
      <c r="B944" s="31"/>
      <c r="C944" s="31"/>
      <c r="D944" s="31"/>
    </row>
    <row r="945" ht="15.75" customHeight="1">
      <c r="B945" s="31"/>
      <c r="C945" s="31"/>
      <c r="D945" s="31"/>
    </row>
    <row r="946" ht="15.75" customHeight="1">
      <c r="B946" s="31"/>
      <c r="C946" s="31"/>
      <c r="D946" s="31"/>
    </row>
    <row r="947" ht="15.75" customHeight="1">
      <c r="B947" s="31"/>
      <c r="C947" s="31"/>
      <c r="D947" s="31"/>
    </row>
    <row r="948" ht="15.75" customHeight="1">
      <c r="B948" s="31"/>
      <c r="C948" s="31"/>
      <c r="D948" s="31"/>
    </row>
    <row r="949" ht="15.75" customHeight="1">
      <c r="B949" s="31"/>
      <c r="C949" s="31"/>
      <c r="D949" s="31"/>
    </row>
    <row r="950" ht="15.75" customHeight="1">
      <c r="B950" s="31"/>
      <c r="C950" s="31"/>
      <c r="D950" s="31"/>
    </row>
    <row r="951" ht="15.75" customHeight="1">
      <c r="B951" s="31"/>
      <c r="C951" s="31"/>
      <c r="D951" s="31"/>
    </row>
    <row r="952" ht="15.75" customHeight="1">
      <c r="B952" s="31"/>
      <c r="C952" s="31"/>
      <c r="D952" s="31"/>
    </row>
    <row r="953" ht="15.75" customHeight="1">
      <c r="B953" s="31"/>
      <c r="C953" s="31"/>
      <c r="D953" s="31"/>
    </row>
    <row r="954" ht="15.75" customHeight="1">
      <c r="B954" s="31"/>
      <c r="C954" s="31"/>
      <c r="D954" s="31"/>
    </row>
    <row r="955" ht="15.75" customHeight="1">
      <c r="B955" s="31"/>
      <c r="C955" s="31"/>
      <c r="D955" s="31"/>
    </row>
    <row r="956" ht="15.75" customHeight="1">
      <c r="B956" s="31"/>
      <c r="C956" s="31"/>
      <c r="D956" s="31"/>
    </row>
    <row r="957" ht="15.75" customHeight="1">
      <c r="B957" s="31"/>
      <c r="C957" s="31"/>
      <c r="D957" s="31"/>
    </row>
    <row r="958" ht="15.75" customHeight="1">
      <c r="B958" s="31"/>
      <c r="C958" s="31"/>
      <c r="D958" s="31"/>
    </row>
    <row r="959" ht="15.75" customHeight="1">
      <c r="B959" s="31"/>
      <c r="C959" s="31"/>
      <c r="D959" s="31"/>
    </row>
    <row r="960" ht="15.75" customHeight="1">
      <c r="B960" s="31"/>
      <c r="C960" s="31"/>
      <c r="D960" s="31"/>
    </row>
    <row r="961" ht="15.75" customHeight="1">
      <c r="B961" s="31"/>
      <c r="C961" s="31"/>
      <c r="D961" s="31"/>
    </row>
    <row r="962" ht="15.75" customHeight="1">
      <c r="B962" s="31"/>
      <c r="C962" s="31"/>
      <c r="D962" s="31"/>
    </row>
    <row r="963" ht="15.75" customHeight="1">
      <c r="B963" s="31"/>
      <c r="C963" s="31"/>
      <c r="D963" s="31"/>
    </row>
    <row r="964" ht="15.75" customHeight="1">
      <c r="B964" s="31"/>
      <c r="C964" s="31"/>
      <c r="D964" s="31"/>
    </row>
    <row r="965" ht="15.75" customHeight="1">
      <c r="B965" s="31"/>
      <c r="C965" s="31"/>
      <c r="D965" s="31"/>
    </row>
    <row r="966" ht="15.75" customHeight="1">
      <c r="B966" s="31"/>
      <c r="C966" s="31"/>
      <c r="D966" s="31"/>
    </row>
    <row r="967" ht="15.75" customHeight="1">
      <c r="B967" s="31"/>
      <c r="C967" s="31"/>
      <c r="D967" s="31"/>
    </row>
    <row r="968" ht="15.75" customHeight="1">
      <c r="B968" s="31"/>
      <c r="C968" s="31"/>
      <c r="D968" s="31"/>
    </row>
    <row r="969" ht="15.75" customHeight="1">
      <c r="B969" s="31"/>
      <c r="C969" s="31"/>
      <c r="D969" s="31"/>
    </row>
    <row r="970" ht="15.75" customHeight="1">
      <c r="B970" s="31"/>
      <c r="C970" s="31"/>
      <c r="D970" s="31"/>
    </row>
    <row r="971" ht="15.75" customHeight="1">
      <c r="B971" s="31"/>
      <c r="C971" s="31"/>
      <c r="D971" s="31"/>
    </row>
    <row r="972" ht="15.75" customHeight="1">
      <c r="B972" s="31"/>
      <c r="C972" s="31"/>
      <c r="D972" s="31"/>
    </row>
    <row r="973" ht="15.75" customHeight="1">
      <c r="B973" s="31"/>
      <c r="C973" s="31"/>
      <c r="D973" s="31"/>
    </row>
    <row r="974" ht="15.75" customHeight="1">
      <c r="B974" s="31"/>
      <c r="C974" s="31"/>
      <c r="D974" s="31"/>
    </row>
    <row r="975" ht="15.75" customHeight="1">
      <c r="B975" s="31"/>
      <c r="C975" s="31"/>
      <c r="D975" s="31"/>
    </row>
    <row r="976" ht="15.75" customHeight="1">
      <c r="B976" s="31"/>
      <c r="C976" s="31"/>
      <c r="D976" s="31"/>
    </row>
    <row r="977" ht="15.75" customHeight="1">
      <c r="B977" s="31"/>
      <c r="C977" s="31"/>
      <c r="D977" s="31"/>
    </row>
    <row r="978" ht="15.75" customHeight="1">
      <c r="B978" s="31"/>
      <c r="C978" s="31"/>
      <c r="D978" s="31"/>
    </row>
    <row r="979" ht="15.75" customHeight="1">
      <c r="B979" s="31"/>
      <c r="C979" s="31"/>
      <c r="D979" s="31"/>
    </row>
    <row r="980" ht="15.75" customHeight="1">
      <c r="B980" s="31"/>
      <c r="C980" s="31"/>
      <c r="D980" s="31"/>
    </row>
    <row r="981" ht="15.75" customHeight="1">
      <c r="B981" s="31"/>
      <c r="C981" s="31"/>
      <c r="D981" s="31"/>
    </row>
    <row r="982" ht="15.75" customHeight="1">
      <c r="B982" s="31"/>
      <c r="C982" s="31"/>
      <c r="D982" s="31"/>
    </row>
    <row r="983" ht="15.75" customHeight="1">
      <c r="B983" s="31"/>
      <c r="C983" s="31"/>
      <c r="D983" s="31"/>
    </row>
    <row r="984" ht="15.75" customHeight="1">
      <c r="B984" s="31"/>
      <c r="C984" s="31"/>
      <c r="D984" s="31"/>
    </row>
    <row r="985" ht="15.75" customHeight="1">
      <c r="B985" s="31"/>
      <c r="C985" s="31"/>
      <c r="D985" s="31"/>
    </row>
    <row r="986" ht="15.75" customHeight="1">
      <c r="B986" s="31"/>
      <c r="C986" s="31"/>
      <c r="D986" s="31"/>
    </row>
    <row r="987" ht="15.75" customHeight="1">
      <c r="B987" s="31"/>
      <c r="C987" s="31"/>
      <c r="D987" s="31"/>
    </row>
    <row r="988" ht="15.75" customHeight="1">
      <c r="B988" s="31"/>
      <c r="C988" s="31"/>
      <c r="D988" s="31"/>
    </row>
    <row r="989" ht="15.75" customHeight="1">
      <c r="B989" s="31"/>
      <c r="C989" s="31"/>
      <c r="D989" s="31"/>
    </row>
    <row r="990" ht="15.75" customHeight="1">
      <c r="B990" s="31"/>
      <c r="C990" s="31"/>
      <c r="D990" s="31"/>
    </row>
    <row r="991" ht="15.75" customHeight="1">
      <c r="B991" s="31"/>
      <c r="C991" s="31"/>
      <c r="D991" s="31"/>
    </row>
    <row r="992" ht="15.75" customHeight="1">
      <c r="B992" s="31"/>
      <c r="C992" s="31"/>
      <c r="D992" s="31"/>
    </row>
    <row r="993" ht="15.75" customHeight="1">
      <c r="B993" s="31"/>
      <c r="C993" s="31"/>
      <c r="D993" s="31"/>
    </row>
    <row r="994" ht="15.75" customHeight="1">
      <c r="B994" s="31"/>
      <c r="C994" s="31"/>
      <c r="D994" s="31"/>
    </row>
    <row r="995" ht="15.75" customHeight="1">
      <c r="B995" s="31"/>
      <c r="C995" s="31"/>
      <c r="D995" s="31"/>
    </row>
    <row r="996" ht="15.75" customHeight="1">
      <c r="B996" s="31"/>
      <c r="C996" s="31"/>
      <c r="D996" s="31"/>
    </row>
    <row r="997" ht="15.75" customHeight="1">
      <c r="B997" s="31"/>
      <c r="C997" s="31"/>
      <c r="D997" s="31"/>
    </row>
    <row r="998" ht="15.75" customHeight="1">
      <c r="B998" s="31"/>
      <c r="C998" s="31"/>
      <c r="D998" s="31"/>
    </row>
    <row r="999" ht="15.75" customHeight="1">
      <c r="B999" s="31"/>
      <c r="C999" s="31"/>
      <c r="D999" s="31"/>
    </row>
    <row r="1000" ht="15.75" customHeight="1">
      <c r="B1000" s="31"/>
      <c r="C1000" s="31"/>
      <c r="D1000" s="31"/>
    </row>
    <row r="1001" ht="15.75" customHeight="1">
      <c r="B1001" s="31"/>
      <c r="C1001" s="31"/>
      <c r="D1001" s="31"/>
    </row>
  </sheetData>
  <conditionalFormatting sqref="B2:D428">
    <cfRule type="cellIs" dxfId="5" priority="1" operator="equal">
      <formula>"Live"</formula>
    </cfRule>
  </conditionalFormatting>
  <conditionalFormatting sqref="B2:D428">
    <cfRule type="cellIs" dxfId="6" priority="2" operator="equal">
      <formula>"Missing"</formula>
    </cfRule>
  </conditionalFormatting>
  <conditionalFormatting sqref="B2:D428">
    <cfRule type="cellIs" dxfId="7" priority="3" operator="equal">
      <formula>"Draft"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C0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14"/>
    <col customWidth="1" min="3" max="3" width="9.71"/>
    <col customWidth="1" min="4" max="5" width="12.71"/>
    <col customWidth="1" min="6" max="26" width="8.71"/>
  </cols>
  <sheetData>
    <row r="1">
      <c r="A1" s="27" t="s">
        <v>0</v>
      </c>
      <c r="B1" s="27" t="s">
        <v>1884</v>
      </c>
      <c r="C1" s="27" t="s">
        <v>1885</v>
      </c>
      <c r="D1" s="27" t="s">
        <v>1886</v>
      </c>
      <c r="E1" s="27" t="s">
        <v>1887</v>
      </c>
    </row>
    <row r="2">
      <c r="A2" s="28" t="s">
        <v>9</v>
      </c>
      <c r="B2" s="29">
        <v>0.5</v>
      </c>
      <c r="C2" s="29">
        <v>44.0</v>
      </c>
      <c r="D2" s="29">
        <v>53.0</v>
      </c>
      <c r="E2" s="29">
        <v>67.0</v>
      </c>
    </row>
    <row r="3">
      <c r="A3" s="28" t="s">
        <v>9</v>
      </c>
      <c r="B3" s="29">
        <v>1.0</v>
      </c>
      <c r="C3" s="29">
        <v>59.0</v>
      </c>
      <c r="D3" s="29">
        <v>76.0</v>
      </c>
      <c r="E3" s="29">
        <v>87.0</v>
      </c>
    </row>
    <row r="4">
      <c r="A4" s="28" t="s">
        <v>9</v>
      </c>
      <c r="B4" s="29">
        <v>1.5</v>
      </c>
      <c r="C4" s="29">
        <v>74.0</v>
      </c>
      <c r="D4" s="29">
        <v>99.0</v>
      </c>
      <c r="E4" s="29">
        <v>121.0</v>
      </c>
    </row>
    <row r="5">
      <c r="A5" s="28" t="s">
        <v>9</v>
      </c>
      <c r="B5" s="29">
        <v>2.0</v>
      </c>
      <c r="C5" s="29">
        <v>89.0</v>
      </c>
      <c r="D5" s="29">
        <v>122.0</v>
      </c>
      <c r="E5" s="29">
        <v>155.0</v>
      </c>
    </row>
    <row r="6">
      <c r="A6" s="28" t="s">
        <v>9</v>
      </c>
      <c r="B6" s="29">
        <v>3.0</v>
      </c>
      <c r="C6" s="29">
        <v>119.0</v>
      </c>
      <c r="D6" s="29">
        <v>168.0</v>
      </c>
      <c r="E6" s="29">
        <v>223.0</v>
      </c>
    </row>
    <row r="7">
      <c r="A7" s="28" t="s">
        <v>9</v>
      </c>
      <c r="B7" s="29">
        <v>5.0</v>
      </c>
      <c r="C7" s="29">
        <v>165.0</v>
      </c>
      <c r="D7" s="29">
        <v>210.0</v>
      </c>
      <c r="E7" s="29">
        <v>255.0</v>
      </c>
    </row>
    <row r="8">
      <c r="A8" s="28" t="s">
        <v>9</v>
      </c>
      <c r="B8" s="29">
        <v>10.0</v>
      </c>
      <c r="C8" s="29">
        <v>215.0</v>
      </c>
      <c r="D8" s="29">
        <v>285.0</v>
      </c>
      <c r="E8" s="29">
        <v>335.0</v>
      </c>
    </row>
    <row r="9">
      <c r="A9" s="28" t="s">
        <v>1162</v>
      </c>
      <c r="B9" s="29">
        <v>0.5</v>
      </c>
      <c r="C9" s="29">
        <v>48.0</v>
      </c>
      <c r="D9" s="29">
        <v>63.0</v>
      </c>
      <c r="E9" s="29">
        <v>75.0</v>
      </c>
    </row>
    <row r="10">
      <c r="A10" s="28" t="s">
        <v>1162</v>
      </c>
      <c r="B10" s="29">
        <v>1.0</v>
      </c>
      <c r="C10" s="29">
        <v>74.0</v>
      </c>
      <c r="D10" s="29">
        <v>93.0</v>
      </c>
      <c r="E10" s="29">
        <v>103.0</v>
      </c>
    </row>
    <row r="11">
      <c r="A11" s="28" t="s">
        <v>1162</v>
      </c>
      <c r="B11" s="29">
        <v>1.5</v>
      </c>
      <c r="C11" s="29">
        <v>101.0</v>
      </c>
      <c r="D11" s="29">
        <v>128.0</v>
      </c>
      <c r="E11" s="29">
        <v>138.0</v>
      </c>
    </row>
    <row r="12">
      <c r="A12" s="28" t="s">
        <v>1162</v>
      </c>
      <c r="B12" s="29">
        <v>2.0</v>
      </c>
      <c r="C12" s="29">
        <v>128.0</v>
      </c>
      <c r="D12" s="29">
        <v>163.0</v>
      </c>
      <c r="E12" s="29">
        <v>173.0</v>
      </c>
    </row>
    <row r="13">
      <c r="A13" s="28" t="s">
        <v>1162</v>
      </c>
      <c r="B13" s="29">
        <v>3.0</v>
      </c>
      <c r="C13" s="29">
        <v>182.0</v>
      </c>
      <c r="D13" s="29">
        <v>233.0</v>
      </c>
      <c r="E13" s="29">
        <v>243.0</v>
      </c>
    </row>
    <row r="14">
      <c r="A14" s="28" t="s">
        <v>1162</v>
      </c>
      <c r="B14" s="29">
        <v>5.0</v>
      </c>
      <c r="C14" s="29">
        <v>290.0</v>
      </c>
      <c r="D14" s="29">
        <v>373.0</v>
      </c>
      <c r="E14" s="29">
        <v>383.0</v>
      </c>
    </row>
    <row r="15">
      <c r="A15" s="28" t="s">
        <v>1162</v>
      </c>
      <c r="B15" s="29">
        <v>10.0</v>
      </c>
      <c r="C15" s="29">
        <v>560.0</v>
      </c>
      <c r="D15" s="29">
        <v>723.0</v>
      </c>
      <c r="E15" s="29">
        <v>733.0</v>
      </c>
    </row>
    <row r="16">
      <c r="A16" s="28" t="s">
        <v>1717</v>
      </c>
      <c r="B16" s="29">
        <v>0.5</v>
      </c>
      <c r="C16" s="29">
        <v>50.0</v>
      </c>
      <c r="D16" s="29">
        <v>65.0</v>
      </c>
      <c r="E16" s="29">
        <v>80.0</v>
      </c>
    </row>
    <row r="17" ht="15.75" customHeight="1">
      <c r="A17" s="28" t="s">
        <v>1717</v>
      </c>
      <c r="B17" s="29">
        <v>1.0</v>
      </c>
      <c r="C17" s="29">
        <v>65.0</v>
      </c>
      <c r="D17" s="29">
        <v>90.0</v>
      </c>
      <c r="E17" s="29">
        <v>100.0</v>
      </c>
    </row>
    <row r="18" ht="15.75" customHeight="1">
      <c r="A18" s="28" t="s">
        <v>1717</v>
      </c>
      <c r="B18" s="29">
        <v>1.5</v>
      </c>
      <c r="C18" s="29">
        <v>80.0</v>
      </c>
      <c r="D18" s="29">
        <v>105.0</v>
      </c>
      <c r="E18" s="29">
        <v>115.0</v>
      </c>
    </row>
    <row r="19" ht="15.75" customHeight="1">
      <c r="A19" s="28" t="s">
        <v>1717</v>
      </c>
      <c r="B19" s="29">
        <v>2.0</v>
      </c>
      <c r="C19" s="29">
        <v>95.0</v>
      </c>
      <c r="D19" s="29">
        <v>120.0</v>
      </c>
      <c r="E19" s="29">
        <v>130.0</v>
      </c>
    </row>
    <row r="20" ht="15.75" customHeight="1">
      <c r="A20" s="28" t="s">
        <v>1717</v>
      </c>
      <c r="B20" s="29">
        <v>3.0</v>
      </c>
      <c r="C20" s="29">
        <v>125.0</v>
      </c>
      <c r="D20" s="29">
        <v>150.0</v>
      </c>
      <c r="E20" s="29">
        <v>160.0</v>
      </c>
    </row>
    <row r="21" ht="15.75" customHeight="1">
      <c r="A21" s="28" t="s">
        <v>1717</v>
      </c>
      <c r="B21" s="29">
        <v>5.0</v>
      </c>
      <c r="C21" s="29">
        <v>175.0</v>
      </c>
      <c r="D21" s="29">
        <v>200.0</v>
      </c>
      <c r="E21" s="29">
        <v>210.0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C02D"/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14"/>
    <col customWidth="1" min="3" max="3" width="18.29"/>
    <col customWidth="1" min="4" max="4" width="13.29"/>
    <col customWidth="1" min="5" max="26" width="9.0"/>
  </cols>
  <sheetData>
    <row r="1">
      <c r="A1" s="27" t="s">
        <v>0</v>
      </c>
      <c r="B1" s="27" t="s">
        <v>1888</v>
      </c>
      <c r="C1" s="27" t="s">
        <v>1889</v>
      </c>
      <c r="D1" s="27" t="s">
        <v>1890</v>
      </c>
    </row>
    <row r="2">
      <c r="A2" s="33" t="s">
        <v>9</v>
      </c>
      <c r="B2" s="33" t="s">
        <v>1891</v>
      </c>
      <c r="C2" s="33">
        <v>5000.0</v>
      </c>
      <c r="D2" s="32">
        <v>0.18</v>
      </c>
    </row>
    <row r="3">
      <c r="A3" s="33" t="s">
        <v>1162</v>
      </c>
      <c r="B3" s="33" t="s">
        <v>1891</v>
      </c>
      <c r="C3" s="33">
        <v>5000.0</v>
      </c>
      <c r="D3" s="32">
        <v>0.18</v>
      </c>
    </row>
    <row r="4">
      <c r="A4" s="33" t="s">
        <v>1717</v>
      </c>
      <c r="B4" s="33" t="s">
        <v>1891</v>
      </c>
      <c r="C4" s="33">
        <v>5000.0</v>
      </c>
      <c r="D4" s="32">
        <v>0.18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